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اطلاعات صورت مالی1403\اطلاعات صورت مالی1403\اطلاعات صورت مالی\"/>
    </mc:Choice>
  </mc:AlternateContent>
  <xr:revisionPtr revIDLastSave="0" documentId="13_ncr:1_{84B8C90B-F56D-4221-88C4-B097AB1E374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پیش پرداخت اولیه" sheetId="1" r:id="rId1"/>
  </sheets>
  <definedNames>
    <definedName name="_xlnm._FilterDatabase" localSheetId="0" hidden="1">'پیش پرداخت اولیه'!$I$15:$K$293</definedName>
    <definedName name="_xlnm.Print_Area" localSheetId="0">'پیش پرداخت اولیه'!$I$14:$K$293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1" l="1"/>
  <c r="K12" i="1" l="1"/>
  <c r="K293" i="1"/>
  <c r="C32" i="1"/>
  <c r="O31" i="1"/>
  <c r="O29" i="1"/>
  <c r="K6" i="1"/>
  <c r="K3" i="1"/>
  <c r="K8" i="1"/>
  <c r="G80" i="1"/>
  <c r="G41" i="1"/>
  <c r="C36" i="1"/>
  <c r="C46" i="1" s="1"/>
  <c r="C72" i="1"/>
  <c r="C45" i="1"/>
  <c r="C43" i="1"/>
  <c r="C47" i="1" s="1"/>
  <c r="G59" i="1"/>
  <c r="G78" i="1" s="1"/>
  <c r="C57" i="1"/>
  <c r="C54" i="1"/>
  <c r="C70" i="1" s="1"/>
  <c r="K46" i="1"/>
  <c r="C27" i="1"/>
  <c r="C20" i="1"/>
  <c r="C15" i="1"/>
  <c r="C11" i="1"/>
  <c r="G15" i="1"/>
  <c r="C7" i="1"/>
  <c r="C6" i="1"/>
  <c r="C5" i="1"/>
  <c r="C4" i="1"/>
  <c r="G3" i="1"/>
  <c r="N10" i="1" l="1"/>
  <c r="G40" i="1"/>
  <c r="C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اصغر رکن آبادی</author>
  </authors>
  <commentList>
    <comment ref="K3" authorId="0" shapeId="0" xr:uid="{4F0F01A9-9E8E-4914-9B8C-67CA52508E6F}">
      <text>
        <r>
          <rPr>
            <b/>
            <sz val="9"/>
            <color indexed="81"/>
            <rFont val="Tahoma"/>
            <family val="2"/>
          </rPr>
          <t>اصغر رکن آبادی:</t>
        </r>
        <r>
          <rPr>
            <sz val="9"/>
            <color indexed="81"/>
            <rFont val="Tahoma"/>
            <family val="2"/>
          </rPr>
          <t xml:space="preserve">
تهاتر با ح دریافتنی غیر تجاری مبلغ 1352262431
</t>
        </r>
      </text>
    </comment>
    <comment ref="K6" authorId="0" shapeId="0" xr:uid="{C16D2F54-F5AD-4E59-9331-04955C9EC505}">
      <text>
        <r>
          <rPr>
            <b/>
            <sz val="9"/>
            <color indexed="81"/>
            <rFont val="Tahoma"/>
            <family val="2"/>
          </rPr>
          <t>اصغر رکن آبادی:</t>
        </r>
        <r>
          <rPr>
            <sz val="9"/>
            <color indexed="81"/>
            <rFont val="Tahoma"/>
            <family val="2"/>
          </rPr>
          <t xml:space="preserve">
تهاترمبلغ1174995640ریال ح دریافتنی غیرتجاری با سایرح پرداختنی</t>
        </r>
      </text>
    </comment>
    <comment ref="K8" authorId="0" shapeId="0" xr:uid="{235FDF09-2B21-4A57-BFEC-F8E1939DD0AB}">
      <text>
        <r>
          <rPr>
            <b/>
            <sz val="9"/>
            <color indexed="81"/>
            <rFont val="Tahoma"/>
            <family val="2"/>
          </rPr>
          <t>اصغر رکن آبادی:</t>
        </r>
        <r>
          <rPr>
            <sz val="9"/>
            <color indexed="81"/>
            <rFont val="Tahoma"/>
            <family val="2"/>
          </rPr>
          <t xml:space="preserve">
تهاتر بامبلغ 3968640000ح دریافتنی حکیمان</t>
        </r>
      </text>
    </comment>
    <comment ref="K25" authorId="0" shapeId="0" xr:uid="{FE6029E7-CED8-4AA3-9D42-883E2794C62A}">
      <text>
        <r>
          <rPr>
            <b/>
            <sz val="9"/>
            <color indexed="81"/>
            <rFont val="Tahoma"/>
            <family val="2"/>
          </rPr>
          <t>اصغر رکن آبادی:</t>
        </r>
        <r>
          <rPr>
            <sz val="9"/>
            <color indexed="81"/>
            <rFont val="Tahoma"/>
            <family val="2"/>
          </rPr>
          <t xml:space="preserve">
تهاتر با ح دریافتنی تجاری 3995033710
</t>
        </r>
      </text>
    </comment>
  </commentList>
</comments>
</file>

<file path=xl/sharedStrings.xml><?xml version="1.0" encoding="utf-8"?>
<sst xmlns="http://schemas.openxmlformats.org/spreadsheetml/2006/main" count="897" uniqueCount="813">
  <si>
    <t>0004004</t>
  </si>
  <si>
    <t>شرکت تولید مواد اولیه داروپخش (تماد)</t>
  </si>
  <si>
    <t>0004026</t>
  </si>
  <si>
    <t>شرکت اکبریه</t>
  </si>
  <si>
    <t>0004050</t>
  </si>
  <si>
    <t>شرکت تولیدژلاتین کپسول ایران</t>
  </si>
  <si>
    <t>0004110</t>
  </si>
  <si>
    <t>شرکت بهان سار</t>
  </si>
  <si>
    <t>0004298</t>
  </si>
  <si>
    <t>شرکت تولیدی الکل و موادغذائی بیدستان</t>
  </si>
  <si>
    <t>0004303</t>
  </si>
  <si>
    <t>شرکت گلوکوزان</t>
  </si>
  <si>
    <t>0004449</t>
  </si>
  <si>
    <t>شرکت آروین کالا کیمیا البرز (آروما)</t>
  </si>
  <si>
    <t>0004499</t>
  </si>
  <si>
    <t>شرکت ثمین کالا پویا</t>
  </si>
  <si>
    <t>0004536</t>
  </si>
  <si>
    <t>خوش شیمی تجارت</t>
  </si>
  <si>
    <t>0004544</t>
  </si>
  <si>
    <t>شرکت تعاونی تولیدکنندگان محصولات غذایی بکتاش تامین</t>
  </si>
  <si>
    <t>0004607</t>
  </si>
  <si>
    <t>دارویی زرد بند</t>
  </si>
  <si>
    <t>0004801</t>
  </si>
  <si>
    <t>کیمیا گستر تنها</t>
  </si>
  <si>
    <t>0004852</t>
  </si>
  <si>
    <t>خوش شیمی فارمد</t>
  </si>
  <si>
    <t>0004927</t>
  </si>
  <si>
    <t>محیط سازه پویش آزما</t>
  </si>
  <si>
    <t>0004929</t>
  </si>
  <si>
    <t>آرمان زوفا</t>
  </si>
  <si>
    <t>0005654</t>
  </si>
  <si>
    <t>شرکت داروسازی پرند دارو</t>
  </si>
  <si>
    <t>0005669</t>
  </si>
  <si>
    <t>شرکت درسا دارو</t>
  </si>
  <si>
    <t>0013504</t>
  </si>
  <si>
    <t>داروسازی جالینوس</t>
  </si>
  <si>
    <t>0013643</t>
  </si>
  <si>
    <t>بهار پایا</t>
  </si>
  <si>
    <t>0013818</t>
  </si>
  <si>
    <t>کربنات البرز</t>
  </si>
  <si>
    <t>0200395</t>
  </si>
  <si>
    <t>شرکت ثمین دارو ایرانیان</t>
  </si>
  <si>
    <t>0201030</t>
  </si>
  <si>
    <t>مهندسی هنزا پایش</t>
  </si>
  <si>
    <t>0201086</t>
  </si>
  <si>
    <t>آنتی بیوتیک سازی ایران</t>
  </si>
  <si>
    <t>0300166</t>
  </si>
  <si>
    <t>نگارین سپیدار سبز فرهنگ</t>
  </si>
  <si>
    <t>0300272</t>
  </si>
  <si>
    <t>ایلیا فارمد ایرانیان</t>
  </si>
  <si>
    <t>0300500</t>
  </si>
  <si>
    <t>بهفر تجارت فارمد</t>
  </si>
  <si>
    <t>0300503</t>
  </si>
  <si>
    <t>سایا مهفام آریا گستر</t>
  </si>
  <si>
    <t>0300532</t>
  </si>
  <si>
    <t>مهرماندگار مهیار</t>
  </si>
  <si>
    <t>کد</t>
  </si>
  <si>
    <t>عنوان</t>
  </si>
  <si>
    <t>مانده بدهکار</t>
  </si>
  <si>
    <t>پیش پرداخت مواد اولیه</t>
  </si>
  <si>
    <t>پیش پرداخت موادبسته بندی</t>
  </si>
  <si>
    <t>0004484</t>
  </si>
  <si>
    <t>شرکت سینا کالای شمس</t>
  </si>
  <si>
    <t>0005817</t>
  </si>
  <si>
    <t>شرکت نادی پلاستیک آریا</t>
  </si>
  <si>
    <t>0300278</t>
  </si>
  <si>
    <t>درب غذائی ناصر(حکم اله نجفی)</t>
  </si>
  <si>
    <t>0005604</t>
  </si>
  <si>
    <t>شرکت داروسازی راموفارمین</t>
  </si>
  <si>
    <t>0004275</t>
  </si>
  <si>
    <t>شرکت کیمیا کالا</t>
  </si>
  <si>
    <t>0300187</t>
  </si>
  <si>
    <t>صنایع بسته بندی لفاف کاسپین</t>
  </si>
  <si>
    <t>0004388</t>
  </si>
  <si>
    <t>شرکت کامل برچسب پرند</t>
  </si>
  <si>
    <t>0004013</t>
  </si>
  <si>
    <t>شرکت شیشه دارویی رازی</t>
  </si>
  <si>
    <t>0300502</t>
  </si>
  <si>
    <t>پیشگامان شفاگستران سام</t>
  </si>
  <si>
    <t>0013697</t>
  </si>
  <si>
    <t>شفا گستران مهر رضا</t>
  </si>
  <si>
    <t>0004236</t>
  </si>
  <si>
    <t>شرکت مفید شیشه</t>
  </si>
  <si>
    <t>پیش پرداخت هزینه ایی</t>
  </si>
  <si>
    <t>0200032</t>
  </si>
  <si>
    <t>یدک بلبرینگ نو - محمد حبیبی فکور</t>
  </si>
  <si>
    <t>0006508</t>
  </si>
  <si>
    <t>شرکت آروین تجارت پژوه آزما</t>
  </si>
  <si>
    <t>0200420</t>
  </si>
  <si>
    <t>پوشان پلاستیک</t>
  </si>
  <si>
    <t>0013691</t>
  </si>
  <si>
    <t>گیتی تجارت تاو</t>
  </si>
  <si>
    <t>0300394</t>
  </si>
  <si>
    <t>شرکت آرین توف پاسارگاد</t>
  </si>
  <si>
    <t>0300600</t>
  </si>
  <si>
    <t>هوشمندسازان یراق نوین</t>
  </si>
  <si>
    <t>0005765</t>
  </si>
  <si>
    <t>شرکت تضامنی صنایع ماشین سازی نامدار و شرکاء</t>
  </si>
  <si>
    <t>0300602</t>
  </si>
  <si>
    <t>پیچ و ابزار مبین (مهدی سلیمانی گیلانده)</t>
  </si>
  <si>
    <t>0013712</t>
  </si>
  <si>
    <t>معتبر سازان آویژه صنعت</t>
  </si>
  <si>
    <t>0300597</t>
  </si>
  <si>
    <t>شرکت گل الکتریک پارت</t>
  </si>
  <si>
    <t>0004931</t>
  </si>
  <si>
    <t>صنایع چسب سینا</t>
  </si>
  <si>
    <t>0200403</t>
  </si>
  <si>
    <t>شرکت کار دارو فرایند</t>
  </si>
  <si>
    <t>0300310</t>
  </si>
  <si>
    <t>علیرضا مهدی آقایی</t>
  </si>
  <si>
    <t>0005760</t>
  </si>
  <si>
    <t>شرکت بیمه ایران (تامین سازان صفری)</t>
  </si>
  <si>
    <t>0006225</t>
  </si>
  <si>
    <t>شرکت صنعتی آب آتش بخار</t>
  </si>
  <si>
    <t>0006908</t>
  </si>
  <si>
    <t>شرکت توسعه صنایع فراز کمپرسور</t>
  </si>
  <si>
    <t>0006877</t>
  </si>
  <si>
    <t>شرکت مصور سازان چارسوق</t>
  </si>
  <si>
    <t>0300222</t>
  </si>
  <si>
    <t>شرکت تحقیقاتی بیوفارمسی پارس</t>
  </si>
  <si>
    <t>0001131</t>
  </si>
  <si>
    <t>جواد شکری</t>
  </si>
  <si>
    <t>0300260</t>
  </si>
  <si>
    <t>بیمه آسیا</t>
  </si>
  <si>
    <t>جمع</t>
  </si>
  <si>
    <t>ح پرداختنی مواد اولیه</t>
  </si>
  <si>
    <t>مانده بستانکار</t>
  </si>
  <si>
    <t>0200598</t>
  </si>
  <si>
    <t>پویا طب جاوید شرق</t>
  </si>
  <si>
    <t>0004514</t>
  </si>
  <si>
    <t>شرکت داروسازی پارت کیمیا</t>
  </si>
  <si>
    <t>0005739</t>
  </si>
  <si>
    <t>شرکت بهداشت کار</t>
  </si>
  <si>
    <t>0004350</t>
  </si>
  <si>
    <t>اکسیر شیمی آریا طب</t>
  </si>
  <si>
    <t>0006688</t>
  </si>
  <si>
    <t>شرکت بازرگانی تاک دشت</t>
  </si>
  <si>
    <t>0201016</t>
  </si>
  <si>
    <t>شرکت مهندسی و تولیدی ماریلا صنعت</t>
  </si>
  <si>
    <t>0005004</t>
  </si>
  <si>
    <t>شرکت بازرگانی تدبیر کالای جم</t>
  </si>
  <si>
    <t>0004550</t>
  </si>
  <si>
    <t>شرکت شیمیایی و داروئی باران</t>
  </si>
  <si>
    <t>0004328</t>
  </si>
  <si>
    <t>کالا بر چسب</t>
  </si>
  <si>
    <t>0300570</t>
  </si>
  <si>
    <t>بن ژیوار طب (شیمی پیک)</t>
  </si>
  <si>
    <t>0004996</t>
  </si>
  <si>
    <t>درمان یاب دارو</t>
  </si>
  <si>
    <t>0004412</t>
  </si>
  <si>
    <t>شرکت جهان الکل طب اراک</t>
  </si>
  <si>
    <t>0200787</t>
  </si>
  <si>
    <t>شرکت میعاد تجهیز ایرانیان</t>
  </si>
  <si>
    <t>0300377</t>
  </si>
  <si>
    <t>شرکت صنایع شیمیایی پاسارگاد ایده هیراد</t>
  </si>
  <si>
    <t>0201059</t>
  </si>
  <si>
    <t>شرکت اکسیر هیراد</t>
  </si>
  <si>
    <t>0005059</t>
  </si>
  <si>
    <t>شرکت سینا پیشگام دارو نوین</t>
  </si>
  <si>
    <t>0005000</t>
  </si>
  <si>
    <t>رهامهر پارتاک</t>
  </si>
  <si>
    <t>0005611</t>
  </si>
  <si>
    <t>شرکت داروسازی ایران دارو</t>
  </si>
  <si>
    <t>0004876</t>
  </si>
  <si>
    <t>پارس بهروزان جم</t>
  </si>
  <si>
    <t>0004509</t>
  </si>
  <si>
    <t>شرکت البرز فارمد</t>
  </si>
  <si>
    <t>0004015</t>
  </si>
  <si>
    <t>شرکت دارو سازی ابن ماسویه</t>
  </si>
  <si>
    <t>0004194</t>
  </si>
  <si>
    <t>گروه مهندسی بازرگانی تجارت گستر پایا</t>
  </si>
  <si>
    <t>0005651</t>
  </si>
  <si>
    <t>شرکت کارخانجات داروپخش</t>
  </si>
  <si>
    <t>0004077</t>
  </si>
  <si>
    <t>صنایع شیمیایی و داروئی تبریز</t>
  </si>
  <si>
    <t>0005744</t>
  </si>
  <si>
    <t>شرکت کاویان شیمی</t>
  </si>
  <si>
    <t>0300537</t>
  </si>
  <si>
    <t>شرکت تعاونی بانوان گل یاس کبود</t>
  </si>
  <si>
    <t>0004740</t>
  </si>
  <si>
    <t>تریتا تجارت آریا</t>
  </si>
  <si>
    <t>0004029</t>
  </si>
  <si>
    <t>صنایع شیمیایی کیمیاگران امروز</t>
  </si>
  <si>
    <t>ح پرداختنی مواد بسته بندی</t>
  </si>
  <si>
    <t>0013615</t>
  </si>
  <si>
    <t>شرکت داروسازی کوثر</t>
  </si>
  <si>
    <t>0004045</t>
  </si>
  <si>
    <t>شرکت دارو در</t>
  </si>
  <si>
    <t>0004234</t>
  </si>
  <si>
    <t>شرکت دارو پوش</t>
  </si>
  <si>
    <t>0200855</t>
  </si>
  <si>
    <t>شرکت سلامت دارو ایرانیان پارس مهر</t>
  </si>
  <si>
    <t>0004066</t>
  </si>
  <si>
    <t>شرکت سیلیکاژل درخشان</t>
  </si>
  <si>
    <t>0004899</t>
  </si>
  <si>
    <t>آراپوش گستر</t>
  </si>
  <si>
    <t>0013582</t>
  </si>
  <si>
    <t>فیدار پارس نگارستان</t>
  </si>
  <si>
    <t>0004408</t>
  </si>
  <si>
    <t>شرکت الماس فیلم آذربایجان</t>
  </si>
  <si>
    <t>0004230</t>
  </si>
  <si>
    <t>شرکت صنایع کارتن پلاست نفیس</t>
  </si>
  <si>
    <t>0200336</t>
  </si>
  <si>
    <t>محمد تقی قدس الهی-چاپ معاصر</t>
  </si>
  <si>
    <t>0201042</t>
  </si>
  <si>
    <t>پویان پیشرو کاوش</t>
  </si>
  <si>
    <t>0013737</t>
  </si>
  <si>
    <t>مکمل سلامت فارمد</t>
  </si>
  <si>
    <t>0200217</t>
  </si>
  <si>
    <t>تولیدی آکو صنعت تجارت آریا</t>
  </si>
  <si>
    <t>0004460</t>
  </si>
  <si>
    <t>شرکت شهاب شرق</t>
  </si>
  <si>
    <t>0200457</t>
  </si>
  <si>
    <t>سید صابر علوی فوشازده-سرای کهن</t>
  </si>
  <si>
    <t>0013497</t>
  </si>
  <si>
    <t>میران تجارت رسام</t>
  </si>
  <si>
    <t>0300579</t>
  </si>
  <si>
    <t>شرکت اطمینان توسعه آتیه یکتا</t>
  </si>
  <si>
    <t>0004036</t>
  </si>
  <si>
    <t>شرکت دروند</t>
  </si>
  <si>
    <t>0004527</t>
  </si>
  <si>
    <t>شرکت تولیدی پرشین کارتن آریان</t>
  </si>
  <si>
    <t>0004313</t>
  </si>
  <si>
    <t>شرکت سامان سلامت پژوه</t>
  </si>
  <si>
    <t>0004010</t>
  </si>
  <si>
    <t>شرکت صنایع بسته بندی آیدانار</t>
  </si>
  <si>
    <t>0300492</t>
  </si>
  <si>
    <t>هزار نقش آریا</t>
  </si>
  <si>
    <t>0004256</t>
  </si>
  <si>
    <t>شرکت صنایع بسته بندی داروپات شرق</t>
  </si>
  <si>
    <t>0004014</t>
  </si>
  <si>
    <t>شرکت تهرانکسری</t>
  </si>
  <si>
    <t>0004523</t>
  </si>
  <si>
    <t>شرکت رنگین نقش رازی</t>
  </si>
  <si>
    <t>0200633</t>
  </si>
  <si>
    <t>شرکت سپاهان پردازش دنا</t>
  </si>
  <si>
    <t>0004020</t>
  </si>
  <si>
    <t>شرکت بهینه پوشش جم</t>
  </si>
  <si>
    <t>0004496</t>
  </si>
  <si>
    <t>شرکت کیمیا اثر سلامت</t>
  </si>
  <si>
    <t>سایرح پرداختنی تجاری</t>
  </si>
  <si>
    <t>0003433</t>
  </si>
  <si>
    <t>هستی جاویدی</t>
  </si>
  <si>
    <t>0200004</t>
  </si>
  <si>
    <t>شرکت انبارهای عمومی و خدمات گمرکی امام خمینی</t>
  </si>
  <si>
    <t>0200328</t>
  </si>
  <si>
    <t>شرکت نوآوران اکسیس</t>
  </si>
  <si>
    <t>0003486</t>
  </si>
  <si>
    <t>پوریا  معتمد</t>
  </si>
  <si>
    <t>0004452</t>
  </si>
  <si>
    <t>شرکت پایش تجارت خوارزمی</t>
  </si>
  <si>
    <t>0001082</t>
  </si>
  <si>
    <t>حسینعلی مهرآذر</t>
  </si>
  <si>
    <t>0013501</t>
  </si>
  <si>
    <t>حکیمان طب کار</t>
  </si>
  <si>
    <t>0009998</t>
  </si>
  <si>
    <t>سایر - متفرقه</t>
  </si>
  <si>
    <t>0200273</t>
  </si>
  <si>
    <t>سازمان غذا و دارو</t>
  </si>
  <si>
    <t>ح پرداختنی غیر تجاری</t>
  </si>
  <si>
    <t>0300330</t>
  </si>
  <si>
    <t>شرکت بازرگانی تک ساران پارمیس</t>
  </si>
  <si>
    <t>0013790</t>
  </si>
  <si>
    <t>پخش فتاحیان</t>
  </si>
  <si>
    <t>0006689</t>
  </si>
  <si>
    <t>سرما سازان بهار زاگرس</t>
  </si>
  <si>
    <t>0004713</t>
  </si>
  <si>
    <t>مرغ اجداد مازندران</t>
  </si>
  <si>
    <t>0006724</t>
  </si>
  <si>
    <t>شرکت آرین تجهیز آزما</t>
  </si>
  <si>
    <t>0200028</t>
  </si>
  <si>
    <t>رنگ و ابزار ساختمانی و صنعتی دوستان</t>
  </si>
  <si>
    <t>0200106</t>
  </si>
  <si>
    <t>کالای برق نورافشار - محمد افشار</t>
  </si>
  <si>
    <t>0200316</t>
  </si>
  <si>
    <t>محور صنعت - ابراهیم عبدالهی</t>
  </si>
  <si>
    <t>0004670</t>
  </si>
  <si>
    <t>بلندای صنعت جهان افراز</t>
  </si>
  <si>
    <t>0006881</t>
  </si>
  <si>
    <t>مصالح ساختمانی واحدی</t>
  </si>
  <si>
    <t>0200299</t>
  </si>
  <si>
    <t>پارس سازه</t>
  </si>
  <si>
    <t>0300344</t>
  </si>
  <si>
    <t>علیرضا  رهبران (پخش مواد غذایی رهبران)</t>
  </si>
  <si>
    <t>0013513</t>
  </si>
  <si>
    <t>فروشگاه پارس بکسل</t>
  </si>
  <si>
    <t>0004851</t>
  </si>
  <si>
    <t>ایرا نوت بوک</t>
  </si>
  <si>
    <t>0006768</t>
  </si>
  <si>
    <t>درب و کرکره هوشمند آویژه (عباس زارع زاده مهریزی )</t>
  </si>
  <si>
    <t>0006807</t>
  </si>
  <si>
    <t>جهان برق امیر کبیر- علی اصغر مجیدی</t>
  </si>
  <si>
    <t>0004339</t>
  </si>
  <si>
    <t>شرکت کاسپین تامین</t>
  </si>
  <si>
    <t>0013565</t>
  </si>
  <si>
    <t>خدمات لاستیک تیوپلکس سوری</t>
  </si>
  <si>
    <t>0200950</t>
  </si>
  <si>
    <t>شرکت پارس مبتکر فرتاک</t>
  </si>
  <si>
    <t>0004042</t>
  </si>
  <si>
    <t>شرکت گستر تجارت فردا</t>
  </si>
  <si>
    <t>0003212</t>
  </si>
  <si>
    <t>هزارخانی حمید</t>
  </si>
  <si>
    <t>0013758</t>
  </si>
  <si>
    <t>فروشگاه چرخ صنعت</t>
  </si>
  <si>
    <t>0004783</t>
  </si>
  <si>
    <t>فروشگاه تعاونی انقلاب شهریار</t>
  </si>
  <si>
    <t>0013561</t>
  </si>
  <si>
    <t>دفتر فنی و مهندسی مجید</t>
  </si>
  <si>
    <t>0013610</t>
  </si>
  <si>
    <t>موبایل آرمین</t>
  </si>
  <si>
    <t>0006260</t>
  </si>
  <si>
    <t>فروشگاه آهن آلات امامی ( حمید رضا امامی)</t>
  </si>
  <si>
    <t>0006539</t>
  </si>
  <si>
    <t>گروه صنعتی آریانا</t>
  </si>
  <si>
    <t>0006469</t>
  </si>
  <si>
    <t>شرکت پیشرو مدار</t>
  </si>
  <si>
    <t>0300400</t>
  </si>
  <si>
    <t>اداره اجرای اسناد رسمی سنندج</t>
  </si>
  <si>
    <t>0003591</t>
  </si>
  <si>
    <t>تعمیرات  تخصصی انژکتور</t>
  </si>
  <si>
    <t>0003616</t>
  </si>
  <si>
    <t>شیشه و قاب حسینی</t>
  </si>
  <si>
    <t>0006678</t>
  </si>
  <si>
    <t>امین رایانه</t>
  </si>
  <si>
    <t>0006253</t>
  </si>
  <si>
    <t>صنایع سنگ کوهستان</t>
  </si>
  <si>
    <t>0003578</t>
  </si>
  <si>
    <t>خدمات جوشکاری ایران محمد</t>
  </si>
  <si>
    <t>0013567</t>
  </si>
  <si>
    <t>پخش ابزار برج</t>
  </si>
  <si>
    <t>0004818</t>
  </si>
  <si>
    <t>مهره و پلاک تک</t>
  </si>
  <si>
    <t>0200077</t>
  </si>
  <si>
    <t>تجهیزات آزمایشگاهی مهرشاد طب</t>
  </si>
  <si>
    <t>0005902</t>
  </si>
  <si>
    <t>صنایع بسته بندی شایان راه میهن ( شایان پک)</t>
  </si>
  <si>
    <t>0006544</t>
  </si>
  <si>
    <t>شرکت بازرسی مهندسی ایران</t>
  </si>
  <si>
    <t>0201055</t>
  </si>
  <si>
    <t>فاوا گستران خاور میانه</t>
  </si>
  <si>
    <t>0201020</t>
  </si>
  <si>
    <t>شرکت ترابری بین المللی پرس</t>
  </si>
  <si>
    <t>0005836</t>
  </si>
  <si>
    <t>صنایع آلومینیوم پارس</t>
  </si>
  <si>
    <t>0003385</t>
  </si>
  <si>
    <t>محمدی ارباطی محمد جواد</t>
  </si>
  <si>
    <t>0003559</t>
  </si>
  <si>
    <t>بوستر سازی کیومرث</t>
  </si>
  <si>
    <t>0200087</t>
  </si>
  <si>
    <t>شرکت خدمات مسافرتی سفر دوستان قرن</t>
  </si>
  <si>
    <t>0006667</t>
  </si>
  <si>
    <t>موسسه آموزشی افق پژوهان فارمد</t>
  </si>
  <si>
    <t>0013568</t>
  </si>
  <si>
    <t>فروشگاه حنفی</t>
  </si>
  <si>
    <t>0013632</t>
  </si>
  <si>
    <t>عصر ارتباط شبکه بیسیم-مرکز پشتیبانی انفورماتیک</t>
  </si>
  <si>
    <t>0006087</t>
  </si>
  <si>
    <t>شرکت توسعه صنعتی وبازرگانی ابراهیم</t>
  </si>
  <si>
    <t>0003586</t>
  </si>
  <si>
    <t>استیل کاری مهدی (مهدی حیدرزاده توسر کله)</t>
  </si>
  <si>
    <t>0013484</t>
  </si>
  <si>
    <t>لوازم یدکی داودی</t>
  </si>
  <si>
    <t>0200132</t>
  </si>
  <si>
    <t>شرکت عمران بعثت خاتم</t>
  </si>
  <si>
    <t>0004600</t>
  </si>
  <si>
    <t>پژوهشگاه رنگ</t>
  </si>
  <si>
    <t>0013721</t>
  </si>
  <si>
    <t>اگزوز سازی بهنام</t>
  </si>
  <si>
    <t>0300232</t>
  </si>
  <si>
    <t>راهبرد داده کاوی موثر</t>
  </si>
  <si>
    <t>0006492</t>
  </si>
  <si>
    <t>ماشین های اداری رایانه کاران (محمد علیپور)</t>
  </si>
  <si>
    <t>0013670</t>
  </si>
  <si>
    <t>ویرا گستر سپندار</t>
  </si>
  <si>
    <t>0201000</t>
  </si>
  <si>
    <t>صنایع هوای فشرده پارس</t>
  </si>
  <si>
    <t>0013645</t>
  </si>
  <si>
    <t>پارسا ابزار تندیس</t>
  </si>
  <si>
    <t>0013715</t>
  </si>
  <si>
    <t>تحریر مرکزی</t>
  </si>
  <si>
    <t>0013672</t>
  </si>
  <si>
    <t>اکسیژن طلوع</t>
  </si>
  <si>
    <t>0200354</t>
  </si>
  <si>
    <t>فیلتر نفس حاج کریمی</t>
  </si>
  <si>
    <t>0003225</t>
  </si>
  <si>
    <t>بابائی مجید</t>
  </si>
  <si>
    <t>0200719</t>
  </si>
  <si>
    <t>شرکت حمل و نقل بین المللی فراگامان جهان</t>
  </si>
  <si>
    <t>0013583</t>
  </si>
  <si>
    <t>سنگ و صنعت کاویان</t>
  </si>
  <si>
    <t>0200231</t>
  </si>
  <si>
    <t>شرکت فنی و خدماتی عیسی</t>
  </si>
  <si>
    <t>0006341</t>
  </si>
  <si>
    <t>فروشگاه  اتحاد</t>
  </si>
  <si>
    <t>0200073</t>
  </si>
  <si>
    <t>دفتر فنی نگارش</t>
  </si>
  <si>
    <t>0003540</t>
  </si>
  <si>
    <t>چاپ تک  رنگ</t>
  </si>
  <si>
    <t>0004634</t>
  </si>
  <si>
    <t>فروشگاه تراز ایران</t>
  </si>
  <si>
    <t>0200124</t>
  </si>
  <si>
    <t>راد الکتریک(سلیمان ریحانیان)</t>
  </si>
  <si>
    <t>0200952</t>
  </si>
  <si>
    <t>برادران صالح</t>
  </si>
  <si>
    <t>0006694</t>
  </si>
  <si>
    <t>موسسه ره آوران آفاق صنعت</t>
  </si>
  <si>
    <t>0004516</t>
  </si>
  <si>
    <t>شرکت آسان شیمی خوارزمی</t>
  </si>
  <si>
    <t>0006486</t>
  </si>
  <si>
    <t>شرکت صنایع پند</t>
  </si>
  <si>
    <t>0300097</t>
  </si>
  <si>
    <t>کیمیا شیلنگ</t>
  </si>
  <si>
    <t>0013624</t>
  </si>
  <si>
    <t>گروه سامانه توسعه انفورماتیک</t>
  </si>
  <si>
    <t>0200071</t>
  </si>
  <si>
    <t>شرکت صنایع غذائی شیرین عسل</t>
  </si>
  <si>
    <t>0006165</t>
  </si>
  <si>
    <t>شرکت تولیدی و صنعتی پارس کمپرسور</t>
  </si>
  <si>
    <t>0200406</t>
  </si>
  <si>
    <t>تولیدی کیف و تکمیلی ترمه بهادری</t>
  </si>
  <si>
    <t>0201001</t>
  </si>
  <si>
    <t>شرکت بوتان (سهامی عام)</t>
  </si>
  <si>
    <t>0013657</t>
  </si>
  <si>
    <t>روغن موتور پارس گلها</t>
  </si>
  <si>
    <t>0006800</t>
  </si>
  <si>
    <t>فروشگاه لوازم یدکی ایساکو</t>
  </si>
  <si>
    <t>0300356</t>
  </si>
  <si>
    <t>قنادی تیفانی</t>
  </si>
  <si>
    <t>0004964</t>
  </si>
  <si>
    <t>پخش مواد غذایی برادران برجسته</t>
  </si>
  <si>
    <t>0013580</t>
  </si>
  <si>
    <t>شرکت هواپیمائی ماهان</t>
  </si>
  <si>
    <t>0003596</t>
  </si>
  <si>
    <t>آقای  کاظمی(بلبرینگ اسکویی)</t>
  </si>
  <si>
    <t>0201013</t>
  </si>
  <si>
    <t>شرکت حمل و نقل بین المللی ساحل بیکران آریا</t>
  </si>
  <si>
    <t>0006471</t>
  </si>
  <si>
    <t>شرکت پرتو زیست بهبود</t>
  </si>
  <si>
    <t>0200114</t>
  </si>
  <si>
    <t>مصالح فروشی حاج محمدلو -ابولفضل حاج محمد لو</t>
  </si>
  <si>
    <t>0006799</t>
  </si>
  <si>
    <t>فروشگاه تزئینات تهرانسر ( امیر ضرغام)</t>
  </si>
  <si>
    <t>0003560</t>
  </si>
  <si>
    <t>گرشا صوت</t>
  </si>
  <si>
    <t>0006352</t>
  </si>
  <si>
    <t>سیم پیچی زیمنس (عباد علی مردانی)</t>
  </si>
  <si>
    <t>0004833</t>
  </si>
  <si>
    <t>دمنده</t>
  </si>
  <si>
    <t>0200277</t>
  </si>
  <si>
    <t>شرکت مهندسی ماهان گسترش آسمان</t>
  </si>
  <si>
    <t>0200451</t>
  </si>
  <si>
    <t>شرکت نیک آزما پارس البرز</t>
  </si>
  <si>
    <t>0006872</t>
  </si>
  <si>
    <t>شرکت  چارگون</t>
  </si>
  <si>
    <t>0006346</t>
  </si>
  <si>
    <t>بالان صنعت</t>
  </si>
  <si>
    <t>0200444</t>
  </si>
  <si>
    <t>شرکت توان تک جم</t>
  </si>
  <si>
    <t>0200116</t>
  </si>
  <si>
    <t>خدمات فنی بوش (محبی)</t>
  </si>
  <si>
    <t>0003199</t>
  </si>
  <si>
    <t>کارکنان کل کارکنان کل</t>
  </si>
  <si>
    <t>0004195</t>
  </si>
  <si>
    <t>خدمات فنی و مهندسی نیکخواه</t>
  </si>
  <si>
    <t>0013574</t>
  </si>
  <si>
    <t>رنگ ابزار خوشنام</t>
  </si>
  <si>
    <t>0003588</t>
  </si>
  <si>
    <t>نیرو گستر</t>
  </si>
  <si>
    <t>0003614</t>
  </si>
  <si>
    <t>پرتو گستر</t>
  </si>
  <si>
    <t>0003044</t>
  </si>
  <si>
    <t>عسکری عبدالحسین</t>
  </si>
  <si>
    <t>0013656</t>
  </si>
  <si>
    <t>تعمیرگاه تخصصی تهران نوین ایسوزو و فسو</t>
  </si>
  <si>
    <t>0300149</t>
  </si>
  <si>
    <t>سلیم نجفی (باطری سازی)</t>
  </si>
  <si>
    <t>0200356</t>
  </si>
  <si>
    <t>مهدی مهدوی ایزدی</t>
  </si>
  <si>
    <t>0200422</t>
  </si>
  <si>
    <t>علوم نوبنیاد آینده ایرانیان</t>
  </si>
  <si>
    <t>0006948</t>
  </si>
  <si>
    <t>شرکت بهینه فرایند آزما</t>
  </si>
  <si>
    <t>0200750</t>
  </si>
  <si>
    <t>عایق کاری برادران شهابادی</t>
  </si>
  <si>
    <t>0013588</t>
  </si>
  <si>
    <t>مکانیکی علی پور</t>
  </si>
  <si>
    <t>0002061</t>
  </si>
  <si>
    <t>مهدی. محمدرضا. احمدرضا متحدان</t>
  </si>
  <si>
    <t>0006080</t>
  </si>
  <si>
    <t>شرکت بیمه کارآفرین</t>
  </si>
  <si>
    <t>0003388</t>
  </si>
  <si>
    <t>شفیعی مهدی</t>
  </si>
  <si>
    <t>0200206</t>
  </si>
  <si>
    <t>الکترومهتاب ( محبی- افشار)</t>
  </si>
  <si>
    <t>0003551</t>
  </si>
  <si>
    <t>علیرضا اسماعیل لو- کلینیک دامپزشکی آبادیس</t>
  </si>
  <si>
    <t>0003380</t>
  </si>
  <si>
    <t>محمد حسنی راد مهدی</t>
  </si>
  <si>
    <t>0200415</t>
  </si>
  <si>
    <t>شرکت آرمک بین الملل</t>
  </si>
  <si>
    <t>0003533</t>
  </si>
  <si>
    <t>تعمیرات تخصصی مبل و صندلی های اداری ریچیر ریچیر</t>
  </si>
  <si>
    <t>0013591</t>
  </si>
  <si>
    <t>فروشگاه و تعمیرگاه مرکزی امیران</t>
  </si>
  <si>
    <t>0200216</t>
  </si>
  <si>
    <t>فروشگاه پلاسکو پرهام پرنیا</t>
  </si>
  <si>
    <t>0003234</t>
  </si>
  <si>
    <t>قلیچ خانی عرفان</t>
  </si>
  <si>
    <t>0005880</t>
  </si>
  <si>
    <t>موسسه تحقیقاتی و آموزشی نور (توان)</t>
  </si>
  <si>
    <t>0013726</t>
  </si>
  <si>
    <t>عصر کیمیاگران کاوشگر</t>
  </si>
  <si>
    <t>0013519</t>
  </si>
  <si>
    <t>کارنو وزین سریر</t>
  </si>
  <si>
    <t>0013579</t>
  </si>
  <si>
    <t>دکو پارک</t>
  </si>
  <si>
    <t>0201004</t>
  </si>
  <si>
    <t>نایلون باستان پارس</t>
  </si>
  <si>
    <t>0004581</t>
  </si>
  <si>
    <t>کانون تبلیغاتی آریا لیزر(فرزاد وطنی)</t>
  </si>
  <si>
    <t>0006987</t>
  </si>
  <si>
    <t>شرکت تجاری حاج غلام احمدی (غلام احمدی)</t>
  </si>
  <si>
    <t>0006780</t>
  </si>
  <si>
    <t>فروشگاه پارس 3-سمانه ذاکرین</t>
  </si>
  <si>
    <t>0300512</t>
  </si>
  <si>
    <t>میدان میوه تره بار تهرانسر (غرفه 9)</t>
  </si>
  <si>
    <t>0013599</t>
  </si>
  <si>
    <t>دکوراسیون نوین</t>
  </si>
  <si>
    <t>0006734</t>
  </si>
  <si>
    <t>شرکت اوج بران صدر(مجتبی باشی)</t>
  </si>
  <si>
    <t>0013584</t>
  </si>
  <si>
    <t>تراشکاری و قطعه سازی نوید</t>
  </si>
  <si>
    <t>0005672</t>
  </si>
  <si>
    <t>شرکت داروسازی جابر ابن حیان</t>
  </si>
  <si>
    <t>0200724</t>
  </si>
  <si>
    <t>شرکت درنا درمان ایرانیان</t>
  </si>
  <si>
    <t>0004002</t>
  </si>
  <si>
    <t>سوما  غلامی</t>
  </si>
  <si>
    <t>0005885</t>
  </si>
  <si>
    <t>موسسه حسابرسی اطهر</t>
  </si>
  <si>
    <t>0005919</t>
  </si>
  <si>
    <t>شرکت کلر آب</t>
  </si>
  <si>
    <t>0300603</t>
  </si>
  <si>
    <t>موسسه فنی نسیم سازان مهر (نماینده شوفاژ کار)</t>
  </si>
  <si>
    <t>0006993</t>
  </si>
  <si>
    <t>مرکز منطقه ای کلکسیون قارچها و باکتریهای صنعتی ایر</t>
  </si>
  <si>
    <t>0004940</t>
  </si>
  <si>
    <t>شبرنگ مهر فر</t>
  </si>
  <si>
    <t>0300127</t>
  </si>
  <si>
    <t>خدمات فنی و برودتی فرجی</t>
  </si>
  <si>
    <t>0200871</t>
  </si>
  <si>
    <t>توان آوا- رضا کلاچیان لنگرودی</t>
  </si>
  <si>
    <t>0003310</t>
  </si>
  <si>
    <t>منا نوا خواه</t>
  </si>
  <si>
    <t>0013694</t>
  </si>
  <si>
    <t>بهسان تامین آیندگان</t>
  </si>
  <si>
    <t>0201035</t>
  </si>
  <si>
    <t>شیرهای ساختمانی و صنعتی ایران</t>
  </si>
  <si>
    <t>0006707</t>
  </si>
  <si>
    <t>پیمانکاری صالحی</t>
  </si>
  <si>
    <t>0003650</t>
  </si>
  <si>
    <t>تعمیرگاه مجاز انرژی</t>
  </si>
  <si>
    <t>0005924</t>
  </si>
  <si>
    <t>گروه کارخانجات ساران</t>
  </si>
  <si>
    <t>0004828</t>
  </si>
  <si>
    <t>چرم مشهد</t>
  </si>
  <si>
    <t>0005658</t>
  </si>
  <si>
    <t>شرکت داروسازی لقمان</t>
  </si>
  <si>
    <t>0013796</t>
  </si>
  <si>
    <t>تولید و پخش فلافل تپلی</t>
  </si>
  <si>
    <t>0001899</t>
  </si>
  <si>
    <t>حاتمی لیلا</t>
  </si>
  <si>
    <t>0013578</t>
  </si>
  <si>
    <t>هتل بستان</t>
  </si>
  <si>
    <t>0013480</t>
  </si>
  <si>
    <t>تعمیرگاه تخصصی نوین</t>
  </si>
  <si>
    <t>0004830</t>
  </si>
  <si>
    <t>پردازشگر رای آزما</t>
  </si>
  <si>
    <t>0006091</t>
  </si>
  <si>
    <t>شرکت پارس فراسو</t>
  </si>
  <si>
    <t>0006814</t>
  </si>
  <si>
    <t>صنایع ماشین سازی سالار تکنیک (نادر سالاروند )</t>
  </si>
  <si>
    <t>0004673</t>
  </si>
  <si>
    <t>شرکت ویرا ارتباط پارس پویا</t>
  </si>
  <si>
    <t>0006426</t>
  </si>
  <si>
    <t>شرکت کوثر فرآیند ایلیا</t>
  </si>
  <si>
    <t>0200061</t>
  </si>
  <si>
    <t>شرکت اریکه درنا</t>
  </si>
  <si>
    <t>0004522</t>
  </si>
  <si>
    <t>آیین چاپ تابان</t>
  </si>
  <si>
    <t>0200207</t>
  </si>
  <si>
    <t>خدمات کارواش دقت</t>
  </si>
  <si>
    <t>0006420</t>
  </si>
  <si>
    <t>شرکت شیمیایی تحقیقاتی رسوب آب پویا</t>
  </si>
  <si>
    <t>0200637</t>
  </si>
  <si>
    <t>شرکت ملی شیمی کشاورز</t>
  </si>
  <si>
    <t>0300148</t>
  </si>
  <si>
    <t>موسسه حسابرسی اطمینان بخش و همکاران</t>
  </si>
  <si>
    <t>0201083</t>
  </si>
  <si>
    <t>بهینه سنجش آزما</t>
  </si>
  <si>
    <t>0300582</t>
  </si>
  <si>
    <t>مجتمع آزمایشگاهی مهر آفرید سلامت</t>
  </si>
  <si>
    <t>0006708</t>
  </si>
  <si>
    <t>شرکت پایا ساخت و تولید میهن</t>
  </si>
  <si>
    <t>0006187</t>
  </si>
  <si>
    <t>خدمات فنی مهندسی جنرال الکتریک</t>
  </si>
  <si>
    <t>0300197</t>
  </si>
  <si>
    <t>مدرن شیمی گستر مانا</t>
  </si>
  <si>
    <t>0013597</t>
  </si>
  <si>
    <t>فروشگاه ناوک (تعمیرات تخصصی لپ تاپ و تبلت)</t>
  </si>
  <si>
    <t>0200452</t>
  </si>
  <si>
    <t>بهجو خزایی</t>
  </si>
  <si>
    <t>0300581</t>
  </si>
  <si>
    <t>لیان آزما تجارت پایدار</t>
  </si>
  <si>
    <t>0004561</t>
  </si>
  <si>
    <t>هادی واثقی(صنایع چوب و فلز واثقی)</t>
  </si>
  <si>
    <t>0006344</t>
  </si>
  <si>
    <t>شرکت ارج معراج ویرا ( حسین حسنگانی)</t>
  </si>
  <si>
    <t>0003824</t>
  </si>
  <si>
    <t>هاشم  رضائی (کارشناس رسمی دادگستری)</t>
  </si>
  <si>
    <t>0013655</t>
  </si>
  <si>
    <t>رهاب</t>
  </si>
  <si>
    <t>0013733</t>
  </si>
  <si>
    <t>آریا چاپگر ویونا</t>
  </si>
  <si>
    <t>0300162</t>
  </si>
  <si>
    <t>حمید شقاقی (موسسه فنی قلم)</t>
  </si>
  <si>
    <t>0006775</t>
  </si>
  <si>
    <t>شرکت ریحان طب نوفلاح</t>
  </si>
  <si>
    <t>0200674</t>
  </si>
  <si>
    <t>شرکت ایمن پرتو ایرانیان</t>
  </si>
  <si>
    <t>0006922</t>
  </si>
  <si>
    <t>آریا چیدمان پاسارگاد (امیر غفاری نیا )</t>
  </si>
  <si>
    <t>0006262</t>
  </si>
  <si>
    <t>محمد ذوالفقاری-داربست فلزی آریا شهر</t>
  </si>
  <si>
    <t>0201085</t>
  </si>
  <si>
    <t>شرکت لیماک فارمد</t>
  </si>
  <si>
    <t>0200936</t>
  </si>
  <si>
    <t>شرکت پاسارگاد تجارت سدید</t>
  </si>
  <si>
    <t>0006324</t>
  </si>
  <si>
    <t>پخش نمک ساحل-احمد رضا نصیری کتکی</t>
  </si>
  <si>
    <t>0006054</t>
  </si>
  <si>
    <t>شرکت سهلان نما</t>
  </si>
  <si>
    <t>0300486</t>
  </si>
  <si>
    <t>نیروانا اکسیر گستر پارس</t>
  </si>
  <si>
    <t>0004462</t>
  </si>
  <si>
    <t>شرکت گیاهان قائم دارو</t>
  </si>
  <si>
    <t>0300596</t>
  </si>
  <si>
    <t>شرکت فنی و مهندسی ایمن سپهر آرتا</t>
  </si>
  <si>
    <t>0300191</t>
  </si>
  <si>
    <t>سعید محمدی (خدمات مهندسی بتا)</t>
  </si>
  <si>
    <t>0200393</t>
  </si>
  <si>
    <t>آزمون صنعت سبز</t>
  </si>
  <si>
    <t>0006231</t>
  </si>
  <si>
    <t>شرکت فن آوری پیشرفته جهان</t>
  </si>
  <si>
    <t>0004686</t>
  </si>
  <si>
    <t>شرکت فنی مهندسی سایا ارتباط رایمند</t>
  </si>
  <si>
    <t>0200940</t>
  </si>
  <si>
    <t>محمود کلهر-چاپ و بسته بندی پویان پک</t>
  </si>
  <si>
    <t>0003623</t>
  </si>
  <si>
    <t>متفرقه</t>
  </si>
  <si>
    <t>0013572</t>
  </si>
  <si>
    <t>نگار گستر شیمی</t>
  </si>
  <si>
    <t>0003625</t>
  </si>
  <si>
    <t>مصطفی ممقانی(پخش مواد غذایی ممقانی)</t>
  </si>
  <si>
    <t>0300256</t>
  </si>
  <si>
    <t>تک پخت امیر پایتخت ( شهرام پور علی )</t>
  </si>
  <si>
    <t>0300580</t>
  </si>
  <si>
    <t>شرکت مبنا آنالیز</t>
  </si>
  <si>
    <t>0300251</t>
  </si>
  <si>
    <t>نعمت الله  نوری</t>
  </si>
  <si>
    <t>0004585</t>
  </si>
  <si>
    <t>روشن رای سپاهان</t>
  </si>
  <si>
    <t>0004208</t>
  </si>
  <si>
    <t>تاسیسات فنی اکبرزاده (حسین اکبر زاده)</t>
  </si>
  <si>
    <t>0300061</t>
  </si>
  <si>
    <t>فواد ایزد پناه-تعمیرات لیفتراک فواد</t>
  </si>
  <si>
    <t>0200057</t>
  </si>
  <si>
    <t>شرکت رادین استیل ایرانیان</t>
  </si>
  <si>
    <t>0006514</t>
  </si>
  <si>
    <t>دما تجهیز تهویه آرامش</t>
  </si>
  <si>
    <t>0200397</t>
  </si>
  <si>
    <t>انجمن پزشکان کودکان ایران</t>
  </si>
  <si>
    <t>0200429</t>
  </si>
  <si>
    <t>قطران شیمی تجهیز</t>
  </si>
  <si>
    <t>0200653</t>
  </si>
  <si>
    <t>دانش و درمان تبسم</t>
  </si>
  <si>
    <t>0006792</t>
  </si>
  <si>
    <t>زاگرس لیفتراک-محمد بزم آرا</t>
  </si>
  <si>
    <t>0004323</t>
  </si>
  <si>
    <t>شرکت پخش سها- هلال</t>
  </si>
  <si>
    <t>0004176</t>
  </si>
  <si>
    <t>شرکت کلرد آمل</t>
  </si>
  <si>
    <t>0013505</t>
  </si>
  <si>
    <t>پانل کاری خزایی</t>
  </si>
  <si>
    <t>0300553</t>
  </si>
  <si>
    <t>خدمات فنی و مهندسی پارت اروند(مهدی نجارزاده ها)</t>
  </si>
  <si>
    <t>0013793</t>
  </si>
  <si>
    <t>سامانه ایده پرداز پردیس-مقدسی</t>
  </si>
  <si>
    <t>0006290</t>
  </si>
  <si>
    <t>حسن برزگر ملکی-جرثقیل و تریلی ملکی</t>
  </si>
  <si>
    <t>0200746</t>
  </si>
  <si>
    <t>شرکت چاپگر برتر آویژه</t>
  </si>
  <si>
    <t>0200425</t>
  </si>
  <si>
    <t>شرکت فنی مهندسی راه انداز صنعت آسیا اندیش</t>
  </si>
  <si>
    <t>0004486</t>
  </si>
  <si>
    <t>شرکت صنایع مکمل سازی ستارگان نیک</t>
  </si>
  <si>
    <t>0005777</t>
  </si>
  <si>
    <t>سندیکای صاحبان صنایع داروهای انسانی ایران</t>
  </si>
  <si>
    <t>0300185</t>
  </si>
  <si>
    <t>راد زیست شیمی</t>
  </si>
  <si>
    <t>0006427</t>
  </si>
  <si>
    <t>شرکت مهندسی پرگارفن ( اروند)</t>
  </si>
  <si>
    <t>0200483</t>
  </si>
  <si>
    <t>بیمه دانا</t>
  </si>
  <si>
    <t>0300489</t>
  </si>
  <si>
    <t>توسعه مهندسی الماسواره دانش</t>
  </si>
  <si>
    <t>0300438</t>
  </si>
  <si>
    <t>ماشین های اداری پارسیان (سید علی مظفرزاده)</t>
  </si>
  <si>
    <t>0006429</t>
  </si>
  <si>
    <t>شرکت سما تجهیز شیمی آزما</t>
  </si>
  <si>
    <t>0200387</t>
  </si>
  <si>
    <t>شرکت مایان گستر شیمی دی</t>
  </si>
  <si>
    <t>0200815</t>
  </si>
  <si>
    <t>بهینه سازان فناوری گیتی</t>
  </si>
  <si>
    <t>0006035</t>
  </si>
  <si>
    <t>فرافن گاز تهران</t>
  </si>
  <si>
    <t>0300290</t>
  </si>
  <si>
    <t>ایمن پردازان محیط</t>
  </si>
  <si>
    <t>0006665</t>
  </si>
  <si>
    <t>شرکت فارماشین ایندیا</t>
  </si>
  <si>
    <t>0200334</t>
  </si>
  <si>
    <t>کار آورد تجارت پویا</t>
  </si>
  <si>
    <t>0004441</t>
  </si>
  <si>
    <t>شرکت فناوران دارویی حکیم</t>
  </si>
  <si>
    <t>0200642</t>
  </si>
  <si>
    <t>آزموده کاران تهویه کوشا</t>
  </si>
  <si>
    <t>0006497</t>
  </si>
  <si>
    <t>شرکت کیمیا زیست آزما</t>
  </si>
  <si>
    <t>0201064</t>
  </si>
  <si>
    <t>بانی کیمیا کالا</t>
  </si>
  <si>
    <t>0200136</t>
  </si>
  <si>
    <t>شرکت کیمیای ناب تجزیه</t>
  </si>
  <si>
    <t>0004039</t>
  </si>
  <si>
    <t>شرکت پدیده پارت</t>
  </si>
  <si>
    <t>0004063</t>
  </si>
  <si>
    <t>بهروز گلستانیان (چاپ گلستانیان)</t>
  </si>
  <si>
    <t>0300521</t>
  </si>
  <si>
    <t>پروتئین یاری (محمد آقایاری شوره دلی)</t>
  </si>
  <si>
    <t>0006367</t>
  </si>
  <si>
    <t>شرکت تولیدی و صنعتی نوید</t>
  </si>
  <si>
    <t>0006353</t>
  </si>
  <si>
    <t>شهرداری منطقه 21</t>
  </si>
  <si>
    <t>0006503</t>
  </si>
  <si>
    <t>شرکت گروه فنی مهندسی پارت دارو الوند</t>
  </si>
  <si>
    <t>0300412</t>
  </si>
  <si>
    <t>ناجیان حریق البرز (حجت قلی پور)</t>
  </si>
  <si>
    <t>0006086</t>
  </si>
  <si>
    <t>تولید و پخش برادران دودانگه</t>
  </si>
  <si>
    <t>0200161</t>
  </si>
  <si>
    <t>شرکت توزیع نیروی برق استان تهران</t>
  </si>
  <si>
    <t>0300590</t>
  </si>
  <si>
    <t>طب کار ایساتیس (سید محمود امامی میبدی )</t>
  </si>
  <si>
    <t>0300372</t>
  </si>
  <si>
    <t>شرکت وستا تجهیز رامان</t>
  </si>
  <si>
    <t>0004976</t>
  </si>
  <si>
    <t>Winning Trading (HK) CO LTD</t>
  </si>
  <si>
    <t>0200615</t>
  </si>
  <si>
    <t>منشور طب کوروش</t>
  </si>
  <si>
    <t>0004911</t>
  </si>
  <si>
    <t>تراشکاری مهدوی-حیدر مهدوی حاجی</t>
  </si>
  <si>
    <t>0300238</t>
  </si>
  <si>
    <t>دقت پویای نوین</t>
  </si>
  <si>
    <t>0004097</t>
  </si>
  <si>
    <t>شرکت داروسازان التیام</t>
  </si>
  <si>
    <t>0004056</t>
  </si>
  <si>
    <t>شرکت همکاران سیستم  البرز</t>
  </si>
  <si>
    <t>0013586</t>
  </si>
  <si>
    <t>فروشگاه پروتئین پایتخت- بهروز طهماسب نژاد</t>
  </si>
  <si>
    <t>0006133</t>
  </si>
  <si>
    <t>اتاق بازرگانی تهران</t>
  </si>
  <si>
    <t>0006584</t>
  </si>
  <si>
    <t>سیامک اکتائی(ماشین آلات صنعتی اکتائی)</t>
  </si>
  <si>
    <t>0300543</t>
  </si>
  <si>
    <t>برنج فروشی علی گلی</t>
  </si>
  <si>
    <t>0006889</t>
  </si>
  <si>
    <t>شرکت افشان نگار آریا</t>
  </si>
  <si>
    <t>0004617</t>
  </si>
  <si>
    <t>موسسه خیریه حضرت رقیه (ع)-آوای باران امید</t>
  </si>
  <si>
    <t>0006999</t>
  </si>
  <si>
    <t>دارائی</t>
  </si>
  <si>
    <t>0013548</t>
  </si>
  <si>
    <t>شرکت کیان سیر محمد</t>
  </si>
  <si>
    <t>جمع سایر</t>
  </si>
  <si>
    <t>جمع کل سایر  سایرح پرداختنی وح پرداختنی</t>
  </si>
  <si>
    <t>اسنادپرداختنی غیرتجاری</t>
  </si>
  <si>
    <t>0001870</t>
  </si>
  <si>
    <t>جاویدی محمد علی</t>
  </si>
  <si>
    <t>0003160</t>
  </si>
  <si>
    <t>جاویدی نرجس</t>
  </si>
  <si>
    <t>0001715</t>
  </si>
  <si>
    <t>جاویدی طاهره</t>
  </si>
  <si>
    <t>0001003</t>
  </si>
  <si>
    <t>جاویدی محمد مهدی</t>
  </si>
  <si>
    <t>0200181</t>
  </si>
  <si>
    <t>شرکت همکاران سیستم پناه تهران</t>
  </si>
  <si>
    <t>0006906</t>
  </si>
  <si>
    <t>گروه مشاورین پایدار راهکار هوشمند</t>
  </si>
  <si>
    <t>0003026</t>
  </si>
  <si>
    <t>ترحمی پیمان</t>
  </si>
  <si>
    <t>0003485</t>
  </si>
  <si>
    <t>علیرضا  صابری</t>
  </si>
  <si>
    <t>0003463</t>
  </si>
  <si>
    <t>میثم  امینی نیا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</si>
</sst>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b/>
      <i/>
      <sz val="12"/>
      <name val="B Badr"/>
      <charset val="178"/>
    </font>
    <font>
      <b/>
      <sz val="12"/>
      <name val="B Badr"/>
      <charset val="17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horizontal="right"/>
    </xf>
  </cellStyleXfs>
  <cellXfs count="59">
    <xf numFmtId="0" fontId="0" fillId="0" borderId="0" xfId="0">
      <alignment horizontal="right"/>
    </xf>
    <xf numFmtId="0" fontId="0" fillId="0" borderId="1" xfId="0" applyBorder="1">
      <alignment horizontal="right"/>
    </xf>
    <xf numFmtId="3" fontId="0" fillId="0" borderId="1" xfId="0" applyNumberFormat="1" applyBorder="1">
      <alignment horizontal="right"/>
    </xf>
    <xf numFmtId="3" fontId="0" fillId="0" borderId="0" xfId="0" applyNumberFormat="1">
      <alignment horizontal="right"/>
    </xf>
    <xf numFmtId="0" fontId="3" fillId="2" borderId="1" xfId="0" applyFont="1" applyFill="1" applyBorder="1" applyAlignment="1">
      <alignment horizontal="center" vertical="center" readingOrder="2"/>
    </xf>
    <xf numFmtId="0" fontId="3" fillId="0" borderId="1" xfId="0" applyFont="1" applyBorder="1" applyAlignment="1">
      <alignment horizontal="center" vertical="center" readingOrder="2"/>
    </xf>
    <xf numFmtId="0" fontId="3" fillId="0" borderId="0" xfId="0" applyFont="1" applyAlignment="1">
      <alignment horizontal="center" vertical="center" readingOrder="2"/>
    </xf>
    <xf numFmtId="0" fontId="3" fillId="2" borderId="1" xfId="0" applyNumberFormat="1" applyFont="1" applyFill="1" applyBorder="1" applyAlignment="1">
      <alignment horizontal="center" vertical="center" readingOrder="2"/>
    </xf>
    <xf numFmtId="3" fontId="3" fillId="2" borderId="1" xfId="0" applyNumberFormat="1" applyFont="1" applyFill="1" applyBorder="1" applyAlignment="1">
      <alignment horizontal="center" vertical="center" shrinkToFit="1" readingOrder="2"/>
    </xf>
    <xf numFmtId="3" fontId="3" fillId="0" borderId="1" xfId="0" applyNumberFormat="1" applyFont="1" applyBorder="1" applyAlignment="1">
      <alignment horizontal="center" vertical="center" shrinkToFit="1" readingOrder="2"/>
    </xf>
    <xf numFmtId="3" fontId="3" fillId="0" borderId="0" xfId="0" applyNumberFormat="1" applyFont="1" applyAlignment="1">
      <alignment horizontal="center" vertical="center" shrinkToFit="1" readingOrder="2"/>
    </xf>
    <xf numFmtId="0" fontId="3" fillId="2" borderId="1" xfId="0" applyFont="1" applyFill="1" applyBorder="1" applyAlignment="1">
      <alignment horizontal="center" vertical="center" shrinkToFit="1" readingOrder="2"/>
    </xf>
    <xf numFmtId="0" fontId="3" fillId="0" borderId="1" xfId="0" applyFont="1" applyBorder="1" applyAlignment="1">
      <alignment horizontal="center" vertical="center" shrinkToFit="1" readingOrder="2"/>
    </xf>
    <xf numFmtId="0" fontId="4" fillId="2" borderId="1" xfId="0" applyFont="1" applyFill="1" applyBorder="1" applyAlignment="1">
      <alignment horizontal="center" vertical="center" shrinkToFit="1" readingOrder="2"/>
    </xf>
    <xf numFmtId="0" fontId="4" fillId="0" borderId="1" xfId="0" applyFont="1" applyBorder="1" applyAlignment="1">
      <alignment horizontal="center" vertical="center" shrinkToFit="1" readingOrder="2"/>
    </xf>
    <xf numFmtId="0" fontId="4" fillId="0" borderId="0" xfId="0" applyFont="1" applyAlignment="1">
      <alignment horizontal="center" vertical="center" shrinkToFit="1" readingOrder="2"/>
    </xf>
    <xf numFmtId="0" fontId="3" fillId="0" borderId="0" xfId="0" applyFont="1" applyAlignment="1">
      <alignment horizontal="center" vertical="center" shrinkToFit="1" readingOrder="2"/>
    </xf>
    <xf numFmtId="3" fontId="3" fillId="0" borderId="4" xfId="0" applyNumberFormat="1" applyFont="1" applyFill="1" applyBorder="1" applyAlignment="1">
      <alignment horizontal="center" vertical="center" shrinkToFit="1" readingOrder="2"/>
    </xf>
    <xf numFmtId="0" fontId="3" fillId="0" borderId="3" xfId="0" applyFont="1" applyBorder="1" applyAlignment="1">
      <alignment horizontal="center" vertical="center" shrinkToFit="1" readingOrder="2"/>
    </xf>
    <xf numFmtId="3" fontId="3" fillId="2" borderId="1" xfId="0" applyNumberFormat="1" applyFont="1" applyFill="1" applyBorder="1" applyAlignment="1">
      <alignment horizontal="center" vertical="center" readingOrder="1"/>
    </xf>
    <xf numFmtId="3" fontId="3" fillId="0" borderId="1" xfId="0" applyNumberFormat="1" applyFont="1" applyBorder="1" applyAlignment="1">
      <alignment horizontal="center" vertical="center" readingOrder="1"/>
    </xf>
    <xf numFmtId="3" fontId="3" fillId="0" borderId="0" xfId="0" applyNumberFormat="1" applyFont="1" applyAlignment="1">
      <alignment horizontal="center" vertical="center" readingOrder="1"/>
    </xf>
    <xf numFmtId="0" fontId="3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2"/>
    </xf>
    <xf numFmtId="3" fontId="3" fillId="3" borderId="1" xfId="0" applyNumberFormat="1" applyFont="1" applyFill="1" applyBorder="1" applyAlignment="1">
      <alignment horizontal="center" vertical="center" shrinkToFit="1" readingOrder="2"/>
    </xf>
    <xf numFmtId="3" fontId="3" fillId="3" borderId="1" xfId="0" applyNumberFormat="1" applyFont="1" applyFill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2"/>
    </xf>
    <xf numFmtId="0" fontId="3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right" readingOrder="1"/>
    </xf>
    <xf numFmtId="0" fontId="3" fillId="3" borderId="1" xfId="0" applyFont="1" applyFill="1" applyBorder="1" applyAlignment="1">
      <alignment horizontal="center" vertical="center" shrinkToFit="1" readingOrder="2"/>
    </xf>
    <xf numFmtId="0" fontId="3" fillId="4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readingOrder="1"/>
    </xf>
    <xf numFmtId="3" fontId="4" fillId="0" borderId="1" xfId="0" applyNumberFormat="1" applyFont="1" applyBorder="1" applyAlignment="1">
      <alignment horizontal="center" vertical="center" readingOrder="1"/>
    </xf>
    <xf numFmtId="3" fontId="4" fillId="0" borderId="0" xfId="0" applyNumberFormat="1" applyFont="1" applyAlignment="1">
      <alignment horizontal="center" vertical="center" readingOrder="1"/>
    </xf>
    <xf numFmtId="0" fontId="3" fillId="5" borderId="0" xfId="0" applyFont="1" applyFill="1" applyAlignment="1">
      <alignment horizontal="left" vertical="center" readingOrder="2"/>
    </xf>
    <xf numFmtId="3" fontId="3" fillId="5" borderId="0" xfId="0" applyNumberFormat="1" applyFont="1" applyFill="1" applyAlignment="1">
      <alignment horizontal="center" vertical="center" readingOrder="1"/>
    </xf>
    <xf numFmtId="0" fontId="3" fillId="5" borderId="0" xfId="0" applyFont="1" applyFill="1" applyBorder="1" applyAlignment="1">
      <alignment horizontal="left" vertical="center" readingOrder="2"/>
    </xf>
    <xf numFmtId="3" fontId="3" fillId="5" borderId="0" xfId="0" applyNumberFormat="1" applyFont="1" applyFill="1" applyAlignment="1">
      <alignment horizontal="center" vertical="center" shrinkToFit="1" readingOrder="2"/>
    </xf>
    <xf numFmtId="3" fontId="3" fillId="5" borderId="0" xfId="0" applyNumberFormat="1" applyFont="1" applyFill="1" applyAlignment="1">
      <alignment horizontal="left" vertical="center" shrinkToFit="1" readingOrder="2"/>
    </xf>
    <xf numFmtId="0" fontId="4" fillId="3" borderId="1" xfId="0" applyFont="1" applyFill="1" applyBorder="1" applyAlignment="1">
      <alignment horizontal="center" vertical="center" shrinkToFit="1" readingOrder="2"/>
    </xf>
    <xf numFmtId="3" fontId="4" fillId="3" borderId="1" xfId="0" applyNumberFormat="1" applyFont="1" applyFill="1" applyBorder="1" applyAlignment="1">
      <alignment horizontal="center" vertical="center" readingOrder="1"/>
    </xf>
    <xf numFmtId="3" fontId="4" fillId="5" borderId="0" xfId="0" applyNumberFormat="1" applyFont="1" applyFill="1" applyAlignment="1">
      <alignment horizontal="center" vertical="center" readingOrder="1"/>
    </xf>
    <xf numFmtId="0" fontId="4" fillId="5" borderId="0" xfId="0" applyFont="1" applyFill="1" applyAlignment="1">
      <alignment horizontal="left" vertical="center" shrinkToFit="1" readingOrder="2"/>
    </xf>
    <xf numFmtId="0" fontId="2" fillId="5" borderId="0" xfId="0" applyFont="1" applyFill="1">
      <alignment horizontal="right"/>
    </xf>
    <xf numFmtId="3" fontId="0" fillId="5" borderId="0" xfId="0" applyNumberFormat="1" applyFill="1">
      <alignment horizontal="right"/>
    </xf>
    <xf numFmtId="0" fontId="7" fillId="2" borderId="1" xfId="0" applyFont="1" applyFill="1" applyBorder="1">
      <alignment horizontal="right"/>
    </xf>
    <xf numFmtId="3" fontId="3" fillId="6" borderId="1" xfId="0" applyNumberFormat="1" applyFont="1" applyFill="1" applyBorder="1" applyAlignment="1">
      <alignment horizontal="center" vertical="center" readingOrder="1"/>
    </xf>
    <xf numFmtId="3" fontId="3" fillId="4" borderId="1" xfId="0" applyNumberFormat="1" applyFont="1" applyFill="1" applyBorder="1" applyAlignment="1">
      <alignment horizontal="center" vertical="center" readingOrder="1"/>
    </xf>
    <xf numFmtId="0" fontId="3" fillId="6" borderId="0" xfId="0" applyFont="1" applyFill="1" applyBorder="1" applyAlignment="1">
      <alignment horizontal="center" vertical="center" shrinkToFit="1" readingOrder="2"/>
    </xf>
    <xf numFmtId="3" fontId="1" fillId="6" borderId="0" xfId="0" applyNumberFormat="1" applyFont="1" applyFill="1" applyAlignment="1">
      <alignment horizontal="right" readingOrder="1"/>
    </xf>
    <xf numFmtId="0" fontId="3" fillId="0" borderId="2" xfId="0" applyFont="1" applyBorder="1" applyAlignment="1">
      <alignment horizontal="center" vertical="center" shrinkToFit="1" readingOrder="2"/>
    </xf>
    <xf numFmtId="3" fontId="3" fillId="0" borderId="2" xfId="0" applyNumberFormat="1" applyFont="1" applyBorder="1" applyAlignment="1">
      <alignment horizontal="center" vertical="center" shrinkToFit="1" readingOrder="2"/>
    </xf>
    <xf numFmtId="0" fontId="3" fillId="0" borderId="2" xfId="0" applyFont="1" applyBorder="1" applyAlignment="1">
      <alignment horizontal="center" vertical="center" readingOrder="2"/>
    </xf>
    <xf numFmtId="0" fontId="0" fillId="0" borderId="2" xfId="0" applyBorder="1" applyAlignment="1">
      <alignment horizontal="center"/>
    </xf>
    <xf numFmtId="0" fontId="2" fillId="5" borderId="0" xfId="0" applyFont="1" applyFill="1" applyAlignment="1">
      <alignment horizontal="center" vertical="center" wrapText="1" readingOrder="2"/>
    </xf>
    <xf numFmtId="3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4" fillId="0" borderId="2" xfId="0" applyFont="1" applyBorder="1" applyAlignment="1">
      <alignment horizontal="center" vertical="center" shrinkToFi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7"/>
  <sheetViews>
    <sheetView rightToLeft="1" tabSelected="1" topLeftCell="A46" zoomScale="89" zoomScaleNormal="89" workbookViewId="0">
      <selection activeCell="G3" sqref="G3"/>
    </sheetView>
  </sheetViews>
  <sheetFormatPr defaultRowHeight="15.75" customHeight="1" x14ac:dyDescent="0.2"/>
  <cols>
    <col min="1" max="1" width="10.7109375" customWidth="1"/>
    <col min="2" max="2" width="47.42578125" bestFit="1" customWidth="1"/>
    <col min="3" max="3" width="15.28515625" style="29" customWidth="1"/>
    <col min="4" max="4" width="5.28515625" customWidth="1"/>
    <col min="5" max="5" width="8.85546875" bestFit="1" customWidth="1"/>
    <col min="6" max="6" width="31.140625" customWidth="1"/>
    <col min="7" max="7" width="16.42578125" style="23" customWidth="1"/>
    <col min="8" max="8" width="4" customWidth="1"/>
    <col min="9" max="9" width="8.85546875" bestFit="1" customWidth="1"/>
    <col min="10" max="10" width="33.140625" customWidth="1"/>
    <col min="11" max="11" width="18" style="29" customWidth="1"/>
    <col min="13" max="13" width="12.42578125" customWidth="1"/>
    <col min="14" max="14" width="29.42578125" bestFit="1" customWidth="1"/>
    <col min="15" max="15" width="16.7109375" bestFit="1" customWidth="1"/>
  </cols>
  <sheetData>
    <row r="1" spans="1:15" ht="15.75" customHeight="1" x14ac:dyDescent="0.2">
      <c r="A1" s="53" t="s">
        <v>59</v>
      </c>
      <c r="B1" s="53"/>
      <c r="C1" s="53"/>
      <c r="E1" s="52" t="s">
        <v>125</v>
      </c>
      <c r="F1" s="52"/>
      <c r="G1" s="52"/>
      <c r="I1" s="58" t="s">
        <v>240</v>
      </c>
      <c r="J1" s="58"/>
      <c r="K1" s="58"/>
    </row>
    <row r="2" spans="1:15" ht="15.75" customHeight="1" x14ac:dyDescent="0.2">
      <c r="A2" s="7" t="s">
        <v>56</v>
      </c>
      <c r="B2" s="7" t="s">
        <v>57</v>
      </c>
      <c r="C2" s="28" t="s">
        <v>58</v>
      </c>
      <c r="E2" s="8" t="s">
        <v>56</v>
      </c>
      <c r="F2" s="8" t="s">
        <v>57</v>
      </c>
      <c r="G2" s="19" t="s">
        <v>126</v>
      </c>
      <c r="I2" s="13" t="s">
        <v>56</v>
      </c>
      <c r="J2" s="13" t="s">
        <v>57</v>
      </c>
      <c r="K2" s="32" t="s">
        <v>126</v>
      </c>
    </row>
    <row r="3" spans="1:15" ht="15.75" customHeight="1" x14ac:dyDescent="0.2">
      <c r="A3" s="24" t="s">
        <v>0</v>
      </c>
      <c r="B3" s="24" t="s">
        <v>1</v>
      </c>
      <c r="C3" s="26">
        <v>0</v>
      </c>
      <c r="D3">
        <v>1</v>
      </c>
      <c r="E3" s="25" t="s">
        <v>0</v>
      </c>
      <c r="F3" s="25" t="s">
        <v>1</v>
      </c>
      <c r="G3" s="26">
        <f>52470000000-48471630310</f>
        <v>3998369690</v>
      </c>
      <c r="H3" s="17">
        <v>1</v>
      </c>
      <c r="I3" s="40" t="s">
        <v>251</v>
      </c>
      <c r="J3" s="40" t="s">
        <v>252</v>
      </c>
      <c r="K3" s="41">
        <f>1352262431-1352262431</f>
        <v>0</v>
      </c>
    </row>
    <row r="4" spans="1:15" ht="15.75" customHeight="1" x14ac:dyDescent="0.2">
      <c r="A4" s="24" t="s">
        <v>2</v>
      </c>
      <c r="B4" s="24" t="s">
        <v>3</v>
      </c>
      <c r="C4" s="26">
        <f>9163200000-8325351</f>
        <v>9154874649</v>
      </c>
      <c r="D4">
        <v>2</v>
      </c>
      <c r="E4" s="9" t="s">
        <v>167</v>
      </c>
      <c r="F4" s="9" t="s">
        <v>168</v>
      </c>
      <c r="G4" s="20">
        <v>780280000</v>
      </c>
      <c r="I4" s="14" t="s">
        <v>241</v>
      </c>
      <c r="J4" s="14" t="s">
        <v>242</v>
      </c>
      <c r="K4" s="33">
        <v>1227</v>
      </c>
    </row>
    <row r="5" spans="1:15" ht="15.75" customHeight="1" x14ac:dyDescent="0.2">
      <c r="A5" s="24" t="s">
        <v>4</v>
      </c>
      <c r="B5" s="24" t="s">
        <v>5</v>
      </c>
      <c r="C5" s="26">
        <f>4658716650-2469640000</f>
        <v>2189076650</v>
      </c>
      <c r="D5">
        <v>3</v>
      </c>
      <c r="E5" s="25" t="s">
        <v>2</v>
      </c>
      <c r="F5" s="25" t="s">
        <v>3</v>
      </c>
      <c r="G5" s="26">
        <v>0</v>
      </c>
      <c r="H5">
        <v>2</v>
      </c>
      <c r="I5" s="14" t="s">
        <v>247</v>
      </c>
      <c r="J5" s="14" t="s">
        <v>248</v>
      </c>
      <c r="K5" s="33">
        <v>14742495</v>
      </c>
    </row>
    <row r="6" spans="1:15" ht="15.75" customHeight="1" x14ac:dyDescent="0.2">
      <c r="A6" s="24" t="s">
        <v>6</v>
      </c>
      <c r="B6" s="24" t="s">
        <v>7</v>
      </c>
      <c r="C6" s="26">
        <f>2618000000-37125000</f>
        <v>2580875000</v>
      </c>
      <c r="D6">
        <v>4</v>
      </c>
      <c r="E6" s="9" t="s">
        <v>181</v>
      </c>
      <c r="F6" s="9" t="s">
        <v>182</v>
      </c>
      <c r="G6" s="20">
        <v>64261118840</v>
      </c>
      <c r="I6" s="40" t="s">
        <v>249</v>
      </c>
      <c r="J6" s="40" t="s">
        <v>250</v>
      </c>
      <c r="K6" s="41">
        <f>1319171582-1174995640</f>
        <v>144175942</v>
      </c>
    </row>
    <row r="7" spans="1:15" ht="15.75" customHeight="1" x14ac:dyDescent="0.2">
      <c r="A7" s="24" t="s">
        <v>8</v>
      </c>
      <c r="B7" s="24" t="s">
        <v>9</v>
      </c>
      <c r="C7" s="26">
        <f>377400000-1440000</f>
        <v>375960000</v>
      </c>
      <c r="D7">
        <v>5</v>
      </c>
      <c r="E7" s="25" t="s">
        <v>4</v>
      </c>
      <c r="F7" s="25" t="s">
        <v>5</v>
      </c>
      <c r="G7" s="26">
        <v>0</v>
      </c>
      <c r="H7">
        <v>3</v>
      </c>
      <c r="I7" s="14" t="s">
        <v>255</v>
      </c>
      <c r="J7" s="14" t="s">
        <v>256</v>
      </c>
      <c r="K7" s="33">
        <v>5554884010</v>
      </c>
    </row>
    <row r="8" spans="1:15" ht="15.75" customHeight="1" x14ac:dyDescent="0.2">
      <c r="A8" s="5" t="s">
        <v>10</v>
      </c>
      <c r="B8" s="5" t="s">
        <v>11</v>
      </c>
      <c r="C8" s="26">
        <v>27787128</v>
      </c>
      <c r="E8" s="9" t="s">
        <v>173</v>
      </c>
      <c r="F8" s="9" t="s">
        <v>174</v>
      </c>
      <c r="G8" s="20">
        <v>1171643378</v>
      </c>
      <c r="I8" s="40" t="s">
        <v>253</v>
      </c>
      <c r="J8" s="40" t="s">
        <v>254</v>
      </c>
      <c r="K8" s="41">
        <f>4558705980-3968640000</f>
        <v>590065980</v>
      </c>
      <c r="M8" s="55" t="s">
        <v>793</v>
      </c>
    </row>
    <row r="9" spans="1:15" ht="15.75" customHeight="1" x14ac:dyDescent="0.2">
      <c r="A9" s="24" t="s">
        <v>12</v>
      </c>
      <c r="B9" s="24" t="s">
        <v>13</v>
      </c>
      <c r="C9" s="26">
        <v>0</v>
      </c>
      <c r="D9">
        <v>6</v>
      </c>
      <c r="E9" s="25" t="s">
        <v>6</v>
      </c>
      <c r="F9" s="25" t="s">
        <v>7</v>
      </c>
      <c r="G9" s="26">
        <v>0</v>
      </c>
      <c r="H9">
        <v>4</v>
      </c>
      <c r="I9" s="14" t="s">
        <v>243</v>
      </c>
      <c r="J9" s="14" t="s">
        <v>244</v>
      </c>
      <c r="K9" s="33">
        <v>1213101</v>
      </c>
      <c r="M9" s="55"/>
    </row>
    <row r="10" spans="1:15" ht="15.75" customHeight="1" x14ac:dyDescent="0.2">
      <c r="A10" s="5" t="s">
        <v>14</v>
      </c>
      <c r="B10" s="5" t="s">
        <v>15</v>
      </c>
      <c r="C10" s="26">
        <v>1634934088</v>
      </c>
      <c r="E10" s="9" t="s">
        <v>169</v>
      </c>
      <c r="F10" s="9" t="s">
        <v>170</v>
      </c>
      <c r="G10" s="20">
        <v>783750000</v>
      </c>
      <c r="I10" s="14" t="s">
        <v>257</v>
      </c>
      <c r="J10" s="14" t="s">
        <v>258</v>
      </c>
      <c r="K10" s="33">
        <v>98496827338</v>
      </c>
      <c r="M10" s="55"/>
      <c r="N10" s="56">
        <f>K13+G41+G80</f>
        <v>7436844624</v>
      </c>
      <c r="O10" s="57"/>
    </row>
    <row r="11" spans="1:15" ht="15.75" customHeight="1" x14ac:dyDescent="0.2">
      <c r="A11" s="24" t="s">
        <v>16</v>
      </c>
      <c r="B11" s="24" t="s">
        <v>17</v>
      </c>
      <c r="C11" s="26">
        <f>1890000000-3</f>
        <v>1889999997</v>
      </c>
      <c r="D11">
        <v>7</v>
      </c>
      <c r="E11" s="25" t="s">
        <v>8</v>
      </c>
      <c r="F11" s="25" t="s">
        <v>9</v>
      </c>
      <c r="G11" s="26">
        <v>0</v>
      </c>
      <c r="H11">
        <v>5</v>
      </c>
      <c r="I11" s="14" t="s">
        <v>245</v>
      </c>
      <c r="J11" s="14" t="s">
        <v>246</v>
      </c>
      <c r="K11" s="33">
        <v>3749600</v>
      </c>
      <c r="M11" s="55"/>
    </row>
    <row r="12" spans="1:15" ht="15.75" customHeight="1" x14ac:dyDescent="0.2">
      <c r="A12" s="5" t="s">
        <v>18</v>
      </c>
      <c r="B12" s="5" t="s">
        <v>19</v>
      </c>
      <c r="C12" s="26">
        <v>1252000000</v>
      </c>
      <c r="E12" s="9" t="s">
        <v>143</v>
      </c>
      <c r="F12" s="9" t="s">
        <v>144</v>
      </c>
      <c r="G12" s="20">
        <v>17805150</v>
      </c>
      <c r="I12" s="15"/>
      <c r="J12" s="15"/>
      <c r="K12" s="34">
        <f>SUM(K3:K11)</f>
        <v>104805659693</v>
      </c>
      <c r="M12" s="55"/>
    </row>
    <row r="13" spans="1:15" ht="15.75" customHeight="1" x14ac:dyDescent="0.2">
      <c r="A13" s="5" t="s">
        <v>20</v>
      </c>
      <c r="B13" s="5" t="s">
        <v>21</v>
      </c>
      <c r="C13" s="26">
        <v>60940000</v>
      </c>
      <c r="E13" s="9" t="s">
        <v>133</v>
      </c>
      <c r="F13" s="9" t="s">
        <v>134</v>
      </c>
      <c r="G13" s="20">
        <v>875800</v>
      </c>
      <c r="I13" s="15"/>
      <c r="J13" s="43" t="s">
        <v>792</v>
      </c>
      <c r="K13" s="42">
        <f>K11+K9+K7+K6+K5+K4</f>
        <v>5718766375</v>
      </c>
    </row>
    <row r="14" spans="1:15" ht="15.75" customHeight="1" x14ac:dyDescent="0.2">
      <c r="A14" s="5" t="s">
        <v>22</v>
      </c>
      <c r="B14" s="5" t="s">
        <v>23</v>
      </c>
      <c r="C14" s="26">
        <v>4618875000</v>
      </c>
      <c r="E14" s="9" t="s">
        <v>149</v>
      </c>
      <c r="F14" s="9" t="s">
        <v>150</v>
      </c>
      <c r="G14" s="20">
        <v>48000000</v>
      </c>
      <c r="I14" s="51" t="s">
        <v>259</v>
      </c>
      <c r="J14" s="51"/>
      <c r="K14" s="51"/>
    </row>
    <row r="15" spans="1:15" ht="15.75" customHeight="1" x14ac:dyDescent="0.2">
      <c r="A15" s="24" t="s">
        <v>24</v>
      </c>
      <c r="B15" s="24" t="s">
        <v>25</v>
      </c>
      <c r="C15" s="26">
        <f>337129514-157532360</f>
        <v>179597154</v>
      </c>
      <c r="D15">
        <v>8</v>
      </c>
      <c r="E15" s="25" t="s">
        <v>12</v>
      </c>
      <c r="F15" s="25" t="s">
        <v>13</v>
      </c>
      <c r="G15" s="26">
        <f>774253000-147675000</f>
        <v>626578000</v>
      </c>
      <c r="H15">
        <v>6</v>
      </c>
      <c r="I15" s="11" t="s">
        <v>56</v>
      </c>
      <c r="J15" s="11" t="s">
        <v>57</v>
      </c>
      <c r="K15" s="22" t="s">
        <v>126</v>
      </c>
      <c r="M15" s="54" t="s">
        <v>794</v>
      </c>
      <c r="N15" s="54"/>
      <c r="O15" s="54"/>
    </row>
    <row r="16" spans="1:15" ht="15.75" customHeight="1" x14ac:dyDescent="0.2">
      <c r="A16" s="5" t="s">
        <v>26</v>
      </c>
      <c r="B16" s="5" t="s">
        <v>27</v>
      </c>
      <c r="C16" s="26">
        <v>2051500000</v>
      </c>
      <c r="E16" s="9" t="s">
        <v>165</v>
      </c>
      <c r="F16" s="9" t="s">
        <v>166</v>
      </c>
      <c r="G16" s="20">
        <v>743109581</v>
      </c>
      <c r="I16" s="12" t="s">
        <v>790</v>
      </c>
      <c r="J16" s="12" t="s">
        <v>791</v>
      </c>
      <c r="K16" s="20">
        <v>49418465000</v>
      </c>
      <c r="M16" s="46" t="s">
        <v>56</v>
      </c>
      <c r="N16" s="46" t="s">
        <v>57</v>
      </c>
      <c r="O16" s="46" t="s">
        <v>126</v>
      </c>
    </row>
    <row r="17" spans="1:15" ht="15.75" customHeight="1" x14ac:dyDescent="0.2">
      <c r="A17" s="5" t="s">
        <v>28</v>
      </c>
      <c r="B17" s="5" t="s">
        <v>29</v>
      </c>
      <c r="C17" s="26">
        <v>2871000000</v>
      </c>
      <c r="E17" s="9" t="s">
        <v>129</v>
      </c>
      <c r="F17" s="9" t="s">
        <v>130</v>
      </c>
      <c r="G17" s="20">
        <v>5000</v>
      </c>
      <c r="I17" s="12" t="s">
        <v>788</v>
      </c>
      <c r="J17" s="12" t="s">
        <v>789</v>
      </c>
      <c r="K17" s="20">
        <v>22767690107</v>
      </c>
      <c r="M17" s="1" t="s">
        <v>788</v>
      </c>
      <c r="N17" s="1" t="s">
        <v>789</v>
      </c>
      <c r="O17" s="2">
        <v>49743020209</v>
      </c>
    </row>
    <row r="18" spans="1:15" ht="15.75" customHeight="1" x14ac:dyDescent="0.2">
      <c r="A18" s="5" t="s">
        <v>30</v>
      </c>
      <c r="B18" s="5" t="s">
        <v>31</v>
      </c>
      <c r="C18" s="26">
        <v>169326000</v>
      </c>
      <c r="E18" s="25" t="s">
        <v>16</v>
      </c>
      <c r="F18" s="25" t="s">
        <v>17</v>
      </c>
      <c r="G18" s="26">
        <v>0</v>
      </c>
      <c r="H18">
        <v>7</v>
      </c>
      <c r="I18" s="12" t="s">
        <v>786</v>
      </c>
      <c r="J18" s="12" t="s">
        <v>787</v>
      </c>
      <c r="K18" s="20">
        <v>11250000000</v>
      </c>
      <c r="M18" s="1" t="s">
        <v>122</v>
      </c>
      <c r="N18" s="1" t="s">
        <v>123</v>
      </c>
      <c r="O18" s="2">
        <v>12680000000</v>
      </c>
    </row>
    <row r="19" spans="1:15" ht="15.75" customHeight="1" x14ac:dyDescent="0.2">
      <c r="A19" s="5" t="s">
        <v>32</v>
      </c>
      <c r="B19" s="5" t="s">
        <v>33</v>
      </c>
      <c r="C19" s="26">
        <v>1081900000</v>
      </c>
      <c r="E19" s="9" t="s">
        <v>141</v>
      </c>
      <c r="F19" s="9" t="s">
        <v>142</v>
      </c>
      <c r="G19" s="20">
        <v>14715000</v>
      </c>
      <c r="I19" s="12" t="s">
        <v>784</v>
      </c>
      <c r="J19" s="12" t="s">
        <v>785</v>
      </c>
      <c r="K19" s="20">
        <v>6626850000</v>
      </c>
      <c r="M19" s="1" t="s">
        <v>106</v>
      </c>
      <c r="N19" s="1" t="s">
        <v>107</v>
      </c>
      <c r="O19" s="2">
        <v>838200000</v>
      </c>
    </row>
    <row r="20" spans="1:15" ht="15.75" customHeight="1" x14ac:dyDescent="0.2">
      <c r="A20" s="5" t="s">
        <v>34</v>
      </c>
      <c r="B20" s="24" t="s">
        <v>35</v>
      </c>
      <c r="C20" s="26">
        <f>853840000-40000000</f>
        <v>813840000</v>
      </c>
      <c r="D20">
        <v>9</v>
      </c>
      <c r="E20" s="9" t="s">
        <v>179</v>
      </c>
      <c r="F20" s="9" t="s">
        <v>180</v>
      </c>
      <c r="G20" s="20">
        <v>8324250000</v>
      </c>
      <c r="I20" s="12" t="s">
        <v>782</v>
      </c>
      <c r="J20" s="12" t="s">
        <v>783</v>
      </c>
      <c r="K20" s="20">
        <v>5605600000</v>
      </c>
      <c r="M20" s="1" t="s">
        <v>795</v>
      </c>
      <c r="N20" s="1" t="s">
        <v>796</v>
      </c>
      <c r="O20" s="2">
        <v>785365644</v>
      </c>
    </row>
    <row r="21" spans="1:15" ht="15.75" customHeight="1" x14ac:dyDescent="0.2">
      <c r="A21" s="5" t="s">
        <v>36</v>
      </c>
      <c r="B21" s="5" t="s">
        <v>37</v>
      </c>
      <c r="C21" s="26">
        <v>38422500</v>
      </c>
      <c r="E21" s="25" t="s">
        <v>24</v>
      </c>
      <c r="F21" s="25" t="s">
        <v>25</v>
      </c>
      <c r="G21" s="26">
        <v>0</v>
      </c>
      <c r="H21">
        <v>8</v>
      </c>
      <c r="I21" s="12" t="s">
        <v>780</v>
      </c>
      <c r="J21" s="12" t="s">
        <v>781</v>
      </c>
      <c r="K21" s="20">
        <v>5271500000</v>
      </c>
      <c r="M21" s="1" t="s">
        <v>797</v>
      </c>
      <c r="N21" s="1" t="s">
        <v>798</v>
      </c>
      <c r="O21" s="2">
        <v>741734216</v>
      </c>
    </row>
    <row r="22" spans="1:15" ht="15.75" customHeight="1" x14ac:dyDescent="0.2">
      <c r="A22" s="5" t="s">
        <v>38</v>
      </c>
      <c r="B22" s="5" t="s">
        <v>39</v>
      </c>
      <c r="C22" s="26">
        <v>1190543970</v>
      </c>
      <c r="E22" s="9" t="s">
        <v>163</v>
      </c>
      <c r="F22" s="9" t="s">
        <v>164</v>
      </c>
      <c r="G22" s="20">
        <v>534600000</v>
      </c>
      <c r="I22" s="12" t="s">
        <v>778</v>
      </c>
      <c r="J22" s="12" t="s">
        <v>779</v>
      </c>
      <c r="K22" s="20">
        <v>4563773969</v>
      </c>
      <c r="M22" s="1" t="s">
        <v>799</v>
      </c>
      <c r="N22" s="1" t="s">
        <v>800</v>
      </c>
      <c r="O22" s="2">
        <v>741734216</v>
      </c>
    </row>
    <row r="23" spans="1:15" ht="15.75" customHeight="1" x14ac:dyDescent="0.2">
      <c r="A23" s="5" t="s">
        <v>40</v>
      </c>
      <c r="B23" s="5" t="s">
        <v>41</v>
      </c>
      <c r="C23" s="26">
        <v>2156915632</v>
      </c>
      <c r="E23" s="9" t="s">
        <v>147</v>
      </c>
      <c r="F23" s="9" t="s">
        <v>148</v>
      </c>
      <c r="G23" s="20">
        <v>47674000</v>
      </c>
      <c r="I23" s="12" t="s">
        <v>776</v>
      </c>
      <c r="J23" s="12" t="s">
        <v>777</v>
      </c>
      <c r="K23" s="20">
        <v>4484914000</v>
      </c>
      <c r="M23" s="1" t="s">
        <v>801</v>
      </c>
      <c r="N23" s="1" t="s">
        <v>802</v>
      </c>
      <c r="O23" s="2">
        <v>591671781</v>
      </c>
    </row>
    <row r="24" spans="1:15" ht="15.75" customHeight="1" x14ac:dyDescent="0.2">
      <c r="A24" s="5" t="s">
        <v>42</v>
      </c>
      <c r="B24" s="5" t="s">
        <v>43</v>
      </c>
      <c r="C24" s="26">
        <v>25070000</v>
      </c>
      <c r="E24" s="9" t="s">
        <v>159</v>
      </c>
      <c r="F24" s="9" t="s">
        <v>160</v>
      </c>
      <c r="G24" s="20">
        <v>240493000</v>
      </c>
      <c r="I24" s="12" t="s">
        <v>774</v>
      </c>
      <c r="J24" s="12" t="s">
        <v>775</v>
      </c>
      <c r="K24" s="20">
        <v>4299200000</v>
      </c>
      <c r="M24" s="1" t="s">
        <v>803</v>
      </c>
      <c r="N24" s="1" t="s">
        <v>804</v>
      </c>
      <c r="O24" s="2">
        <v>291335200</v>
      </c>
    </row>
    <row r="25" spans="1:15" ht="15.75" customHeight="1" x14ac:dyDescent="0.2">
      <c r="A25" s="5" t="s">
        <v>44</v>
      </c>
      <c r="B25" s="5" t="s">
        <v>45</v>
      </c>
      <c r="C25" s="26">
        <v>946120000</v>
      </c>
      <c r="E25" s="9" t="s">
        <v>139</v>
      </c>
      <c r="F25" s="9" t="s">
        <v>140</v>
      </c>
      <c r="G25" s="20">
        <v>13976000</v>
      </c>
      <c r="I25" s="30" t="s">
        <v>772</v>
      </c>
      <c r="J25" s="30" t="s">
        <v>773</v>
      </c>
      <c r="K25" s="26">
        <v>0</v>
      </c>
      <c r="M25" s="1" t="s">
        <v>805</v>
      </c>
      <c r="N25" s="1" t="s">
        <v>806</v>
      </c>
      <c r="O25" s="2">
        <v>28000000</v>
      </c>
    </row>
    <row r="26" spans="1:15" ht="15.75" customHeight="1" x14ac:dyDescent="0.2">
      <c r="A26" s="5" t="s">
        <v>46</v>
      </c>
      <c r="B26" s="5" t="s">
        <v>47</v>
      </c>
      <c r="C26" s="26">
        <v>544000000</v>
      </c>
      <c r="E26" s="9" t="s">
        <v>157</v>
      </c>
      <c r="F26" s="9" t="s">
        <v>158</v>
      </c>
      <c r="G26" s="20">
        <v>132000000</v>
      </c>
      <c r="I26" s="12" t="s">
        <v>770</v>
      </c>
      <c r="J26" s="12" t="s">
        <v>771</v>
      </c>
      <c r="K26" s="20">
        <v>3514500000</v>
      </c>
      <c r="M26" s="1" t="s">
        <v>807</v>
      </c>
      <c r="N26" s="1" t="s">
        <v>808</v>
      </c>
      <c r="O26" s="2">
        <v>22892872</v>
      </c>
    </row>
    <row r="27" spans="1:15" ht="15.75" customHeight="1" x14ac:dyDescent="0.2">
      <c r="A27" s="24" t="s">
        <v>48</v>
      </c>
      <c r="B27" s="24" t="s">
        <v>49</v>
      </c>
      <c r="C27" s="26">
        <f>1881000000-294300000</f>
        <v>1586700000</v>
      </c>
      <c r="D27">
        <v>10</v>
      </c>
      <c r="E27" s="9" t="s">
        <v>161</v>
      </c>
      <c r="F27" s="9" t="s">
        <v>162</v>
      </c>
      <c r="G27" s="20">
        <v>371232707</v>
      </c>
      <c r="I27" s="12" t="s">
        <v>768</v>
      </c>
      <c r="J27" s="12" t="s">
        <v>769</v>
      </c>
      <c r="K27" s="20">
        <v>2875000000</v>
      </c>
      <c r="M27" s="1" t="s">
        <v>809</v>
      </c>
      <c r="N27" s="1" t="s">
        <v>810</v>
      </c>
      <c r="O27" s="2">
        <v>2368741</v>
      </c>
    </row>
    <row r="28" spans="1:15" ht="15.75" customHeight="1" x14ac:dyDescent="0.2">
      <c r="A28" s="31" t="s">
        <v>50</v>
      </c>
      <c r="B28" s="31" t="s">
        <v>51</v>
      </c>
      <c r="C28" s="26">
        <v>1476804513</v>
      </c>
      <c r="E28" s="9" t="s">
        <v>171</v>
      </c>
      <c r="F28" s="9" t="s">
        <v>172</v>
      </c>
      <c r="G28" s="20">
        <v>849391765</v>
      </c>
      <c r="I28" s="12" t="s">
        <v>766</v>
      </c>
      <c r="J28" s="12" t="s">
        <v>767</v>
      </c>
      <c r="K28" s="20">
        <v>2394700000</v>
      </c>
      <c r="M28" s="1" t="s">
        <v>811</v>
      </c>
      <c r="N28" s="1" t="s">
        <v>812</v>
      </c>
      <c r="O28" s="2">
        <v>1873950</v>
      </c>
    </row>
    <row r="29" spans="1:15" ht="15.75" customHeight="1" x14ac:dyDescent="0.2">
      <c r="A29" s="5" t="s">
        <v>52</v>
      </c>
      <c r="B29" s="5" t="s">
        <v>53</v>
      </c>
      <c r="C29" s="26">
        <v>132000000</v>
      </c>
      <c r="E29" s="9" t="s">
        <v>131</v>
      </c>
      <c r="F29" s="9" t="s">
        <v>132</v>
      </c>
      <c r="G29" s="20">
        <v>233000</v>
      </c>
      <c r="I29" s="12" t="s">
        <v>764</v>
      </c>
      <c r="J29" s="12" t="s">
        <v>765</v>
      </c>
      <c r="K29" s="48">
        <v>2160000000</v>
      </c>
      <c r="O29" s="3">
        <f>SUM(O17:O28)</f>
        <v>66468196829</v>
      </c>
    </row>
    <row r="30" spans="1:15" ht="15.75" customHeight="1" x14ac:dyDescent="0.2">
      <c r="A30" s="5" t="s">
        <v>54</v>
      </c>
      <c r="B30" s="5" t="s">
        <v>55</v>
      </c>
      <c r="C30" s="26">
        <v>105875000</v>
      </c>
      <c r="E30" s="9" t="s">
        <v>175</v>
      </c>
      <c r="F30" s="9" t="s">
        <v>176</v>
      </c>
      <c r="G30" s="20">
        <v>1210000000</v>
      </c>
      <c r="I30" s="12" t="s">
        <v>762</v>
      </c>
      <c r="J30" s="12" t="s">
        <v>763</v>
      </c>
      <c r="K30" s="47">
        <v>1985967500</v>
      </c>
    </row>
    <row r="31" spans="1:15" ht="15.75" customHeight="1" x14ac:dyDescent="0.2">
      <c r="A31" s="6"/>
      <c r="B31" s="6"/>
      <c r="C31" s="21">
        <f>SUM(C3:C30)</f>
        <v>39154937281</v>
      </c>
      <c r="E31" s="9" t="s">
        <v>135</v>
      </c>
      <c r="F31" s="9" t="s">
        <v>136</v>
      </c>
      <c r="G31" s="20">
        <v>3070420</v>
      </c>
      <c r="I31" s="12" t="s">
        <v>760</v>
      </c>
      <c r="J31" s="12" t="s">
        <v>761</v>
      </c>
      <c r="K31" s="47">
        <v>1929515000</v>
      </c>
      <c r="N31" s="44" t="s">
        <v>792</v>
      </c>
      <c r="O31" s="45">
        <f>O28+O27+O26+O25+O23+O22+O21+O20+O19</f>
        <v>3753841420</v>
      </c>
    </row>
    <row r="32" spans="1:15" ht="15.75" customHeight="1" x14ac:dyDescent="0.2">
      <c r="A32" s="6"/>
      <c r="B32" s="35" t="s">
        <v>792</v>
      </c>
      <c r="C32" s="36">
        <f>C30+C29+C26+C25+C24+C20+C18+C13+C8+C7+C15</f>
        <v>3380515282</v>
      </c>
      <c r="E32" s="9" t="s">
        <v>127</v>
      </c>
      <c r="F32" s="9" t="s">
        <v>128</v>
      </c>
      <c r="G32" s="20">
        <v>7</v>
      </c>
      <c r="I32" s="12" t="s">
        <v>758</v>
      </c>
      <c r="J32" s="12" t="s">
        <v>759</v>
      </c>
      <c r="K32" s="47">
        <v>1601623000</v>
      </c>
    </row>
    <row r="33" spans="1:11" ht="15.75" customHeight="1" x14ac:dyDescent="0.2">
      <c r="A33" s="53" t="s">
        <v>60</v>
      </c>
      <c r="B33" s="53"/>
      <c r="C33" s="53"/>
      <c r="E33" s="9" t="s">
        <v>151</v>
      </c>
      <c r="F33" s="9" t="s">
        <v>152</v>
      </c>
      <c r="G33" s="20">
        <v>72600000</v>
      </c>
      <c r="I33" s="12" t="s">
        <v>756</v>
      </c>
      <c r="J33" s="12" t="s">
        <v>757</v>
      </c>
      <c r="K33" s="20">
        <v>1403200000</v>
      </c>
    </row>
    <row r="34" spans="1:11" ht="15.75" customHeight="1" x14ac:dyDescent="0.2">
      <c r="A34" s="4" t="s">
        <v>56</v>
      </c>
      <c r="B34" s="4" t="s">
        <v>57</v>
      </c>
      <c r="C34" s="22" t="s">
        <v>58</v>
      </c>
      <c r="E34" s="9" t="s">
        <v>137</v>
      </c>
      <c r="F34" s="9" t="s">
        <v>138</v>
      </c>
      <c r="G34" s="20">
        <v>4000000</v>
      </c>
      <c r="I34" s="12" t="s">
        <v>754</v>
      </c>
      <c r="J34" s="12" t="s">
        <v>755</v>
      </c>
      <c r="K34" s="47">
        <v>1355050000</v>
      </c>
    </row>
    <row r="35" spans="1:11" ht="15.75" customHeight="1" x14ac:dyDescent="0.2">
      <c r="A35" s="5" t="s">
        <v>75</v>
      </c>
      <c r="B35" s="5" t="s">
        <v>76</v>
      </c>
      <c r="C35" s="26">
        <v>855714376</v>
      </c>
      <c r="E35" s="9" t="s">
        <v>155</v>
      </c>
      <c r="F35" s="9" t="s">
        <v>156</v>
      </c>
      <c r="G35" s="20">
        <v>113469000</v>
      </c>
      <c r="I35" s="12" t="s">
        <v>752</v>
      </c>
      <c r="J35" s="12" t="s">
        <v>753</v>
      </c>
      <c r="K35" s="20">
        <v>1333212500</v>
      </c>
    </row>
    <row r="36" spans="1:11" ht="15.75" customHeight="1" x14ac:dyDescent="0.2">
      <c r="A36" s="5" t="s">
        <v>81</v>
      </c>
      <c r="B36" s="5" t="s">
        <v>82</v>
      </c>
      <c r="C36" s="26">
        <f>317569375200-316000077351</f>
        <v>1569297849</v>
      </c>
      <c r="D36">
        <v>14</v>
      </c>
      <c r="E36" s="25" t="s">
        <v>48</v>
      </c>
      <c r="F36" s="25" t="s">
        <v>49</v>
      </c>
      <c r="G36" s="26">
        <v>0</v>
      </c>
      <c r="H36">
        <v>10</v>
      </c>
      <c r="I36" s="12" t="s">
        <v>750</v>
      </c>
      <c r="J36" s="12" t="s">
        <v>751</v>
      </c>
      <c r="K36" s="20">
        <v>1249699000</v>
      </c>
    </row>
    <row r="37" spans="1:11" ht="15.75" customHeight="1" x14ac:dyDescent="0.2">
      <c r="A37" s="5" t="s">
        <v>69</v>
      </c>
      <c r="B37" s="5" t="s">
        <v>70</v>
      </c>
      <c r="C37" s="26">
        <v>233750000</v>
      </c>
      <c r="E37" s="9" t="s">
        <v>153</v>
      </c>
      <c r="F37" s="9" t="s">
        <v>154</v>
      </c>
      <c r="G37" s="20">
        <v>78100000</v>
      </c>
      <c r="I37" s="12" t="s">
        <v>118</v>
      </c>
      <c r="J37" s="12" t="s">
        <v>119</v>
      </c>
      <c r="K37" s="47">
        <v>1237500000</v>
      </c>
    </row>
    <row r="38" spans="1:11" ht="15.75" customHeight="1" x14ac:dyDescent="0.2">
      <c r="A38" s="5" t="s">
        <v>73</v>
      </c>
      <c r="B38" s="5" t="s">
        <v>74</v>
      </c>
      <c r="C38" s="26">
        <v>632686794</v>
      </c>
      <c r="E38" s="9" t="s">
        <v>177</v>
      </c>
      <c r="F38" s="9" t="s">
        <v>178</v>
      </c>
      <c r="G38" s="20">
        <v>1887810000</v>
      </c>
      <c r="I38" s="12" t="s">
        <v>748</v>
      </c>
      <c r="J38" s="12" t="s">
        <v>749</v>
      </c>
      <c r="K38" s="47">
        <v>1179812500</v>
      </c>
    </row>
    <row r="39" spans="1:11" ht="15.75" customHeight="1" x14ac:dyDescent="0.2">
      <c r="A39" s="5" t="s">
        <v>61</v>
      </c>
      <c r="B39" s="5" t="s">
        <v>62</v>
      </c>
      <c r="C39" s="26">
        <v>0</v>
      </c>
      <c r="D39">
        <v>15</v>
      </c>
      <c r="E39" s="9" t="s">
        <v>145</v>
      </c>
      <c r="F39" s="9" t="s">
        <v>146</v>
      </c>
      <c r="G39" s="20">
        <v>19030000</v>
      </c>
      <c r="I39" s="12" t="s">
        <v>746</v>
      </c>
      <c r="J39" s="12" t="s">
        <v>747</v>
      </c>
      <c r="K39" s="47">
        <v>1082266000</v>
      </c>
    </row>
    <row r="40" spans="1:11" ht="15.75" customHeight="1" x14ac:dyDescent="0.2">
      <c r="A40" s="5" t="s">
        <v>67</v>
      </c>
      <c r="B40" s="5" t="s">
        <v>68</v>
      </c>
      <c r="C40" s="26">
        <v>194810250</v>
      </c>
      <c r="E40" s="10"/>
      <c r="F40" s="10"/>
      <c r="G40" s="21">
        <f>SUM(G3:G39)</f>
        <v>86348180338</v>
      </c>
      <c r="I40" s="12" t="s">
        <v>744</v>
      </c>
      <c r="J40" s="12" t="s">
        <v>745</v>
      </c>
      <c r="K40" s="47">
        <v>1048017500</v>
      </c>
    </row>
    <row r="41" spans="1:11" ht="15.75" customHeight="1" x14ac:dyDescent="0.2">
      <c r="A41" s="5" t="s">
        <v>63</v>
      </c>
      <c r="B41" s="5" t="s">
        <v>64</v>
      </c>
      <c r="C41" s="26">
        <v>2368134</v>
      </c>
      <c r="E41" s="10"/>
      <c r="F41" s="38" t="s">
        <v>792</v>
      </c>
      <c r="G41" s="36">
        <f>G39+G37+G34+G33+G32+G31+G29+G27+G26+G25+G24+G23+G22+G19+G17+G14+G13+G12</f>
        <v>1598410084</v>
      </c>
      <c r="I41" s="12" t="s">
        <v>742</v>
      </c>
      <c r="J41" s="12" t="s">
        <v>743</v>
      </c>
      <c r="K41" s="47">
        <v>939097500</v>
      </c>
    </row>
    <row r="42" spans="1:11" ht="15.75" customHeight="1" x14ac:dyDescent="0.2">
      <c r="A42" s="5" t="s">
        <v>79</v>
      </c>
      <c r="B42" s="5" t="s">
        <v>80</v>
      </c>
      <c r="C42" s="26">
        <v>11126720000</v>
      </c>
      <c r="E42" s="10"/>
      <c r="F42" s="10"/>
      <c r="G42" s="21"/>
      <c r="I42" s="12" t="s">
        <v>740</v>
      </c>
      <c r="J42" s="12" t="s">
        <v>741</v>
      </c>
      <c r="K42" s="47">
        <v>822950000</v>
      </c>
    </row>
    <row r="43" spans="1:11" ht="15.75" customHeight="1" x14ac:dyDescent="0.2">
      <c r="A43" s="24" t="s">
        <v>71</v>
      </c>
      <c r="B43" s="24" t="s">
        <v>72</v>
      </c>
      <c r="C43" s="26">
        <f>522216970-6109600</f>
        <v>516107370</v>
      </c>
      <c r="E43" s="51" t="s">
        <v>183</v>
      </c>
      <c r="F43" s="51"/>
      <c r="G43" s="51"/>
      <c r="I43" s="12" t="s">
        <v>738</v>
      </c>
      <c r="J43" s="12" t="s">
        <v>739</v>
      </c>
      <c r="K43" s="47">
        <v>801350000</v>
      </c>
    </row>
    <row r="44" spans="1:11" ht="15.75" customHeight="1" x14ac:dyDescent="0.2">
      <c r="A44" s="5" t="s">
        <v>65</v>
      </c>
      <c r="B44" s="5" t="s">
        <v>66</v>
      </c>
      <c r="C44" s="26">
        <v>181288800</v>
      </c>
      <c r="E44" s="11" t="s">
        <v>56</v>
      </c>
      <c r="F44" s="11" t="s">
        <v>57</v>
      </c>
      <c r="G44" s="22" t="s">
        <v>126</v>
      </c>
      <c r="I44" s="12" t="s">
        <v>736</v>
      </c>
      <c r="J44" s="12" t="s">
        <v>737</v>
      </c>
      <c r="K44" s="47">
        <v>742243000</v>
      </c>
    </row>
    <row r="45" spans="1:11" ht="15.75" customHeight="1" x14ac:dyDescent="0.2">
      <c r="A45" s="24" t="s">
        <v>77</v>
      </c>
      <c r="B45" s="24" t="s">
        <v>78</v>
      </c>
      <c r="C45" s="26">
        <f>9752878200-24000000</f>
        <v>9728878200</v>
      </c>
      <c r="D45">
        <v>16</v>
      </c>
      <c r="E45" s="12" t="s">
        <v>224</v>
      </c>
      <c r="F45" s="12" t="s">
        <v>225</v>
      </c>
      <c r="G45" s="20">
        <v>7705945500</v>
      </c>
      <c r="I45" s="12" t="s">
        <v>734</v>
      </c>
      <c r="J45" s="12" t="s">
        <v>735</v>
      </c>
      <c r="K45" s="47">
        <v>706200000</v>
      </c>
    </row>
    <row r="46" spans="1:11" ht="15.75" customHeight="1" x14ac:dyDescent="0.2">
      <c r="A46" s="6"/>
      <c r="B46" s="6"/>
      <c r="C46" s="21">
        <f>SUM(C35:C45)</f>
        <v>25041621773</v>
      </c>
      <c r="E46" s="12" t="s">
        <v>230</v>
      </c>
      <c r="F46" s="12" t="s">
        <v>231</v>
      </c>
      <c r="G46" s="20">
        <v>17297817968</v>
      </c>
      <c r="I46" s="30" t="s">
        <v>110</v>
      </c>
      <c r="J46" s="30" t="s">
        <v>111</v>
      </c>
      <c r="K46" s="47">
        <f>1718000917-1040761010</f>
        <v>677239907</v>
      </c>
    </row>
    <row r="47" spans="1:11" ht="15.75" customHeight="1" x14ac:dyDescent="0.2">
      <c r="A47" s="6"/>
      <c r="B47" s="35" t="s">
        <v>792</v>
      </c>
      <c r="C47" s="36">
        <f>C41+C40+C37+C38+C43</f>
        <v>1579722548</v>
      </c>
      <c r="D47">
        <v>17</v>
      </c>
      <c r="E47" s="12" t="s">
        <v>236</v>
      </c>
      <c r="F47" s="12" t="s">
        <v>237</v>
      </c>
      <c r="G47" s="20">
        <v>25735288066</v>
      </c>
      <c r="I47" s="12" t="s">
        <v>732</v>
      </c>
      <c r="J47" s="12" t="s">
        <v>733</v>
      </c>
      <c r="K47" s="47">
        <v>651150000</v>
      </c>
    </row>
    <row r="48" spans="1:11" ht="15.75" customHeight="1" x14ac:dyDescent="0.2">
      <c r="A48" s="53" t="s">
        <v>83</v>
      </c>
      <c r="B48" s="53"/>
      <c r="C48" s="53"/>
      <c r="E48" s="12" t="s">
        <v>218</v>
      </c>
      <c r="F48" s="12" t="s">
        <v>219</v>
      </c>
      <c r="G48" s="20">
        <v>4379649999</v>
      </c>
      <c r="I48" s="12" t="s">
        <v>730</v>
      </c>
      <c r="J48" s="12" t="s">
        <v>731</v>
      </c>
      <c r="K48" s="47">
        <v>569231747</v>
      </c>
    </row>
    <row r="49" spans="1:11" ht="15.75" customHeight="1" x14ac:dyDescent="0.2">
      <c r="A49" s="4" t="s">
        <v>56</v>
      </c>
      <c r="B49" s="4" t="s">
        <v>57</v>
      </c>
      <c r="C49" s="22" t="s">
        <v>58</v>
      </c>
      <c r="E49" s="12" t="s">
        <v>186</v>
      </c>
      <c r="F49" s="12" t="s">
        <v>187</v>
      </c>
      <c r="G49" s="20">
        <v>600000</v>
      </c>
      <c r="I49" s="12" t="s">
        <v>728</v>
      </c>
      <c r="J49" s="12" t="s">
        <v>729</v>
      </c>
      <c r="K49" s="47">
        <v>568659700</v>
      </c>
    </row>
    <row r="50" spans="1:11" ht="15.75" customHeight="1" x14ac:dyDescent="0.2">
      <c r="A50" s="5" t="s">
        <v>120</v>
      </c>
      <c r="B50" s="5" t="s">
        <v>121</v>
      </c>
      <c r="C50" s="26">
        <v>11435000000</v>
      </c>
      <c r="E50" s="12" t="s">
        <v>192</v>
      </c>
      <c r="F50" s="12" t="s">
        <v>193</v>
      </c>
      <c r="G50" s="20">
        <v>16990000</v>
      </c>
      <c r="I50" s="12" t="s">
        <v>726</v>
      </c>
      <c r="J50" s="12" t="s">
        <v>727</v>
      </c>
      <c r="K50" s="47">
        <v>564960000</v>
      </c>
    </row>
    <row r="51" spans="1:11" ht="15.75" customHeight="1" x14ac:dyDescent="0.2">
      <c r="A51" s="5" t="s">
        <v>104</v>
      </c>
      <c r="B51" s="5" t="s">
        <v>105</v>
      </c>
      <c r="C51" s="26">
        <v>689979136</v>
      </c>
      <c r="E51" s="12" t="s">
        <v>200</v>
      </c>
      <c r="F51" s="12" t="s">
        <v>201</v>
      </c>
      <c r="G51" s="20">
        <v>29321252</v>
      </c>
      <c r="I51" s="12" t="s">
        <v>724</v>
      </c>
      <c r="J51" s="12" t="s">
        <v>725</v>
      </c>
      <c r="K51" s="47">
        <v>564270000</v>
      </c>
    </row>
    <row r="52" spans="1:11" ht="15.75" customHeight="1" x14ac:dyDescent="0.2">
      <c r="A52" s="24" t="s">
        <v>110</v>
      </c>
      <c r="B52" s="24" t="s">
        <v>111</v>
      </c>
      <c r="C52" s="26">
        <v>0</v>
      </c>
      <c r="E52" s="12" t="s">
        <v>188</v>
      </c>
      <c r="F52" s="12" t="s">
        <v>189</v>
      </c>
      <c r="G52" s="20">
        <v>6111359</v>
      </c>
      <c r="I52" s="12" t="s">
        <v>722</v>
      </c>
      <c r="J52" s="12" t="s">
        <v>723</v>
      </c>
      <c r="K52" s="47">
        <v>561279202</v>
      </c>
    </row>
    <row r="53" spans="1:11" ht="15.75" customHeight="1" x14ac:dyDescent="0.2">
      <c r="A53" s="5" t="s">
        <v>96</v>
      </c>
      <c r="B53" s="5" t="s">
        <v>97</v>
      </c>
      <c r="C53" s="26">
        <v>291500000</v>
      </c>
      <c r="E53" s="30" t="s">
        <v>81</v>
      </c>
      <c r="F53" s="30" t="s">
        <v>82</v>
      </c>
      <c r="G53" s="26">
        <v>0</v>
      </c>
      <c r="H53">
        <v>14</v>
      </c>
      <c r="I53" s="12" t="s">
        <v>720</v>
      </c>
      <c r="J53" s="12" t="s">
        <v>721</v>
      </c>
      <c r="K53" s="47">
        <v>503800000</v>
      </c>
    </row>
    <row r="54" spans="1:11" ht="15.75" customHeight="1" x14ac:dyDescent="0.2">
      <c r="A54" s="24" t="s">
        <v>112</v>
      </c>
      <c r="B54" s="24" t="s">
        <v>113</v>
      </c>
      <c r="C54" s="26">
        <f>1078000000-1440000</f>
        <v>1076560000</v>
      </c>
      <c r="D54">
        <v>11</v>
      </c>
      <c r="E54" s="12" t="s">
        <v>228</v>
      </c>
      <c r="F54" s="12" t="s">
        <v>229</v>
      </c>
      <c r="G54" s="20">
        <v>10537711250</v>
      </c>
      <c r="I54" s="12" t="s">
        <v>718</v>
      </c>
      <c r="J54" s="12" t="s">
        <v>719</v>
      </c>
      <c r="K54" s="47">
        <v>485160000</v>
      </c>
    </row>
    <row r="55" spans="1:11" ht="15.75" customHeight="1" x14ac:dyDescent="0.2">
      <c r="A55" s="5" t="s">
        <v>86</v>
      </c>
      <c r="B55" s="5" t="s">
        <v>87</v>
      </c>
      <c r="C55" s="26">
        <v>21965000</v>
      </c>
      <c r="E55" s="12" t="s">
        <v>222</v>
      </c>
      <c r="F55" s="12" t="s">
        <v>223</v>
      </c>
      <c r="G55" s="20">
        <v>7214487500</v>
      </c>
      <c r="I55" s="12" t="s">
        <v>716</v>
      </c>
      <c r="J55" s="12" t="s">
        <v>717</v>
      </c>
      <c r="K55" s="47">
        <v>483500000</v>
      </c>
    </row>
    <row r="56" spans="1:11" ht="15.75" customHeight="1" x14ac:dyDescent="0.2">
      <c r="A56" s="5" t="s">
        <v>116</v>
      </c>
      <c r="B56" s="5" t="s">
        <v>117</v>
      </c>
      <c r="C56" s="26">
        <v>1571048226</v>
      </c>
      <c r="E56" s="12" t="s">
        <v>143</v>
      </c>
      <c r="F56" s="12" t="s">
        <v>144</v>
      </c>
      <c r="G56" s="20">
        <v>149424826</v>
      </c>
      <c r="I56" s="12" t="s">
        <v>714</v>
      </c>
      <c r="J56" s="12" t="s">
        <v>715</v>
      </c>
      <c r="K56" s="47">
        <v>479358000</v>
      </c>
    </row>
    <row r="57" spans="1:11" ht="15.75" customHeight="1" x14ac:dyDescent="0.2">
      <c r="A57" s="24" t="s">
        <v>114</v>
      </c>
      <c r="B57" s="24" t="s">
        <v>115</v>
      </c>
      <c r="C57" s="26">
        <f>1379070000-4389000</f>
        <v>1374681000</v>
      </c>
      <c r="D57">
        <v>12</v>
      </c>
      <c r="E57" s="12" t="s">
        <v>198</v>
      </c>
      <c r="F57" s="12" t="s">
        <v>199</v>
      </c>
      <c r="G57" s="20">
        <v>22828500</v>
      </c>
      <c r="I57" s="12" t="s">
        <v>712</v>
      </c>
      <c r="J57" s="12" t="s">
        <v>713</v>
      </c>
      <c r="K57" s="47">
        <v>445505391</v>
      </c>
    </row>
    <row r="58" spans="1:11" ht="15.75" customHeight="1" x14ac:dyDescent="0.2">
      <c r="A58" s="5" t="s">
        <v>90</v>
      </c>
      <c r="B58" s="5" t="s">
        <v>91</v>
      </c>
      <c r="C58" s="26">
        <v>119682000</v>
      </c>
      <c r="E58" s="12" t="s">
        <v>210</v>
      </c>
      <c r="F58" s="12" t="s">
        <v>211</v>
      </c>
      <c r="G58" s="20">
        <v>1486387445</v>
      </c>
      <c r="I58" s="12" t="s">
        <v>710</v>
      </c>
      <c r="J58" s="12" t="s">
        <v>711</v>
      </c>
      <c r="K58" s="47">
        <v>435128000</v>
      </c>
    </row>
    <row r="59" spans="1:11" ht="15.75" customHeight="1" x14ac:dyDescent="0.2">
      <c r="A59" s="5" t="s">
        <v>100</v>
      </c>
      <c r="B59" s="5" t="s">
        <v>101</v>
      </c>
      <c r="C59" s="26">
        <v>330000000</v>
      </c>
      <c r="D59">
        <v>13</v>
      </c>
      <c r="E59" s="30" t="s">
        <v>61</v>
      </c>
      <c r="F59" s="30" t="s">
        <v>62</v>
      </c>
      <c r="G59" s="26">
        <f>439644960-50000</f>
        <v>439594960</v>
      </c>
      <c r="I59" s="12" t="s">
        <v>708</v>
      </c>
      <c r="J59" s="12" t="s">
        <v>709</v>
      </c>
      <c r="K59" s="47">
        <v>419550000</v>
      </c>
    </row>
    <row r="60" spans="1:11" ht="15.75" customHeight="1" x14ac:dyDescent="0.2">
      <c r="A60" s="5" t="s">
        <v>84</v>
      </c>
      <c r="B60" s="5" t="s">
        <v>85</v>
      </c>
      <c r="C60" s="26">
        <v>18000000</v>
      </c>
      <c r="E60" s="12" t="s">
        <v>238</v>
      </c>
      <c r="F60" s="12" t="s">
        <v>239</v>
      </c>
      <c r="G60" s="20">
        <v>122580447431</v>
      </c>
      <c r="H60">
        <v>15</v>
      </c>
      <c r="I60" s="12" t="s">
        <v>706</v>
      </c>
      <c r="J60" s="12" t="s">
        <v>707</v>
      </c>
      <c r="K60" s="47">
        <v>400000000</v>
      </c>
    </row>
    <row r="61" spans="1:11" ht="15.75" customHeight="1" x14ac:dyDescent="0.2">
      <c r="A61" s="5" t="s">
        <v>106</v>
      </c>
      <c r="B61" s="5" t="s">
        <v>107</v>
      </c>
      <c r="C61" s="26">
        <v>838200000</v>
      </c>
      <c r="E61" s="12" t="s">
        <v>232</v>
      </c>
      <c r="F61" s="12" t="s">
        <v>233</v>
      </c>
      <c r="G61" s="20">
        <v>18525119412</v>
      </c>
      <c r="I61" s="12" t="s">
        <v>704</v>
      </c>
      <c r="J61" s="12" t="s">
        <v>705</v>
      </c>
      <c r="K61" s="48">
        <v>390426152</v>
      </c>
    </row>
    <row r="62" spans="1:11" ht="15.75" customHeight="1" x14ac:dyDescent="0.2">
      <c r="A62" s="5" t="s">
        <v>88</v>
      </c>
      <c r="B62" s="5" t="s">
        <v>89</v>
      </c>
      <c r="C62" s="26">
        <v>90080000</v>
      </c>
      <c r="E62" s="12" t="s">
        <v>220</v>
      </c>
      <c r="F62" s="12" t="s">
        <v>221</v>
      </c>
      <c r="G62" s="20">
        <v>5017647800</v>
      </c>
      <c r="I62" s="12" t="s">
        <v>702</v>
      </c>
      <c r="J62" s="12" t="s">
        <v>703</v>
      </c>
      <c r="K62" s="47">
        <v>335011500</v>
      </c>
    </row>
    <row r="63" spans="1:11" ht="15.75" customHeight="1" x14ac:dyDescent="0.2">
      <c r="A63" s="5" t="s">
        <v>118</v>
      </c>
      <c r="B63" s="5" t="s">
        <v>119</v>
      </c>
      <c r="C63" s="26">
        <v>2055000000</v>
      </c>
      <c r="E63" s="12" t="s">
        <v>194</v>
      </c>
      <c r="F63" s="12" t="s">
        <v>195</v>
      </c>
      <c r="G63" s="20">
        <v>20829899</v>
      </c>
      <c r="I63" s="12" t="s">
        <v>700</v>
      </c>
      <c r="J63" s="12" t="s">
        <v>701</v>
      </c>
      <c r="K63" s="47">
        <v>317725000</v>
      </c>
    </row>
    <row r="64" spans="1:11" ht="15.75" customHeight="1" x14ac:dyDescent="0.2">
      <c r="A64" s="5" t="s">
        <v>122</v>
      </c>
      <c r="B64" s="5" t="s">
        <v>123</v>
      </c>
      <c r="C64" s="26">
        <v>14722308751</v>
      </c>
      <c r="E64" s="12" t="s">
        <v>214</v>
      </c>
      <c r="F64" s="12" t="s">
        <v>215</v>
      </c>
      <c r="G64" s="20">
        <v>2490671095</v>
      </c>
      <c r="I64" s="12" t="s">
        <v>698</v>
      </c>
      <c r="J64" s="12" t="s">
        <v>699</v>
      </c>
      <c r="K64" s="47">
        <v>315000000</v>
      </c>
    </row>
    <row r="65" spans="1:11" ht="15.75" customHeight="1" x14ac:dyDescent="0.2">
      <c r="A65" s="5" t="s">
        <v>108</v>
      </c>
      <c r="B65" s="5" t="s">
        <v>109</v>
      </c>
      <c r="C65" s="26">
        <v>900000000</v>
      </c>
      <c r="E65" s="12" t="s">
        <v>196</v>
      </c>
      <c r="F65" s="12" t="s">
        <v>197</v>
      </c>
      <c r="G65" s="20">
        <v>22237290</v>
      </c>
      <c r="I65" s="12" t="s">
        <v>696</v>
      </c>
      <c r="J65" s="12" t="s">
        <v>697</v>
      </c>
      <c r="K65" s="47">
        <v>310000000</v>
      </c>
    </row>
    <row r="66" spans="1:11" ht="15.75" customHeight="1" x14ac:dyDescent="0.2">
      <c r="A66" s="5" t="s">
        <v>92</v>
      </c>
      <c r="B66" s="5" t="s">
        <v>93</v>
      </c>
      <c r="C66" s="26">
        <v>126000000</v>
      </c>
      <c r="E66" s="12" t="s">
        <v>184</v>
      </c>
      <c r="F66" s="12" t="s">
        <v>185</v>
      </c>
      <c r="G66" s="20">
        <v>130470</v>
      </c>
      <c r="I66" s="12" t="s">
        <v>694</v>
      </c>
      <c r="J66" s="12" t="s">
        <v>695</v>
      </c>
      <c r="K66" s="47">
        <v>300000000</v>
      </c>
    </row>
    <row r="67" spans="1:11" ht="15.75" customHeight="1" x14ac:dyDescent="0.2">
      <c r="A67" s="5" t="s">
        <v>102</v>
      </c>
      <c r="B67" s="5" t="s">
        <v>103</v>
      </c>
      <c r="C67" s="26">
        <v>613420000</v>
      </c>
      <c r="E67" s="12" t="s">
        <v>206</v>
      </c>
      <c r="F67" s="12" t="s">
        <v>207</v>
      </c>
      <c r="G67" s="20">
        <v>557612821</v>
      </c>
      <c r="I67" s="12" t="s">
        <v>692</v>
      </c>
      <c r="J67" s="12" t="s">
        <v>693</v>
      </c>
      <c r="K67" s="47">
        <v>290000000</v>
      </c>
    </row>
    <row r="68" spans="1:11" ht="15.75" customHeight="1" x14ac:dyDescent="0.2">
      <c r="A68" s="5" t="s">
        <v>94</v>
      </c>
      <c r="B68" s="5" t="s">
        <v>95</v>
      </c>
      <c r="C68" s="26">
        <v>242000000</v>
      </c>
      <c r="E68" s="12" t="s">
        <v>208</v>
      </c>
      <c r="F68" s="12" t="s">
        <v>209</v>
      </c>
      <c r="G68" s="20">
        <v>751080000</v>
      </c>
      <c r="I68" s="12" t="s">
        <v>690</v>
      </c>
      <c r="J68" s="12" t="s">
        <v>691</v>
      </c>
      <c r="K68" s="47">
        <v>286573595</v>
      </c>
    </row>
    <row r="69" spans="1:11" ht="15.75" customHeight="1" x14ac:dyDescent="0.2">
      <c r="A69" s="5" t="s">
        <v>98</v>
      </c>
      <c r="B69" s="5" t="s">
        <v>99</v>
      </c>
      <c r="C69" s="26">
        <v>298000000</v>
      </c>
      <c r="E69" s="12" t="s">
        <v>202</v>
      </c>
      <c r="F69" s="12" t="s">
        <v>203</v>
      </c>
      <c r="G69" s="20">
        <v>409969528</v>
      </c>
      <c r="I69" s="12" t="s">
        <v>688</v>
      </c>
      <c r="J69" s="12" t="s">
        <v>689</v>
      </c>
      <c r="K69" s="47">
        <v>277492500</v>
      </c>
    </row>
    <row r="70" spans="1:11" ht="15.75" customHeight="1" x14ac:dyDescent="0.2">
      <c r="A70" s="27" t="s">
        <v>124</v>
      </c>
      <c r="B70" s="27"/>
      <c r="C70" s="21">
        <f>SUM(C50:C69)</f>
        <v>36813424113</v>
      </c>
      <c r="E70" s="12" t="s">
        <v>212</v>
      </c>
      <c r="F70" s="12" t="s">
        <v>213</v>
      </c>
      <c r="G70" s="20">
        <v>1917573600</v>
      </c>
      <c r="I70" s="12" t="s">
        <v>686</v>
      </c>
      <c r="J70" s="12" t="s">
        <v>687</v>
      </c>
      <c r="K70" s="47">
        <v>265500000</v>
      </c>
    </row>
    <row r="71" spans="1:11" ht="15.75" customHeight="1" x14ac:dyDescent="0.2">
      <c r="E71" s="12" t="s">
        <v>234</v>
      </c>
      <c r="F71" s="12" t="s">
        <v>235</v>
      </c>
      <c r="G71" s="20">
        <v>23512348875</v>
      </c>
      <c r="I71" s="12" t="s">
        <v>684</v>
      </c>
      <c r="J71" s="12" t="s">
        <v>685</v>
      </c>
      <c r="K71" s="20">
        <v>256349260</v>
      </c>
    </row>
    <row r="72" spans="1:11" ht="15.75" customHeight="1" x14ac:dyDescent="0.2">
      <c r="B72" s="37" t="s">
        <v>792</v>
      </c>
      <c r="C72" s="36">
        <f>C53+C55+C58+C60+C62+C66+C68+C69</f>
        <v>1207227000</v>
      </c>
      <c r="E72" s="12" t="s">
        <v>190</v>
      </c>
      <c r="F72" s="12" t="s">
        <v>191</v>
      </c>
      <c r="G72" s="20">
        <v>6730754</v>
      </c>
      <c r="I72" s="12" t="s">
        <v>682</v>
      </c>
      <c r="J72" s="12" t="s">
        <v>683</v>
      </c>
      <c r="K72" s="47">
        <v>245080050</v>
      </c>
    </row>
    <row r="73" spans="1:11" ht="15.75" customHeight="1" x14ac:dyDescent="0.2">
      <c r="E73" s="12" t="s">
        <v>204</v>
      </c>
      <c r="F73" s="12" t="s">
        <v>205</v>
      </c>
      <c r="G73" s="20">
        <v>535100503</v>
      </c>
      <c r="I73" s="12" t="s">
        <v>680</v>
      </c>
      <c r="J73" s="12" t="s">
        <v>681</v>
      </c>
      <c r="K73" s="47">
        <v>240000000</v>
      </c>
    </row>
    <row r="74" spans="1:11" ht="15.75" customHeight="1" x14ac:dyDescent="0.2">
      <c r="E74" s="30" t="s">
        <v>71</v>
      </c>
      <c r="F74" s="30" t="s">
        <v>72</v>
      </c>
      <c r="G74" s="26">
        <v>0</v>
      </c>
      <c r="I74" s="12" t="s">
        <v>678</v>
      </c>
      <c r="J74" s="12" t="s">
        <v>679</v>
      </c>
      <c r="K74" s="47">
        <v>231269600</v>
      </c>
    </row>
    <row r="75" spans="1:11" ht="15.75" customHeight="1" x14ac:dyDescent="0.2">
      <c r="E75" s="12" t="s">
        <v>226</v>
      </c>
      <c r="F75" s="12" t="s">
        <v>227</v>
      </c>
      <c r="G75" s="20">
        <v>10378436200</v>
      </c>
      <c r="H75">
        <v>16</v>
      </c>
      <c r="I75" s="12" t="s">
        <v>676</v>
      </c>
      <c r="J75" s="12" t="s">
        <v>677</v>
      </c>
      <c r="K75" s="47">
        <v>227722000</v>
      </c>
    </row>
    <row r="76" spans="1:11" ht="15.75" customHeight="1" x14ac:dyDescent="0.2">
      <c r="E76" s="30" t="s">
        <v>77</v>
      </c>
      <c r="F76" s="30" t="s">
        <v>78</v>
      </c>
      <c r="G76" s="26">
        <v>0</v>
      </c>
      <c r="I76" s="12" t="s">
        <v>674</v>
      </c>
      <c r="J76" s="12" t="s">
        <v>675</v>
      </c>
      <c r="K76" s="47">
        <v>226250000</v>
      </c>
    </row>
    <row r="77" spans="1:11" ht="15.75" customHeight="1" x14ac:dyDescent="0.2">
      <c r="E77" s="12" t="s">
        <v>216</v>
      </c>
      <c r="F77" s="12" t="s">
        <v>217</v>
      </c>
      <c r="G77" s="20">
        <v>2517513460</v>
      </c>
      <c r="H77">
        <v>17</v>
      </c>
      <c r="I77" s="12" t="s">
        <v>143</v>
      </c>
      <c r="J77" s="12" t="s">
        <v>144</v>
      </c>
      <c r="K77" s="47">
        <v>210474531</v>
      </c>
    </row>
    <row r="78" spans="1:11" ht="15.75" customHeight="1" x14ac:dyDescent="0.2">
      <c r="E78" s="18" t="s">
        <v>124</v>
      </c>
      <c r="F78" s="18"/>
      <c r="G78" s="21">
        <f>SUM(G45:G77)</f>
        <v>264265607763</v>
      </c>
      <c r="I78" s="12" t="s">
        <v>672</v>
      </c>
      <c r="J78" s="12" t="s">
        <v>673</v>
      </c>
      <c r="K78" s="47">
        <v>209119430</v>
      </c>
    </row>
    <row r="79" spans="1:11" ht="15.75" customHeight="1" x14ac:dyDescent="0.2">
      <c r="I79" s="12" t="s">
        <v>670</v>
      </c>
      <c r="J79" s="12" t="s">
        <v>671</v>
      </c>
      <c r="K79" s="47">
        <v>194800000</v>
      </c>
    </row>
    <row r="80" spans="1:11" ht="15.75" customHeight="1" x14ac:dyDescent="0.2">
      <c r="F80" s="39" t="s">
        <v>792</v>
      </c>
      <c r="G80" s="36">
        <f>G72+G66+G65+G63+G57+G51+G50+G49</f>
        <v>119668165</v>
      </c>
      <c r="I80" s="12" t="s">
        <v>668</v>
      </c>
      <c r="J80" s="12" t="s">
        <v>669</v>
      </c>
      <c r="K80" s="47">
        <v>187200000</v>
      </c>
    </row>
    <row r="81" spans="9:11" ht="15.75" customHeight="1" x14ac:dyDescent="0.2">
      <c r="I81" s="12" t="s">
        <v>666</v>
      </c>
      <c r="J81" s="12" t="s">
        <v>667</v>
      </c>
      <c r="K81" s="47">
        <v>187000000</v>
      </c>
    </row>
    <row r="82" spans="9:11" ht="15.75" customHeight="1" x14ac:dyDescent="0.2">
      <c r="I82" s="12" t="s">
        <v>664</v>
      </c>
      <c r="J82" s="12" t="s">
        <v>665</v>
      </c>
      <c r="K82" s="47">
        <v>184995000</v>
      </c>
    </row>
    <row r="83" spans="9:11" ht="15.75" customHeight="1" x14ac:dyDescent="0.2">
      <c r="I83" s="12" t="s">
        <v>155</v>
      </c>
      <c r="J83" s="12" t="s">
        <v>156</v>
      </c>
      <c r="K83" s="47">
        <v>182600000</v>
      </c>
    </row>
    <row r="84" spans="9:11" ht="15.75" customHeight="1" x14ac:dyDescent="0.2">
      <c r="I84" s="12" t="s">
        <v>662</v>
      </c>
      <c r="J84" s="12" t="s">
        <v>663</v>
      </c>
      <c r="K84" s="47">
        <v>181740003</v>
      </c>
    </row>
    <row r="85" spans="9:11" ht="15.75" customHeight="1" x14ac:dyDescent="0.2">
      <c r="I85" s="12" t="s">
        <v>161</v>
      </c>
      <c r="J85" s="12" t="s">
        <v>162</v>
      </c>
      <c r="K85" s="47">
        <v>173410000</v>
      </c>
    </row>
    <row r="86" spans="9:11" ht="15.75" customHeight="1" x14ac:dyDescent="0.2">
      <c r="I86" s="12" t="s">
        <v>660</v>
      </c>
      <c r="J86" s="12" t="s">
        <v>661</v>
      </c>
      <c r="K86" s="47">
        <v>168455000</v>
      </c>
    </row>
    <row r="87" spans="9:11" ht="15.75" customHeight="1" x14ac:dyDescent="0.2">
      <c r="I87" s="12" t="s">
        <v>658</v>
      </c>
      <c r="J87" s="12" t="s">
        <v>659</v>
      </c>
      <c r="K87" s="47">
        <v>168000000</v>
      </c>
    </row>
    <row r="88" spans="9:11" ht="15.75" customHeight="1" x14ac:dyDescent="0.2">
      <c r="I88" s="12" t="s">
        <v>656</v>
      </c>
      <c r="J88" s="12" t="s">
        <v>657</v>
      </c>
      <c r="K88" s="47">
        <v>163200000</v>
      </c>
    </row>
    <row r="89" spans="9:11" ht="15.75" customHeight="1" x14ac:dyDescent="0.2">
      <c r="I89" s="12" t="s">
        <v>654</v>
      </c>
      <c r="J89" s="12" t="s">
        <v>655</v>
      </c>
      <c r="K89" s="47">
        <v>156140000</v>
      </c>
    </row>
    <row r="90" spans="9:11" ht="15.75" customHeight="1" x14ac:dyDescent="0.2">
      <c r="I90" s="12" t="s">
        <v>652</v>
      </c>
      <c r="J90" s="12" t="s">
        <v>653</v>
      </c>
      <c r="K90" s="47">
        <v>155320000</v>
      </c>
    </row>
    <row r="91" spans="9:11" ht="15.75" customHeight="1" x14ac:dyDescent="0.2">
      <c r="I91" s="12" t="s">
        <v>650</v>
      </c>
      <c r="J91" s="12" t="s">
        <v>651</v>
      </c>
      <c r="K91" s="47">
        <v>149194570</v>
      </c>
    </row>
    <row r="92" spans="9:11" ht="15.75" customHeight="1" x14ac:dyDescent="0.2">
      <c r="I92" s="12" t="s">
        <v>648</v>
      </c>
      <c r="J92" s="12" t="s">
        <v>649</v>
      </c>
      <c r="K92" s="47">
        <v>140000000</v>
      </c>
    </row>
    <row r="93" spans="9:11" ht="15.75" customHeight="1" x14ac:dyDescent="0.2">
      <c r="I93" s="12" t="s">
        <v>646</v>
      </c>
      <c r="J93" s="12" t="s">
        <v>647</v>
      </c>
      <c r="K93" s="47">
        <v>138600000</v>
      </c>
    </row>
    <row r="94" spans="9:11" ht="15.75" customHeight="1" x14ac:dyDescent="0.2">
      <c r="I94" s="12" t="s">
        <v>644</v>
      </c>
      <c r="J94" s="12" t="s">
        <v>645</v>
      </c>
      <c r="K94" s="47">
        <v>137683004</v>
      </c>
    </row>
    <row r="95" spans="9:11" ht="15.75" customHeight="1" x14ac:dyDescent="0.2">
      <c r="I95" s="12" t="s">
        <v>642</v>
      </c>
      <c r="J95" s="12" t="s">
        <v>643</v>
      </c>
      <c r="K95" s="47">
        <v>135080000</v>
      </c>
    </row>
    <row r="96" spans="9:11" ht="15.75" customHeight="1" x14ac:dyDescent="0.2">
      <c r="I96" s="12" t="s">
        <v>640</v>
      </c>
      <c r="J96" s="12" t="s">
        <v>641</v>
      </c>
      <c r="K96" s="47">
        <v>133584000</v>
      </c>
    </row>
    <row r="97" spans="9:12" ht="15.75" customHeight="1" x14ac:dyDescent="0.2">
      <c r="I97" s="12" t="s">
        <v>638</v>
      </c>
      <c r="J97" s="12" t="s">
        <v>639</v>
      </c>
      <c r="K97" s="47">
        <v>126150000</v>
      </c>
    </row>
    <row r="98" spans="9:12" ht="15.75" customHeight="1" x14ac:dyDescent="0.2">
      <c r="I98" s="12" t="s">
        <v>636</v>
      </c>
      <c r="J98" s="12" t="s">
        <v>637</v>
      </c>
      <c r="K98" s="47">
        <v>124833678</v>
      </c>
    </row>
    <row r="99" spans="9:12" ht="15.75" customHeight="1" x14ac:dyDescent="0.2">
      <c r="I99" s="12" t="s">
        <v>634</v>
      </c>
      <c r="J99" s="12" t="s">
        <v>635</v>
      </c>
      <c r="K99" s="47">
        <v>124260500</v>
      </c>
    </row>
    <row r="100" spans="9:12" ht="15.75" customHeight="1" x14ac:dyDescent="0.2">
      <c r="I100" s="12" t="s">
        <v>632</v>
      </c>
      <c r="J100" s="12" t="s">
        <v>633</v>
      </c>
      <c r="K100" s="47">
        <v>123490000</v>
      </c>
    </row>
    <row r="101" spans="9:12" ht="15.75" customHeight="1" x14ac:dyDescent="0.2">
      <c r="I101" s="12" t="s">
        <v>630</v>
      </c>
      <c r="J101" s="12" t="s">
        <v>631</v>
      </c>
      <c r="K101" s="47">
        <v>123000000</v>
      </c>
    </row>
    <row r="102" spans="9:12" ht="15.75" customHeight="1" x14ac:dyDescent="0.2">
      <c r="I102" s="12" t="s">
        <v>628</v>
      </c>
      <c r="J102" s="12" t="s">
        <v>629</v>
      </c>
      <c r="K102" s="47">
        <v>121937120</v>
      </c>
    </row>
    <row r="103" spans="9:12" ht="15.75" customHeight="1" x14ac:dyDescent="0.2">
      <c r="I103" s="12" t="s">
        <v>626</v>
      </c>
      <c r="J103" s="12" t="s">
        <v>627</v>
      </c>
      <c r="K103" s="47">
        <v>121690000</v>
      </c>
    </row>
    <row r="104" spans="9:12" ht="15.75" customHeight="1" x14ac:dyDescent="0.2">
      <c r="I104" s="12" t="s">
        <v>624</v>
      </c>
      <c r="J104" s="12" t="s">
        <v>625</v>
      </c>
      <c r="K104" s="47">
        <v>112500000</v>
      </c>
    </row>
    <row r="105" spans="9:12" ht="15.75" customHeight="1" x14ac:dyDescent="0.2">
      <c r="I105" s="12" t="s">
        <v>622</v>
      </c>
      <c r="J105" s="12" t="s">
        <v>623</v>
      </c>
      <c r="K105" s="47">
        <v>106275000</v>
      </c>
      <c r="L105">
        <v>12</v>
      </c>
    </row>
    <row r="106" spans="9:12" ht="15.75" customHeight="1" x14ac:dyDescent="0.2">
      <c r="I106" s="12" t="s">
        <v>620</v>
      </c>
      <c r="J106" s="12" t="s">
        <v>621</v>
      </c>
      <c r="K106" s="47">
        <v>100550000</v>
      </c>
    </row>
    <row r="107" spans="9:12" ht="15.75" customHeight="1" x14ac:dyDescent="0.2">
      <c r="I107" s="12" t="s">
        <v>618</v>
      </c>
      <c r="J107" s="12" t="s">
        <v>619</v>
      </c>
      <c r="K107" s="47">
        <v>100000000</v>
      </c>
    </row>
    <row r="108" spans="9:12" ht="15.75" customHeight="1" x14ac:dyDescent="0.2">
      <c r="I108" s="12" t="s">
        <v>616</v>
      </c>
      <c r="J108" s="12" t="s">
        <v>617</v>
      </c>
      <c r="K108" s="47">
        <v>93484300</v>
      </c>
    </row>
    <row r="109" spans="9:12" ht="15.75" customHeight="1" x14ac:dyDescent="0.2">
      <c r="I109" s="12" t="s">
        <v>614</v>
      </c>
      <c r="J109" s="12" t="s">
        <v>615</v>
      </c>
      <c r="K109" s="47">
        <v>91690000</v>
      </c>
    </row>
    <row r="110" spans="9:12" ht="15.75" customHeight="1" x14ac:dyDescent="0.2">
      <c r="I110" s="12" t="s">
        <v>612</v>
      </c>
      <c r="J110" s="12" t="s">
        <v>613</v>
      </c>
      <c r="K110" s="47">
        <v>90750000</v>
      </c>
    </row>
    <row r="111" spans="9:12" ht="15.75" customHeight="1" x14ac:dyDescent="0.2">
      <c r="I111" s="12" t="s">
        <v>610</v>
      </c>
      <c r="J111" s="12" t="s">
        <v>611</v>
      </c>
      <c r="K111" s="47">
        <v>90000000</v>
      </c>
    </row>
    <row r="112" spans="9:12" ht="15.75" customHeight="1" x14ac:dyDescent="0.2">
      <c r="I112" s="12" t="s">
        <v>608</v>
      </c>
      <c r="J112" s="12" t="s">
        <v>609</v>
      </c>
      <c r="K112" s="47">
        <v>86500000</v>
      </c>
    </row>
    <row r="113" spans="9:11" ht="15.75" customHeight="1" x14ac:dyDescent="0.2">
      <c r="I113" s="12" t="s">
        <v>606</v>
      </c>
      <c r="J113" s="12" t="s">
        <v>607</v>
      </c>
      <c r="K113" s="47">
        <v>85800000</v>
      </c>
    </row>
    <row r="114" spans="9:11" ht="15.75" customHeight="1" x14ac:dyDescent="0.2">
      <c r="I114" s="12" t="s">
        <v>604</v>
      </c>
      <c r="J114" s="12" t="s">
        <v>605</v>
      </c>
      <c r="K114" s="47">
        <v>85700000</v>
      </c>
    </row>
    <row r="115" spans="9:11" ht="15.75" customHeight="1" x14ac:dyDescent="0.2">
      <c r="I115" s="12" t="s">
        <v>602</v>
      </c>
      <c r="J115" s="12" t="s">
        <v>603</v>
      </c>
      <c r="K115" s="47">
        <v>82212199</v>
      </c>
    </row>
    <row r="116" spans="9:11" ht="15.75" customHeight="1" x14ac:dyDescent="0.2">
      <c r="I116" s="12" t="s">
        <v>600</v>
      </c>
      <c r="J116" s="12" t="s">
        <v>601</v>
      </c>
      <c r="K116" s="47">
        <v>79700000</v>
      </c>
    </row>
    <row r="117" spans="9:11" ht="15.75" customHeight="1" x14ac:dyDescent="0.2">
      <c r="I117" s="12" t="s">
        <v>598</v>
      </c>
      <c r="J117" s="12" t="s">
        <v>599</v>
      </c>
      <c r="K117" s="47">
        <v>77989500</v>
      </c>
    </row>
    <row r="118" spans="9:11" ht="15.75" customHeight="1" x14ac:dyDescent="0.2">
      <c r="I118" s="12" t="s">
        <v>596</v>
      </c>
      <c r="J118" s="12" t="s">
        <v>597</v>
      </c>
      <c r="K118" s="47">
        <v>77000000</v>
      </c>
    </row>
    <row r="119" spans="9:11" ht="15.75" customHeight="1" x14ac:dyDescent="0.2">
      <c r="I119" s="12" t="s">
        <v>594</v>
      </c>
      <c r="J119" s="12" t="s">
        <v>595</v>
      </c>
      <c r="K119" s="47">
        <v>76701120</v>
      </c>
    </row>
    <row r="120" spans="9:11" ht="15.75" customHeight="1" x14ac:dyDescent="0.2">
      <c r="I120" s="12" t="s">
        <v>592</v>
      </c>
      <c r="J120" s="12" t="s">
        <v>593</v>
      </c>
      <c r="K120" s="47">
        <v>76450000</v>
      </c>
    </row>
    <row r="121" spans="9:11" ht="15.75" customHeight="1" x14ac:dyDescent="0.2">
      <c r="I121" s="12" t="s">
        <v>590</v>
      </c>
      <c r="J121" s="12" t="s">
        <v>591</v>
      </c>
      <c r="K121" s="47">
        <v>75000000</v>
      </c>
    </row>
    <row r="122" spans="9:11" ht="15.75" customHeight="1" x14ac:dyDescent="0.2">
      <c r="I122" s="12" t="s">
        <v>588</v>
      </c>
      <c r="J122" s="12" t="s">
        <v>589</v>
      </c>
      <c r="K122" s="47">
        <v>73182600</v>
      </c>
    </row>
    <row r="123" spans="9:11" ht="15.75" customHeight="1" x14ac:dyDescent="0.2">
      <c r="I123" s="12" t="s">
        <v>586</v>
      </c>
      <c r="J123" s="12" t="s">
        <v>587</v>
      </c>
      <c r="K123" s="47">
        <v>73044449</v>
      </c>
    </row>
    <row r="124" spans="9:11" ht="15.75" customHeight="1" x14ac:dyDescent="0.2">
      <c r="I124" s="12" t="s">
        <v>584</v>
      </c>
      <c r="J124" s="12" t="s">
        <v>585</v>
      </c>
      <c r="K124" s="47">
        <v>66000000</v>
      </c>
    </row>
    <row r="125" spans="9:11" ht="15.75" customHeight="1" x14ac:dyDescent="0.2">
      <c r="I125" s="12" t="s">
        <v>222</v>
      </c>
      <c r="J125" s="12" t="s">
        <v>223</v>
      </c>
      <c r="K125" s="47">
        <v>61498886</v>
      </c>
    </row>
    <row r="126" spans="9:11" ht="15.75" customHeight="1" x14ac:dyDescent="0.2">
      <c r="I126" s="12" t="s">
        <v>582</v>
      </c>
      <c r="J126" s="12" t="s">
        <v>583</v>
      </c>
      <c r="K126" s="47">
        <v>57335090</v>
      </c>
    </row>
    <row r="127" spans="9:11" ht="15.75" customHeight="1" x14ac:dyDescent="0.2">
      <c r="I127" s="12" t="s">
        <v>580</v>
      </c>
      <c r="J127" s="12" t="s">
        <v>581</v>
      </c>
      <c r="K127" s="47">
        <v>57000000</v>
      </c>
    </row>
    <row r="128" spans="9:11" ht="15.75" customHeight="1" x14ac:dyDescent="0.2">
      <c r="I128" s="12" t="s">
        <v>578</v>
      </c>
      <c r="J128" s="12" t="s">
        <v>579</v>
      </c>
      <c r="K128" s="47">
        <v>55590000</v>
      </c>
    </row>
    <row r="129" spans="9:11" ht="15.75" customHeight="1" x14ac:dyDescent="0.2">
      <c r="I129" s="12" t="s">
        <v>576</v>
      </c>
      <c r="J129" s="12" t="s">
        <v>577</v>
      </c>
      <c r="K129" s="47">
        <v>54450000</v>
      </c>
    </row>
    <row r="130" spans="9:11" ht="15.75" customHeight="1" x14ac:dyDescent="0.2">
      <c r="I130" s="12" t="s">
        <v>574</v>
      </c>
      <c r="J130" s="12" t="s">
        <v>575</v>
      </c>
      <c r="K130" s="47">
        <v>54350000</v>
      </c>
    </row>
    <row r="131" spans="9:11" ht="15.75" customHeight="1" x14ac:dyDescent="0.2">
      <c r="I131" s="12" t="s">
        <v>572</v>
      </c>
      <c r="J131" s="12" t="s">
        <v>573</v>
      </c>
      <c r="K131" s="47">
        <v>54050000</v>
      </c>
    </row>
    <row r="132" spans="9:11" ht="15.75" customHeight="1" x14ac:dyDescent="0.2">
      <c r="I132" s="12" t="s">
        <v>570</v>
      </c>
      <c r="J132" s="12" t="s">
        <v>571</v>
      </c>
      <c r="K132" s="47">
        <v>52000000</v>
      </c>
    </row>
    <row r="133" spans="9:11" ht="15.75" customHeight="1" x14ac:dyDescent="0.2">
      <c r="I133" s="12" t="s">
        <v>568</v>
      </c>
      <c r="J133" s="12" t="s">
        <v>569</v>
      </c>
      <c r="K133" s="47">
        <v>51200000</v>
      </c>
    </row>
    <row r="134" spans="9:11" ht="15.75" customHeight="1" x14ac:dyDescent="0.2">
      <c r="I134" s="12" t="s">
        <v>566</v>
      </c>
      <c r="J134" s="12" t="s">
        <v>567</v>
      </c>
      <c r="K134" s="47">
        <v>50000000</v>
      </c>
    </row>
    <row r="135" spans="9:11" ht="15.75" customHeight="1" x14ac:dyDescent="0.2">
      <c r="I135" s="12" t="s">
        <v>564</v>
      </c>
      <c r="J135" s="12" t="s">
        <v>565</v>
      </c>
      <c r="K135" s="47">
        <v>48531705</v>
      </c>
    </row>
    <row r="136" spans="9:11" ht="15.75" customHeight="1" x14ac:dyDescent="0.2">
      <c r="I136" s="12" t="s">
        <v>562</v>
      </c>
      <c r="J136" s="12" t="s">
        <v>563</v>
      </c>
      <c r="K136" s="47">
        <v>47523435</v>
      </c>
    </row>
    <row r="137" spans="9:11" ht="15.75" customHeight="1" x14ac:dyDescent="0.2">
      <c r="I137" s="12" t="s">
        <v>560</v>
      </c>
      <c r="J137" s="12" t="s">
        <v>561</v>
      </c>
      <c r="K137" s="47">
        <v>46150000</v>
      </c>
    </row>
    <row r="138" spans="9:11" ht="15.75" customHeight="1" x14ac:dyDescent="0.2">
      <c r="I138" s="12" t="s">
        <v>558</v>
      </c>
      <c r="J138" s="12" t="s">
        <v>559</v>
      </c>
      <c r="K138" s="47">
        <v>45000000</v>
      </c>
    </row>
    <row r="139" spans="9:11" ht="15.75" customHeight="1" x14ac:dyDescent="0.2">
      <c r="I139" s="12" t="s">
        <v>556</v>
      </c>
      <c r="J139" s="12" t="s">
        <v>557</v>
      </c>
      <c r="K139" s="47">
        <v>44710700</v>
      </c>
    </row>
    <row r="140" spans="9:11" ht="15.75" customHeight="1" x14ac:dyDescent="0.2">
      <c r="I140" s="12" t="s">
        <v>554</v>
      </c>
      <c r="J140" s="12" t="s">
        <v>555</v>
      </c>
      <c r="K140" s="47">
        <v>44110000</v>
      </c>
    </row>
    <row r="141" spans="9:11" ht="15.75" customHeight="1" x14ac:dyDescent="0.2">
      <c r="I141" s="12" t="s">
        <v>552</v>
      </c>
      <c r="J141" s="12" t="s">
        <v>553</v>
      </c>
      <c r="K141" s="47">
        <v>43500000</v>
      </c>
    </row>
    <row r="142" spans="9:11" ht="15.75" customHeight="1" x14ac:dyDescent="0.2">
      <c r="I142" s="12" t="s">
        <v>550</v>
      </c>
      <c r="J142" s="12" t="s">
        <v>551</v>
      </c>
      <c r="K142" s="47">
        <v>43000000</v>
      </c>
    </row>
    <row r="143" spans="9:11" ht="15.75" customHeight="1" x14ac:dyDescent="0.2">
      <c r="I143" s="12" t="s">
        <v>548</v>
      </c>
      <c r="J143" s="12" t="s">
        <v>549</v>
      </c>
      <c r="K143" s="47">
        <v>42500000</v>
      </c>
    </row>
    <row r="144" spans="9:11" ht="15.75" customHeight="1" x14ac:dyDescent="0.2">
      <c r="I144" s="12" t="s">
        <v>546</v>
      </c>
      <c r="J144" s="12" t="s">
        <v>547</v>
      </c>
      <c r="K144" s="47">
        <v>42300000</v>
      </c>
    </row>
    <row r="145" spans="9:12" ht="15.75" customHeight="1" x14ac:dyDescent="0.2">
      <c r="I145" s="12" t="s">
        <v>544</v>
      </c>
      <c r="J145" s="12" t="s">
        <v>545</v>
      </c>
      <c r="K145" s="47">
        <v>42120000</v>
      </c>
    </row>
    <row r="146" spans="9:12" ht="15.75" customHeight="1" x14ac:dyDescent="0.2">
      <c r="I146" s="12" t="s">
        <v>542</v>
      </c>
      <c r="J146" s="12" t="s">
        <v>543</v>
      </c>
      <c r="K146" s="47">
        <v>40000000</v>
      </c>
    </row>
    <row r="147" spans="9:12" ht="15.75" customHeight="1" x14ac:dyDescent="0.2">
      <c r="I147" s="12" t="s">
        <v>540</v>
      </c>
      <c r="J147" s="12" t="s">
        <v>541</v>
      </c>
      <c r="K147" s="47">
        <v>38967500</v>
      </c>
    </row>
    <row r="148" spans="9:12" ht="15.75" customHeight="1" x14ac:dyDescent="0.2">
      <c r="I148" s="12" t="s">
        <v>538</v>
      </c>
      <c r="J148" s="12" t="s">
        <v>539</v>
      </c>
      <c r="K148" s="47">
        <v>38050000</v>
      </c>
    </row>
    <row r="149" spans="9:12" ht="15.75" customHeight="1" x14ac:dyDescent="0.2">
      <c r="I149" s="12" t="s">
        <v>536</v>
      </c>
      <c r="J149" s="12" t="s">
        <v>537</v>
      </c>
      <c r="K149" s="47">
        <v>37755250</v>
      </c>
    </row>
    <row r="150" spans="9:12" ht="15.75" customHeight="1" x14ac:dyDescent="0.2">
      <c r="I150" s="12" t="s">
        <v>534</v>
      </c>
      <c r="J150" s="12" t="s">
        <v>535</v>
      </c>
      <c r="K150" s="47">
        <v>34840000</v>
      </c>
    </row>
    <row r="151" spans="9:12" ht="15.75" customHeight="1" x14ac:dyDescent="0.2">
      <c r="I151" s="12" t="s">
        <v>532</v>
      </c>
      <c r="J151" s="12" t="s">
        <v>533</v>
      </c>
      <c r="K151" s="47">
        <v>34062500</v>
      </c>
    </row>
    <row r="152" spans="9:12" ht="15.75" customHeight="1" x14ac:dyDescent="0.2">
      <c r="I152" s="12" t="s">
        <v>528</v>
      </c>
      <c r="J152" s="12" t="s">
        <v>529</v>
      </c>
      <c r="K152" s="47">
        <v>34000000</v>
      </c>
      <c r="L152">
        <v>13</v>
      </c>
    </row>
    <row r="153" spans="9:12" ht="15.75" customHeight="1" x14ac:dyDescent="0.2">
      <c r="I153" s="12" t="s">
        <v>530</v>
      </c>
      <c r="J153" s="12" t="s">
        <v>531</v>
      </c>
      <c r="K153" s="47">
        <v>34000000</v>
      </c>
    </row>
    <row r="154" spans="9:12" ht="15.75" customHeight="1" x14ac:dyDescent="0.2">
      <c r="I154" s="12" t="s">
        <v>526</v>
      </c>
      <c r="J154" s="12" t="s">
        <v>527</v>
      </c>
      <c r="K154" s="47">
        <v>33920000</v>
      </c>
    </row>
    <row r="155" spans="9:12" ht="15.75" customHeight="1" x14ac:dyDescent="0.2">
      <c r="I155" s="12" t="s">
        <v>524</v>
      </c>
      <c r="J155" s="12" t="s">
        <v>525</v>
      </c>
      <c r="K155" s="47">
        <v>33174000</v>
      </c>
    </row>
    <row r="156" spans="9:12" ht="15.75" customHeight="1" x14ac:dyDescent="0.2">
      <c r="I156" s="12" t="s">
        <v>522</v>
      </c>
      <c r="J156" s="12" t="s">
        <v>523</v>
      </c>
      <c r="K156" s="47">
        <v>30010000</v>
      </c>
    </row>
    <row r="157" spans="9:12" ht="15.75" customHeight="1" x14ac:dyDescent="0.2">
      <c r="I157" s="12" t="s">
        <v>518</v>
      </c>
      <c r="J157" s="12" t="s">
        <v>519</v>
      </c>
      <c r="K157" s="47">
        <v>30000000</v>
      </c>
    </row>
    <row r="158" spans="9:12" ht="15.75" customHeight="1" x14ac:dyDescent="0.2">
      <c r="I158" s="12" t="s">
        <v>520</v>
      </c>
      <c r="J158" s="12" t="s">
        <v>521</v>
      </c>
      <c r="K158" s="47">
        <v>30000000</v>
      </c>
    </row>
    <row r="159" spans="9:12" ht="15.75" customHeight="1" x14ac:dyDescent="0.2">
      <c r="I159" s="12" t="s">
        <v>516</v>
      </c>
      <c r="J159" s="12" t="s">
        <v>517</v>
      </c>
      <c r="K159" s="47">
        <v>29173100</v>
      </c>
    </row>
    <row r="160" spans="9:12" ht="15.75" customHeight="1" x14ac:dyDescent="0.2">
      <c r="I160" s="12" t="s">
        <v>514</v>
      </c>
      <c r="J160" s="12" t="s">
        <v>515</v>
      </c>
      <c r="K160" s="47">
        <v>27500000</v>
      </c>
      <c r="L160">
        <v>9</v>
      </c>
    </row>
    <row r="161" spans="9:11" ht="15.75" customHeight="1" x14ac:dyDescent="0.2">
      <c r="I161" s="12" t="s">
        <v>512</v>
      </c>
      <c r="J161" s="12" t="s">
        <v>513</v>
      </c>
      <c r="K161" s="47">
        <v>27062520</v>
      </c>
    </row>
    <row r="162" spans="9:11" ht="15.75" customHeight="1" x14ac:dyDescent="0.2">
      <c r="I162" s="12" t="s">
        <v>510</v>
      </c>
      <c r="J162" s="12" t="s">
        <v>511</v>
      </c>
      <c r="K162" s="47">
        <v>26705000</v>
      </c>
    </row>
    <row r="163" spans="9:11" ht="15.75" customHeight="1" x14ac:dyDescent="0.2">
      <c r="I163" s="12" t="s">
        <v>508</v>
      </c>
      <c r="J163" s="12" t="s">
        <v>509</v>
      </c>
      <c r="K163" s="47">
        <v>26000000</v>
      </c>
    </row>
    <row r="164" spans="9:11" ht="15.75" customHeight="1" x14ac:dyDescent="0.2">
      <c r="I164" s="12" t="s">
        <v>506</v>
      </c>
      <c r="J164" s="12" t="s">
        <v>507</v>
      </c>
      <c r="K164" s="47">
        <v>25694136</v>
      </c>
    </row>
    <row r="165" spans="9:11" ht="15.75" customHeight="1" x14ac:dyDescent="0.2">
      <c r="I165" s="12" t="s">
        <v>504</v>
      </c>
      <c r="J165" s="12" t="s">
        <v>505</v>
      </c>
      <c r="K165" s="47">
        <v>25200000</v>
      </c>
    </row>
    <row r="166" spans="9:11" ht="15.75" customHeight="1" x14ac:dyDescent="0.2">
      <c r="I166" s="12" t="s">
        <v>502</v>
      </c>
      <c r="J166" s="12" t="s">
        <v>503</v>
      </c>
      <c r="K166" s="47">
        <v>25100000</v>
      </c>
    </row>
    <row r="167" spans="9:11" ht="15.75" customHeight="1" x14ac:dyDescent="0.2">
      <c r="I167" s="12" t="s">
        <v>500</v>
      </c>
      <c r="J167" s="12" t="s">
        <v>501</v>
      </c>
      <c r="K167" s="47">
        <v>24550000</v>
      </c>
    </row>
    <row r="168" spans="9:11" ht="15.75" customHeight="1" x14ac:dyDescent="0.2">
      <c r="I168" s="12" t="s">
        <v>498</v>
      </c>
      <c r="J168" s="12" t="s">
        <v>499</v>
      </c>
      <c r="K168" s="47">
        <v>24451642</v>
      </c>
    </row>
    <row r="169" spans="9:11" ht="15.75" customHeight="1" x14ac:dyDescent="0.2">
      <c r="I169" s="12" t="s">
        <v>496</v>
      </c>
      <c r="J169" s="12" t="s">
        <v>497</v>
      </c>
      <c r="K169" s="47">
        <v>24280317</v>
      </c>
    </row>
    <row r="170" spans="9:11" ht="15.75" customHeight="1" x14ac:dyDescent="0.2">
      <c r="I170" s="12" t="s">
        <v>494</v>
      </c>
      <c r="J170" s="12" t="s">
        <v>495</v>
      </c>
      <c r="K170" s="47">
        <v>24050000</v>
      </c>
    </row>
    <row r="171" spans="9:11" ht="15.75" customHeight="1" x14ac:dyDescent="0.2">
      <c r="I171" s="12" t="s">
        <v>492</v>
      </c>
      <c r="J171" s="12" t="s">
        <v>493</v>
      </c>
      <c r="K171" s="47">
        <v>23450000</v>
      </c>
    </row>
    <row r="172" spans="9:11" ht="15.75" customHeight="1" x14ac:dyDescent="0.2">
      <c r="I172" s="12" t="s">
        <v>490</v>
      </c>
      <c r="J172" s="12" t="s">
        <v>491</v>
      </c>
      <c r="K172" s="47">
        <v>23163003</v>
      </c>
    </row>
    <row r="173" spans="9:11" ht="15.75" customHeight="1" x14ac:dyDescent="0.2">
      <c r="I173" s="12" t="s">
        <v>488</v>
      </c>
      <c r="J173" s="12" t="s">
        <v>489</v>
      </c>
      <c r="K173" s="47">
        <v>23159821</v>
      </c>
    </row>
    <row r="174" spans="9:11" ht="15.75" customHeight="1" x14ac:dyDescent="0.2">
      <c r="I174" s="12" t="s">
        <v>486</v>
      </c>
      <c r="J174" s="12" t="s">
        <v>487</v>
      </c>
      <c r="K174" s="47">
        <v>22400000</v>
      </c>
    </row>
    <row r="175" spans="9:11" ht="15.75" customHeight="1" x14ac:dyDescent="0.2">
      <c r="I175" s="12" t="s">
        <v>484</v>
      </c>
      <c r="J175" s="12" t="s">
        <v>485</v>
      </c>
      <c r="K175" s="47">
        <v>21895000</v>
      </c>
    </row>
    <row r="176" spans="9:11" ht="15.75" customHeight="1" x14ac:dyDescent="0.2">
      <c r="I176" s="12" t="s">
        <v>482</v>
      </c>
      <c r="J176" s="12" t="s">
        <v>483</v>
      </c>
      <c r="K176" s="47">
        <v>21080000</v>
      </c>
    </row>
    <row r="177" spans="9:11" ht="15.75" customHeight="1" x14ac:dyDescent="0.2">
      <c r="I177" s="12" t="s">
        <v>480</v>
      </c>
      <c r="J177" s="12" t="s">
        <v>481</v>
      </c>
      <c r="K177" s="47">
        <v>20212100</v>
      </c>
    </row>
    <row r="178" spans="9:11" ht="15.75" customHeight="1" x14ac:dyDescent="0.2">
      <c r="I178" s="12" t="s">
        <v>476</v>
      </c>
      <c r="J178" s="12" t="s">
        <v>477</v>
      </c>
      <c r="K178" s="47">
        <v>20000000</v>
      </c>
    </row>
    <row r="179" spans="9:11" ht="15.75" customHeight="1" x14ac:dyDescent="0.2">
      <c r="I179" s="12" t="s">
        <v>478</v>
      </c>
      <c r="J179" s="12" t="s">
        <v>479</v>
      </c>
      <c r="K179" s="47">
        <v>20000000</v>
      </c>
    </row>
    <row r="180" spans="9:11" ht="15.75" customHeight="1" x14ac:dyDescent="0.2">
      <c r="I180" s="12" t="s">
        <v>474</v>
      </c>
      <c r="J180" s="12" t="s">
        <v>475</v>
      </c>
      <c r="K180" s="47">
        <v>19500000</v>
      </c>
    </row>
    <row r="181" spans="9:11" ht="15.75" customHeight="1" x14ac:dyDescent="0.2">
      <c r="I181" s="12" t="s">
        <v>472</v>
      </c>
      <c r="J181" s="12" t="s">
        <v>473</v>
      </c>
      <c r="K181" s="47">
        <v>19000000</v>
      </c>
    </row>
    <row r="182" spans="9:11" ht="15.75" customHeight="1" x14ac:dyDescent="0.2">
      <c r="I182" s="12" t="s">
        <v>470</v>
      </c>
      <c r="J182" s="12" t="s">
        <v>471</v>
      </c>
      <c r="K182" s="47">
        <v>18381186</v>
      </c>
    </row>
    <row r="183" spans="9:11" ht="15.75" customHeight="1" x14ac:dyDescent="0.2">
      <c r="I183" s="12" t="s">
        <v>466</v>
      </c>
      <c r="J183" s="12" t="s">
        <v>467</v>
      </c>
      <c r="K183" s="47">
        <v>18000000</v>
      </c>
    </row>
    <row r="184" spans="9:11" ht="15.75" customHeight="1" x14ac:dyDescent="0.2">
      <c r="I184" s="12" t="s">
        <v>468</v>
      </c>
      <c r="J184" s="12" t="s">
        <v>469</v>
      </c>
      <c r="K184" s="47">
        <v>18000000</v>
      </c>
    </row>
    <row r="185" spans="9:11" ht="15.75" customHeight="1" x14ac:dyDescent="0.2">
      <c r="I185" s="12" t="s">
        <v>464</v>
      </c>
      <c r="J185" s="12" t="s">
        <v>465</v>
      </c>
      <c r="K185" s="47">
        <v>17650000</v>
      </c>
    </row>
    <row r="186" spans="9:11" ht="15.75" customHeight="1" x14ac:dyDescent="0.2">
      <c r="I186" s="12" t="s">
        <v>462</v>
      </c>
      <c r="J186" s="12" t="s">
        <v>463</v>
      </c>
      <c r="K186" s="47">
        <v>17600000</v>
      </c>
    </row>
    <row r="187" spans="9:11" ht="15.75" customHeight="1" x14ac:dyDescent="0.2">
      <c r="I187" s="12" t="s">
        <v>460</v>
      </c>
      <c r="J187" s="12" t="s">
        <v>461</v>
      </c>
      <c r="K187" s="47">
        <v>17560000</v>
      </c>
    </row>
    <row r="188" spans="9:11" ht="15.75" customHeight="1" x14ac:dyDescent="0.2">
      <c r="I188" s="12" t="s">
        <v>458</v>
      </c>
      <c r="J188" s="12" t="s">
        <v>459</v>
      </c>
      <c r="K188" s="47">
        <v>17500000</v>
      </c>
    </row>
    <row r="189" spans="9:11" ht="15.75" customHeight="1" x14ac:dyDescent="0.2">
      <c r="I189" s="12" t="s">
        <v>456</v>
      </c>
      <c r="J189" s="12" t="s">
        <v>457</v>
      </c>
      <c r="K189" s="47">
        <v>16150000</v>
      </c>
    </row>
    <row r="190" spans="9:11" ht="15.75" customHeight="1" x14ac:dyDescent="0.2">
      <c r="I190" s="12" t="s">
        <v>454</v>
      </c>
      <c r="J190" s="12" t="s">
        <v>455</v>
      </c>
      <c r="K190" s="47">
        <v>16132000</v>
      </c>
    </row>
    <row r="191" spans="9:11" ht="15.75" customHeight="1" x14ac:dyDescent="0.2">
      <c r="I191" s="12" t="s">
        <v>452</v>
      </c>
      <c r="J191" s="12" t="s">
        <v>453</v>
      </c>
      <c r="K191" s="47">
        <v>15720000</v>
      </c>
    </row>
    <row r="192" spans="9:11" ht="15.75" customHeight="1" x14ac:dyDescent="0.2">
      <c r="I192" s="12" t="s">
        <v>450</v>
      </c>
      <c r="J192" s="12" t="s">
        <v>451</v>
      </c>
      <c r="K192" s="47">
        <v>15441075</v>
      </c>
    </row>
    <row r="193" spans="9:11" ht="15.75" customHeight="1" x14ac:dyDescent="0.2">
      <c r="I193" s="12" t="s">
        <v>448</v>
      </c>
      <c r="J193" s="12" t="s">
        <v>449</v>
      </c>
      <c r="K193" s="47">
        <v>15253000</v>
      </c>
    </row>
    <row r="194" spans="9:11" ht="15.75" customHeight="1" x14ac:dyDescent="0.2">
      <c r="I194" s="12" t="s">
        <v>446</v>
      </c>
      <c r="J194" s="12" t="s">
        <v>447</v>
      </c>
      <c r="K194" s="47">
        <v>15000000</v>
      </c>
    </row>
    <row r="195" spans="9:11" ht="15.75" customHeight="1" x14ac:dyDescent="0.2">
      <c r="I195" s="12" t="s">
        <v>444</v>
      </c>
      <c r="J195" s="12" t="s">
        <v>445</v>
      </c>
      <c r="K195" s="47">
        <v>14600000</v>
      </c>
    </row>
    <row r="196" spans="9:11" ht="15.75" customHeight="1" x14ac:dyDescent="0.2">
      <c r="I196" s="12" t="s">
        <v>442</v>
      </c>
      <c r="J196" s="12" t="s">
        <v>443</v>
      </c>
      <c r="K196" s="47">
        <v>14500000</v>
      </c>
    </row>
    <row r="197" spans="9:11" ht="15.75" customHeight="1" x14ac:dyDescent="0.2">
      <c r="I197" s="12" t="s">
        <v>440</v>
      </c>
      <c r="J197" s="12" t="s">
        <v>441</v>
      </c>
      <c r="K197" s="47">
        <v>14310000</v>
      </c>
    </row>
    <row r="198" spans="9:11" ht="15.75" customHeight="1" x14ac:dyDescent="0.2">
      <c r="I198" s="12" t="s">
        <v>438</v>
      </c>
      <c r="J198" s="12" t="s">
        <v>439</v>
      </c>
      <c r="K198" s="47">
        <v>14000000</v>
      </c>
    </row>
    <row r="199" spans="9:11" ht="15.75" customHeight="1" x14ac:dyDescent="0.2">
      <c r="I199" s="12" t="s">
        <v>436</v>
      </c>
      <c r="J199" s="12" t="s">
        <v>437</v>
      </c>
      <c r="K199" s="47">
        <v>13830275</v>
      </c>
    </row>
    <row r="200" spans="9:11" ht="15.75" customHeight="1" x14ac:dyDescent="0.2">
      <c r="I200" s="12" t="s">
        <v>434</v>
      </c>
      <c r="J200" s="12" t="s">
        <v>435</v>
      </c>
      <c r="K200" s="47">
        <v>13750000</v>
      </c>
    </row>
    <row r="201" spans="9:11" ht="15.75" customHeight="1" x14ac:dyDescent="0.2">
      <c r="I201" s="12" t="s">
        <v>432</v>
      </c>
      <c r="J201" s="12" t="s">
        <v>433</v>
      </c>
      <c r="K201" s="47">
        <v>13248000</v>
      </c>
    </row>
    <row r="202" spans="9:11" ht="15.75" customHeight="1" x14ac:dyDescent="0.2">
      <c r="I202" s="12" t="s">
        <v>430</v>
      </c>
      <c r="J202" s="12" t="s">
        <v>431</v>
      </c>
      <c r="K202" s="47">
        <v>13000000</v>
      </c>
    </row>
    <row r="203" spans="9:11" ht="15.75" customHeight="1" x14ac:dyDescent="0.2">
      <c r="I203" s="12" t="s">
        <v>428</v>
      </c>
      <c r="J203" s="12" t="s">
        <v>429</v>
      </c>
      <c r="K203" s="47">
        <v>12672000</v>
      </c>
    </row>
    <row r="204" spans="9:11" ht="15.75" customHeight="1" x14ac:dyDescent="0.2">
      <c r="I204" s="12" t="s">
        <v>424</v>
      </c>
      <c r="J204" s="12" t="s">
        <v>425</v>
      </c>
      <c r="K204" s="47">
        <v>12500000</v>
      </c>
    </row>
    <row r="205" spans="9:11" ht="15.75" customHeight="1" x14ac:dyDescent="0.2">
      <c r="I205" s="12" t="s">
        <v>426</v>
      </c>
      <c r="J205" s="12" t="s">
        <v>427</v>
      </c>
      <c r="K205" s="47">
        <v>12500000</v>
      </c>
    </row>
    <row r="206" spans="9:11" ht="15.75" customHeight="1" x14ac:dyDescent="0.2">
      <c r="I206" s="12" t="s">
        <v>422</v>
      </c>
      <c r="J206" s="12" t="s">
        <v>423</v>
      </c>
      <c r="K206" s="47">
        <v>10700000</v>
      </c>
    </row>
    <row r="207" spans="9:11" ht="15.75" customHeight="1" x14ac:dyDescent="0.2">
      <c r="I207" s="12" t="s">
        <v>418</v>
      </c>
      <c r="J207" s="12" t="s">
        <v>419</v>
      </c>
      <c r="K207" s="47">
        <v>10500000</v>
      </c>
    </row>
    <row r="208" spans="9:11" ht="15.75" customHeight="1" x14ac:dyDescent="0.2">
      <c r="I208" s="12" t="s">
        <v>420</v>
      </c>
      <c r="J208" s="12" t="s">
        <v>421</v>
      </c>
      <c r="K208" s="47">
        <v>10500000</v>
      </c>
    </row>
    <row r="209" spans="9:11" ht="15.75" customHeight="1" x14ac:dyDescent="0.2">
      <c r="I209" s="12" t="s">
        <v>416</v>
      </c>
      <c r="J209" s="12" t="s">
        <v>417</v>
      </c>
      <c r="K209" s="47">
        <v>10000000</v>
      </c>
    </row>
    <row r="210" spans="9:11" ht="15.75" customHeight="1" x14ac:dyDescent="0.2">
      <c r="I210" s="12" t="s">
        <v>414</v>
      </c>
      <c r="J210" s="12" t="s">
        <v>415</v>
      </c>
      <c r="K210" s="47">
        <v>9581168</v>
      </c>
    </row>
    <row r="211" spans="9:11" ht="15.75" customHeight="1" x14ac:dyDescent="0.2">
      <c r="I211" s="12" t="s">
        <v>412</v>
      </c>
      <c r="J211" s="12" t="s">
        <v>413</v>
      </c>
      <c r="K211" s="47">
        <v>9500000</v>
      </c>
    </row>
    <row r="212" spans="9:11" ht="15.75" customHeight="1" x14ac:dyDescent="0.2">
      <c r="I212" s="12" t="s">
        <v>410</v>
      </c>
      <c r="J212" s="12" t="s">
        <v>411</v>
      </c>
      <c r="K212" s="47">
        <v>9000000</v>
      </c>
    </row>
    <row r="213" spans="9:11" ht="15.75" customHeight="1" x14ac:dyDescent="0.2">
      <c r="I213" s="12" t="s">
        <v>408</v>
      </c>
      <c r="J213" s="12" t="s">
        <v>409</v>
      </c>
      <c r="K213" s="47">
        <v>8992500</v>
      </c>
    </row>
    <row r="214" spans="9:11" ht="15.75" customHeight="1" x14ac:dyDescent="0.2">
      <c r="I214" s="12" t="s">
        <v>406</v>
      </c>
      <c r="J214" s="12" t="s">
        <v>407</v>
      </c>
      <c r="K214" s="47">
        <v>8720000</v>
      </c>
    </row>
    <row r="215" spans="9:11" ht="15.75" customHeight="1" x14ac:dyDescent="0.2">
      <c r="I215" s="12" t="s">
        <v>404</v>
      </c>
      <c r="J215" s="12" t="s">
        <v>405</v>
      </c>
      <c r="K215" s="47">
        <v>8700000</v>
      </c>
    </row>
    <row r="216" spans="9:11" ht="15.75" customHeight="1" x14ac:dyDescent="0.2">
      <c r="I216" s="12" t="s">
        <v>396</v>
      </c>
      <c r="J216" s="12" t="s">
        <v>397</v>
      </c>
      <c r="K216" s="47">
        <v>8500000</v>
      </c>
    </row>
    <row r="217" spans="9:11" ht="15.75" customHeight="1" x14ac:dyDescent="0.2">
      <c r="I217" s="12" t="s">
        <v>398</v>
      </c>
      <c r="J217" s="12" t="s">
        <v>399</v>
      </c>
      <c r="K217" s="47">
        <v>8500000</v>
      </c>
    </row>
    <row r="218" spans="9:11" ht="15.75" customHeight="1" x14ac:dyDescent="0.2">
      <c r="I218" s="12" t="s">
        <v>400</v>
      </c>
      <c r="J218" s="12" t="s">
        <v>401</v>
      </c>
      <c r="K218" s="47">
        <v>8500000</v>
      </c>
    </row>
    <row r="219" spans="9:11" ht="15.75" customHeight="1" x14ac:dyDescent="0.2">
      <c r="I219" s="12" t="s">
        <v>402</v>
      </c>
      <c r="J219" s="12" t="s">
        <v>403</v>
      </c>
      <c r="K219" s="47">
        <v>8500000</v>
      </c>
    </row>
    <row r="220" spans="9:11" ht="15.75" customHeight="1" x14ac:dyDescent="0.2">
      <c r="I220" s="12" t="s">
        <v>394</v>
      </c>
      <c r="J220" s="12" t="s">
        <v>395</v>
      </c>
      <c r="K220" s="47">
        <v>8400000</v>
      </c>
    </row>
    <row r="221" spans="9:11" ht="15.75" customHeight="1" x14ac:dyDescent="0.2">
      <c r="I221" s="12" t="s">
        <v>392</v>
      </c>
      <c r="J221" s="12" t="s">
        <v>393</v>
      </c>
      <c r="K221" s="47">
        <v>8000000</v>
      </c>
    </row>
    <row r="222" spans="9:11" ht="15.75" customHeight="1" x14ac:dyDescent="0.2">
      <c r="I222" s="12" t="s">
        <v>390</v>
      </c>
      <c r="J222" s="12" t="s">
        <v>391</v>
      </c>
      <c r="K222" s="47">
        <v>7887568</v>
      </c>
    </row>
    <row r="223" spans="9:11" ht="15.75" customHeight="1" x14ac:dyDescent="0.2">
      <c r="I223" s="12" t="s">
        <v>388</v>
      </c>
      <c r="J223" s="12" t="s">
        <v>389</v>
      </c>
      <c r="K223" s="47">
        <v>7500000</v>
      </c>
    </row>
    <row r="224" spans="9:11" ht="15.75" customHeight="1" x14ac:dyDescent="0.2">
      <c r="I224" s="12" t="s">
        <v>386</v>
      </c>
      <c r="J224" s="12" t="s">
        <v>387</v>
      </c>
      <c r="K224" s="47">
        <v>7085000</v>
      </c>
    </row>
    <row r="225" spans="9:11" ht="15.75" customHeight="1" x14ac:dyDescent="0.2">
      <c r="I225" s="12" t="s">
        <v>384</v>
      </c>
      <c r="J225" s="12" t="s">
        <v>385</v>
      </c>
      <c r="K225" s="47">
        <v>7000000</v>
      </c>
    </row>
    <row r="226" spans="9:11" ht="15.75" customHeight="1" x14ac:dyDescent="0.2">
      <c r="I226" s="12" t="s">
        <v>382</v>
      </c>
      <c r="J226" s="12" t="s">
        <v>383</v>
      </c>
      <c r="K226" s="47">
        <v>6820000</v>
      </c>
    </row>
    <row r="227" spans="9:11" ht="15.75" customHeight="1" x14ac:dyDescent="0.2">
      <c r="I227" s="12" t="s">
        <v>380</v>
      </c>
      <c r="J227" s="12" t="s">
        <v>381</v>
      </c>
      <c r="K227" s="47">
        <v>6700000</v>
      </c>
    </row>
    <row r="228" spans="9:11" ht="15.75" customHeight="1" x14ac:dyDescent="0.2">
      <c r="I228" s="12" t="s">
        <v>378</v>
      </c>
      <c r="J228" s="12" t="s">
        <v>379</v>
      </c>
      <c r="K228" s="47">
        <v>6600000</v>
      </c>
    </row>
    <row r="229" spans="9:11" ht="15.75" customHeight="1" x14ac:dyDescent="0.2">
      <c r="I229" s="12" t="s">
        <v>376</v>
      </c>
      <c r="J229" s="12" t="s">
        <v>377</v>
      </c>
      <c r="K229" s="47">
        <v>6482774</v>
      </c>
    </row>
    <row r="230" spans="9:11" ht="15.75" customHeight="1" x14ac:dyDescent="0.2">
      <c r="I230" s="12" t="s">
        <v>374</v>
      </c>
      <c r="J230" s="12" t="s">
        <v>375</v>
      </c>
      <c r="K230" s="47">
        <v>6400480</v>
      </c>
    </row>
    <row r="231" spans="9:11" ht="15.75" customHeight="1" x14ac:dyDescent="0.2">
      <c r="I231" s="12" t="s">
        <v>372</v>
      </c>
      <c r="J231" s="12" t="s">
        <v>373</v>
      </c>
      <c r="K231" s="47">
        <v>6322000</v>
      </c>
    </row>
    <row r="232" spans="9:11" ht="15.75" customHeight="1" x14ac:dyDescent="0.2">
      <c r="I232" s="12" t="s">
        <v>370</v>
      </c>
      <c r="J232" s="12" t="s">
        <v>371</v>
      </c>
      <c r="K232" s="47">
        <v>6210000</v>
      </c>
    </row>
    <row r="233" spans="9:11" ht="15.75" customHeight="1" x14ac:dyDescent="0.2">
      <c r="I233" s="12" t="s">
        <v>368</v>
      </c>
      <c r="J233" s="12" t="s">
        <v>369</v>
      </c>
      <c r="K233" s="47">
        <v>6042960</v>
      </c>
    </row>
    <row r="234" spans="9:11" ht="15.75" customHeight="1" x14ac:dyDescent="0.2">
      <c r="I234" s="12" t="s">
        <v>364</v>
      </c>
      <c r="J234" s="12" t="s">
        <v>365</v>
      </c>
      <c r="K234" s="47">
        <v>6000000</v>
      </c>
    </row>
    <row r="235" spans="9:11" ht="15.75" customHeight="1" x14ac:dyDescent="0.2">
      <c r="I235" s="12" t="s">
        <v>366</v>
      </c>
      <c r="J235" s="12" t="s">
        <v>367</v>
      </c>
      <c r="K235" s="47">
        <v>6000000</v>
      </c>
    </row>
    <row r="236" spans="9:11" ht="15.75" customHeight="1" x14ac:dyDescent="0.2">
      <c r="I236" s="12" t="s">
        <v>212</v>
      </c>
      <c r="J236" s="12" t="s">
        <v>213</v>
      </c>
      <c r="K236" s="47">
        <v>5636970</v>
      </c>
    </row>
    <row r="237" spans="9:11" ht="15.75" customHeight="1" x14ac:dyDescent="0.2">
      <c r="I237" s="12" t="s">
        <v>362</v>
      </c>
      <c r="J237" s="12" t="s">
        <v>363</v>
      </c>
      <c r="K237" s="20">
        <v>5355603</v>
      </c>
    </row>
    <row r="238" spans="9:11" ht="15.75" customHeight="1" x14ac:dyDescent="0.2">
      <c r="I238" s="12" t="s">
        <v>358</v>
      </c>
      <c r="J238" s="12" t="s">
        <v>359</v>
      </c>
      <c r="K238" s="47">
        <v>5000000</v>
      </c>
    </row>
    <row r="239" spans="9:11" ht="15.75" customHeight="1" x14ac:dyDescent="0.2">
      <c r="I239" s="12" t="s">
        <v>360</v>
      </c>
      <c r="J239" s="12" t="s">
        <v>361</v>
      </c>
      <c r="K239" s="47">
        <v>5000000</v>
      </c>
    </row>
    <row r="240" spans="9:11" ht="15.75" customHeight="1" x14ac:dyDescent="0.2">
      <c r="I240" s="12" t="s">
        <v>356</v>
      </c>
      <c r="J240" s="12" t="s">
        <v>357</v>
      </c>
      <c r="K240" s="47">
        <v>4889618</v>
      </c>
    </row>
    <row r="241" spans="9:11" ht="15.75" customHeight="1" x14ac:dyDescent="0.2">
      <c r="I241" s="12" t="s">
        <v>354</v>
      </c>
      <c r="J241" s="12" t="s">
        <v>355</v>
      </c>
      <c r="K241" s="47">
        <v>4500000</v>
      </c>
    </row>
    <row r="242" spans="9:11" ht="15.75" customHeight="1" x14ac:dyDescent="0.2">
      <c r="I242" s="12" t="s">
        <v>352</v>
      </c>
      <c r="J242" s="12" t="s">
        <v>353</v>
      </c>
      <c r="K242" s="47">
        <v>4480000</v>
      </c>
    </row>
    <row r="243" spans="9:11" ht="15.75" customHeight="1" x14ac:dyDescent="0.2">
      <c r="I243" s="12" t="s">
        <v>350</v>
      </c>
      <c r="J243" s="12" t="s">
        <v>351</v>
      </c>
      <c r="K243" s="47">
        <v>4304000</v>
      </c>
    </row>
    <row r="244" spans="9:11" ht="15.75" customHeight="1" x14ac:dyDescent="0.2">
      <c r="I244" s="12" t="s">
        <v>348</v>
      </c>
      <c r="J244" s="12" t="s">
        <v>349</v>
      </c>
      <c r="K244" s="47">
        <v>4188000</v>
      </c>
    </row>
    <row r="245" spans="9:11" ht="15.75" customHeight="1" x14ac:dyDescent="0.2">
      <c r="I245" s="12" t="s">
        <v>346</v>
      </c>
      <c r="J245" s="12" t="s">
        <v>347</v>
      </c>
      <c r="K245" s="47">
        <v>3800000</v>
      </c>
    </row>
    <row r="246" spans="9:11" ht="15.75" customHeight="1" x14ac:dyDescent="0.2">
      <c r="I246" s="12" t="s">
        <v>344</v>
      </c>
      <c r="J246" s="12" t="s">
        <v>345</v>
      </c>
      <c r="K246" s="47">
        <v>3772834</v>
      </c>
    </row>
    <row r="247" spans="9:11" ht="15.75" customHeight="1" x14ac:dyDescent="0.2">
      <c r="I247" s="12" t="s">
        <v>342</v>
      </c>
      <c r="J247" s="12" t="s">
        <v>343</v>
      </c>
      <c r="K247" s="47">
        <v>3650000</v>
      </c>
    </row>
    <row r="248" spans="9:11" ht="15.75" customHeight="1" x14ac:dyDescent="0.2">
      <c r="I248" s="12" t="s">
        <v>340</v>
      </c>
      <c r="J248" s="12" t="s">
        <v>341</v>
      </c>
      <c r="K248" s="47">
        <v>3618160</v>
      </c>
    </row>
    <row r="249" spans="9:11" ht="15.75" customHeight="1" x14ac:dyDescent="0.2">
      <c r="I249" s="12" t="s">
        <v>336</v>
      </c>
      <c r="J249" s="12" t="s">
        <v>337</v>
      </c>
      <c r="K249" s="47">
        <v>3270000</v>
      </c>
    </row>
    <row r="250" spans="9:11" ht="15.75" customHeight="1" x14ac:dyDescent="0.2">
      <c r="I250" s="12" t="s">
        <v>338</v>
      </c>
      <c r="J250" s="12" t="s">
        <v>339</v>
      </c>
      <c r="K250" s="47">
        <v>3270000</v>
      </c>
    </row>
    <row r="251" spans="9:11" ht="15.75" customHeight="1" x14ac:dyDescent="0.2">
      <c r="I251" s="12" t="s">
        <v>334</v>
      </c>
      <c r="J251" s="12" t="s">
        <v>335</v>
      </c>
      <c r="K251" s="47">
        <v>3268800</v>
      </c>
    </row>
    <row r="252" spans="9:11" ht="15.75" customHeight="1" x14ac:dyDescent="0.2">
      <c r="I252" s="12" t="s">
        <v>332</v>
      </c>
      <c r="J252" s="12" t="s">
        <v>333</v>
      </c>
      <c r="K252" s="47">
        <v>3100000</v>
      </c>
    </row>
    <row r="253" spans="9:11" ht="15.75" customHeight="1" x14ac:dyDescent="0.2">
      <c r="I253" s="12" t="s">
        <v>330</v>
      </c>
      <c r="J253" s="12" t="s">
        <v>331</v>
      </c>
      <c r="K253" s="47">
        <v>3000000</v>
      </c>
    </row>
    <row r="254" spans="9:11" ht="15.75" customHeight="1" x14ac:dyDescent="0.2">
      <c r="I254" s="12" t="s">
        <v>328</v>
      </c>
      <c r="J254" s="12" t="s">
        <v>329</v>
      </c>
      <c r="K254" s="47">
        <v>2940000</v>
      </c>
    </row>
    <row r="255" spans="9:11" ht="15.75" customHeight="1" x14ac:dyDescent="0.2">
      <c r="I255" s="12" t="s">
        <v>326</v>
      </c>
      <c r="J255" s="12" t="s">
        <v>327</v>
      </c>
      <c r="K255" s="47">
        <v>2500000</v>
      </c>
    </row>
    <row r="256" spans="9:11" ht="15.75" customHeight="1" x14ac:dyDescent="0.2">
      <c r="I256" s="12" t="s">
        <v>324</v>
      </c>
      <c r="J256" s="12" t="s">
        <v>325</v>
      </c>
      <c r="K256" s="47">
        <v>2250000</v>
      </c>
    </row>
    <row r="257" spans="9:11" ht="15.75" customHeight="1" x14ac:dyDescent="0.2">
      <c r="I257" s="12" t="s">
        <v>322</v>
      </c>
      <c r="J257" s="12" t="s">
        <v>323</v>
      </c>
      <c r="K257" s="47">
        <v>2240770</v>
      </c>
    </row>
    <row r="258" spans="9:11" ht="15.75" customHeight="1" x14ac:dyDescent="0.2">
      <c r="I258" s="12" t="s">
        <v>320</v>
      </c>
      <c r="J258" s="12" t="s">
        <v>321</v>
      </c>
      <c r="K258" s="47">
        <v>2150000</v>
      </c>
    </row>
    <row r="259" spans="9:11" ht="15.75" customHeight="1" x14ac:dyDescent="0.2">
      <c r="I259" s="12" t="s">
        <v>318</v>
      </c>
      <c r="J259" s="12" t="s">
        <v>319</v>
      </c>
      <c r="K259" s="47">
        <v>2000000</v>
      </c>
    </row>
    <row r="260" spans="9:11" ht="15.75" customHeight="1" x14ac:dyDescent="0.2">
      <c r="I260" s="12" t="s">
        <v>316</v>
      </c>
      <c r="J260" s="12" t="s">
        <v>317</v>
      </c>
      <c r="K260" s="47">
        <v>1887762</v>
      </c>
    </row>
    <row r="261" spans="9:11" ht="15.75" customHeight="1" x14ac:dyDescent="0.2">
      <c r="I261" s="12" t="s">
        <v>314</v>
      </c>
      <c r="J261" s="12" t="s">
        <v>315</v>
      </c>
      <c r="K261" s="47">
        <v>1755000</v>
      </c>
    </row>
    <row r="262" spans="9:11" ht="15.75" customHeight="1" x14ac:dyDescent="0.2">
      <c r="I262" s="12" t="s">
        <v>312</v>
      </c>
      <c r="J262" s="12" t="s">
        <v>313</v>
      </c>
      <c r="K262" s="47">
        <v>1700000</v>
      </c>
    </row>
    <row r="263" spans="9:11" ht="15.75" customHeight="1" x14ac:dyDescent="0.2">
      <c r="I263" s="12" t="s">
        <v>310</v>
      </c>
      <c r="J263" s="12" t="s">
        <v>311</v>
      </c>
      <c r="K263" s="47">
        <v>1586400</v>
      </c>
    </row>
    <row r="264" spans="9:11" ht="15.75" customHeight="1" x14ac:dyDescent="0.2">
      <c r="I264" s="12" t="s">
        <v>308</v>
      </c>
      <c r="J264" s="12" t="s">
        <v>309</v>
      </c>
      <c r="K264" s="47">
        <v>1500000</v>
      </c>
    </row>
    <row r="265" spans="9:11" ht="15.75" customHeight="1" x14ac:dyDescent="0.2">
      <c r="I265" s="12" t="s">
        <v>306</v>
      </c>
      <c r="J265" s="12" t="s">
        <v>307</v>
      </c>
      <c r="K265" s="47">
        <v>1350000</v>
      </c>
    </row>
    <row r="266" spans="9:11" ht="15.75" customHeight="1" x14ac:dyDescent="0.2">
      <c r="I266" s="12" t="s">
        <v>304</v>
      </c>
      <c r="J266" s="12" t="s">
        <v>305</v>
      </c>
      <c r="K266" s="47">
        <v>1304000</v>
      </c>
    </row>
    <row r="267" spans="9:11" ht="15.75" customHeight="1" x14ac:dyDescent="0.2">
      <c r="I267" s="12" t="s">
        <v>302</v>
      </c>
      <c r="J267" s="12" t="s">
        <v>303</v>
      </c>
      <c r="K267" s="47">
        <v>1200000</v>
      </c>
    </row>
    <row r="268" spans="9:11" ht="15.75" customHeight="1" x14ac:dyDescent="0.2">
      <c r="I268" s="12" t="s">
        <v>300</v>
      </c>
      <c r="J268" s="12" t="s">
        <v>301</v>
      </c>
      <c r="K268" s="47">
        <v>1147500</v>
      </c>
    </row>
    <row r="269" spans="9:11" ht="15.75" customHeight="1" x14ac:dyDescent="0.2">
      <c r="I269" s="12" t="s">
        <v>298</v>
      </c>
      <c r="J269" s="12" t="s">
        <v>299</v>
      </c>
      <c r="K269" s="47">
        <v>1097495</v>
      </c>
    </row>
    <row r="270" spans="9:11" ht="15.75" customHeight="1" x14ac:dyDescent="0.2">
      <c r="I270" s="12" t="s">
        <v>296</v>
      </c>
      <c r="J270" s="12" t="s">
        <v>297</v>
      </c>
      <c r="K270" s="47">
        <v>1090000</v>
      </c>
    </row>
    <row r="271" spans="9:11" ht="15.75" customHeight="1" x14ac:dyDescent="0.2">
      <c r="I271" s="12" t="s">
        <v>294</v>
      </c>
      <c r="J271" s="12" t="s">
        <v>295</v>
      </c>
      <c r="K271" s="47">
        <v>1000000</v>
      </c>
    </row>
    <row r="272" spans="9:11" ht="15.75" customHeight="1" x14ac:dyDescent="0.2">
      <c r="I272" s="12" t="s">
        <v>292</v>
      </c>
      <c r="J272" s="12" t="s">
        <v>293</v>
      </c>
      <c r="K272" s="47">
        <v>960000</v>
      </c>
    </row>
    <row r="273" spans="9:11" ht="15.75" customHeight="1" x14ac:dyDescent="0.2">
      <c r="I273" s="12" t="s">
        <v>290</v>
      </c>
      <c r="J273" s="12" t="s">
        <v>291</v>
      </c>
      <c r="K273" s="47">
        <v>825000</v>
      </c>
    </row>
    <row r="274" spans="9:11" ht="15.75" customHeight="1" x14ac:dyDescent="0.2">
      <c r="I274" s="12" t="s">
        <v>288</v>
      </c>
      <c r="J274" s="12" t="s">
        <v>289</v>
      </c>
      <c r="K274" s="47">
        <v>820000</v>
      </c>
    </row>
    <row r="275" spans="9:11" ht="15.75" customHeight="1" x14ac:dyDescent="0.2">
      <c r="I275" s="12" t="s">
        <v>286</v>
      </c>
      <c r="J275" s="12" t="s">
        <v>287</v>
      </c>
      <c r="K275" s="47">
        <v>800000</v>
      </c>
    </row>
    <row r="276" spans="9:11" ht="15.75" customHeight="1" x14ac:dyDescent="0.2">
      <c r="I276" s="12" t="s">
        <v>284</v>
      </c>
      <c r="J276" s="12" t="s">
        <v>285</v>
      </c>
      <c r="K276" s="47">
        <v>750000</v>
      </c>
    </row>
    <row r="277" spans="9:11" ht="15.75" customHeight="1" x14ac:dyDescent="0.2">
      <c r="I277" s="12" t="s">
        <v>282</v>
      </c>
      <c r="J277" s="12" t="s">
        <v>283</v>
      </c>
      <c r="K277" s="47">
        <v>700000</v>
      </c>
    </row>
    <row r="278" spans="9:11" ht="15.75" customHeight="1" x14ac:dyDescent="0.2">
      <c r="I278" s="12" t="s">
        <v>280</v>
      </c>
      <c r="J278" s="12" t="s">
        <v>281</v>
      </c>
      <c r="K278" s="47">
        <v>600000</v>
      </c>
    </row>
    <row r="279" spans="9:11" ht="15.75" customHeight="1" x14ac:dyDescent="0.2">
      <c r="I279" s="12" t="s">
        <v>278</v>
      </c>
      <c r="J279" s="12" t="s">
        <v>279</v>
      </c>
      <c r="K279" s="47">
        <v>550001</v>
      </c>
    </row>
    <row r="280" spans="9:11" ht="15.75" customHeight="1" x14ac:dyDescent="0.2">
      <c r="I280" s="12" t="s">
        <v>276</v>
      </c>
      <c r="J280" s="12" t="s">
        <v>277</v>
      </c>
      <c r="K280" s="47">
        <v>500000</v>
      </c>
    </row>
    <row r="281" spans="9:11" ht="15.75" customHeight="1" x14ac:dyDescent="0.2">
      <c r="I281" s="12" t="s">
        <v>274</v>
      </c>
      <c r="J281" s="12" t="s">
        <v>275</v>
      </c>
      <c r="K281" s="47">
        <v>450000</v>
      </c>
    </row>
    <row r="282" spans="9:11" ht="15.75" customHeight="1" x14ac:dyDescent="0.2">
      <c r="I282" s="12" t="s">
        <v>127</v>
      </c>
      <c r="J282" s="12" t="s">
        <v>128</v>
      </c>
      <c r="K282" s="47">
        <v>400000</v>
      </c>
    </row>
    <row r="283" spans="9:11" ht="15.75" customHeight="1" x14ac:dyDescent="0.2">
      <c r="I283" s="12" t="s">
        <v>266</v>
      </c>
      <c r="J283" s="12" t="s">
        <v>267</v>
      </c>
      <c r="K283" s="47">
        <v>200000</v>
      </c>
    </row>
    <row r="284" spans="9:11" ht="15.75" customHeight="1" x14ac:dyDescent="0.2">
      <c r="I284" s="12" t="s">
        <v>268</v>
      </c>
      <c r="J284" s="12" t="s">
        <v>269</v>
      </c>
      <c r="K284" s="47">
        <v>200000</v>
      </c>
    </row>
    <row r="285" spans="9:11" ht="15.75" customHeight="1" x14ac:dyDescent="0.2">
      <c r="I285" s="12" t="s">
        <v>270</v>
      </c>
      <c r="J285" s="12" t="s">
        <v>271</v>
      </c>
      <c r="K285" s="47">
        <v>200000</v>
      </c>
    </row>
    <row r="286" spans="9:11" ht="15.75" customHeight="1" x14ac:dyDescent="0.2">
      <c r="I286" s="12" t="s">
        <v>272</v>
      </c>
      <c r="J286" s="12" t="s">
        <v>273</v>
      </c>
      <c r="K286" s="47">
        <v>200000</v>
      </c>
    </row>
    <row r="287" spans="9:11" ht="15.75" customHeight="1" x14ac:dyDescent="0.2">
      <c r="I287" s="12" t="s">
        <v>264</v>
      </c>
      <c r="J287" s="12" t="s">
        <v>265</v>
      </c>
      <c r="K287" s="47">
        <v>140000</v>
      </c>
    </row>
    <row r="288" spans="9:11" ht="15.75" customHeight="1" x14ac:dyDescent="0.2">
      <c r="I288" s="12" t="s">
        <v>262</v>
      </c>
      <c r="J288" s="12" t="s">
        <v>263</v>
      </c>
      <c r="K288" s="47">
        <v>84000</v>
      </c>
    </row>
    <row r="289" spans="9:12" ht="15.75" customHeight="1" x14ac:dyDescent="0.2">
      <c r="I289" s="12" t="s">
        <v>260</v>
      </c>
      <c r="J289" s="12" t="s">
        <v>261</v>
      </c>
      <c r="K289" s="47">
        <v>9</v>
      </c>
    </row>
    <row r="290" spans="9:12" ht="15.75" customHeight="1" x14ac:dyDescent="0.2">
      <c r="I290" s="30" t="s">
        <v>112</v>
      </c>
      <c r="J290" s="30" t="s">
        <v>113</v>
      </c>
      <c r="K290" s="26">
        <v>0</v>
      </c>
    </row>
    <row r="291" spans="9:12" ht="15.75" customHeight="1" x14ac:dyDescent="0.2">
      <c r="I291" s="30" t="s">
        <v>114</v>
      </c>
      <c r="J291" s="30" t="s">
        <v>115</v>
      </c>
      <c r="K291" s="26">
        <v>0</v>
      </c>
    </row>
    <row r="292" spans="9:12" ht="15.75" customHeight="1" x14ac:dyDescent="0.2">
      <c r="I292" s="30" t="s">
        <v>34</v>
      </c>
      <c r="J292" s="30" t="s">
        <v>35</v>
      </c>
      <c r="K292" s="26">
        <v>0</v>
      </c>
      <c r="L292">
        <v>9</v>
      </c>
    </row>
    <row r="293" spans="9:12" ht="15.75" customHeight="1" x14ac:dyDescent="0.2">
      <c r="I293" s="16"/>
      <c r="J293" s="16"/>
      <c r="K293" s="21">
        <f>SUM(K16:K292)</f>
        <v>165745023797</v>
      </c>
    </row>
    <row r="295" spans="9:12" ht="15.75" customHeight="1" x14ac:dyDescent="0.2">
      <c r="J295" s="49" t="s">
        <v>792</v>
      </c>
      <c r="K295" s="50">
        <v>35874588206</v>
      </c>
    </row>
    <row r="297" spans="9:12" ht="15.75" customHeight="1" x14ac:dyDescent="0.2">
      <c r="K297" s="50"/>
    </row>
  </sheetData>
  <autoFilter ref="I15:K293" xr:uid="{00000000-0001-0000-0000-000000000000}"/>
  <sortState xmlns:xlrd2="http://schemas.microsoft.com/office/spreadsheetml/2017/richdata2" ref="I16:K292">
    <sortCondition descending="1" ref="K16:K292"/>
  </sortState>
  <mergeCells count="10">
    <mergeCell ref="M15:O15"/>
    <mergeCell ref="M8:M12"/>
    <mergeCell ref="N10:O10"/>
    <mergeCell ref="I1:K1"/>
    <mergeCell ref="I14:K14"/>
    <mergeCell ref="E43:G43"/>
    <mergeCell ref="E1:G1"/>
    <mergeCell ref="A1:C1"/>
    <mergeCell ref="A33:C33"/>
    <mergeCell ref="A48:C48"/>
  </mergeCells>
  <pageMargins left="0" right="0.70866141732283472" top="0" bottom="0" header="0.31496062992125984" footer="0.31496062992125984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پیش پرداخت اولیه</vt:lpstr>
      <vt:lpstr>'پیش پرداخت اولیه'!Print_Area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اصغر رکن آبادی</dc:creator>
  <cp:lastModifiedBy>اصغر رکن آبادی</cp:lastModifiedBy>
  <cp:lastPrinted>2025-05-06T11:31:57Z</cp:lastPrinted>
  <dcterms:created xsi:type="dcterms:W3CDTF">2025-05-05T07:04:00Z</dcterms:created>
  <dcterms:modified xsi:type="dcterms:W3CDTF">2025-11-16T13:36:27Z</dcterms:modified>
</cp:coreProperties>
</file>