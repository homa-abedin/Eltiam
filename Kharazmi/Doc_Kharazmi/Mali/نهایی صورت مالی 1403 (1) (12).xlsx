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NEW Dashboard\Eltiam\Kharazmi\Doc_Kharazmi\Mali\"/>
    </mc:Choice>
  </mc:AlternateContent>
  <xr:revisionPtr revIDLastSave="0" documentId="13_ncr:1_{E113FAAB-F0AB-4A0D-9F1D-2DDF5EB04A47}" xr6:coauthVersionLast="47" xr6:coauthVersionMax="47" xr10:uidLastSave="{00000000-0000-0000-0000-000000000000}"/>
  <bookViews>
    <workbookView xWindow="28680" yWindow="15" windowWidth="29040" windowHeight="15840" tabRatio="873" firstSheet="4" activeTab="29" xr2:uid="{00000000-000D-0000-FFFF-FFFF00000000}"/>
  </bookViews>
  <sheets>
    <sheet name="ص امضا" sheetId="1" r:id="rId1"/>
    <sheet name="سودوزيان" sheetId="2" r:id="rId2"/>
    <sheet name="وضعيت مالي" sheetId="3" r:id="rId3"/>
    <sheet name="حقوق مالكانه " sheetId="4" r:id="rId4"/>
    <sheet name="جريان هاي نقدي" sheetId="5" r:id="rId5"/>
    <sheet name="تاريخچه" sheetId="6" r:id="rId6"/>
    <sheet name="6 اهم رويه ها" sheetId="7" r:id="rId7"/>
    <sheet name="7ادامه" sheetId="8" r:id="rId8"/>
    <sheet name="5" sheetId="9" r:id="rId9"/>
    <sheet name="5-5" sheetId="10" r:id="rId10"/>
    <sheet name="6" sheetId="11" state="hidden" r:id="rId11"/>
    <sheet name="5-10" sheetId="47" r:id="rId12"/>
    <sheet name="6-1" sheetId="12" r:id="rId13"/>
    <sheet name="6-2" sheetId="13" r:id="rId14"/>
    <sheet name="12" sheetId="15" state="hidden" r:id="rId15"/>
    <sheet name="8.9.10.11" sheetId="14" r:id="rId16"/>
    <sheet name="12 اصلی" sheetId="48" r:id="rId17"/>
    <sheet name="12-1" sheetId="17" r:id="rId18"/>
    <sheet name="12-2" sheetId="18" r:id="rId19"/>
    <sheet name="12-8" sheetId="19" r:id="rId20"/>
    <sheet name="13-14" sheetId="20" r:id="rId21"/>
    <sheet name="15" sheetId="21" r:id="rId22"/>
    <sheet name="15-16" sheetId="22" r:id="rId23"/>
    <sheet name="17" sheetId="23" r:id="rId24"/>
    <sheet name="17-2" sheetId="24" r:id="rId25"/>
    <sheet name="17-4" sheetId="25" r:id="rId26"/>
    <sheet name="17-6" sheetId="26" r:id="rId27"/>
    <sheet name="18" sheetId="27" r:id="rId28"/>
    <sheet name="19-20-21" sheetId="28" r:id="rId29"/>
    <sheet name="22" sheetId="29" r:id="rId30"/>
    <sheet name="22-1" sheetId="30" r:id="rId31"/>
    <sheet name="22-3" sheetId="31" r:id="rId32"/>
    <sheet name="22-4" sheetId="32" r:id="rId33"/>
    <sheet name="23-24" sheetId="33" state="hidden" r:id="rId34"/>
    <sheet name="23" sheetId="34" r:id="rId35"/>
    <sheet name="25" sheetId="35" r:id="rId36"/>
    <sheet name="26-27" sheetId="37" r:id="rId37"/>
    <sheet name="28-29" sheetId="38" r:id="rId38"/>
    <sheet name="30" sheetId="39" r:id="rId39"/>
    <sheet name="30-1 " sheetId="46" r:id="rId40"/>
    <sheet name="31" sheetId="41" state="hidden" r:id="rId41"/>
    <sheet name="31-32 " sheetId="45" r:id="rId42"/>
    <sheet name="33-34" sheetId="43" r:id="rId43"/>
    <sheet name="35" sheetId="44" state="hidden" r:id="rId44"/>
  </sheets>
  <externalReferences>
    <externalReference r:id="rId45"/>
    <externalReference r:id="rId46"/>
  </externalReferences>
  <definedNames>
    <definedName name="_xlnm._FilterDatabase" localSheetId="27" hidden="1">'18'!$A$16:$XFB$49</definedName>
    <definedName name="_xlnm._FilterDatabase" localSheetId="31" hidden="1">'22-3'!$D$6:$L$71</definedName>
    <definedName name="_xlnm._FilterDatabase" localSheetId="5" hidden="1">تاريخچه!$A$1:$K$1</definedName>
    <definedName name="A" localSheetId="22">#REF!</definedName>
    <definedName name="A" localSheetId="23">#REF!</definedName>
    <definedName name="A" localSheetId="24">#REF!</definedName>
    <definedName name="A" localSheetId="25">#REF!</definedName>
    <definedName name="A" localSheetId="30">#REF!</definedName>
    <definedName name="A" localSheetId="31">#REF!</definedName>
    <definedName name="A" localSheetId="32">#REF!</definedName>
    <definedName name="A" localSheetId="33">#REF!</definedName>
    <definedName name="A" localSheetId="35">#REF!</definedName>
    <definedName name="A" localSheetId="39">#REF!</definedName>
    <definedName name="A" localSheetId="41">#REF!</definedName>
    <definedName name="A" localSheetId="11">#REF!</definedName>
    <definedName name="A" localSheetId="6">#REF!</definedName>
    <definedName name="A" localSheetId="7">#REF!</definedName>
    <definedName name="A" localSheetId="3">#REF!</definedName>
    <definedName name="A">#REF!</definedName>
    <definedName name="K488." localSheetId="22">#REF!</definedName>
    <definedName name="K488." localSheetId="23">#REF!</definedName>
    <definedName name="K488." localSheetId="24">#REF!</definedName>
    <definedName name="K488." localSheetId="25">#REF!</definedName>
    <definedName name="K488." localSheetId="30">#REF!</definedName>
    <definedName name="K488." localSheetId="31">#REF!</definedName>
    <definedName name="K488." localSheetId="32">#REF!</definedName>
    <definedName name="K488." localSheetId="33">#REF!</definedName>
    <definedName name="K488." localSheetId="35">#REF!</definedName>
    <definedName name="K488." localSheetId="39">#REF!</definedName>
    <definedName name="K488." localSheetId="41">#REF!</definedName>
    <definedName name="K488." localSheetId="11">#REF!</definedName>
    <definedName name="K488." localSheetId="6">#REF!</definedName>
    <definedName name="K488." localSheetId="7">#REF!</definedName>
    <definedName name="K488." localSheetId="3">#REF!</definedName>
    <definedName name="K488.">#REF!</definedName>
    <definedName name="l" localSheetId="22">#REF!</definedName>
    <definedName name="l" localSheetId="23">#REF!</definedName>
    <definedName name="l" localSheetId="24">#REF!</definedName>
    <definedName name="l" localSheetId="25">#REF!</definedName>
    <definedName name="l" localSheetId="30">#REF!</definedName>
    <definedName name="l" localSheetId="31">#REF!</definedName>
    <definedName name="l" localSheetId="32">#REF!</definedName>
    <definedName name="l" localSheetId="33">#REF!</definedName>
    <definedName name="l" localSheetId="35">#REF!</definedName>
    <definedName name="l" localSheetId="39">#REF!</definedName>
    <definedName name="l" localSheetId="41">#REF!</definedName>
    <definedName name="l" localSheetId="11">#REF!</definedName>
    <definedName name="l" localSheetId="3">#REF!</definedName>
    <definedName name="l">#REF!</definedName>
    <definedName name="_xlnm.Print_Area" localSheetId="14">'12'!$B$1:$AD$23</definedName>
    <definedName name="_xlnm.Print_Area" localSheetId="17">'12-1'!$A$1:$AB$28</definedName>
    <definedName name="_xlnm.Print_Area" localSheetId="18">'12-2'!$A$1:$I$19</definedName>
    <definedName name="_xlnm.Print_Area" localSheetId="19">'12-8'!$A$1:$K$33</definedName>
    <definedName name="_xlnm.Print_Area" localSheetId="20">'13-14'!$A$1:$T$46</definedName>
    <definedName name="_xlnm.Print_Area" localSheetId="21">'15'!$A$1:$M$48</definedName>
    <definedName name="_xlnm.Print_Area" localSheetId="22">'15-16'!$A$1:$N$84</definedName>
    <definedName name="_xlnm.Print_Area" localSheetId="23">'17'!$A$1:$J$54</definedName>
    <definedName name="_xlnm.Print_Area" localSheetId="24">'17-2'!$B$1:$J$51</definedName>
    <definedName name="_xlnm.Print_Area" localSheetId="25">'17-4'!$A$1:$J$52</definedName>
    <definedName name="_xlnm.Print_Area" localSheetId="26">'17-6'!$A$1:$K$20</definedName>
    <definedName name="_xlnm.Print_Area" localSheetId="27">'18'!$A$1:$L$65</definedName>
    <definedName name="_xlnm.Print_Area" localSheetId="28">'19-20-21'!$A$1:$R$49</definedName>
    <definedName name="_xlnm.Print_Area" localSheetId="29">'22'!$A$1:$J$51</definedName>
    <definedName name="_xlnm.Print_Area" localSheetId="30">'22-1'!$A$1:$K$65</definedName>
    <definedName name="_xlnm.Print_Area" localSheetId="31">'22-3'!$A$1:$I$75</definedName>
    <definedName name="_xlnm.Print_Area" localSheetId="32">'22-4'!$B$1:$H$133</definedName>
    <definedName name="_xlnm.Print_Area" localSheetId="34">'23'!$A$1:$T$43</definedName>
    <definedName name="_xlnm.Print_Area" localSheetId="33">'23-24'!$A$1:$U$44</definedName>
    <definedName name="_xlnm.Print_Area" localSheetId="35">'25'!$A$1:$J$65</definedName>
    <definedName name="_xlnm.Print_Area" localSheetId="36">'26-27'!$A$1:$O$24</definedName>
    <definedName name="_xlnm.Print_Area" localSheetId="37">'28-29'!$A$1:$J$62</definedName>
    <definedName name="_xlnm.Print_Area" localSheetId="38">'30'!$A$1:$G$33</definedName>
    <definedName name="_xlnm.Print_Area" localSheetId="39">'30-1 '!$A$1:$U$35</definedName>
    <definedName name="_xlnm.Print_Area" localSheetId="40">'31'!$A$1:$H$38</definedName>
    <definedName name="_xlnm.Print_Area" localSheetId="41">'31-32 '!$A$1:$R$37</definedName>
    <definedName name="_xlnm.Print_Area" localSheetId="42">'33-34'!$A$1:$E$39</definedName>
    <definedName name="_xlnm.Print_Area" localSheetId="8">'5'!$A$1:$O$72</definedName>
    <definedName name="_xlnm.Print_Area" localSheetId="11">'5-10'!$A$1:$I$48</definedName>
    <definedName name="_xlnm.Print_Area" localSheetId="9">'5-5'!$A$1:$M$54</definedName>
    <definedName name="_xlnm.Print_Area" localSheetId="10">'6'!$A$1:$T$30</definedName>
    <definedName name="_xlnm.Print_Area" localSheetId="6">'6 اهم رويه ها'!$A$1:$F$42</definedName>
    <definedName name="_xlnm.Print_Area" localSheetId="12">'6-1'!$A$1:$M$77</definedName>
    <definedName name="_xlnm.Print_Area" localSheetId="13">'6-2'!$A$1:$L$62</definedName>
    <definedName name="_xlnm.Print_Area" localSheetId="7">'7ادامه'!$A$1:$G$52</definedName>
    <definedName name="_xlnm.Print_Area" localSheetId="15">'8.9.10.11'!$A$1:$J$50</definedName>
    <definedName name="_xlnm.Print_Area" localSheetId="5">تاريخچه!$A$1:$K$34</definedName>
    <definedName name="_xlnm.Print_Area" localSheetId="4">'جريان هاي نقدي'!$A$1:$H$46</definedName>
    <definedName name="_xlnm.Print_Area" localSheetId="3">'حقوق مالكانه '!$A$1:$K$38</definedName>
    <definedName name="_xlnm.Print_Area" localSheetId="1">سودوزيان!$A$1:$I$40</definedName>
    <definedName name="_xlnm.Print_Area" localSheetId="0">'ص امضا'!$A$1:$N$33</definedName>
    <definedName name="_xlnm.Print_Area" localSheetId="2">'وضعيت مالي'!$A$1:$J$56</definedName>
    <definedName name="_xlnm.Print_Titles" localSheetId="21">'15'!$1:$3</definedName>
    <definedName name="_xlnm.Print_Titles" localSheetId="12">'6-1'!$1:$3</definedName>
    <definedName name="_xlnm.Print_Titles" localSheetId="4">'جريان هاي نقدي'!$1:$7</definedName>
    <definedName name="_xlnm.Print_Titles" localSheetId="3">'حقوق مالكانه '!$1:$11</definedName>
    <definedName name="_xlnm.Print_Titles" localSheetId="2">'وضعيت مالي'!$1:$3</definedName>
    <definedName name="Z_0217B062_3422_4910_A8B0_511582B74DC1_.wvu.FilterData" localSheetId="31" hidden="1">'22-3'!$A$8:$WWD$8</definedName>
    <definedName name="Z_021A06D4_9C7D_4B6B_97CA_6F1458C9BECF_.wvu.FilterData" localSheetId="27" hidden="1">'18'!$A$16:$XFB$49</definedName>
    <definedName name="Z_184BCED3_EADB_44CF_BFDA_DA8D3E7206C0_.wvu.Cols" localSheetId="30" hidden="1">'22-1'!$J:$J</definedName>
    <definedName name="Z_184BCED3_EADB_44CF_BFDA_DA8D3E7206C0_.wvu.Cols" localSheetId="31" hidden="1">'22-3'!$J:$J</definedName>
    <definedName name="Z_184BCED3_EADB_44CF_BFDA_DA8D3E7206C0_.wvu.Cols" localSheetId="40" hidden="1">'31'!$D:$D,'31'!#REF!</definedName>
    <definedName name="Z_184BCED3_EADB_44CF_BFDA_DA8D3E7206C0_.wvu.Cols" localSheetId="13" hidden="1">'6-2'!$K:$K</definedName>
    <definedName name="Z_184BCED3_EADB_44CF_BFDA_DA8D3E7206C0_.wvu.Cols" localSheetId="5" hidden="1">تاريخچه!#REF!</definedName>
    <definedName name="Z_184BCED3_EADB_44CF_BFDA_DA8D3E7206C0_.wvu.FilterData" localSheetId="27" hidden="1">'18'!$A$16:$XFB$49</definedName>
    <definedName name="Z_184BCED3_EADB_44CF_BFDA_DA8D3E7206C0_.wvu.FilterData" localSheetId="31" hidden="1">'22-3'!$A$8:$WWD$8</definedName>
    <definedName name="Z_184BCED3_EADB_44CF_BFDA_DA8D3E7206C0_.wvu.FilterData" localSheetId="5" hidden="1">تاريخچه!$A$1:$K$1</definedName>
    <definedName name="Z_184BCED3_EADB_44CF_BFDA_DA8D3E7206C0_.wvu.PrintArea" localSheetId="14" hidden="1">'12'!$B$1:$AD$23</definedName>
    <definedName name="Z_184BCED3_EADB_44CF_BFDA_DA8D3E7206C0_.wvu.PrintArea" localSheetId="17" hidden="1">'12-1'!$A$1:$AB$28</definedName>
    <definedName name="Z_184BCED3_EADB_44CF_BFDA_DA8D3E7206C0_.wvu.PrintArea" localSheetId="18" hidden="1">'12-2'!$A$1:$H$18</definedName>
    <definedName name="Z_184BCED3_EADB_44CF_BFDA_DA8D3E7206C0_.wvu.PrintArea" localSheetId="19" hidden="1">'12-8'!$A$1:$J$33</definedName>
    <definedName name="Z_184BCED3_EADB_44CF_BFDA_DA8D3E7206C0_.wvu.PrintArea" localSheetId="20" hidden="1">'13-14'!$A$1:$T$46</definedName>
    <definedName name="Z_184BCED3_EADB_44CF_BFDA_DA8D3E7206C0_.wvu.PrintArea" localSheetId="21" hidden="1">'15'!$A$1:$M$48</definedName>
    <definedName name="Z_184BCED3_EADB_44CF_BFDA_DA8D3E7206C0_.wvu.PrintArea" localSheetId="22" hidden="1">'15-16'!$A$1:$N$84</definedName>
    <definedName name="Z_184BCED3_EADB_44CF_BFDA_DA8D3E7206C0_.wvu.PrintArea" localSheetId="23" hidden="1">'17'!$A$1:$J$54</definedName>
    <definedName name="Z_184BCED3_EADB_44CF_BFDA_DA8D3E7206C0_.wvu.PrintArea" localSheetId="24" hidden="1">'17-2'!$A$1:$J$50</definedName>
    <definedName name="Z_184BCED3_EADB_44CF_BFDA_DA8D3E7206C0_.wvu.PrintArea" localSheetId="25" hidden="1">'17-4'!$A$1:$J$52</definedName>
    <definedName name="Z_184BCED3_EADB_44CF_BFDA_DA8D3E7206C0_.wvu.PrintArea" localSheetId="26" hidden="1">'17-6'!$A$1:$J$20</definedName>
    <definedName name="Z_184BCED3_EADB_44CF_BFDA_DA8D3E7206C0_.wvu.PrintArea" localSheetId="27" hidden="1">'18'!$A$1:$L$65</definedName>
    <definedName name="Z_184BCED3_EADB_44CF_BFDA_DA8D3E7206C0_.wvu.PrintArea" localSheetId="28" hidden="1">'19-20-21'!$A$1:$R$49</definedName>
    <definedName name="Z_184BCED3_EADB_44CF_BFDA_DA8D3E7206C0_.wvu.PrintArea" localSheetId="29" hidden="1">'22'!$A$1:$J$51</definedName>
    <definedName name="Z_184BCED3_EADB_44CF_BFDA_DA8D3E7206C0_.wvu.PrintArea" localSheetId="30" hidden="1">'22-1'!$A$1:$K$58</definedName>
    <definedName name="Z_184BCED3_EADB_44CF_BFDA_DA8D3E7206C0_.wvu.PrintArea" localSheetId="31" hidden="1">'22-3'!$A$1:$I$75</definedName>
    <definedName name="Z_184BCED3_EADB_44CF_BFDA_DA8D3E7206C0_.wvu.PrintArea" localSheetId="32" hidden="1">'22-4'!$A$1:$H$133</definedName>
    <definedName name="Z_184BCED3_EADB_44CF_BFDA_DA8D3E7206C0_.wvu.PrintArea" localSheetId="34" hidden="1">'23'!$B$1:$T$43</definedName>
    <definedName name="Z_184BCED3_EADB_44CF_BFDA_DA8D3E7206C0_.wvu.PrintArea" localSheetId="33" hidden="1">'23-24'!$A$1:$U$44</definedName>
    <definedName name="Z_184BCED3_EADB_44CF_BFDA_DA8D3E7206C0_.wvu.PrintArea" localSheetId="35" hidden="1">'25'!$A$1:$J$65</definedName>
    <definedName name="Z_184BCED3_EADB_44CF_BFDA_DA8D3E7206C0_.wvu.PrintArea" localSheetId="36" hidden="1">'26-27'!$A$1:$N$21</definedName>
    <definedName name="Z_184BCED3_EADB_44CF_BFDA_DA8D3E7206C0_.wvu.PrintArea" localSheetId="37" hidden="1">'28-29'!$A$1:$J$62</definedName>
    <definedName name="Z_184BCED3_EADB_44CF_BFDA_DA8D3E7206C0_.wvu.PrintArea" localSheetId="38" hidden="1">'30'!$A$1:$G$33</definedName>
    <definedName name="Z_184BCED3_EADB_44CF_BFDA_DA8D3E7206C0_.wvu.PrintArea" localSheetId="40" hidden="1">'31'!$A$1:$H$38</definedName>
    <definedName name="Z_184BCED3_EADB_44CF_BFDA_DA8D3E7206C0_.wvu.PrintArea" localSheetId="8" hidden="1">'5'!$A$1:$M$64</definedName>
    <definedName name="Z_184BCED3_EADB_44CF_BFDA_DA8D3E7206C0_.wvu.PrintArea" localSheetId="11" hidden="1">'5-10'!$A$1:$J$62</definedName>
    <definedName name="Z_184BCED3_EADB_44CF_BFDA_DA8D3E7206C0_.wvu.PrintArea" localSheetId="9" hidden="1">'5-5'!$A$1:$M$79</definedName>
    <definedName name="Z_184BCED3_EADB_44CF_BFDA_DA8D3E7206C0_.wvu.PrintArea" localSheetId="10" hidden="1">'6'!$A$1:$T$30</definedName>
    <definedName name="Z_184BCED3_EADB_44CF_BFDA_DA8D3E7206C0_.wvu.PrintArea" localSheetId="6" hidden="1">'6 اهم رويه ها'!$A$1:$F$42</definedName>
    <definedName name="Z_184BCED3_EADB_44CF_BFDA_DA8D3E7206C0_.wvu.PrintArea" localSheetId="13" hidden="1">'6-2'!$A$1:$M$62</definedName>
    <definedName name="Z_184BCED3_EADB_44CF_BFDA_DA8D3E7206C0_.wvu.PrintArea" localSheetId="7" hidden="1">'7ادامه'!$A$1:$G$52</definedName>
    <definedName name="Z_184BCED3_EADB_44CF_BFDA_DA8D3E7206C0_.wvu.PrintArea" localSheetId="15" hidden="1">'8.9.10.11'!$A$1:$K$50</definedName>
    <definedName name="Z_184BCED3_EADB_44CF_BFDA_DA8D3E7206C0_.wvu.PrintArea" localSheetId="5" hidden="1">تاريخچه!$A$1:$K$34</definedName>
    <definedName name="Z_184BCED3_EADB_44CF_BFDA_DA8D3E7206C0_.wvu.PrintArea" localSheetId="4" hidden="1">'جريان هاي نقدي'!$A$1:$H$46</definedName>
    <definedName name="Z_184BCED3_EADB_44CF_BFDA_DA8D3E7206C0_.wvu.PrintArea" localSheetId="3" hidden="1">'حقوق مالكانه '!$A$1:$K$38</definedName>
    <definedName name="Z_184BCED3_EADB_44CF_BFDA_DA8D3E7206C0_.wvu.PrintArea" localSheetId="1" hidden="1">سودوزيان!$A$1:$I$40</definedName>
    <definedName name="Z_184BCED3_EADB_44CF_BFDA_DA8D3E7206C0_.wvu.PrintArea" localSheetId="0" hidden="1">'ص امضا'!$A$1:$N$35</definedName>
    <definedName name="Z_184BCED3_EADB_44CF_BFDA_DA8D3E7206C0_.wvu.PrintTitles" localSheetId="21" hidden="1">'15'!$1:$3</definedName>
    <definedName name="Z_184BCED3_EADB_44CF_BFDA_DA8D3E7206C0_.wvu.PrintTitles" localSheetId="12" hidden="1">'6-1'!$1:$3</definedName>
    <definedName name="Z_184BCED3_EADB_44CF_BFDA_DA8D3E7206C0_.wvu.PrintTitles" localSheetId="4" hidden="1">'جريان هاي نقدي'!$1:$7</definedName>
    <definedName name="Z_184BCED3_EADB_44CF_BFDA_DA8D3E7206C0_.wvu.PrintTitles" localSheetId="3" hidden="1">'حقوق مالكانه '!$1:$11</definedName>
    <definedName name="Z_184BCED3_EADB_44CF_BFDA_DA8D3E7206C0_.wvu.PrintTitles" localSheetId="2" hidden="1">'وضعيت مالي'!$1:$3</definedName>
    <definedName name="Z_184BCED3_EADB_44CF_BFDA_DA8D3E7206C0_.wvu.Rows" localSheetId="16" hidden="1">'12 اصلی'!$15:$15</definedName>
    <definedName name="Z_184BCED3_EADB_44CF_BFDA_DA8D3E7206C0_.wvu.Rows" localSheetId="20" hidden="1">'13-14'!$37:$37</definedName>
    <definedName name="Z_184BCED3_EADB_44CF_BFDA_DA8D3E7206C0_.wvu.Rows" localSheetId="23" hidden="1">'17'!$21:$21</definedName>
    <definedName name="Z_184BCED3_EADB_44CF_BFDA_DA8D3E7206C0_.wvu.Rows" localSheetId="30" hidden="1">'22-1'!#REF!</definedName>
    <definedName name="Z_184BCED3_EADB_44CF_BFDA_DA8D3E7206C0_.wvu.Rows" localSheetId="32" hidden="1">'22-4'!$20:$80,'22-4'!#REF!,'22-4'!$127:$128</definedName>
    <definedName name="Z_184BCED3_EADB_44CF_BFDA_DA8D3E7206C0_.wvu.Rows" localSheetId="37" hidden="1">'28-29'!$52:$61</definedName>
    <definedName name="Z_184BCED3_EADB_44CF_BFDA_DA8D3E7206C0_.wvu.Rows" localSheetId="11" hidden="1">'5-10'!$18:$23</definedName>
    <definedName name="Z_184BCED3_EADB_44CF_BFDA_DA8D3E7206C0_.wvu.Rows" localSheetId="9" hidden="1">'5-5'!$30:$32</definedName>
    <definedName name="Z_184BCED3_EADB_44CF_BFDA_DA8D3E7206C0_.wvu.Rows" localSheetId="4" hidden="1">'جريان هاي نقدي'!$32:$32,'جريان هاي نقدي'!$34:$35</definedName>
    <definedName name="Z_184BCED3_EADB_44CF_BFDA_DA8D3E7206C0_.wvu.Rows" localSheetId="3" hidden="1">'حقوق مالكانه '!$17:$17,'حقوق مالكانه '!$26:$26</definedName>
    <definedName name="Z_184BCED3_EADB_44CF_BFDA_DA8D3E7206C0_.wvu.Rows" localSheetId="2" hidden="1">'وضعيت مالي'!$51:$55</definedName>
    <definedName name="Z_1D411C57_96CE_4BBF_8D3E_B918893EDD7D_.wvu.FilterData" localSheetId="27" hidden="1">'18'!$A$16:$XFB$49</definedName>
    <definedName name="Z_29DC3ACC_A088_4CC2_B299_5E913706D23E_.wvu.FilterData" localSheetId="31" hidden="1">'22-3'!$A$8:$WWD$8</definedName>
    <definedName name="Z_31CEFD3E_C61D_4835_8BC4_7A8C2A54C4F3_.wvu.FilterData" localSheetId="31" hidden="1">'22-3'!$A$8:$WWD$8</definedName>
    <definedName name="Z_34EECC7C_3E9C_4DD8_B7AD_B36D3E17618B_.wvu.FilterData" localSheetId="27" hidden="1">'18'!$A$16:$XFB$49</definedName>
    <definedName name="Z_39716EAB_185B_4ADF_90CF_1B1041867F58_.wvu.Cols" localSheetId="30" hidden="1">'22-1'!$J:$J</definedName>
    <definedName name="Z_39716EAB_185B_4ADF_90CF_1B1041867F58_.wvu.Cols" localSheetId="31" hidden="1">'22-3'!$J:$J</definedName>
    <definedName name="Z_39716EAB_185B_4ADF_90CF_1B1041867F58_.wvu.Cols" localSheetId="40" hidden="1">'31'!$D:$D,'31'!#REF!</definedName>
    <definedName name="Z_39716EAB_185B_4ADF_90CF_1B1041867F58_.wvu.Cols" localSheetId="13" hidden="1">'6-2'!$K:$K</definedName>
    <definedName name="Z_39716EAB_185B_4ADF_90CF_1B1041867F58_.wvu.Cols" localSheetId="5" hidden="1">تاريخچه!#REF!</definedName>
    <definedName name="Z_39716EAB_185B_4ADF_90CF_1B1041867F58_.wvu.FilterData" localSheetId="27" hidden="1">'18'!$A$16:$XFB$49</definedName>
    <definedName name="Z_39716EAB_185B_4ADF_90CF_1B1041867F58_.wvu.FilterData" localSheetId="31" hidden="1">'22-3'!$A$8:$WWD$8</definedName>
    <definedName name="Z_39716EAB_185B_4ADF_90CF_1B1041867F58_.wvu.FilterData" localSheetId="5" hidden="1">تاريخچه!$A$1:$K$1</definedName>
    <definedName name="Z_39716EAB_185B_4ADF_90CF_1B1041867F58_.wvu.PrintArea" localSheetId="14" hidden="1">'12'!$B$1:$AD$23</definedName>
    <definedName name="Z_39716EAB_185B_4ADF_90CF_1B1041867F58_.wvu.PrintArea" localSheetId="17" hidden="1">'12-1'!$A$1:$AB$28</definedName>
    <definedName name="Z_39716EAB_185B_4ADF_90CF_1B1041867F58_.wvu.PrintArea" localSheetId="18" hidden="1">'12-2'!$A$1:$H$18</definedName>
    <definedName name="Z_39716EAB_185B_4ADF_90CF_1B1041867F58_.wvu.PrintArea" localSheetId="19" hidden="1">'12-8'!$A$1:$J$33</definedName>
    <definedName name="Z_39716EAB_185B_4ADF_90CF_1B1041867F58_.wvu.PrintArea" localSheetId="20" hidden="1">'13-14'!$A$1:$T$46</definedName>
    <definedName name="Z_39716EAB_185B_4ADF_90CF_1B1041867F58_.wvu.PrintArea" localSheetId="21" hidden="1">'15'!$A$1:$M$48</definedName>
    <definedName name="Z_39716EAB_185B_4ADF_90CF_1B1041867F58_.wvu.PrintArea" localSheetId="22" hidden="1">'15-16'!$A$1:$N$79</definedName>
    <definedName name="Z_39716EAB_185B_4ADF_90CF_1B1041867F58_.wvu.PrintArea" localSheetId="23" hidden="1">'17'!$A$1:$J$54</definedName>
    <definedName name="Z_39716EAB_185B_4ADF_90CF_1B1041867F58_.wvu.PrintArea" localSheetId="24" hidden="1">'17-2'!$A$1:$J$50</definedName>
    <definedName name="Z_39716EAB_185B_4ADF_90CF_1B1041867F58_.wvu.PrintArea" localSheetId="25" hidden="1">'17-4'!$A$1:$J$52</definedName>
    <definedName name="Z_39716EAB_185B_4ADF_90CF_1B1041867F58_.wvu.PrintArea" localSheetId="26" hidden="1">'17-6'!$A$1:$J$20</definedName>
    <definedName name="Z_39716EAB_185B_4ADF_90CF_1B1041867F58_.wvu.PrintArea" localSheetId="27" hidden="1">'18'!$A$1:$L$65</definedName>
    <definedName name="Z_39716EAB_185B_4ADF_90CF_1B1041867F58_.wvu.PrintArea" localSheetId="28" hidden="1">'19-20-21'!$A$1:$R$49</definedName>
    <definedName name="Z_39716EAB_185B_4ADF_90CF_1B1041867F58_.wvu.PrintArea" localSheetId="29" hidden="1">'22'!$A$1:$J$51</definedName>
    <definedName name="Z_39716EAB_185B_4ADF_90CF_1B1041867F58_.wvu.PrintArea" localSheetId="30" hidden="1">'22-1'!$A$1:$K$65</definedName>
    <definedName name="Z_39716EAB_185B_4ADF_90CF_1B1041867F58_.wvu.PrintArea" localSheetId="31" hidden="1">'22-3'!$A$1:$I$75</definedName>
    <definedName name="Z_39716EAB_185B_4ADF_90CF_1B1041867F58_.wvu.PrintArea" localSheetId="32" hidden="1">'22-4'!$A$1:$H$133</definedName>
    <definedName name="Z_39716EAB_185B_4ADF_90CF_1B1041867F58_.wvu.PrintArea" localSheetId="34" hidden="1">'23'!$B$1:$T$43</definedName>
    <definedName name="Z_39716EAB_185B_4ADF_90CF_1B1041867F58_.wvu.PrintArea" localSheetId="33" hidden="1">'23-24'!$A$1:$U$44</definedName>
    <definedName name="Z_39716EAB_185B_4ADF_90CF_1B1041867F58_.wvu.PrintArea" localSheetId="35" hidden="1">'25'!$A$1:$J$65</definedName>
    <definedName name="Z_39716EAB_185B_4ADF_90CF_1B1041867F58_.wvu.PrintArea" localSheetId="36" hidden="1">'26-27'!$A$1:$N$21</definedName>
    <definedName name="Z_39716EAB_185B_4ADF_90CF_1B1041867F58_.wvu.PrintArea" localSheetId="37" hidden="1">'28-29'!$A$1:$J$62</definedName>
    <definedName name="Z_39716EAB_185B_4ADF_90CF_1B1041867F58_.wvu.PrintArea" localSheetId="38" hidden="1">'30'!$A$1:$G$33</definedName>
    <definedName name="Z_39716EAB_185B_4ADF_90CF_1B1041867F58_.wvu.PrintArea" localSheetId="40" hidden="1">'31'!$A$1:$H$38</definedName>
    <definedName name="Z_39716EAB_185B_4ADF_90CF_1B1041867F58_.wvu.PrintArea" localSheetId="8" hidden="1">'5'!$A$1:$M$64</definedName>
    <definedName name="Z_39716EAB_185B_4ADF_90CF_1B1041867F58_.wvu.PrintArea" localSheetId="11" hidden="1">'5-10'!$A$1:$J$62</definedName>
    <definedName name="Z_39716EAB_185B_4ADF_90CF_1B1041867F58_.wvu.PrintArea" localSheetId="9" hidden="1">'5-5'!$A$1:$M$79</definedName>
    <definedName name="Z_39716EAB_185B_4ADF_90CF_1B1041867F58_.wvu.PrintArea" localSheetId="10" hidden="1">'6'!$A$1:$T$30</definedName>
    <definedName name="Z_39716EAB_185B_4ADF_90CF_1B1041867F58_.wvu.PrintArea" localSheetId="6" hidden="1">'6 اهم رويه ها'!$A$1:$F$42</definedName>
    <definedName name="Z_39716EAB_185B_4ADF_90CF_1B1041867F58_.wvu.PrintArea" localSheetId="13" hidden="1">'6-2'!$A$1:$M$62</definedName>
    <definedName name="Z_39716EAB_185B_4ADF_90CF_1B1041867F58_.wvu.PrintArea" localSheetId="7" hidden="1">'7ادامه'!$A$1:$G$52</definedName>
    <definedName name="Z_39716EAB_185B_4ADF_90CF_1B1041867F58_.wvu.PrintArea" localSheetId="15" hidden="1">'8.9.10.11'!$A$1:$K$50</definedName>
    <definedName name="Z_39716EAB_185B_4ADF_90CF_1B1041867F58_.wvu.PrintArea" localSheetId="5" hidden="1">تاريخچه!$A$1:$K$34</definedName>
    <definedName name="Z_39716EAB_185B_4ADF_90CF_1B1041867F58_.wvu.PrintArea" localSheetId="4" hidden="1">'جريان هاي نقدي'!$A$1:$H$46</definedName>
    <definedName name="Z_39716EAB_185B_4ADF_90CF_1B1041867F58_.wvu.PrintArea" localSheetId="3" hidden="1">'حقوق مالكانه '!$A$1:$K$38</definedName>
    <definedName name="Z_39716EAB_185B_4ADF_90CF_1B1041867F58_.wvu.PrintArea" localSheetId="1" hidden="1">سودوزيان!$A$1:$I$40</definedName>
    <definedName name="Z_39716EAB_185B_4ADF_90CF_1B1041867F58_.wvu.PrintArea" localSheetId="0" hidden="1">'ص امضا'!$A$1:$N$35</definedName>
    <definedName name="Z_39716EAB_185B_4ADF_90CF_1B1041867F58_.wvu.PrintTitles" localSheetId="21" hidden="1">'15'!$1:$3</definedName>
    <definedName name="Z_39716EAB_185B_4ADF_90CF_1B1041867F58_.wvu.PrintTitles" localSheetId="12" hidden="1">'6-1'!$1:$3</definedName>
    <definedName name="Z_39716EAB_185B_4ADF_90CF_1B1041867F58_.wvu.PrintTitles" localSheetId="4" hidden="1">'جريان هاي نقدي'!$1:$7</definedName>
    <definedName name="Z_39716EAB_185B_4ADF_90CF_1B1041867F58_.wvu.PrintTitles" localSheetId="3" hidden="1">'حقوق مالكانه '!$1:$11</definedName>
    <definedName name="Z_39716EAB_185B_4ADF_90CF_1B1041867F58_.wvu.PrintTitles" localSheetId="2" hidden="1">'وضعيت مالي'!$1:$3</definedName>
    <definedName name="Z_39716EAB_185B_4ADF_90CF_1B1041867F58_.wvu.Rows" localSheetId="16" hidden="1">'12 اصلی'!$15:$15</definedName>
    <definedName name="Z_39716EAB_185B_4ADF_90CF_1B1041867F58_.wvu.Rows" localSheetId="20" hidden="1">'13-14'!$37:$37</definedName>
    <definedName name="Z_39716EAB_185B_4ADF_90CF_1B1041867F58_.wvu.Rows" localSheetId="23" hidden="1">'17'!$21:$21</definedName>
    <definedName name="Z_39716EAB_185B_4ADF_90CF_1B1041867F58_.wvu.Rows" localSheetId="30" hidden="1">'22-1'!#REF!</definedName>
    <definedName name="Z_39716EAB_185B_4ADF_90CF_1B1041867F58_.wvu.Rows" localSheetId="32" hidden="1">'22-4'!$20:$81,'22-4'!#REF!,'22-4'!$127:$128</definedName>
    <definedName name="Z_39716EAB_185B_4ADF_90CF_1B1041867F58_.wvu.Rows" localSheetId="37" hidden="1">'28-29'!$52:$61</definedName>
    <definedName name="Z_39716EAB_185B_4ADF_90CF_1B1041867F58_.wvu.Rows" localSheetId="11" hidden="1">'5-10'!$18:$23</definedName>
    <definedName name="Z_39716EAB_185B_4ADF_90CF_1B1041867F58_.wvu.Rows" localSheetId="9" hidden="1">'5-5'!$30:$32</definedName>
    <definedName name="Z_39716EAB_185B_4ADF_90CF_1B1041867F58_.wvu.Rows" localSheetId="4" hidden="1">'جريان هاي نقدي'!$32:$32,'جريان هاي نقدي'!$34:$35</definedName>
    <definedName name="Z_39716EAB_185B_4ADF_90CF_1B1041867F58_.wvu.Rows" localSheetId="3" hidden="1">'حقوق مالكانه '!$17:$17,'حقوق مالكانه '!$26:$26</definedName>
    <definedName name="Z_39716EAB_185B_4ADF_90CF_1B1041867F58_.wvu.Rows" localSheetId="2" hidden="1">'وضعيت مالي'!$51:$55</definedName>
    <definedName name="Z_467EC018_F264_41FA_A5E0_D4825904DB57_.wvu.FilterData" localSheetId="27" hidden="1">'18'!$A$16:$XFB$49</definedName>
    <definedName name="Z_5CB8382F_C212_4512_9396_17792C62978E_.wvu.Cols" localSheetId="30" hidden="1">'22-1'!$J:$J</definedName>
    <definedName name="Z_5CB8382F_C212_4512_9396_17792C62978E_.wvu.Cols" localSheetId="31" hidden="1">'22-3'!$J:$J</definedName>
    <definedName name="Z_5CB8382F_C212_4512_9396_17792C62978E_.wvu.Cols" localSheetId="40" hidden="1">'31'!$D:$D,'31'!#REF!</definedName>
    <definedName name="Z_5CB8382F_C212_4512_9396_17792C62978E_.wvu.Cols" localSheetId="13" hidden="1">'6-2'!$K:$K</definedName>
    <definedName name="Z_5CB8382F_C212_4512_9396_17792C62978E_.wvu.Cols" localSheetId="5" hidden="1">تاريخچه!#REF!</definedName>
    <definedName name="Z_5CB8382F_C212_4512_9396_17792C62978E_.wvu.FilterData" localSheetId="27" hidden="1">'18'!$A$16:$XFB$49</definedName>
    <definedName name="Z_5CB8382F_C212_4512_9396_17792C62978E_.wvu.FilterData" localSheetId="31" hidden="1">'22-3'!$A$8:$WWD$8</definedName>
    <definedName name="Z_5CB8382F_C212_4512_9396_17792C62978E_.wvu.FilterData" localSheetId="5" hidden="1">تاريخچه!$A$1:$K$1</definedName>
    <definedName name="Z_5CB8382F_C212_4512_9396_17792C62978E_.wvu.PrintArea" localSheetId="14" hidden="1">'12'!$B$1:$AD$23</definedName>
    <definedName name="Z_5CB8382F_C212_4512_9396_17792C62978E_.wvu.PrintArea" localSheetId="17" hidden="1">'12-1'!$A$1:$AB$28</definedName>
    <definedName name="Z_5CB8382F_C212_4512_9396_17792C62978E_.wvu.PrintArea" localSheetId="18" hidden="1">'12-2'!$A$1:$H$18</definedName>
    <definedName name="Z_5CB8382F_C212_4512_9396_17792C62978E_.wvu.PrintArea" localSheetId="19" hidden="1">'12-8'!$A$1:$J$33</definedName>
    <definedName name="Z_5CB8382F_C212_4512_9396_17792C62978E_.wvu.PrintArea" localSheetId="20" hidden="1">'13-14'!$A$1:$T$46</definedName>
    <definedName name="Z_5CB8382F_C212_4512_9396_17792C62978E_.wvu.PrintArea" localSheetId="21" hidden="1">'15'!$A$1:$M$48</definedName>
    <definedName name="Z_5CB8382F_C212_4512_9396_17792C62978E_.wvu.PrintArea" localSheetId="22" hidden="1">'15-16'!$A$1:$N$79</definedName>
    <definedName name="Z_5CB8382F_C212_4512_9396_17792C62978E_.wvu.PrintArea" localSheetId="23" hidden="1">'17'!$A$1:$J$54</definedName>
    <definedName name="Z_5CB8382F_C212_4512_9396_17792C62978E_.wvu.PrintArea" localSheetId="24" hidden="1">'17-2'!$A$1:$J$50</definedName>
    <definedName name="Z_5CB8382F_C212_4512_9396_17792C62978E_.wvu.PrintArea" localSheetId="25" hidden="1">'17-4'!$A$1:$J$52</definedName>
    <definedName name="Z_5CB8382F_C212_4512_9396_17792C62978E_.wvu.PrintArea" localSheetId="26" hidden="1">'17-6'!$A$1:$J$20</definedName>
    <definedName name="Z_5CB8382F_C212_4512_9396_17792C62978E_.wvu.PrintArea" localSheetId="27" hidden="1">'18'!$A$1:$L$65</definedName>
    <definedName name="Z_5CB8382F_C212_4512_9396_17792C62978E_.wvu.PrintArea" localSheetId="28" hidden="1">'19-20-21'!$A$1:$R$49</definedName>
    <definedName name="Z_5CB8382F_C212_4512_9396_17792C62978E_.wvu.PrintArea" localSheetId="29" hidden="1">'22'!$A$1:$J$51</definedName>
    <definedName name="Z_5CB8382F_C212_4512_9396_17792C62978E_.wvu.PrintArea" localSheetId="30" hidden="1">'22-1'!$A$1:$K$65</definedName>
    <definedName name="Z_5CB8382F_C212_4512_9396_17792C62978E_.wvu.PrintArea" localSheetId="31" hidden="1">'22-3'!$A$1:$I$75</definedName>
    <definedName name="Z_5CB8382F_C212_4512_9396_17792C62978E_.wvu.PrintArea" localSheetId="32" hidden="1">'22-4'!$A$1:$H$133</definedName>
    <definedName name="Z_5CB8382F_C212_4512_9396_17792C62978E_.wvu.PrintArea" localSheetId="34" hidden="1">'23'!$B$1:$T$43</definedName>
    <definedName name="Z_5CB8382F_C212_4512_9396_17792C62978E_.wvu.PrintArea" localSheetId="33" hidden="1">'23-24'!$A$1:$U$44</definedName>
    <definedName name="Z_5CB8382F_C212_4512_9396_17792C62978E_.wvu.PrintArea" localSheetId="35" hidden="1">'25'!$A$1:$J$65</definedName>
    <definedName name="Z_5CB8382F_C212_4512_9396_17792C62978E_.wvu.PrintArea" localSheetId="36" hidden="1">'26-27'!$A$1:$N$21</definedName>
    <definedName name="Z_5CB8382F_C212_4512_9396_17792C62978E_.wvu.PrintArea" localSheetId="37" hidden="1">'28-29'!$A$1:$J$62</definedName>
    <definedName name="Z_5CB8382F_C212_4512_9396_17792C62978E_.wvu.PrintArea" localSheetId="38" hidden="1">'30'!$A$1:$G$33</definedName>
    <definedName name="Z_5CB8382F_C212_4512_9396_17792C62978E_.wvu.PrintArea" localSheetId="40" hidden="1">'31'!$A$1:$H$38</definedName>
    <definedName name="Z_5CB8382F_C212_4512_9396_17792C62978E_.wvu.PrintArea" localSheetId="8" hidden="1">'5'!$A$1:$M$64</definedName>
    <definedName name="Z_5CB8382F_C212_4512_9396_17792C62978E_.wvu.PrintArea" localSheetId="11" hidden="1">'5-10'!$A$1:$J$62</definedName>
    <definedName name="Z_5CB8382F_C212_4512_9396_17792C62978E_.wvu.PrintArea" localSheetId="9" hidden="1">'5-5'!$A$1:$M$79</definedName>
    <definedName name="Z_5CB8382F_C212_4512_9396_17792C62978E_.wvu.PrintArea" localSheetId="10" hidden="1">'6'!$A$1:$T$30</definedName>
    <definedName name="Z_5CB8382F_C212_4512_9396_17792C62978E_.wvu.PrintArea" localSheetId="6" hidden="1">'6 اهم رويه ها'!$A$1:$F$42</definedName>
    <definedName name="Z_5CB8382F_C212_4512_9396_17792C62978E_.wvu.PrintArea" localSheetId="13" hidden="1">'6-2'!$A$1:$M$62</definedName>
    <definedName name="Z_5CB8382F_C212_4512_9396_17792C62978E_.wvu.PrintArea" localSheetId="7" hidden="1">'7ادامه'!$A$1:$G$52</definedName>
    <definedName name="Z_5CB8382F_C212_4512_9396_17792C62978E_.wvu.PrintArea" localSheetId="15" hidden="1">'8.9.10.11'!$A$1:$K$50</definedName>
    <definedName name="Z_5CB8382F_C212_4512_9396_17792C62978E_.wvu.PrintArea" localSheetId="5" hidden="1">تاريخچه!$A$1:$K$34</definedName>
    <definedName name="Z_5CB8382F_C212_4512_9396_17792C62978E_.wvu.PrintArea" localSheetId="4" hidden="1">'جريان هاي نقدي'!$A$1:$H$46</definedName>
    <definedName name="Z_5CB8382F_C212_4512_9396_17792C62978E_.wvu.PrintArea" localSheetId="3" hidden="1">'حقوق مالكانه '!$A$1:$K$38</definedName>
    <definedName name="Z_5CB8382F_C212_4512_9396_17792C62978E_.wvu.PrintArea" localSheetId="1" hidden="1">سودوزيان!$A$1:$I$40</definedName>
    <definedName name="Z_5CB8382F_C212_4512_9396_17792C62978E_.wvu.PrintArea" localSheetId="0" hidden="1">'ص امضا'!$A$1:$N$35</definedName>
    <definedName name="Z_5CB8382F_C212_4512_9396_17792C62978E_.wvu.PrintArea" localSheetId="2" hidden="1">'وضعيت مالي'!$A$1:$I$50</definedName>
    <definedName name="Z_5CB8382F_C212_4512_9396_17792C62978E_.wvu.PrintTitles" localSheetId="21" hidden="1">'15'!$1:$3</definedName>
    <definedName name="Z_5CB8382F_C212_4512_9396_17792C62978E_.wvu.PrintTitles" localSheetId="12" hidden="1">'6-1'!$1:$3</definedName>
    <definedName name="Z_5CB8382F_C212_4512_9396_17792C62978E_.wvu.PrintTitles" localSheetId="4" hidden="1">'جريان هاي نقدي'!$1:$7</definedName>
    <definedName name="Z_5CB8382F_C212_4512_9396_17792C62978E_.wvu.PrintTitles" localSheetId="3" hidden="1">'حقوق مالكانه '!$1:$11</definedName>
    <definedName name="Z_5CB8382F_C212_4512_9396_17792C62978E_.wvu.PrintTitles" localSheetId="2" hidden="1">'وضعيت مالي'!$1:$3</definedName>
    <definedName name="Z_5CB8382F_C212_4512_9396_17792C62978E_.wvu.Rows" localSheetId="16" hidden="1">'12 اصلی'!$15:$15</definedName>
    <definedName name="Z_5CB8382F_C212_4512_9396_17792C62978E_.wvu.Rows" localSheetId="20" hidden="1">'13-14'!$37:$37</definedName>
    <definedName name="Z_5CB8382F_C212_4512_9396_17792C62978E_.wvu.Rows" localSheetId="23" hidden="1">'17'!$21:$21</definedName>
    <definedName name="Z_5CB8382F_C212_4512_9396_17792C62978E_.wvu.Rows" localSheetId="30" hidden="1">'22-1'!#REF!</definedName>
    <definedName name="Z_5CB8382F_C212_4512_9396_17792C62978E_.wvu.Rows" localSheetId="32" hidden="1">'22-4'!$20:$81,'22-4'!#REF!,'22-4'!$127:$128</definedName>
    <definedName name="Z_5CB8382F_C212_4512_9396_17792C62978E_.wvu.Rows" localSheetId="37" hidden="1">'28-29'!$52:$61</definedName>
    <definedName name="Z_5CB8382F_C212_4512_9396_17792C62978E_.wvu.Rows" localSheetId="11" hidden="1">'5-10'!$18:$23</definedName>
    <definedName name="Z_5CB8382F_C212_4512_9396_17792C62978E_.wvu.Rows" localSheetId="9" hidden="1">'5-5'!$30:$32</definedName>
    <definedName name="Z_5CB8382F_C212_4512_9396_17792C62978E_.wvu.Rows" localSheetId="15" hidden="1">'8.9.10.11'!#REF!</definedName>
    <definedName name="Z_5CB8382F_C212_4512_9396_17792C62978E_.wvu.Rows" localSheetId="4" hidden="1">'جريان هاي نقدي'!$34:$35</definedName>
    <definedName name="Z_5CB8382F_C212_4512_9396_17792C62978E_.wvu.Rows" localSheetId="3" hidden="1">'حقوق مالكانه '!$17:$19,'حقوق مالكانه '!$26:$26</definedName>
    <definedName name="Z_5CB8382F_C212_4512_9396_17792C62978E_.wvu.Rows" localSheetId="1" hidden="1">سودوزيان!#REF!</definedName>
    <definedName name="Z_5CB8382F_C212_4512_9396_17792C62978E_.wvu.Rows" localSheetId="2" hidden="1">'وضعيت مالي'!$51:$55</definedName>
    <definedName name="Z_5DBC6DD7_3F0E_4DF6_ACC5_972EDE7ABDA6_.wvu.FilterData" localSheetId="27" hidden="1">'18'!$A$16:$XFB$49</definedName>
    <definedName name="Z_72720A05_E369_47DA_9B19_CAF5D270CB16_.wvu.FilterData" localSheetId="27" hidden="1">'18'!$A$16:$XFB$49</definedName>
    <definedName name="Z_9C720C81_B847_4729_90C6_DD33F8A42BC1_.wvu.FilterData" localSheetId="27" hidden="1">'18'!$A$16:$XFB$49</definedName>
    <definedName name="Z_A2B41768_4285_4D3C_9E5D_4C613CC23C32_.wvu.FilterData" localSheetId="31" hidden="1">'22-3'!$A$8:$WWD$8</definedName>
    <definedName name="Z_A8D47259_D7DB_4403_816D_52CEED617555_.wvu.FilterData" localSheetId="31" hidden="1">'22-3'!$A$8:$WWD$8</definedName>
    <definedName name="Z_A8D47259_D7DB_4403_816D_52CEED617555_.wvu.FilterData" localSheetId="5" hidden="1">تاريخچه!$A$1:$K$1</definedName>
    <definedName name="Z_BEDA0D02_A299_4F4F_8C41_BBF00C829130_.wvu.FilterData" localSheetId="27" hidden="1">'18'!$A$16:$XFB$49</definedName>
    <definedName name="اات" localSheetId="23">#REF!</definedName>
    <definedName name="اات" localSheetId="24">#REF!</definedName>
    <definedName name="اات" localSheetId="25">#REF!</definedName>
    <definedName name="اات" localSheetId="31">#REF!</definedName>
    <definedName name="اات" localSheetId="33">#REF!</definedName>
    <definedName name="اات" localSheetId="35">#REF!</definedName>
    <definedName name="اات" localSheetId="39">#REF!</definedName>
    <definedName name="اات" localSheetId="41">#REF!</definedName>
    <definedName name="اات" localSheetId="11">#REF!</definedName>
    <definedName name="اات" localSheetId="3">#REF!</definedName>
    <definedName name="اات">#REF!</definedName>
    <definedName name="ت" localSheetId="22">#REF!</definedName>
    <definedName name="ت" localSheetId="23">#REF!</definedName>
    <definedName name="ت" localSheetId="24">#REF!</definedName>
    <definedName name="ت" localSheetId="25">#REF!</definedName>
    <definedName name="ت" localSheetId="31">#REF!</definedName>
    <definedName name="ت" localSheetId="33">#REF!</definedName>
    <definedName name="ت" localSheetId="35">#REF!</definedName>
    <definedName name="ت" localSheetId="39">#REF!</definedName>
    <definedName name="ت" localSheetId="41">#REF!</definedName>
    <definedName name="ت" localSheetId="11">#REF!</definedName>
    <definedName name="ت" localSheetId="3">#REF!</definedName>
    <definedName name="ت">#REF!</definedName>
    <definedName name="ح204" localSheetId="22">#REF!</definedName>
    <definedName name="ح204" localSheetId="23">#REF!</definedName>
    <definedName name="ح204" localSheetId="24">#REF!</definedName>
    <definedName name="ح204" localSheetId="25">#REF!</definedName>
    <definedName name="ح204" localSheetId="30">#REF!</definedName>
    <definedName name="ح204" localSheetId="31">#REF!</definedName>
    <definedName name="ح204" localSheetId="32">#REF!</definedName>
    <definedName name="ح204" localSheetId="33">#REF!</definedName>
    <definedName name="ح204" localSheetId="35">#REF!</definedName>
    <definedName name="ح204" localSheetId="39">#REF!</definedName>
    <definedName name="ح204" localSheetId="41">#REF!</definedName>
    <definedName name="ح204" localSheetId="11">#REF!</definedName>
    <definedName name="ح204" localSheetId="6">#REF!</definedName>
    <definedName name="ح204" localSheetId="7">#REF!</definedName>
    <definedName name="ح204" localSheetId="3">#REF!</definedName>
    <definedName name="ح204">#REF!</definedName>
    <definedName name="ح44" localSheetId="22">#REF!</definedName>
    <definedName name="ح44" localSheetId="23">#REF!</definedName>
    <definedName name="ح44" localSheetId="24">#REF!</definedName>
    <definedName name="ح44" localSheetId="25">#REF!</definedName>
    <definedName name="ح44" localSheetId="30">#REF!</definedName>
    <definedName name="ح44" localSheetId="31">#REF!</definedName>
    <definedName name="ح44" localSheetId="32">#REF!</definedName>
    <definedName name="ح44" localSheetId="33">#REF!</definedName>
    <definedName name="ح44" localSheetId="35">#REF!</definedName>
    <definedName name="ح44" localSheetId="39">#REF!</definedName>
    <definedName name="ح44" localSheetId="41">#REF!</definedName>
    <definedName name="ح44" localSheetId="11">#REF!</definedName>
    <definedName name="ح44" localSheetId="6">#REF!</definedName>
    <definedName name="ح44" localSheetId="7">#REF!</definedName>
    <definedName name="ح44" localSheetId="3">#REF!</definedName>
    <definedName name="ح44">#REF!</definedName>
    <definedName name="ح444" localSheetId="23">#REF!</definedName>
    <definedName name="ح444" localSheetId="24">#REF!</definedName>
    <definedName name="ح444" localSheetId="25">#REF!</definedName>
    <definedName name="ح444" localSheetId="31">#REF!</definedName>
    <definedName name="ح444" localSheetId="33">#REF!</definedName>
    <definedName name="ح444" localSheetId="35">#REF!</definedName>
    <definedName name="ح444" localSheetId="39">#REF!</definedName>
    <definedName name="ح444" localSheetId="41">#REF!</definedName>
    <definedName name="ح444" localSheetId="11">#REF!</definedName>
    <definedName name="ح444" localSheetId="3">#REF!</definedName>
    <definedName name="ح444">#REF!</definedName>
    <definedName name="خ13" localSheetId="22">#REF!</definedName>
    <definedName name="خ13" localSheetId="23">#REF!</definedName>
    <definedName name="خ13" localSheetId="24">#REF!</definedName>
    <definedName name="خ13" localSheetId="25">#REF!</definedName>
    <definedName name="خ13" localSheetId="30">#REF!</definedName>
    <definedName name="خ13" localSheetId="31">#REF!</definedName>
    <definedName name="خ13" localSheetId="32">#REF!</definedName>
    <definedName name="خ13" localSheetId="33">#REF!</definedName>
    <definedName name="خ13" localSheetId="35">#REF!</definedName>
    <definedName name="خ13" localSheetId="39">#REF!</definedName>
    <definedName name="خ13" localSheetId="41">#REF!</definedName>
    <definedName name="خ13" localSheetId="11">#REF!</definedName>
    <definedName name="خ13" localSheetId="6">#REF!</definedName>
    <definedName name="خ13" localSheetId="7">#REF!</definedName>
    <definedName name="خ13" localSheetId="3">#REF!</definedName>
    <definedName name="خ13">#REF!</definedName>
    <definedName name="ق15" localSheetId="22">#REF!</definedName>
    <definedName name="ق15" localSheetId="23">#REF!</definedName>
    <definedName name="ق15" localSheetId="24">#REF!</definedName>
    <definedName name="ق15" localSheetId="25">#REF!</definedName>
    <definedName name="ق15" localSheetId="30">#REF!</definedName>
    <definedName name="ق15" localSheetId="31">#REF!</definedName>
    <definedName name="ق15" localSheetId="32">#REF!</definedName>
    <definedName name="ق15" localSheetId="33">#REF!</definedName>
    <definedName name="ق15" localSheetId="35">#REF!</definedName>
    <definedName name="ق15" localSheetId="39">#REF!</definedName>
    <definedName name="ق15" localSheetId="41">#REF!</definedName>
    <definedName name="ق15" localSheetId="11">#REF!</definedName>
    <definedName name="ق15" localSheetId="6">#REF!</definedName>
    <definedName name="ق15" localSheetId="7">#REF!</definedName>
    <definedName name="ق15" localSheetId="3">#REF!</definedName>
    <definedName name="ق15">#REF!</definedName>
    <definedName name="ق222" localSheetId="22">#REF!</definedName>
    <definedName name="ق222" localSheetId="23">#REF!</definedName>
    <definedName name="ق222" localSheetId="24">#REF!</definedName>
    <definedName name="ق222" localSheetId="25">#REF!</definedName>
    <definedName name="ق222" localSheetId="30">#REF!</definedName>
    <definedName name="ق222" localSheetId="31">#REF!</definedName>
    <definedName name="ق222" localSheetId="32">#REF!</definedName>
    <definedName name="ق222" localSheetId="33">#REF!</definedName>
    <definedName name="ق222" localSheetId="35">#REF!</definedName>
    <definedName name="ق222" localSheetId="39">#REF!</definedName>
    <definedName name="ق222" localSheetId="41">#REF!</definedName>
    <definedName name="ق222" localSheetId="11">#REF!</definedName>
    <definedName name="ق222" localSheetId="3">#REF!</definedName>
    <definedName name="ق222">#REF!</definedName>
    <definedName name="ک" localSheetId="22">#REF!</definedName>
    <definedName name="ک" localSheetId="23">#REF!</definedName>
    <definedName name="ک" localSheetId="24">#REF!</definedName>
    <definedName name="ک" localSheetId="25">#REF!</definedName>
    <definedName name="ک" localSheetId="30">#REF!</definedName>
    <definedName name="ک" localSheetId="31">#REF!</definedName>
    <definedName name="ک" localSheetId="32">#REF!</definedName>
    <definedName name="ک" localSheetId="33">#REF!</definedName>
    <definedName name="ک" localSheetId="35">#REF!</definedName>
    <definedName name="ک" localSheetId="39">#REF!</definedName>
    <definedName name="ک" localSheetId="41">#REF!</definedName>
    <definedName name="ک" localSheetId="11">#REF!</definedName>
    <definedName name="ک" localSheetId="3">#REF!</definedName>
    <definedName name="ک">#REF!</definedName>
    <definedName name="لب" localSheetId="22">#REF!</definedName>
    <definedName name="لب" localSheetId="23">#REF!</definedName>
    <definedName name="لب" localSheetId="24">#REF!</definedName>
    <definedName name="لب" localSheetId="25">#REF!</definedName>
    <definedName name="لب" localSheetId="31">#REF!</definedName>
    <definedName name="لب" localSheetId="33">#REF!</definedName>
    <definedName name="لب" localSheetId="35">#REF!</definedName>
    <definedName name="لب" localSheetId="39">#REF!</definedName>
    <definedName name="لب" localSheetId="41">#REF!</definedName>
    <definedName name="لب" localSheetId="11">#REF!</definedName>
    <definedName name="لب" localSheetId="3">#REF!</definedName>
    <definedName name="لب">#REF!</definedName>
    <definedName name="م1449" localSheetId="22">#REF!</definedName>
    <definedName name="م1449" localSheetId="23">#REF!</definedName>
    <definedName name="م1449" localSheetId="24">#REF!</definedName>
    <definedName name="م1449" localSheetId="25">#REF!</definedName>
    <definedName name="م1449" localSheetId="30">#REF!</definedName>
    <definedName name="م1449" localSheetId="31">#REF!</definedName>
    <definedName name="م1449" localSheetId="32">#REF!</definedName>
    <definedName name="م1449" localSheetId="33">#REF!</definedName>
    <definedName name="م1449" localSheetId="35">#REF!</definedName>
    <definedName name="م1449" localSheetId="39">#REF!</definedName>
    <definedName name="م1449" localSheetId="41">#REF!</definedName>
    <definedName name="م1449" localSheetId="11">#REF!</definedName>
    <definedName name="م1449" localSheetId="6">#REF!</definedName>
    <definedName name="م1449" localSheetId="7">#REF!</definedName>
    <definedName name="م1449" localSheetId="3">#REF!</definedName>
    <definedName name="م1449">#REF!</definedName>
    <definedName name="ي546" localSheetId="22">#REF!</definedName>
    <definedName name="ي546" localSheetId="23">#REF!</definedName>
    <definedName name="ي546" localSheetId="24">#REF!</definedName>
    <definedName name="ي546" localSheetId="25">#REF!</definedName>
    <definedName name="ي546" localSheetId="30">#REF!</definedName>
    <definedName name="ي546" localSheetId="31">#REF!</definedName>
    <definedName name="ي546" localSheetId="32">#REF!</definedName>
    <definedName name="ي546" localSheetId="33">#REF!</definedName>
    <definedName name="ي546" localSheetId="35">#REF!</definedName>
    <definedName name="ي546" localSheetId="39">#REF!</definedName>
    <definedName name="ي546" localSheetId="41">#REF!</definedName>
    <definedName name="ي546" localSheetId="11">#REF!</definedName>
    <definedName name="ي546" localSheetId="6">#REF!</definedName>
    <definedName name="ي546" localSheetId="7">#REF!</definedName>
    <definedName name="ي546" localSheetId="3">#REF!</definedName>
    <definedName name="ي546">#REF!</definedName>
  </definedNames>
  <calcPr calcId="191029"/>
  <customWorkbookViews>
    <customWorkbookView name="Mr. M.Sam - Personal View" guid="{39716EAB-185B-4ADF-90CF-1B1041867F58}" autoUpdate="1" mergeInterval="5" personalView="1" windowWidth="1366" windowHeight="728" tabRatio="901" activeSheetId="12"/>
    <customWorkbookView name="Hesabres2 - Personal View" guid="{5CB8382F-C212-4512-9396-17792C62978E}" mergeInterval="0" personalView="1" maximized="1" xWindow="-8" yWindow="-8" windowWidth="1616" windowHeight="876" tabRatio="901" activeSheetId="5"/>
    <customWorkbookView name="Mr. M.Ansari - Personal View" guid="{184BCED3-EADB-44CF-BFDA-DA8D3E7206C0}" mergeInterval="0" personalView="1" maximized="1" xWindow="-8" yWindow="-8" windowWidth="1382" windowHeight="744" tabRatio="93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5" i="2" l="1"/>
  <c r="F21" i="2"/>
  <c r="F18" i="2"/>
  <c r="G44" i="29"/>
  <c r="I47" i="29"/>
  <c r="O21" i="20"/>
  <c r="H9" i="3" s="1"/>
  <c r="H24" i="3"/>
  <c r="M10" i="5"/>
  <c r="H31" i="3" l="1"/>
  <c r="M47" i="29" s="1"/>
  <c r="J20" i="19"/>
  <c r="N41" i="10" l="1"/>
  <c r="H22" i="2"/>
  <c r="O27" i="45"/>
  <c r="H15" i="3"/>
  <c r="H28" i="3"/>
  <c r="V32" i="28" s="1"/>
  <c r="J32" i="28"/>
  <c r="J8" i="27"/>
  <c r="Q42" i="27" s="1"/>
  <c r="D21" i="19"/>
  <c r="F21" i="19"/>
  <c r="H21" i="19"/>
  <c r="X17" i="17"/>
  <c r="Q21" i="19" l="1"/>
  <c r="L45" i="47"/>
  <c r="H45" i="47"/>
  <c r="M45" i="47" s="1"/>
  <c r="R24" i="9"/>
  <c r="N51" i="10"/>
  <c r="P22" i="45"/>
  <c r="I22" i="4"/>
  <c r="L23" i="4" s="1"/>
  <c r="I31" i="5"/>
  <c r="N14" i="3"/>
  <c r="N13" i="3"/>
  <c r="O31" i="35"/>
  <c r="N31" i="35"/>
  <c r="V40" i="34"/>
  <c r="U40" i="34"/>
  <c r="L133" i="32"/>
  <c r="K133" i="32"/>
  <c r="K118" i="32"/>
  <c r="J118" i="32"/>
  <c r="K90" i="32"/>
  <c r="K82" i="32"/>
  <c r="J82" i="32"/>
  <c r="N59" i="30"/>
  <c r="M59" i="30"/>
  <c r="U32" i="28"/>
  <c r="V16" i="28"/>
  <c r="U16" i="28"/>
  <c r="Q63" i="27"/>
  <c r="P63" i="27"/>
  <c r="P50" i="27"/>
  <c r="P42" i="27"/>
  <c r="Q12" i="27"/>
  <c r="P12" i="27"/>
  <c r="N14" i="26"/>
  <c r="M14" i="26"/>
  <c r="N46" i="25"/>
  <c r="M46" i="25"/>
  <c r="N23" i="25"/>
  <c r="M23" i="25"/>
  <c r="N49" i="24"/>
  <c r="M49" i="24"/>
  <c r="M24" i="24"/>
  <c r="L24" i="24"/>
  <c r="N52" i="23"/>
  <c r="M52" i="23"/>
  <c r="Q76" i="22"/>
  <c r="P76" i="22"/>
  <c r="Q56" i="22"/>
  <c r="P56" i="22"/>
  <c r="Q33" i="22"/>
  <c r="P33" i="22"/>
  <c r="S47" i="21"/>
  <c r="R47" i="21"/>
  <c r="S36" i="21"/>
  <c r="R36" i="21"/>
  <c r="AH16" i="17"/>
  <c r="P12" i="14"/>
  <c r="O12" i="14"/>
  <c r="Q11" i="13"/>
  <c r="P11" i="13"/>
  <c r="Q70" i="12"/>
  <c r="P70" i="12"/>
  <c r="Q59" i="12"/>
  <c r="P59" i="12"/>
  <c r="S21" i="9"/>
  <c r="M25" i="47"/>
  <c r="L25" i="47"/>
  <c r="R22" i="9"/>
  <c r="R21" i="9"/>
  <c r="O29" i="10"/>
  <c r="O34" i="10"/>
  <c r="Q14" i="10"/>
  <c r="P14" i="10"/>
  <c r="R15" i="9"/>
  <c r="R13" i="9"/>
  <c r="S13" i="9"/>
  <c r="S12" i="9"/>
  <c r="R12" i="9"/>
  <c r="S10" i="9"/>
  <c r="R10" i="9"/>
  <c r="S9" i="9"/>
  <c r="R9" i="9"/>
  <c r="S17" i="9"/>
  <c r="R17" i="9"/>
  <c r="E17" i="5"/>
  <c r="G43" i="14"/>
  <c r="D16" i="38"/>
  <c r="I52" i="23"/>
  <c r="J23" i="25"/>
  <c r="G23" i="25"/>
  <c r="M46" i="47" l="1"/>
  <c r="L22" i="4"/>
  <c r="B7" i="25"/>
  <c r="G14" i="23"/>
  <c r="I12" i="14"/>
  <c r="I43" i="14"/>
  <c r="G12" i="14"/>
  <c r="E10" i="5"/>
  <c r="G32" i="23"/>
  <c r="P24" i="45" l="1"/>
  <c r="N30" i="46"/>
  <c r="N25" i="46"/>
  <c r="N15" i="46"/>
  <c r="G54" i="35"/>
  <c r="I16" i="45"/>
  <c r="H16" i="45"/>
  <c r="G16" i="45"/>
  <c r="F16" i="45"/>
  <c r="E16" i="45"/>
  <c r="J16" i="45"/>
  <c r="L14" i="45"/>
  <c r="P30" i="45"/>
  <c r="O32" i="45"/>
  <c r="P29" i="45"/>
  <c r="P25" i="45"/>
  <c r="P23" i="45"/>
  <c r="L10" i="45" l="1"/>
  <c r="L15" i="45"/>
  <c r="L13" i="45"/>
  <c r="L11" i="45"/>
  <c r="R14" i="45"/>
  <c r="L12" i="45"/>
  <c r="G70" i="31"/>
  <c r="G71" i="31" s="1"/>
  <c r="G12" i="26"/>
  <c r="G52" i="13" l="1"/>
  <c r="I45" i="29"/>
  <c r="H50" i="27"/>
  <c r="J50" i="27"/>
  <c r="J42" i="27"/>
  <c r="H42" i="27"/>
  <c r="H51" i="27" s="1"/>
  <c r="J51" i="27" l="1"/>
  <c r="J9" i="27"/>
  <c r="Q50" i="27"/>
  <c r="G53" i="13"/>
  <c r="G22" i="4"/>
  <c r="E22" i="4"/>
  <c r="E29" i="4" s="1"/>
  <c r="F22" i="4"/>
  <c r="F45" i="47"/>
  <c r="L32" i="3"/>
  <c r="K25" i="5"/>
  <c r="N23" i="34"/>
  <c r="L23" i="34"/>
  <c r="J23" i="34"/>
  <c r="I38" i="20"/>
  <c r="I12" i="4"/>
  <c r="I16" i="4" s="1"/>
  <c r="H118" i="32" l="1"/>
  <c r="I18" i="29"/>
  <c r="I13" i="29"/>
  <c r="I19" i="29" l="1"/>
  <c r="F82" i="32"/>
  <c r="I11" i="35"/>
  <c r="G33" i="14"/>
  <c r="G23" i="14"/>
  <c r="G24" i="14" s="1"/>
  <c r="J75" i="22"/>
  <c r="J71" i="22" l="1"/>
  <c r="J70" i="22"/>
  <c r="E52" i="13" l="1"/>
  <c r="E53" i="13"/>
  <c r="H19" i="32"/>
  <c r="I70" i="31"/>
  <c r="I58" i="30"/>
  <c r="J21" i="19"/>
  <c r="S21" i="19" s="1"/>
  <c r="J19" i="19"/>
  <c r="J18" i="19"/>
  <c r="J17" i="19"/>
  <c r="I44" i="10"/>
  <c r="K44" i="10" s="1"/>
  <c r="J63" i="27" l="1"/>
  <c r="H63" i="27"/>
  <c r="J56" i="22"/>
  <c r="O72" i="22"/>
  <c r="R26" i="34" l="1"/>
  <c r="O16" i="20"/>
  <c r="AH13" i="17" s="1"/>
  <c r="O15" i="20"/>
  <c r="G39" i="14"/>
  <c r="O17" i="20" l="1"/>
  <c r="J76" i="22"/>
  <c r="I27" i="12"/>
  <c r="J35" i="21" l="1"/>
  <c r="G13" i="26" l="1"/>
  <c r="G14" i="26" s="1"/>
  <c r="J36" i="21" l="1"/>
  <c r="F118" i="32" l="1"/>
  <c r="G34" i="29"/>
  <c r="G29" i="23"/>
  <c r="G46" i="25"/>
  <c r="F129" i="32"/>
  <c r="G30" i="29" s="1"/>
  <c r="G41" i="23" l="1"/>
  <c r="G42" i="23"/>
  <c r="G52" i="23" l="1"/>
  <c r="D16" i="37"/>
  <c r="D17" i="37" s="1"/>
  <c r="J33" i="22"/>
  <c r="Q14" i="48" l="1"/>
  <c r="H29" i="9"/>
  <c r="H71" i="9"/>
  <c r="H16" i="9" s="1"/>
  <c r="E50" i="10"/>
  <c r="E12" i="10"/>
  <c r="N12" i="10" s="1"/>
  <c r="G51" i="35"/>
  <c r="H48" i="9"/>
  <c r="H47" i="9"/>
  <c r="H46" i="9"/>
  <c r="H45" i="9"/>
  <c r="J46" i="25" l="1"/>
  <c r="G24" i="24"/>
  <c r="J9" i="21"/>
  <c r="L47" i="21"/>
  <c r="J47" i="21"/>
  <c r="H125" i="32" l="1"/>
  <c r="G11" i="13" l="1"/>
  <c r="I66" i="12"/>
  <c r="I70" i="12" s="1"/>
  <c r="H25" i="47"/>
  <c r="J24" i="6"/>
  <c r="J25" i="6" s="1"/>
  <c r="F24" i="38"/>
  <c r="F20" i="38"/>
  <c r="F25" i="38" s="1"/>
  <c r="J30" i="28"/>
  <c r="K11" i="20"/>
  <c r="O10" i="20"/>
  <c r="R12" i="17"/>
  <c r="P12" i="17"/>
  <c r="F12" i="17"/>
  <c r="F15" i="17" s="1"/>
  <c r="H21" i="2"/>
  <c r="I33" i="14"/>
  <c r="I24" i="14"/>
  <c r="V33" i="28" l="1"/>
  <c r="K69" i="12"/>
  <c r="K68" i="12"/>
  <c r="K67" i="12"/>
  <c r="K66" i="12"/>
  <c r="K69" i="31" l="1"/>
  <c r="P74" i="22"/>
  <c r="A3" i="22"/>
  <c r="F14" i="3"/>
  <c r="U8" i="48" l="1"/>
  <c r="AC8" i="48" s="1"/>
  <c r="W12" i="48"/>
  <c r="W17" i="48" s="1"/>
  <c r="AA11" i="48"/>
  <c r="C12" i="48"/>
  <c r="E12" i="48"/>
  <c r="G12" i="48"/>
  <c r="G17" i="48" s="1"/>
  <c r="F16" i="17" s="1"/>
  <c r="I12" i="48"/>
  <c r="I17" i="48" s="1"/>
  <c r="K12" i="48"/>
  <c r="K17" i="48" s="1"/>
  <c r="M12" i="48"/>
  <c r="M17" i="48" s="1"/>
  <c r="O12" i="48"/>
  <c r="O17" i="48" s="1"/>
  <c r="Q12" i="48"/>
  <c r="Q17" i="48" s="1"/>
  <c r="S12" i="48"/>
  <c r="Y12" i="48"/>
  <c r="Y17" i="48" s="1"/>
  <c r="U13" i="48"/>
  <c r="AC13" i="48" s="1"/>
  <c r="U14" i="48"/>
  <c r="AC14" i="48" s="1"/>
  <c r="U15" i="48"/>
  <c r="AC15" i="48" s="1"/>
  <c r="U16" i="48"/>
  <c r="AC16" i="48" s="1"/>
  <c r="C17" i="48"/>
  <c r="AA17" i="48"/>
  <c r="S17" i="48" l="1"/>
  <c r="R17" i="17"/>
  <c r="E14" i="5"/>
  <c r="E17" i="48"/>
  <c r="D17" i="17"/>
  <c r="U12" i="48"/>
  <c r="U17" i="48" s="1"/>
  <c r="AC11" i="48"/>
  <c r="AC12" i="48" s="1"/>
  <c r="AC17" i="48" s="1"/>
  <c r="I24" i="13" l="1"/>
  <c r="G24" i="13"/>
  <c r="G49" i="24" l="1"/>
  <c r="E24" i="13"/>
  <c r="D24" i="13"/>
  <c r="F16" i="28"/>
  <c r="F25" i="47"/>
  <c r="K28" i="4"/>
  <c r="F12" i="38" l="1"/>
  <c r="K21" i="4"/>
  <c r="G50" i="10" l="1"/>
  <c r="I49" i="10"/>
  <c r="I48" i="10"/>
  <c r="K48" i="10" s="1"/>
  <c r="I47" i="10"/>
  <c r="K47" i="10" s="1"/>
  <c r="I46" i="10"/>
  <c r="K46" i="10" s="1"/>
  <c r="I45" i="10"/>
  <c r="K45" i="10" s="1"/>
  <c r="I43" i="10"/>
  <c r="I50" i="10" l="1"/>
  <c r="K50" i="10" s="1"/>
  <c r="B6" i="26"/>
  <c r="E32" i="5" l="1"/>
  <c r="D17" i="38"/>
  <c r="I38" i="35" l="1"/>
  <c r="H82" i="32"/>
  <c r="I71" i="31"/>
  <c r="L71" i="31" s="1"/>
  <c r="G15" i="23" l="1"/>
  <c r="G16" i="23" s="1"/>
  <c r="H40" i="34" l="1"/>
  <c r="H50" i="9" l="1"/>
  <c r="H12" i="9" s="1"/>
  <c r="F33" i="3" l="1"/>
  <c r="G59" i="30" l="1"/>
  <c r="I59" i="30"/>
  <c r="J8" i="21" l="1"/>
  <c r="I43" i="20"/>
  <c r="I42" i="20"/>
  <c r="J12" i="19"/>
  <c r="J10" i="19"/>
  <c r="T10" i="17"/>
  <c r="T12" i="17" s="1"/>
  <c r="P72" i="22" l="1"/>
  <c r="P75" i="22" s="1"/>
  <c r="G29" i="10" l="1"/>
  <c r="H90" i="32"/>
  <c r="T13" i="17" l="1"/>
  <c r="L39" i="9" l="1"/>
  <c r="H9" i="9"/>
  <c r="K126" i="32" l="1"/>
  <c r="K123" i="32"/>
  <c r="K125" i="32"/>
  <c r="K122" i="32"/>
  <c r="O18" i="20"/>
  <c r="D15" i="38" s="1"/>
  <c r="O9" i="20"/>
  <c r="O11" i="20" s="1"/>
  <c r="H12" i="2"/>
  <c r="K130" i="32" l="1"/>
  <c r="H33" i="3" l="1"/>
  <c r="E70" i="12" l="1"/>
  <c r="I50" i="12" s="1"/>
  <c r="G69" i="12" l="1"/>
  <c r="G66" i="12"/>
  <c r="G67" i="12"/>
  <c r="G68" i="12"/>
  <c r="A2" i="46" l="1"/>
  <c r="A1" i="46"/>
  <c r="R33" i="45" l="1"/>
  <c r="Q33" i="45"/>
  <c r="N33" i="45"/>
  <c r="M33" i="45"/>
  <c r="L33" i="45"/>
  <c r="J33" i="45"/>
  <c r="I33" i="45"/>
  <c r="H33" i="45"/>
  <c r="G33" i="45"/>
  <c r="F33" i="45"/>
  <c r="E33" i="45"/>
  <c r="D33" i="45"/>
  <c r="P31" i="45"/>
  <c r="O31" i="45"/>
  <c r="O28" i="45"/>
  <c r="R26" i="45"/>
  <c r="Q26" i="45"/>
  <c r="N26" i="45"/>
  <c r="M26" i="45"/>
  <c r="L26" i="45"/>
  <c r="I26" i="45"/>
  <c r="H26" i="45"/>
  <c r="G26" i="45"/>
  <c r="F26" i="45"/>
  <c r="D26" i="45"/>
  <c r="K26" i="45"/>
  <c r="O24" i="45"/>
  <c r="O23" i="45"/>
  <c r="O22" i="45"/>
  <c r="A2" i="45"/>
  <c r="L9" i="45" l="1"/>
  <c r="P26" i="45"/>
  <c r="D34" i="45"/>
  <c r="H34" i="45"/>
  <c r="P33" i="45"/>
  <c r="L34" i="45"/>
  <c r="J26" i="45"/>
  <c r="J34" i="45" s="1"/>
  <c r="G34" i="45"/>
  <c r="K33" i="45"/>
  <c r="K34" i="45" s="1"/>
  <c r="Q34" i="45"/>
  <c r="R34" i="45"/>
  <c r="O26" i="45"/>
  <c r="I34" i="45"/>
  <c r="E26" i="45"/>
  <c r="E34" i="45" s="1"/>
  <c r="O33" i="45"/>
  <c r="F34" i="45"/>
  <c r="N34" i="45"/>
  <c r="M34" i="45"/>
  <c r="O34" i="45" l="1"/>
  <c r="P34" i="45"/>
  <c r="I27" i="4" l="1"/>
  <c r="P14" i="4"/>
  <c r="F14" i="2" l="1"/>
  <c r="M24" i="14" s="1"/>
  <c r="K30" i="20"/>
  <c r="H47" i="29"/>
  <c r="F10" i="3" l="1"/>
  <c r="U30" i="20" s="1"/>
  <c r="J14" i="21"/>
  <c r="J13" i="21"/>
  <c r="G28" i="29"/>
  <c r="G17" i="29"/>
  <c r="G18" i="29" l="1"/>
  <c r="K71" i="31"/>
  <c r="G45" i="29"/>
  <c r="J90" i="32"/>
  <c r="F13" i="2"/>
  <c r="M12" i="14" s="1"/>
  <c r="H17" i="2"/>
  <c r="O43" i="14" s="1"/>
  <c r="H11" i="27" l="1"/>
  <c r="H12" i="27" s="1"/>
  <c r="G28" i="23"/>
  <c r="G27" i="23"/>
  <c r="G31" i="35"/>
  <c r="G24" i="23"/>
  <c r="G34" i="23" s="1"/>
  <c r="G33" i="23" l="1"/>
  <c r="G8" i="35"/>
  <c r="G11" i="35" s="1"/>
  <c r="G37" i="35"/>
  <c r="G38" i="35" s="1"/>
  <c r="G44" i="35" s="1"/>
  <c r="J15" i="21" l="1"/>
  <c r="K17" i="20" l="1"/>
  <c r="K21" i="20" s="1"/>
  <c r="K19" i="20" l="1"/>
  <c r="J16" i="19" l="1"/>
  <c r="J15" i="19"/>
  <c r="AB13" i="17" l="1"/>
  <c r="AB11" i="17"/>
  <c r="AB10" i="17"/>
  <c r="I53" i="12" l="1"/>
  <c r="V17" i="17" l="1"/>
  <c r="F16" i="2" l="1"/>
  <c r="E27" i="5" s="1"/>
  <c r="F17" i="2"/>
  <c r="D13" i="38" l="1"/>
  <c r="M33" i="14"/>
  <c r="M43" i="14"/>
  <c r="I34" i="10"/>
  <c r="K34" i="10" s="1"/>
  <c r="L29" i="9" l="1"/>
  <c r="L9" i="9" s="1"/>
  <c r="O29" i="9" l="1"/>
  <c r="H35" i="3"/>
  <c r="I31" i="35"/>
  <c r="J13" i="34"/>
  <c r="J14" i="34" s="1"/>
  <c r="Z17" i="37" l="1"/>
  <c r="F34" i="3"/>
  <c r="N11" i="35" l="1"/>
  <c r="G29" i="29"/>
  <c r="G12" i="29"/>
  <c r="G13" i="29" s="1"/>
  <c r="G19" i="29" s="1"/>
  <c r="G47" i="29" s="1"/>
  <c r="H32" i="28"/>
  <c r="F28" i="3" s="1"/>
  <c r="D14" i="38" s="1"/>
  <c r="J13" i="26" l="1"/>
  <c r="J14" i="26" s="1"/>
  <c r="G11" i="23"/>
  <c r="G10" i="23"/>
  <c r="M17" i="20"/>
  <c r="I17" i="20"/>
  <c r="J8" i="19"/>
  <c r="J9" i="19"/>
  <c r="J11" i="19"/>
  <c r="J13" i="19"/>
  <c r="J14" i="19"/>
  <c r="J7" i="19"/>
  <c r="G12" i="23" l="1"/>
  <c r="G17" i="23" s="1"/>
  <c r="F15" i="3" s="1"/>
  <c r="H14" i="2"/>
  <c r="F12" i="2"/>
  <c r="H10" i="2"/>
  <c r="Q34" i="12" s="1"/>
  <c r="H60" i="9"/>
  <c r="L60" i="9"/>
  <c r="H39" i="9"/>
  <c r="M34" i="23" l="1"/>
  <c r="H13" i="9"/>
  <c r="N60" i="9" s="1"/>
  <c r="O24" i="14"/>
  <c r="O53" i="13"/>
  <c r="A1" i="44"/>
  <c r="V27" i="33" l="1"/>
  <c r="V25" i="33"/>
  <c r="AF17" i="15" l="1"/>
  <c r="K19" i="4" l="1"/>
  <c r="A3" i="32" l="1"/>
  <c r="M24" i="33" l="1"/>
  <c r="W15" i="15" l="1"/>
  <c r="U15" i="15"/>
  <c r="AC15" i="15" l="1"/>
  <c r="M42" i="33" l="1"/>
  <c r="I12" i="33" l="1"/>
  <c r="Q24" i="33"/>
  <c r="K20" i="4" l="1"/>
  <c r="K18" i="4"/>
  <c r="K12" i="4"/>
  <c r="E17" i="4"/>
  <c r="D22" i="4"/>
  <c r="A2" i="38" l="1"/>
  <c r="A2" i="41" s="1"/>
  <c r="A2" i="44" s="1"/>
  <c r="A2" i="28"/>
  <c r="A2" i="29" s="1"/>
  <c r="A2" i="30" s="1"/>
  <c r="A2" i="31" s="1"/>
  <c r="A2" i="27"/>
  <c r="A2" i="26"/>
  <c r="A2" i="25"/>
  <c r="A2" i="24"/>
  <c r="A2" i="21"/>
  <c r="A2" i="23" s="1"/>
  <c r="A2" i="20"/>
  <c r="A2" i="17"/>
  <c r="A2" i="18" s="1"/>
  <c r="A2" i="14"/>
  <c r="A2" i="22" s="1"/>
  <c r="A2" i="13"/>
  <c r="A2" i="10"/>
  <c r="A2" i="9"/>
  <c r="A2" i="32" l="1"/>
  <c r="A2" i="33" s="1"/>
  <c r="A2" i="35" s="1"/>
  <c r="A2" i="39"/>
  <c r="I35" i="11"/>
  <c r="K26" i="4"/>
  <c r="P53" i="13" l="1"/>
  <c r="G24" i="11" l="1"/>
  <c r="I19" i="11"/>
  <c r="G19" i="11"/>
  <c r="O29" i="11" l="1"/>
  <c r="K28" i="11"/>
  <c r="K27" i="11"/>
  <c r="K25" i="11"/>
  <c r="G26" i="11"/>
  <c r="G29" i="11" s="1"/>
  <c r="I21" i="11"/>
  <c r="I24" i="11" s="1"/>
  <c r="I29" i="11" s="1"/>
  <c r="L50" i="9" l="1"/>
  <c r="E19" i="11" l="1"/>
  <c r="H16" i="2" l="1"/>
  <c r="E61" i="11"/>
  <c r="E66" i="11" s="1"/>
  <c r="F13" i="38" l="1"/>
  <c r="F18" i="38" s="1"/>
  <c r="G27" i="5"/>
  <c r="O33" i="14"/>
  <c r="N20" i="20"/>
  <c r="L20" i="20"/>
  <c r="J20" i="20"/>
  <c r="M13" i="20"/>
  <c r="M20" i="20" s="1"/>
  <c r="O12" i="20"/>
  <c r="E15" i="5" s="1"/>
  <c r="I11" i="20"/>
  <c r="I13" i="20" s="1"/>
  <c r="A3" i="19"/>
  <c r="A3" i="43"/>
  <c r="I21" i="20" l="1"/>
  <c r="I20" i="20"/>
  <c r="O19" i="20"/>
  <c r="M21" i="20"/>
  <c r="K13" i="20"/>
  <c r="O13" i="20" l="1"/>
  <c r="O20" i="20" s="1"/>
  <c r="F35" i="3"/>
  <c r="O38" i="33"/>
  <c r="O41" i="33"/>
  <c r="O40" i="33"/>
  <c r="O39" i="33"/>
  <c r="O37" i="33"/>
  <c r="K41" i="33"/>
  <c r="K40" i="33"/>
  <c r="K39" i="33"/>
  <c r="K38" i="33"/>
  <c r="K10" i="33"/>
  <c r="K9" i="33"/>
  <c r="A33" i="33"/>
  <c r="A5" i="33"/>
  <c r="A6" i="29"/>
  <c r="A26" i="28"/>
  <c r="A18" i="28"/>
  <c r="I13" i="26"/>
  <c r="H13" i="26"/>
  <c r="A3" i="26"/>
  <c r="B25" i="25"/>
  <c r="B6" i="24"/>
  <c r="B26" i="24"/>
  <c r="S39" i="20"/>
  <c r="S44" i="20" s="1"/>
  <c r="O39" i="20"/>
  <c r="O44" i="20" s="1"/>
  <c r="M39" i="20"/>
  <c r="M44" i="20" s="1"/>
  <c r="K39" i="20"/>
  <c r="I39" i="20"/>
  <c r="I44" i="20" s="1"/>
  <c r="D24" i="38" l="1"/>
  <c r="Q17" i="37"/>
  <c r="N35" i="3"/>
  <c r="F9" i="3"/>
  <c r="U20" i="20" s="1"/>
  <c r="P12" i="4"/>
  <c r="O42" i="33"/>
  <c r="S22" i="11"/>
  <c r="G39" i="11"/>
  <c r="E39" i="11"/>
  <c r="E51" i="11" s="1"/>
  <c r="E9" i="11" s="1"/>
  <c r="G20" i="5" l="1"/>
  <c r="E22" i="11" l="1"/>
  <c r="K22" i="11" s="1"/>
  <c r="E26" i="11" l="1"/>
  <c r="K26" i="11" s="1"/>
  <c r="H14" i="3"/>
  <c r="D21" i="38" s="1"/>
  <c r="K11" i="33" l="1"/>
  <c r="K13" i="33" s="1"/>
  <c r="I9" i="33" s="1"/>
  <c r="S26" i="33"/>
  <c r="K14" i="33" l="1"/>
  <c r="O25" i="33"/>
  <c r="H13" i="2" l="1"/>
  <c r="H129" i="32"/>
  <c r="Q129" i="32" s="1"/>
  <c r="Q131" i="32" s="1"/>
  <c r="M19" i="11" l="1"/>
  <c r="I23" i="25" l="1"/>
  <c r="H23" i="25"/>
  <c r="N50" i="9" l="1"/>
  <c r="O13" i="10"/>
  <c r="O12" i="10"/>
  <c r="D17" i="11"/>
  <c r="D16" i="11"/>
  <c r="D15" i="11"/>
  <c r="D14" i="11"/>
  <c r="D13" i="11"/>
  <c r="D12" i="11"/>
  <c r="O29" i="4" l="1"/>
  <c r="P29" i="4" s="1"/>
  <c r="K15" i="4" l="1"/>
  <c r="P17" i="17"/>
  <c r="N12" i="17"/>
  <c r="L12" i="17"/>
  <c r="L17" i="17" s="1"/>
  <c r="J12" i="17"/>
  <c r="J17" i="17" s="1"/>
  <c r="H12" i="17"/>
  <c r="H17" i="17" s="1"/>
  <c r="F17" i="17" l="1"/>
  <c r="N15" i="17"/>
  <c r="N17" i="17"/>
  <c r="T17" i="17" s="1"/>
  <c r="H34" i="3" l="1"/>
  <c r="K26" i="5" s="1"/>
  <c r="G45" i="35"/>
  <c r="I25" i="5" l="1"/>
  <c r="I26" i="5" s="1"/>
  <c r="E26" i="5" s="1"/>
  <c r="E29" i="5" s="1"/>
  <c r="G29" i="5"/>
  <c r="M26" i="5"/>
  <c r="M27" i="5" s="1"/>
  <c r="O11" i="35"/>
  <c r="N29" i="9" l="1"/>
  <c r="I28" i="10"/>
  <c r="K28" i="10" s="1"/>
  <c r="E29" i="10"/>
  <c r="E36" i="10" l="1"/>
  <c r="N37" i="10"/>
  <c r="I37" i="33"/>
  <c r="E12" i="17"/>
  <c r="V12" i="17"/>
  <c r="W12" i="17"/>
  <c r="X12" i="17"/>
  <c r="Y12" i="17"/>
  <c r="Z12" i="17"/>
  <c r="AA12" i="17"/>
  <c r="AA13" i="15"/>
  <c r="AA17" i="15" s="1"/>
  <c r="F13" i="15"/>
  <c r="G13" i="15"/>
  <c r="H13" i="15"/>
  <c r="I13" i="15"/>
  <c r="I17" i="15" s="1"/>
  <c r="J13" i="15"/>
  <c r="K13" i="15"/>
  <c r="L13" i="15"/>
  <c r="M13" i="15"/>
  <c r="N13" i="15"/>
  <c r="O13" i="15"/>
  <c r="P13" i="15"/>
  <c r="Q13" i="15"/>
  <c r="R13" i="15"/>
  <c r="S13" i="15"/>
  <c r="T13" i="15"/>
  <c r="V13" i="15"/>
  <c r="W13" i="15"/>
  <c r="W17" i="15" s="1"/>
  <c r="X13" i="15"/>
  <c r="Y13" i="15"/>
  <c r="Y17" i="15" s="1"/>
  <c r="Z13" i="15"/>
  <c r="AB13" i="15"/>
  <c r="E13" i="15"/>
  <c r="E17" i="15" s="1"/>
  <c r="AC10" i="15"/>
  <c r="U12" i="15"/>
  <c r="AC12" i="15" s="1"/>
  <c r="U11" i="15"/>
  <c r="AC11" i="15" s="1"/>
  <c r="D15" i="17" l="1"/>
  <c r="D16" i="17" s="1"/>
  <c r="G17" i="15"/>
  <c r="K37" i="33"/>
  <c r="K42" i="33" s="1"/>
  <c r="I42" i="33"/>
  <c r="S28" i="33"/>
  <c r="U9" i="15" l="1"/>
  <c r="U13" i="15" l="1"/>
  <c r="AC9" i="15"/>
  <c r="AC13" i="15" s="1"/>
  <c r="AC17" i="15" s="1"/>
  <c r="T14" i="17"/>
  <c r="F59" i="38" l="1"/>
  <c r="G17" i="4" l="1"/>
  <c r="G62" i="11" l="1"/>
  <c r="G63" i="11"/>
  <c r="G65" i="11"/>
  <c r="G61" i="11"/>
  <c r="S27" i="11" l="1"/>
  <c r="D59" i="38" l="1"/>
  <c r="E13" i="38"/>
  <c r="E12" i="38"/>
  <c r="I25" i="29"/>
  <c r="I46" i="29" s="1"/>
  <c r="P16" i="28"/>
  <c r="L16" i="28"/>
  <c r="J16" i="28"/>
  <c r="H11" i="28" s="1"/>
  <c r="J11" i="21"/>
  <c r="O30" i="20"/>
  <c r="H10" i="3" s="1"/>
  <c r="E18" i="5" s="1"/>
  <c r="E20" i="5" s="1"/>
  <c r="P20" i="20"/>
  <c r="Y17" i="17"/>
  <c r="R15" i="17"/>
  <c r="R16" i="17" s="1"/>
  <c r="P15" i="17"/>
  <c r="L15" i="17"/>
  <c r="J15" i="17"/>
  <c r="H15" i="17"/>
  <c r="V15" i="17"/>
  <c r="AB12" i="17"/>
  <c r="S17" i="15"/>
  <c r="Q17" i="15"/>
  <c r="O17" i="15"/>
  <c r="M17" i="15"/>
  <c r="K17" i="15"/>
  <c r="C17" i="15"/>
  <c r="U16" i="15"/>
  <c r="C13" i="15"/>
  <c r="U8" i="15"/>
  <c r="AC8" i="15" s="1"/>
  <c r="I27" i="10"/>
  <c r="K27" i="10" s="1"/>
  <c r="I26" i="10"/>
  <c r="K26" i="10" s="1"/>
  <c r="I25" i="10"/>
  <c r="K25" i="10" s="1"/>
  <c r="I24" i="10"/>
  <c r="K24" i="10" s="1"/>
  <c r="I23" i="10"/>
  <c r="K23" i="10" s="1"/>
  <c r="B3" i="10"/>
  <c r="B2" i="10"/>
  <c r="I66" i="11"/>
  <c r="G51" i="11"/>
  <c r="S26" i="11"/>
  <c r="S23" i="11"/>
  <c r="K23" i="11"/>
  <c r="Q19" i="11"/>
  <c r="S17" i="11"/>
  <c r="K17" i="11"/>
  <c r="S16" i="11"/>
  <c r="K16" i="11"/>
  <c r="S15" i="11"/>
  <c r="K15" i="11"/>
  <c r="S14" i="11"/>
  <c r="K14" i="11"/>
  <c r="S13" i="11"/>
  <c r="K13" i="11"/>
  <c r="S12" i="11"/>
  <c r="K12" i="11"/>
  <c r="K11" i="11"/>
  <c r="S10" i="11"/>
  <c r="S9" i="11"/>
  <c r="A2" i="11"/>
  <c r="L13" i="9"/>
  <c r="O60" i="9" s="1"/>
  <c r="L12" i="9"/>
  <c r="O50" i="9" s="1"/>
  <c r="L10" i="9"/>
  <c r="O39" i="9" s="1"/>
  <c r="H10" i="9"/>
  <c r="B3" i="9"/>
  <c r="B2" i="9"/>
  <c r="H25" i="6"/>
  <c r="A3" i="29"/>
  <c r="AB17" i="17" l="1"/>
  <c r="T15" i="17"/>
  <c r="H11" i="9"/>
  <c r="N39" i="9"/>
  <c r="F21" i="3"/>
  <c r="H21" i="3"/>
  <c r="H13" i="28"/>
  <c r="H14" i="28"/>
  <c r="H15" i="28"/>
  <c r="H12" i="28"/>
  <c r="H29" i="3"/>
  <c r="F29" i="3"/>
  <c r="J16" i="21"/>
  <c r="H16" i="3"/>
  <c r="F18" i="39" s="1"/>
  <c r="I29" i="10"/>
  <c r="K29" i="10" s="1"/>
  <c r="O21" i="10"/>
  <c r="U17" i="15"/>
  <c r="L11" i="9"/>
  <c r="A3" i="6"/>
  <c r="A3" i="39"/>
  <c r="A3" i="41"/>
  <c r="A3" i="44" s="1"/>
  <c r="A3" i="8"/>
  <c r="A3" i="13"/>
  <c r="A3" i="10"/>
  <c r="A3" i="18"/>
  <c r="A3" i="20"/>
  <c r="A3" i="23"/>
  <c r="A3" i="27"/>
  <c r="A3" i="28"/>
  <c r="B3" i="4"/>
  <c r="A3" i="38"/>
  <c r="A3" i="37"/>
  <c r="A3" i="35"/>
  <c r="A3" i="33"/>
  <c r="A3" i="31"/>
  <c r="A3" i="25"/>
  <c r="A3" i="24"/>
  <c r="A3" i="17"/>
  <c r="B3" i="15"/>
  <c r="A3" i="5"/>
  <c r="A3" i="7"/>
  <c r="A3" i="9"/>
  <c r="A3" i="11"/>
  <c r="Q21" i="11"/>
  <c r="Q24" i="11" s="1"/>
  <c r="Q29" i="11" s="1"/>
  <c r="A3" i="14"/>
  <c r="X15" i="17"/>
  <c r="A3" i="30"/>
  <c r="F16" i="3"/>
  <c r="H8" i="3" l="1"/>
  <c r="AH17" i="17"/>
  <c r="D18" i="39"/>
  <c r="M7" i="3"/>
  <c r="E31" i="5"/>
  <c r="H14" i="9"/>
  <c r="F13" i="3"/>
  <c r="P16" i="21" s="1"/>
  <c r="L14" i="9"/>
  <c r="L17" i="9" s="1"/>
  <c r="H9" i="2" s="1"/>
  <c r="AB15" i="17"/>
  <c r="I14" i="10"/>
  <c r="H17" i="9" l="1"/>
  <c r="H13" i="3"/>
  <c r="D22" i="38" s="1"/>
  <c r="K12" i="10"/>
  <c r="K13" i="10"/>
  <c r="O17" i="9"/>
  <c r="F9" i="2" l="1"/>
  <c r="E13" i="10" s="1"/>
  <c r="K14" i="10"/>
  <c r="Q16" i="21"/>
  <c r="S18" i="11"/>
  <c r="S19" i="11" s="1"/>
  <c r="M21" i="11"/>
  <c r="M24" i="11" s="1"/>
  <c r="N17" i="9" l="1"/>
  <c r="E14" i="10"/>
  <c r="S21" i="11"/>
  <c r="S24" i="11" s="1"/>
  <c r="S29" i="11" s="1"/>
  <c r="H11" i="2" s="1"/>
  <c r="AB19" i="11"/>
  <c r="M29" i="11"/>
  <c r="G13" i="10" l="1"/>
  <c r="G12" i="10"/>
  <c r="H15" i="2"/>
  <c r="H18" i="2" s="1"/>
  <c r="N14" i="10"/>
  <c r="D21" i="43"/>
  <c r="G14" i="10" l="1"/>
  <c r="F9" i="38"/>
  <c r="F10" i="38" s="1"/>
  <c r="F26" i="38" s="1"/>
  <c r="G9" i="5" s="1"/>
  <c r="K14" i="4"/>
  <c r="K16" i="4" s="1"/>
  <c r="K22" i="4" s="1"/>
  <c r="P15" i="4"/>
  <c r="I17" i="4"/>
  <c r="O22" i="4" l="1"/>
  <c r="Q22" i="4" s="1"/>
  <c r="Q23" i="4" s="1"/>
  <c r="D18" i="11" l="1"/>
  <c r="K18" i="11"/>
  <c r="K19" i="11" s="1"/>
  <c r="L34" i="23" l="1"/>
  <c r="F17" i="3"/>
  <c r="D20" i="38" l="1"/>
  <c r="N34" i="23"/>
  <c r="N15" i="3"/>
  <c r="H17" i="3"/>
  <c r="K9" i="11" l="1"/>
  <c r="D9" i="11"/>
  <c r="G11" i="5" l="1"/>
  <c r="G30" i="5" l="1"/>
  <c r="G33" i="5" s="1"/>
  <c r="G36" i="10"/>
  <c r="M33" i="5" l="1"/>
  <c r="M32" i="5"/>
  <c r="G35" i="5"/>
  <c r="I36" i="10"/>
  <c r="K36" i="10" s="1"/>
  <c r="H16" i="17" l="1"/>
  <c r="J16" i="17"/>
  <c r="L16" i="17"/>
  <c r="N16" i="17"/>
  <c r="P16" i="17"/>
  <c r="X16" i="17"/>
  <c r="E11" i="13"/>
  <c r="E10" i="11"/>
  <c r="T16" i="17" l="1"/>
  <c r="AB16" i="17" s="1"/>
  <c r="D10" i="11"/>
  <c r="E21" i="11"/>
  <c r="E24" i="11" s="1"/>
  <c r="E29" i="11" s="1"/>
  <c r="K10" i="11"/>
  <c r="K21" i="11" s="1"/>
  <c r="K24" i="11" s="1"/>
  <c r="K29" i="11" s="1"/>
  <c r="F8" i="3" l="1"/>
  <c r="F11" i="3" s="1"/>
  <c r="F18" i="3" s="1"/>
  <c r="P21" i="10"/>
  <c r="K27" i="4" l="1"/>
  <c r="G29" i="4"/>
  <c r="F23" i="3" l="1"/>
  <c r="H23" i="3"/>
  <c r="H25" i="3" l="1"/>
  <c r="I59" i="12"/>
  <c r="M23" i="4" l="1"/>
  <c r="M22" i="4"/>
  <c r="F20" i="39"/>
  <c r="I28" i="12"/>
  <c r="I30" i="12" l="1"/>
  <c r="I34" i="12" s="1"/>
  <c r="O41" i="10" s="1"/>
  <c r="O42" i="10" s="1"/>
  <c r="F10" i="2" l="1"/>
  <c r="F11" i="2" l="1"/>
  <c r="M10" i="3" s="1"/>
  <c r="P34" i="12"/>
  <c r="Q21" i="10" l="1"/>
  <c r="F15" i="2"/>
  <c r="F22" i="2" l="1"/>
  <c r="K20" i="2"/>
  <c r="K22" i="2" s="1"/>
  <c r="D25" i="34"/>
  <c r="F25" i="34" s="1"/>
  <c r="E25" i="33" l="1"/>
  <c r="G25" i="33" s="1"/>
  <c r="L20" i="2"/>
  <c r="L22" i="2" s="1"/>
  <c r="D12" i="38"/>
  <c r="D18" i="38" s="1"/>
  <c r="P26" i="34"/>
  <c r="F32" i="3" s="1"/>
  <c r="L18" i="2"/>
  <c r="H13" i="34"/>
  <c r="H14" i="34" s="1"/>
  <c r="I25" i="4" l="1"/>
  <c r="I29" i="4" s="1"/>
  <c r="I25" i="33"/>
  <c r="Q25" i="33" s="1"/>
  <c r="I10" i="33" s="1"/>
  <c r="I13" i="33" s="1"/>
  <c r="I14" i="33" s="1"/>
  <c r="K29" i="4" l="1"/>
  <c r="M12" i="3"/>
  <c r="M13" i="3"/>
  <c r="D9" i="38"/>
  <c r="D10" i="38" s="1"/>
  <c r="D19" i="43"/>
  <c r="D22" i="43" s="1"/>
  <c r="Q26" i="33"/>
  <c r="Q28" i="33" s="1"/>
  <c r="U26" i="34"/>
  <c r="F24" i="3" l="1"/>
  <c r="L29" i="4" s="1"/>
  <c r="K25" i="4"/>
  <c r="W23" i="34"/>
  <c r="F25" i="3" l="1"/>
  <c r="M29" i="4" s="1"/>
  <c r="H32" i="3"/>
  <c r="D20" i="39" l="1"/>
  <c r="M11" i="3"/>
  <c r="H36" i="3"/>
  <c r="H37" i="3" s="1"/>
  <c r="H38" i="3" s="1"/>
  <c r="V26" i="34"/>
  <c r="M11" i="5"/>
  <c r="K10" i="5"/>
  <c r="K11" i="5" s="1"/>
  <c r="M12" i="5"/>
  <c r="M14" i="5" s="1"/>
  <c r="H11" i="3"/>
  <c r="H18" i="3" s="1"/>
  <c r="H58" i="3" l="1"/>
  <c r="F17" i="39"/>
  <c r="F19" i="39" s="1"/>
  <c r="F21" i="39" s="1"/>
  <c r="K21" i="5"/>
  <c r="M21" i="5" s="1"/>
  <c r="G24" i="29" l="1"/>
  <c r="G25" i="29" l="1"/>
  <c r="G46" i="29" s="1"/>
  <c r="F31" i="3" l="1"/>
  <c r="D23" i="38" s="1"/>
  <c r="D25" i="38" s="1"/>
  <c r="D26" i="38" s="1"/>
  <c r="L47" i="29" l="1"/>
  <c r="N31" i="3"/>
  <c r="F36" i="3"/>
  <c r="F37" i="3" s="1"/>
  <c r="E9" i="5" l="1"/>
  <c r="E11" i="5" s="1"/>
  <c r="F38" i="3"/>
  <c r="F58" i="3" s="1"/>
  <c r="N22" i="38"/>
  <c r="M6" i="3"/>
  <c r="N7" i="3"/>
  <c r="M8" i="3"/>
  <c r="D17" i="39"/>
  <c r="D19" i="39" s="1"/>
  <c r="D21" i="39" s="1"/>
  <c r="K17" i="4"/>
  <c r="E30" i="5" l="1"/>
  <c r="N8" i="3"/>
  <c r="E33" i="5" l="1"/>
  <c r="E49" i="5" s="1"/>
  <c r="J31" i="5"/>
  <c r="I30" i="5"/>
  <c r="K33" i="5" l="1"/>
  <c r="E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manager</author>
  </authors>
  <commentList>
    <comment ref="B26" authorId="0" shapeId="0" xr:uid="{00000000-0006-0000-0A00-000001000000}">
      <text>
        <r>
          <rPr>
            <b/>
            <sz val="9"/>
            <color indexed="81"/>
            <rFont val="Tahoma"/>
            <family val="2"/>
          </rPr>
          <t>موجودی پایان دوره محصول - موجودی اول دوره محصول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manager</author>
  </authors>
  <commentList>
    <comment ref="B32" authorId="0" shapeId="0" xr:uid="{00000000-0006-0000-0C00-000001000000}">
      <text>
        <r>
          <rPr>
            <b/>
            <sz val="9"/>
            <color indexed="81"/>
            <rFont val="Tahoma"/>
            <family val="2"/>
          </rPr>
          <t>موجودی پایان دوره محصول - موجودی اول دوره محصول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E52" authorId="0" shapeId="0" xr:uid="{00000000-0006-0000-0D00-000001000000}">
      <text>
        <r>
          <rPr>
            <b/>
            <sz val="9"/>
            <color indexed="81"/>
            <rFont val="Tahoma"/>
            <family val="2"/>
          </rPr>
          <t>اصغر رکن آبادی:</t>
        </r>
        <r>
          <rPr>
            <sz val="9"/>
            <color indexed="81"/>
            <rFont val="Tahoma"/>
            <family val="2"/>
          </rPr>
          <t xml:space="preserve">
بعلاوه هزینه خرید سفته -هزینه مالی</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manager</author>
  </authors>
  <commentList>
    <comment ref="Y13" authorId="0" shapeId="0" xr:uid="{00000000-0006-0000-0E00-000001000000}">
      <text>
        <r>
          <rPr>
            <b/>
            <sz val="9"/>
            <color indexed="81"/>
            <rFont val="Tahoma"/>
            <family val="2"/>
          </rPr>
          <t>manager:</t>
        </r>
        <r>
          <rPr>
            <sz val="9"/>
            <color indexed="81"/>
            <rFont val="Tahoma"/>
            <family val="2"/>
          </rPr>
          <t xml:space="preserve">
3.735 از افتتاحیه مربوط به سرفصل پ پ هزینه و سفارشات می باشد</t>
        </r>
      </text>
    </comment>
    <comment ref="Y14" authorId="0" shapeId="0" xr:uid="{00000000-0006-0000-0E00-000002000000}">
      <text>
        <r>
          <rPr>
            <b/>
            <sz val="9"/>
            <color indexed="81"/>
            <rFont val="Tahoma"/>
            <family val="2"/>
          </rPr>
          <t>manager:</t>
        </r>
        <r>
          <rPr>
            <sz val="9"/>
            <color indexed="81"/>
            <rFont val="Tahoma"/>
            <family val="2"/>
          </rPr>
          <t xml:space="preserve">
734.487.500 ریال 
در سال 1400 پاس شده</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G23" authorId="0" shapeId="0" xr:uid="{00000000-0006-0000-0F00-000002000000}">
      <text>
        <r>
          <rPr>
            <b/>
            <sz val="9"/>
            <color indexed="81"/>
            <rFont val="Tahoma"/>
            <family val="2"/>
          </rPr>
          <t>اصغر رکن آبادی:</t>
        </r>
        <r>
          <rPr>
            <sz val="9"/>
            <color indexed="81"/>
            <rFont val="Tahoma"/>
            <family val="2"/>
          </rPr>
          <t xml:space="preserve">
بهای تمام شده موادوملزومات وملزومات
</t>
        </r>
      </text>
    </comment>
    <comment ref="G39" authorId="0" shapeId="0" xr:uid="{00000000-0006-0000-0F00-000001000000}">
      <text>
        <r>
          <rPr>
            <b/>
            <sz val="9"/>
            <color indexed="81"/>
            <rFont val="Tahoma"/>
            <family val="2"/>
          </rPr>
          <t>اصغر رکن آبادی:</t>
        </r>
        <r>
          <rPr>
            <sz val="9"/>
            <color indexed="81"/>
            <rFont val="Tahoma"/>
            <family val="2"/>
          </rPr>
          <t xml:space="preserve">
کسرمی شود بهای تمام شده کالای فروش رفته</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AC17" authorId="0" shapeId="0" xr:uid="{00000000-0006-0000-1000-000001000000}">
      <text>
        <r>
          <rPr>
            <b/>
            <sz val="9"/>
            <color indexed="81"/>
            <rFont val="Tahoma"/>
            <family val="2"/>
          </rPr>
          <t>اصغر رکن آبادی:موجودی انبار دارایی ثابت اضافه شده است</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Mr. H.Kheiri</author>
  </authors>
  <commentList>
    <comment ref="V16" authorId="0" shapeId="0" xr:uid="{00000000-0006-0000-1100-000001000000}">
      <text>
        <r>
          <rPr>
            <b/>
            <sz val="9"/>
            <color indexed="81"/>
            <rFont val="Tahoma"/>
            <family val="2"/>
          </rPr>
          <t>بابت پروژه های ایران دارو،آزمایشگاه آنکولوژی و ساختمان آزمایشگاه</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G14" authorId="0" shapeId="0" xr:uid="{30506441-643A-4B38-9A1E-C2442A2A46CB}">
      <text>
        <r>
          <rPr>
            <b/>
            <sz val="9"/>
            <color indexed="81"/>
            <rFont val="Tahoma"/>
            <family val="2"/>
          </rPr>
          <t xml:space="preserve">اصغر رکن آبادی:مبلغ 120,000,000,000ریال سپرده نزد التیام اضافه شد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G12" authorId="0" shapeId="0" xr:uid="{00000000-0006-0000-1A00-000001000000}">
      <text>
        <r>
          <rPr>
            <b/>
            <sz val="9"/>
            <color indexed="81"/>
            <rFont val="Tahoma"/>
            <family val="2"/>
          </rPr>
          <t>اصغر رکن آبادی:</t>
        </r>
        <r>
          <rPr>
            <sz val="9"/>
            <color indexed="81"/>
            <rFont val="Tahoma"/>
            <family val="2"/>
          </rPr>
          <t xml:space="preserve">
مابه التفاوت ح دریافتنب غیرتجاری-اشخاص وابسته
مبلغ 3968640000ریال حکیمان تهاتر با سایرح پرداختنی تجاری وتهاتر حسینعلی مهرآذر مبلغ 1352262431با سایرح پرداختنی ومبلغ 0ریال پایش تجارت
اضافه می شود حقوق پرداختنی15087500ریال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G34" authorId="0" shapeId="0" xr:uid="{00000000-0006-0000-1D00-000001000000}">
      <text>
        <r>
          <rPr>
            <b/>
            <sz val="9"/>
            <color indexed="81"/>
            <rFont val="Tahoma"/>
            <family val="2"/>
          </rPr>
          <t>اصغر رکن آبادی:</t>
        </r>
        <r>
          <rPr>
            <sz val="9"/>
            <color indexed="81"/>
            <rFont val="Tahoma"/>
            <family val="2"/>
          </rPr>
          <t xml:space="preserve">
جاری کارکنان ح دریافتنی</t>
        </r>
      </text>
    </comment>
    <comment ref="G44" authorId="0" shapeId="0" xr:uid="{00000000-0006-0000-1D00-000002000000}">
      <text>
        <r>
          <rPr>
            <b/>
            <sz val="9"/>
            <color indexed="81"/>
            <rFont val="Tahoma"/>
            <family val="2"/>
          </rPr>
          <t>اصغر رکن آبادی:</t>
        </r>
        <r>
          <rPr>
            <sz val="9"/>
            <color indexed="81"/>
            <rFont val="Tahoma"/>
            <family val="2"/>
          </rPr>
          <t xml:space="preserve">
سایرذخایر-مالیات پرداختی-ح پ ض نامه بانکی-کالای امانی دیگران نزد ما ح پرداختنی غیرتجاری</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manager</author>
  </authors>
  <commentList>
    <comment ref="S22" authorId="0" shapeId="0" xr:uid="{00000000-0006-0000-2100-000001000000}">
      <text>
        <r>
          <rPr>
            <b/>
            <sz val="9"/>
            <color indexed="81"/>
            <rFont val="Tahoma"/>
            <family val="2"/>
          </rPr>
          <t>manager:</t>
        </r>
        <r>
          <rPr>
            <sz val="9"/>
            <color indexed="81"/>
            <rFont val="Tahoma"/>
            <family val="2"/>
          </rPr>
          <t xml:space="preserve">
این مبلغ از ذخیره هزینه های تحقق یافته و پرداخت نشده به ذخیر مالیات منتقل شده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اصغر رکن آبادی</author>
  </authors>
  <commentList>
    <comment ref="F25" authorId="0" shapeId="0" xr:uid="{00000000-0006-0000-2200-000001000000}">
      <text>
        <r>
          <rPr>
            <b/>
            <sz val="9"/>
            <color indexed="81"/>
            <rFont val="Tahoma"/>
            <family val="2"/>
          </rPr>
          <t>اصغر رکن آبادی:</t>
        </r>
        <r>
          <rPr>
            <sz val="9"/>
            <color indexed="81"/>
            <rFont val="Tahoma"/>
            <family val="2"/>
          </rPr>
          <t xml:space="preserve">
سودتسهیلات بانکی مبلغ23353106087ریال و22837331920ریال سودتسعیرارزکسرمی شود-معاف ازمالیات
</t>
        </r>
      </text>
    </comment>
  </commentList>
</comments>
</file>

<file path=xl/sharedStrings.xml><?xml version="1.0" encoding="utf-8"?>
<sst xmlns="http://schemas.openxmlformats.org/spreadsheetml/2006/main" count="2099" uniqueCount="1352">
  <si>
    <t>با احترام</t>
  </si>
  <si>
    <t>صورت سود و زیان</t>
  </si>
  <si>
    <t>صورت وضعیت مالی</t>
  </si>
  <si>
    <t>صورت تغییرات در حقوق مالکانه</t>
  </si>
  <si>
    <t>صورت جریانهای نقدی</t>
  </si>
  <si>
    <t>•</t>
  </si>
  <si>
    <t>شماره صفحه</t>
  </si>
  <si>
    <t>سمت</t>
  </si>
  <si>
    <t>امضاء</t>
  </si>
  <si>
    <t>سود عملیات در حال تداوم قبل از مالیات</t>
  </si>
  <si>
    <t>يادداشت</t>
  </si>
  <si>
    <t xml:space="preserve">سود ناخالص </t>
  </si>
  <si>
    <t xml:space="preserve">هزينه هاي فروش ، اداري و عمومي </t>
  </si>
  <si>
    <t xml:space="preserve">سود عملياتي </t>
  </si>
  <si>
    <t xml:space="preserve">هزينه هاي مالي </t>
  </si>
  <si>
    <t xml:space="preserve">ساير درآمدها و هزينه هاي غيرعملياتي </t>
  </si>
  <si>
    <t xml:space="preserve">             سال جاری</t>
  </si>
  <si>
    <t>اندوخته قانوني</t>
  </si>
  <si>
    <t xml:space="preserve"> سود خالص عملیات درحال تداوم</t>
  </si>
  <si>
    <t>دارايي ها</t>
  </si>
  <si>
    <t xml:space="preserve">دارایی هاي جاري : </t>
  </si>
  <si>
    <t>مالیات پرداختنی</t>
  </si>
  <si>
    <t xml:space="preserve">دارائيهاي غير جاري : </t>
  </si>
  <si>
    <t>جمع دارایی هاي غير جاري</t>
  </si>
  <si>
    <t>يادداشت هاي توضيحي همراه، بخش جدایی ناپذیر صورت هاي مالي است .</t>
  </si>
  <si>
    <t>موجودی نقد</t>
  </si>
  <si>
    <t>حقوق مالکانه و بدهی ها</t>
  </si>
  <si>
    <t>حقوق مالکانه</t>
  </si>
  <si>
    <t>جمع حقوق مالکانه</t>
  </si>
  <si>
    <t>بدهی ها</t>
  </si>
  <si>
    <t>بدهی های جاری</t>
  </si>
  <si>
    <t>سود سهام پرداختنی</t>
  </si>
  <si>
    <t>پیش دریافت ها</t>
  </si>
  <si>
    <t>جمع حقوق مالکانه و بدهی ها</t>
  </si>
  <si>
    <t>سرمایه</t>
  </si>
  <si>
    <t>اندوخته قانونی</t>
  </si>
  <si>
    <t>سود انباشته</t>
  </si>
  <si>
    <t>جمع کل</t>
  </si>
  <si>
    <t>سود سهام مصوب</t>
  </si>
  <si>
    <t>تخصیص به اندوخته قانونی</t>
  </si>
  <si>
    <t>تاثیر تغییرات نرخ ارز</t>
  </si>
  <si>
    <t xml:space="preserve">جریان های نقدی حاصل از فعاليتهاي عملياتي: </t>
  </si>
  <si>
    <t>نقد حاصل از عملیات</t>
  </si>
  <si>
    <t>جریان خالص ورود (خروج) نقد حاصل از فعالیت های عملیاتی</t>
  </si>
  <si>
    <t>پرداخت های نقدی بابت مالیات بر درآمد</t>
  </si>
  <si>
    <t>دریافت های نقدی حاصل از فروش دارایی های ثابت مشهود</t>
  </si>
  <si>
    <t>پرداخت های نقدی برای خرید دارایی های ثابت مشهود</t>
  </si>
  <si>
    <t>دریافت های نقدی حاصل از سود سهام</t>
  </si>
  <si>
    <t>جریان خالص ورود (خروج) نقد حاصل از فعالیت های سرمایه گذاری</t>
  </si>
  <si>
    <t xml:space="preserve">جریان های نقدی حاصل از فعاليتهاي تامین مالی : </t>
  </si>
  <si>
    <t>دریافت های نقدی حاصل از تسهیلات</t>
  </si>
  <si>
    <t>پرداختهای نقدی بابت اصل تسهیلات</t>
  </si>
  <si>
    <t>جریان خالص ورود (خروج) نقد حاصل از فعالیت های تامین مالی</t>
  </si>
  <si>
    <t>مانده موجودی نقد در ابتدای سال</t>
  </si>
  <si>
    <t>مانده موجودی نقد در پایان سال</t>
  </si>
  <si>
    <t>معاملات غیر نقدی</t>
  </si>
  <si>
    <t>شرح</t>
  </si>
  <si>
    <t>داخلی:</t>
  </si>
  <si>
    <t>فروش ناخالص</t>
  </si>
  <si>
    <t>فروش خالص</t>
  </si>
  <si>
    <t>درآمد عملیاتی</t>
  </si>
  <si>
    <t>درصد نسبت به کل</t>
  </si>
  <si>
    <t>اشخاص وابسته</t>
  </si>
  <si>
    <t>سایر مشتریان</t>
  </si>
  <si>
    <t>خدمات کارمزدی</t>
  </si>
  <si>
    <t>بهای تمام شده</t>
  </si>
  <si>
    <t>سود ناخالص</t>
  </si>
  <si>
    <t>درصد سود ناخالص به درآمد عملیاتی</t>
  </si>
  <si>
    <t>فروش خالص:</t>
  </si>
  <si>
    <t>استهلاک</t>
  </si>
  <si>
    <t>7-</t>
  </si>
  <si>
    <t>بهای تمام شده درآمدهای عملیاتی</t>
  </si>
  <si>
    <t>جمع</t>
  </si>
  <si>
    <t>مواد مستقیم</t>
  </si>
  <si>
    <t>دستمزد مستقیم</t>
  </si>
  <si>
    <t>سربار ساخت:</t>
  </si>
  <si>
    <t>هزینه های جذب نشده</t>
  </si>
  <si>
    <t>جمع هزینه های ساخت</t>
  </si>
  <si>
    <t>(افزایش) کاهش موجودی های در جریان ساخت</t>
  </si>
  <si>
    <t>ضایعات غیر عادی</t>
  </si>
  <si>
    <t>بهای تمام شده ساخت</t>
  </si>
  <si>
    <t>نوع مواد اولیه</t>
  </si>
  <si>
    <t>کشور</t>
  </si>
  <si>
    <t>درصد نسبت به کل خرید سال</t>
  </si>
  <si>
    <t>8-</t>
  </si>
  <si>
    <t>هزینه های فروش ، اداری و عمومی</t>
  </si>
  <si>
    <t>هزینه های فروش و توزیع:</t>
  </si>
  <si>
    <t>حقوق و دستمزد و مزایا</t>
  </si>
  <si>
    <t>9-</t>
  </si>
  <si>
    <t>10-</t>
  </si>
  <si>
    <t>سایر درآمد ها</t>
  </si>
  <si>
    <t>11-</t>
  </si>
  <si>
    <t>سایر هزینه ها</t>
  </si>
  <si>
    <t>هزینه های مالی</t>
  </si>
  <si>
    <t>سایر اشخاص</t>
  </si>
  <si>
    <t>13-</t>
  </si>
  <si>
    <t>سایر درآمد ها و هزینه های غیر عملیاتی</t>
  </si>
  <si>
    <t>سود سهام</t>
  </si>
  <si>
    <t>14-</t>
  </si>
  <si>
    <t>15-</t>
  </si>
  <si>
    <t>سود خالص</t>
  </si>
  <si>
    <t>زمین</t>
  </si>
  <si>
    <t>ساختمان</t>
  </si>
  <si>
    <t>تاسیسات</t>
  </si>
  <si>
    <t>ماشین آلات و تجهیزات</t>
  </si>
  <si>
    <t>وسایل نقلیه</t>
  </si>
  <si>
    <t>اثاثه و منصوبات</t>
  </si>
  <si>
    <t>ابزار آلات</t>
  </si>
  <si>
    <t>دارایی های در جریان تکمیل</t>
  </si>
  <si>
    <t>پیش پرداخت های سرمایه ای</t>
  </si>
  <si>
    <t>افزایش</t>
  </si>
  <si>
    <t>واگذار شده</t>
  </si>
  <si>
    <t>سایر نقل و انتقالات و تغییرات</t>
  </si>
  <si>
    <t>کاهش ارزش انباشته</t>
  </si>
  <si>
    <t>حق امتیاز خدمات عمومی</t>
  </si>
  <si>
    <t>نرم افزار رایانه ای</t>
  </si>
  <si>
    <t>پیش پرداخت ها</t>
  </si>
  <si>
    <t>سرمایه گذاری های بلند مدت</t>
  </si>
  <si>
    <t>مبلغ دفتری</t>
  </si>
  <si>
    <t>سرمایه گذاری در سهام شرکت ها به شرح زیر تفکیک می شود :</t>
  </si>
  <si>
    <t>تعداد سهام</t>
  </si>
  <si>
    <t>ارزش بازار</t>
  </si>
  <si>
    <t>درصد سرمایه گذاری</t>
  </si>
  <si>
    <t>سرمایه گذاری سریع المعامله</t>
  </si>
  <si>
    <t>(بورسی و فرا بورسی):</t>
  </si>
  <si>
    <t>دریافتنی های تجاری و سایر دریافتنی ها</t>
  </si>
  <si>
    <t>خالص</t>
  </si>
  <si>
    <t>تجاری:</t>
  </si>
  <si>
    <t>اسناد دریافتنی:</t>
  </si>
  <si>
    <t>حساب های دریافتنی:</t>
  </si>
  <si>
    <t>سایر</t>
  </si>
  <si>
    <t>پیش پرداخت های خارجی:</t>
  </si>
  <si>
    <t>سفارشات مواد اولیه</t>
  </si>
  <si>
    <t>سفارشات قطعات و لوازم یدکی</t>
  </si>
  <si>
    <t>پیش پرداخت های داخلی:</t>
  </si>
  <si>
    <t>خرید مواد اولیه</t>
  </si>
  <si>
    <t>موجودي مواد و كالا</t>
  </si>
  <si>
    <t>كالاي ساخته شده</t>
  </si>
  <si>
    <t>مواد اوليه و بسته بندي</t>
  </si>
  <si>
    <t>ساير موجودي ها</t>
  </si>
  <si>
    <t>سرمايه</t>
  </si>
  <si>
    <t>تركيب سهامداران در تاريخ صورت وضعيت مالي به شرح زير است:</t>
  </si>
  <si>
    <t>درصد مالكيت</t>
  </si>
  <si>
    <t>سايرين (كمتر 5 درصد)</t>
  </si>
  <si>
    <t>پرداختهاي تجاري و ساير پرداختني ها</t>
  </si>
  <si>
    <t>پرداختني هاي كوتاه مدت:</t>
  </si>
  <si>
    <t>تجاري:</t>
  </si>
  <si>
    <t>اسناد پرداختني:</t>
  </si>
  <si>
    <t>ساير تامين كنندگان كالا و خدمات</t>
  </si>
  <si>
    <t>حسابهاي پرداختني:</t>
  </si>
  <si>
    <t>ساير پرداختني ها:</t>
  </si>
  <si>
    <t>ساير اشخاص</t>
  </si>
  <si>
    <t>حساب هاي پرداختني:</t>
  </si>
  <si>
    <t>ساير</t>
  </si>
  <si>
    <t>تسهيلات مالي</t>
  </si>
  <si>
    <t>تسهيلات دريافتي بر حسب مباني مختلف به شرح زير است:</t>
  </si>
  <si>
    <t>عمليات در حال تداوم:</t>
  </si>
  <si>
    <t>درآمدهاي عملياتي</t>
  </si>
  <si>
    <t>بهاي تمام شده درآمدهاي عملياتي</t>
  </si>
  <si>
    <t>ساير درآمدها</t>
  </si>
  <si>
    <t>ساير هزينه ها</t>
  </si>
  <si>
    <t xml:space="preserve"> هزينه مالیات بر درآمد:</t>
  </si>
  <si>
    <t xml:space="preserve">   حقوق مالکانه</t>
  </si>
  <si>
    <t xml:space="preserve">    جمع بدهی های جاری</t>
  </si>
  <si>
    <t xml:space="preserve">  جمع بدهی ها</t>
  </si>
  <si>
    <t xml:space="preserve">    بدهی های غیر جاری</t>
  </si>
  <si>
    <t>جمع بدهی های غیر جاری</t>
  </si>
  <si>
    <t xml:space="preserve">    دارایی هاي ثابت مشهود </t>
  </si>
  <si>
    <t xml:space="preserve">    دارایی هاي نامشهود</t>
  </si>
  <si>
    <t xml:space="preserve">    سرمايه گذاري هاي بلند مدت </t>
  </si>
  <si>
    <t xml:space="preserve">    پيش پرداخت ها </t>
  </si>
  <si>
    <t xml:space="preserve">    موجودي مواد و كالا </t>
  </si>
  <si>
    <t xml:space="preserve">    دریافتنی هاي تجاری و ساير دريافتني ها</t>
  </si>
  <si>
    <t xml:space="preserve">    موجودی نقد</t>
  </si>
  <si>
    <t xml:space="preserve">    جمع دارایی ها</t>
  </si>
  <si>
    <t xml:space="preserve">    سرمايه </t>
  </si>
  <si>
    <t xml:space="preserve">    اندوخته قانوني </t>
  </si>
  <si>
    <t xml:space="preserve">    سود انباشته </t>
  </si>
  <si>
    <t xml:space="preserve">    پرداختنی های تجاری و سایر پرداختنی ها</t>
  </si>
  <si>
    <t xml:space="preserve">    مالیات پرداختنی</t>
  </si>
  <si>
    <t xml:space="preserve">    سود سهام پرداختنی</t>
  </si>
  <si>
    <t xml:space="preserve">    تسهیلات مالی</t>
  </si>
  <si>
    <t xml:space="preserve">    پیش دریافت ها</t>
  </si>
  <si>
    <t>...</t>
  </si>
  <si>
    <t>مانده پرداختنی</t>
  </si>
  <si>
    <t>پرداختی</t>
  </si>
  <si>
    <t>قطعی</t>
  </si>
  <si>
    <t>تشخیصی</t>
  </si>
  <si>
    <t>ابرازی</t>
  </si>
  <si>
    <t>درآمد مشمول مالیات ابرازی</t>
  </si>
  <si>
    <t>سود (زیان) ابرازی</t>
  </si>
  <si>
    <t>سال مالی</t>
  </si>
  <si>
    <t>مالیات</t>
  </si>
  <si>
    <t>پرداخت شده طی سال</t>
  </si>
  <si>
    <t>مانده پرداخت نشده</t>
  </si>
  <si>
    <t>تغییرات در سرمایه در گردش :</t>
  </si>
  <si>
    <t xml:space="preserve">جمع تعدیلات </t>
  </si>
  <si>
    <t>استهلاک دارایی های غیر جاری</t>
  </si>
  <si>
    <t>هزینه مالیات بر درآمد</t>
  </si>
  <si>
    <t>:تعدیلات</t>
  </si>
  <si>
    <t>خالص بدهی</t>
  </si>
  <si>
    <t>جمع بدهی</t>
  </si>
  <si>
    <t>نسبت اهرمی در پایان سال به شرح زیر است :</t>
  </si>
  <si>
    <t>سایر اشخاص وابسته</t>
  </si>
  <si>
    <t>تسهیلات دریافتی</t>
  </si>
  <si>
    <t>فروش کالا و خدمات</t>
  </si>
  <si>
    <t>مشمول ماده 129</t>
  </si>
  <si>
    <t>نام شخص وابسته</t>
  </si>
  <si>
    <t>بدهی</t>
  </si>
  <si>
    <t>طلب</t>
  </si>
  <si>
    <t>سایر پرداختنی ها</t>
  </si>
  <si>
    <t>پرداختنی های تجاری</t>
  </si>
  <si>
    <t>سایر دریافتنی ها</t>
  </si>
  <si>
    <t>دریافتنی های تجاری</t>
  </si>
  <si>
    <t>-2-1</t>
  </si>
  <si>
    <t>کارکنان قراردادی</t>
  </si>
  <si>
    <t xml:space="preserve">کارکنان رسمی </t>
  </si>
  <si>
    <t xml:space="preserve">نفر </t>
  </si>
  <si>
    <t xml:space="preserve">تعداد کارکنان </t>
  </si>
  <si>
    <t>-1-3</t>
  </si>
  <si>
    <t xml:space="preserve">فعالیت اصلی </t>
  </si>
  <si>
    <t>-1-2</t>
  </si>
  <si>
    <t xml:space="preserve">تاریخچه </t>
  </si>
  <si>
    <t>-1-1</t>
  </si>
  <si>
    <t xml:space="preserve">تاریخچه وفعالیت </t>
  </si>
  <si>
    <t>يادداشتهاي توضيحي صورت هاي مالي</t>
  </si>
  <si>
    <t>-1</t>
  </si>
  <si>
    <t>صورت تغييرات در حقوق مالكانه</t>
  </si>
  <si>
    <t>صورت جريان هاي نقدي</t>
  </si>
  <si>
    <t>9</t>
  </si>
  <si>
    <t>جریان های نقدی حاصل از فعالیت های سرمایه گذاری :</t>
  </si>
  <si>
    <t>بهای تمام شده یا مبلغ تجدید ارزیابی :</t>
  </si>
  <si>
    <t xml:space="preserve"> ذخیره مزایای پایان خدمت کارکنان</t>
  </si>
  <si>
    <t>جمع تغییرات در سرمایه درگردش</t>
  </si>
  <si>
    <t xml:space="preserve">میانگین ماهانه تعداد کارکنان در استخدام و نیز تعداد کارکنان شرکت های خدماتی که بخشی از امور خدماتی شرکت را به عهده دارند، طی سال به شرح زیر بوده است : </t>
  </si>
  <si>
    <t>سرمایه گذاری در سهام شرکت ها</t>
  </si>
  <si>
    <t xml:space="preserve">موجودي نقد </t>
  </si>
  <si>
    <t>مديريت سرمايه</t>
  </si>
  <si>
    <t>نسبت خالص بدهی به حقوق مالکانه(‌درصد)</t>
  </si>
  <si>
    <t>1 طبق بند 39 استاندارد حسابداري 1، در صورتي كه شركت(1) يك رويه حسابداري جديد را با تسري به گذشته بكار گيرد،‌(2) اقلامي از صورت هاي مالي را با تسري به گذشته تجديد ارائه نمايد يا(3) اقلامي در صورت هاي مالي را تجديد طبقه بندي كند و اين موارد اثر با اهميتي بر اطلاعات مندرج در صورت وضعيت مالي در ابتداي دوره قبل داشته باشد، بايد صورت وضعيت مالي به تاريخ ابتداي دوره قبل نيز ارائه گردد.</t>
  </si>
  <si>
    <t xml:space="preserve">كنترل </t>
  </si>
  <si>
    <t>صورتهاي مالي</t>
  </si>
  <si>
    <t xml:space="preserve">صورت سود و زيان </t>
  </si>
  <si>
    <t>يادداشتهاي توضيحي صورتهاي مالي</t>
  </si>
  <si>
    <t>شرکت داروسازی خوارزمی (سهامی خاص)</t>
  </si>
  <si>
    <t>آقای دکتر پیمان ترحمی</t>
  </si>
  <si>
    <t>آقای حمیدرضا رجبی خولکی</t>
  </si>
  <si>
    <t>شرکت داروسازی خوارزمی (سهامی خاص )</t>
  </si>
  <si>
    <t>شرکت داروسازی خوارزمی ( سهامی خاص )</t>
  </si>
  <si>
    <t>لوازم آزمایشگاهی</t>
  </si>
  <si>
    <t>علامت تجاری</t>
  </si>
  <si>
    <t>فولاد مبارکه اصفهان</t>
  </si>
  <si>
    <t>مجتمع صنایع داروئی</t>
  </si>
  <si>
    <t>تعاونی انجمن داروسازان</t>
  </si>
  <si>
    <t>بانک ملت پارس خودرو - جام 296075/50</t>
  </si>
  <si>
    <t>لوازم و قطعات یدکی</t>
  </si>
  <si>
    <t>سایر پیش پرداخت ها</t>
  </si>
  <si>
    <t>پوروزيري محمد</t>
  </si>
  <si>
    <t>پوروزيري علي</t>
  </si>
  <si>
    <t>پوروزيري امير حسين</t>
  </si>
  <si>
    <t>جاويدي معصومه</t>
  </si>
  <si>
    <t>شرکت داروسازی خوارزمی(سهامی خاص)</t>
  </si>
  <si>
    <t>شرکتها و اشخاص</t>
  </si>
  <si>
    <t>مالیات و عوارض ارزش افزوده</t>
  </si>
  <si>
    <t>حق بیمه های پرداختنی</t>
  </si>
  <si>
    <t>سپرده حسن انجام کار</t>
  </si>
  <si>
    <t>حساب جاری سهامداران</t>
  </si>
  <si>
    <t>شركت تك نگار ( تعاوني چاپ تك نگار قرن امروز )</t>
  </si>
  <si>
    <t>شرکت صنايع بسته بندي آيدانار</t>
  </si>
  <si>
    <t>اجاره محل</t>
  </si>
  <si>
    <t>بيمه سهم كارفرما وبيكاري</t>
  </si>
  <si>
    <t xml:space="preserve">آگهي و تبليغات و نمايشگاه  </t>
  </si>
  <si>
    <t>مزاياي پايان خدمت كاركنان</t>
  </si>
  <si>
    <t>تعمير و نگهداري دارائيها</t>
  </si>
  <si>
    <t>سفر و ماموريت</t>
  </si>
  <si>
    <t>عوارض</t>
  </si>
  <si>
    <t>سيستمهاي نرم افزاري</t>
  </si>
  <si>
    <t>هزينه حق الزحمه خدمات</t>
  </si>
  <si>
    <t>هزينه برق، گاز ،پست وتلفن</t>
  </si>
  <si>
    <t>هزينه حسابرسي</t>
  </si>
  <si>
    <t>هزينه حقوقي وثبتي</t>
  </si>
  <si>
    <t>سود تسهيلات دريافتي</t>
  </si>
  <si>
    <t>كارمزد و دير كرد اقساط وام</t>
  </si>
  <si>
    <t>فروش قرص</t>
  </si>
  <si>
    <t>فروش شربت</t>
  </si>
  <si>
    <t>فروش قطره</t>
  </si>
  <si>
    <t>فروش کپسول</t>
  </si>
  <si>
    <t xml:space="preserve"> فروش اسپري</t>
  </si>
  <si>
    <t>تخفيفات و برگشت از فروش قرص</t>
  </si>
  <si>
    <t>تخفيفات و برگشت از فروش شربت</t>
  </si>
  <si>
    <t>تخفيفات و برگشت از فروش قطره</t>
  </si>
  <si>
    <t>تخفيفات و برگشت از فروش كپسول</t>
  </si>
  <si>
    <t>تخفيفات و برگشت از فروش اسپري</t>
  </si>
  <si>
    <t>دکتر محمد پوروزیری</t>
  </si>
  <si>
    <t>دکترامیر حسین پوروزیری</t>
  </si>
  <si>
    <t>دکتر علی پوروزیری</t>
  </si>
  <si>
    <t>دکتر خانم معصومه جاویدی</t>
  </si>
  <si>
    <t>شرکت دارو سازان التیام</t>
  </si>
  <si>
    <t>شرکت فر آورده های زیستی وضد سرطان خوارزمی</t>
  </si>
  <si>
    <t>شرکت پرتو شیمی</t>
  </si>
  <si>
    <t>شرکت پلاسمای خوارزمی</t>
  </si>
  <si>
    <t>اطلاعات مربوط به دستمزد مستقیم به شرح ذیل است:</t>
  </si>
  <si>
    <t>حقوق و دستمزد ومزایا</t>
  </si>
  <si>
    <t>بیمه سهم کارفرما وبیکاری</t>
  </si>
  <si>
    <t>مزایای پایان خدمت کارکنان</t>
  </si>
  <si>
    <t xml:space="preserve">    دستمزد ومزایا وامکانات رفاهی پرسنل</t>
  </si>
  <si>
    <t xml:space="preserve">    استهلاک</t>
  </si>
  <si>
    <t xml:space="preserve">    تعمیر ونگهداری</t>
  </si>
  <si>
    <t xml:space="preserve">    اجاره انبار واجاره وسایل نقلیه</t>
  </si>
  <si>
    <t xml:space="preserve">   آب ، برق ، تلفن و سوخت </t>
  </si>
  <si>
    <t xml:space="preserve">   ملزومات مصرفی</t>
  </si>
  <si>
    <t xml:space="preserve">    سایر موارد</t>
  </si>
  <si>
    <t xml:space="preserve">سایر </t>
  </si>
  <si>
    <t>سود و کارمزد سالهای آتی</t>
  </si>
  <si>
    <t>شرکت داروسازی خوارزمی به شناسه ملی 10100378232در تاریخ 1342/09/13  به صورت شرکت سهامی خاص تاسیس شد و طی شماره8941 مورخ 1342/09/13 در اداره ثبت شرکت ها و مالکیت صنعتی تهران  به ثبت رسید و متعاقبا از تاریخ 1342/09/13 شروع به بهره برداری نموده است . نشانی مرکز اصلی شرکت تهران شهرک استقلال ، خیابان شهید غلامرضا جلال؛ بن بست داروسازی خوارزمی پلاک 115 طبقه همکف با کدپستی 1389716512و محل فعالیت اصلی آن در شهر تهران واقع است .</t>
  </si>
  <si>
    <t xml:space="preserve">             </t>
  </si>
  <si>
    <t>روش مورد استفاده</t>
  </si>
  <si>
    <t>مواد اوليه وبسته بندي</t>
  </si>
  <si>
    <t>ميانگين موزون سالانه</t>
  </si>
  <si>
    <t>كالاي در جريان ساخت</t>
  </si>
  <si>
    <t>قطعات و لوازم يدكي</t>
  </si>
  <si>
    <t>نوع دارایی</t>
  </si>
  <si>
    <t>نرخ استهلاك</t>
  </si>
  <si>
    <t>روش استهلاك</t>
  </si>
  <si>
    <t>25ساله</t>
  </si>
  <si>
    <t>مستقيم</t>
  </si>
  <si>
    <t>تأسيسات</t>
  </si>
  <si>
    <t>نزولي</t>
  </si>
  <si>
    <t>ماشين آلات</t>
  </si>
  <si>
    <t>10 ساله</t>
  </si>
  <si>
    <t xml:space="preserve">ابزارآلات </t>
  </si>
  <si>
    <t>4 ساله</t>
  </si>
  <si>
    <t>قالبها</t>
  </si>
  <si>
    <t>وسايل نقليه</t>
  </si>
  <si>
    <t>25، 35 درصد</t>
  </si>
  <si>
    <t>لوازم آزمايشگاهي</t>
  </si>
  <si>
    <t xml:space="preserve">        ذخيرة مزاياي پايان خدمت كاركنان بر اساس يك ماه آخرين حقوق ثابت و مزاياي مستمر براي هر سال خدمت آنان محاسبه و</t>
  </si>
  <si>
    <t xml:space="preserve">        درحسابها منظور مي شود.</t>
  </si>
  <si>
    <t xml:space="preserve">     اندازه گیری می شود.</t>
  </si>
  <si>
    <t xml:space="preserve">        مخارج تأمين  مالي در دورة و قو ع به عنوان هزينه شناسايي مي‌شود  ،  به استثناي مخارجي كه  مستقیماٌ  قابل انتساب به تحصيل </t>
  </si>
  <si>
    <t xml:space="preserve">          ”دارائيهاي واجد شرايط” است.</t>
  </si>
  <si>
    <t xml:space="preserve">      با نرخ رسمي ارز در تاريخ انجام معامله، تسعيرمي شود.تفاوتهاي ناشي ازتسويه يا تسعيراقلام    پولي ارزي  حسب مورد به شرح زیر</t>
  </si>
  <si>
    <t xml:space="preserve">      در حسابها منظور می شود :</t>
  </si>
  <si>
    <t>الف-تفاوت های تسعیر بدهی های ارزی مربوط به دارایی های واجد  شرایط ، به بهای تمام شده آن دارایی منظور می شود.</t>
  </si>
  <si>
    <t>ب-در سایر موارد ، به عنوان درآمد یا هزینه دوره وقوع شناسایی و در صورت سود و زیان گزارش می شود.</t>
  </si>
  <si>
    <t>3- اهم رویه های حسابداری</t>
  </si>
  <si>
    <t>3-1- مبناي تهيه صورتهاي مالي</t>
  </si>
  <si>
    <t xml:space="preserve">   3-3-سرمايه گذاري ها</t>
  </si>
  <si>
    <t>3-4-دارایی های نامشهود</t>
  </si>
  <si>
    <t>3-5- داراييهاي ثابت مشهود</t>
  </si>
  <si>
    <t xml:space="preserve">    3-5-2- استهلاك دارايي هاي ثابت مشهود، باتوجه به الگوی مصرف منافع اقتصادی آتی مورد انتظار (شامل عمر مفید بر آوردی)</t>
  </si>
  <si>
    <t xml:space="preserve"> 3-5-3-  براي داراييهاي ثابتي كه طي ماه تحصيل مي‌شود و مورد بهره ‌برداري قرار مي‌گيرد ،  استهلاك از اول ماه  بعد محاسبه</t>
  </si>
  <si>
    <t xml:space="preserve">  3-6- ذخيرة مزاياي پايان خدمت كاركنان</t>
  </si>
  <si>
    <t xml:space="preserve">  3-7-درآمد عملیاتی</t>
  </si>
  <si>
    <t>3-7-1-درآمد عملیاتی حاصل از فروش کالا در زمان تحویل کالا به مشتری شناسایی می شود.</t>
  </si>
  <si>
    <t>3-7-2-درآمد ارائه خدمات ، در زمان ارائه خدمات ، شناسایی می شود.</t>
  </si>
  <si>
    <t xml:space="preserve"> 3-8- مخارج تأمين مالي</t>
  </si>
  <si>
    <t xml:space="preserve"> 3-9- تسعير ارز</t>
  </si>
  <si>
    <t>قرص</t>
  </si>
  <si>
    <t>شربت</t>
  </si>
  <si>
    <t>قطره</t>
  </si>
  <si>
    <t>کپسول</t>
  </si>
  <si>
    <t>اسپری</t>
  </si>
  <si>
    <t>مانده اسناد دریافتنی سایر مشتریان به شرح زیر می باشد:</t>
  </si>
  <si>
    <t>شركت سلامت پخش هستي</t>
  </si>
  <si>
    <t>مانده اسناد در جریان وصول به شرح زیر تفکیک می گردد:</t>
  </si>
  <si>
    <t>بانک ملت  پارس خودرو - پس انداز 1440611396</t>
  </si>
  <si>
    <t>مانده حسابهای دریافتنی سایر مشتریان به شرح ذیل می باشد:</t>
  </si>
  <si>
    <t>شركت پخش محيا دارو</t>
  </si>
  <si>
    <t>شرکت پخش البرز</t>
  </si>
  <si>
    <t>شركت پخش سراسري يارا طب ثامن</t>
  </si>
  <si>
    <t>مانده حساب سهامداران به شرح ذیل می باشد:</t>
  </si>
  <si>
    <t>مبلغ سهام</t>
  </si>
  <si>
    <t>حسابهای پرداختنی غیر تجاری اشخاص وابسته به شرح ذیل می باشد.</t>
  </si>
  <si>
    <t>شرکت داروسازی التیام</t>
  </si>
  <si>
    <t>شرکتها و اشخاص غیرتجاری به شرح ذیل می باشد:</t>
  </si>
  <si>
    <t>شركت عمران بعثت خاتم</t>
  </si>
  <si>
    <t>شركت صنايع مكمل سازي ستارگان نيك</t>
  </si>
  <si>
    <t>تسهيلات دريافتي از بانکها</t>
  </si>
  <si>
    <t>بانک اقتصاد نوين</t>
  </si>
  <si>
    <t xml:space="preserve"> بانك كارآفرين</t>
  </si>
  <si>
    <t xml:space="preserve">بانک رفاه </t>
  </si>
  <si>
    <t>بانك ملت</t>
  </si>
  <si>
    <t>بانک توسعه تعاون</t>
  </si>
  <si>
    <t>بانک سینا</t>
  </si>
  <si>
    <t>بانك صنعت و معدن</t>
  </si>
  <si>
    <t>ذخیره حسابرسی</t>
  </si>
  <si>
    <t>1_5</t>
  </si>
  <si>
    <t>2_5</t>
  </si>
  <si>
    <t>3_5</t>
  </si>
  <si>
    <t>4_5</t>
  </si>
  <si>
    <t>5_5</t>
  </si>
  <si>
    <t>5-3-برگشت از فروش و تخفيفات داخلی شامل اقلام زير مي باشد.</t>
  </si>
  <si>
    <t xml:space="preserve">فروش ناخالص  داخلی </t>
  </si>
  <si>
    <t>فروش ناخالص صادراتی</t>
  </si>
  <si>
    <t>5-1- فروش ناخالص محصولات داخلی  شامل اقلام زير مي باشد:</t>
  </si>
  <si>
    <t>5-2- فروش ناخالص محصولات صادراتی شامل اقلام زير مي باشد:</t>
  </si>
  <si>
    <t>ماده موثره دارو</t>
  </si>
  <si>
    <t>هند</t>
  </si>
  <si>
    <t>چین</t>
  </si>
  <si>
    <t xml:space="preserve">ایران </t>
  </si>
  <si>
    <t>مواد اولیه و بسته بندی</t>
  </si>
  <si>
    <t>(افزایش) کاهش موجودی های ساخته شده</t>
  </si>
  <si>
    <t>6-</t>
  </si>
  <si>
    <t>6-1-</t>
  </si>
  <si>
    <t>شرکت توليدژلاتين کپسول ايران</t>
  </si>
  <si>
    <t>16-</t>
  </si>
  <si>
    <t>شرکت پخش فردوس</t>
  </si>
  <si>
    <t>18-</t>
  </si>
  <si>
    <t>19-</t>
  </si>
  <si>
    <t xml:space="preserve">مانده ابتدای سال </t>
  </si>
  <si>
    <t xml:space="preserve">ذخیره تامین شده </t>
  </si>
  <si>
    <t>مانده ذخیره در پایان سال</t>
  </si>
  <si>
    <t>موجودي نزد بانك ها - ريالي</t>
  </si>
  <si>
    <t>شرکت دروند</t>
  </si>
  <si>
    <t>نگارستان نقش سورنا</t>
  </si>
  <si>
    <t>ذخیره مرخصی</t>
  </si>
  <si>
    <t xml:space="preserve"> سود سهام پرداختنی</t>
  </si>
  <si>
    <t>13</t>
  </si>
  <si>
    <t>16</t>
  </si>
  <si>
    <t>21</t>
  </si>
  <si>
    <t>17-</t>
  </si>
  <si>
    <t xml:space="preserve">شرکت سرمایه خود را مدیریت می کند تا اطمینان حاصل کند در حین حداکثر کردن بازده ذینفعان از طریق بهینه سازی تعادل بدهی و سرمایه، قادر به تداوم فعالیت خواهد بود. ساختار سرمایه شرکت از خالص بدهی و حقوق مالکانه تشکیل می شود. استراتژی کلی شرکت از سال  1398 در خصوص حقوق مالکانه ، انتقال بدهی شرکت به مالکان (اقدام برای افزایش سرمایه از محل مطالبات حال شده شرکا را در دستور کار قرار داده که در سه ماهه اول سال آتی عملیاتی خواهد شد) .
</t>
  </si>
  <si>
    <t>3</t>
  </si>
  <si>
    <t>4</t>
  </si>
  <si>
    <t>5</t>
  </si>
  <si>
    <t xml:space="preserve"> موضوع فعاليت شركت طبق ماده 2 اساسنامه عبارت است از " تهيه و يا خريد مواد اوليه داروئي و شیمیائی اعم از مواد اولیه خام ،</t>
  </si>
  <si>
    <t xml:space="preserve"> نيمه ساخته و ساخته شده از داخل و يا خارج از  كشور،ساخت دارو و محصولات بهداشتی و آرایشی و شیمیائی ، عرضه و فروش</t>
  </si>
  <si>
    <t xml:space="preserve">توليدات به بازارهاي داخلي و خارجي و هر گونه عملي كه بنحو مستقيم و يا غير مستقيم به موضوع فعاليت شركت مربوط </t>
  </si>
  <si>
    <t xml:space="preserve"> و براي جريان عادي فعاليت شركت ضرروري باشد"</t>
  </si>
  <si>
    <t>فعاليت شركت به موجب پروانة بهره‌برداري شماره353/21/10672 مورخ سال 1335 كه توسط وزارت صنايع - اداره كل دارو صادر</t>
  </si>
  <si>
    <t>گرديده ، آغاز شده است.</t>
  </si>
  <si>
    <t xml:space="preserve">              دارایی های مربوط و با در نظر گرفتن قانون جدید ماده 149  اصلاحیه  قانون مالياتهاي مستقيم مصوب 94/04/21  و </t>
  </si>
  <si>
    <t xml:space="preserve">               براساس نرخها و روشهاي زير محاسبه مي‌شود: </t>
  </si>
  <si>
    <t xml:space="preserve">             و در حسابها منظور مي‌شود. در مواردي كه هريك از داراييهاي استهلاك‌پذير پس از آمادگي جهت بهره‌برداري به علت </t>
  </si>
  <si>
    <t xml:space="preserve">            تعطيل كار يا علل ديگر براي مدتي مورد استفاده قرار نگيرد، ميزان استهلاك آن  براي مدت ياد شده معادل 30% نرخ </t>
  </si>
  <si>
    <t xml:space="preserve">             استهلاك منعکس در جدول بالا ست. </t>
  </si>
  <si>
    <t xml:space="preserve">     درآمد عملیاتی به ارزش منصفانه مابه ازای دریافتی یا دریافتنی وبه کسر مبالغ برآوردی از بابت برگشت ازفروش و تخفیفات </t>
  </si>
  <si>
    <t>یادداشت</t>
  </si>
  <si>
    <t>6_1</t>
  </si>
  <si>
    <t>6_3</t>
  </si>
  <si>
    <t xml:space="preserve">موجودی کالای ابتدای دوره </t>
  </si>
  <si>
    <t xml:space="preserve">خرید طی دوره </t>
  </si>
  <si>
    <t>آماده برای تولید</t>
  </si>
  <si>
    <t>موجودی کالای پایان دوره</t>
  </si>
  <si>
    <t xml:space="preserve">مواد مصرف شده </t>
  </si>
  <si>
    <t xml:space="preserve">فروش طی دوره </t>
  </si>
  <si>
    <t xml:space="preserve">ضایعات </t>
  </si>
  <si>
    <t>کالای امانی دیگران نزد ما</t>
  </si>
  <si>
    <t xml:space="preserve">تعدیلات </t>
  </si>
  <si>
    <t>گردش مواد به شرح ذیل می باشد</t>
  </si>
  <si>
    <t>دارایی های نامشهود</t>
  </si>
  <si>
    <t>پایش تجارت خوارزمی</t>
  </si>
  <si>
    <t xml:space="preserve">داروسازان التیام </t>
  </si>
  <si>
    <t xml:space="preserve">پلاسمای خوارزمی </t>
  </si>
  <si>
    <t>26</t>
  </si>
  <si>
    <t>27</t>
  </si>
  <si>
    <t>28</t>
  </si>
  <si>
    <t>نحوه تشخیص</t>
  </si>
  <si>
    <t xml:space="preserve"> عملکرد سال 97</t>
  </si>
  <si>
    <t xml:space="preserve">شرکت کیمیا اثر سلامت </t>
  </si>
  <si>
    <t>شرکت پایش تجارت خوارزمی</t>
  </si>
  <si>
    <t>شرکتهای وابسته</t>
  </si>
  <si>
    <t xml:space="preserve">جمع </t>
  </si>
  <si>
    <t>مانده حساب اشخاص وابسته به شرح ذیل می باشد:</t>
  </si>
  <si>
    <t>دارایی های ثابت مشهود</t>
  </si>
  <si>
    <t>معاملات غیر نقدی عمده طی سال به شرح زیر است:</t>
  </si>
  <si>
    <t>افزایش سرمایه از محل مطالبات حال شده سهامداران</t>
  </si>
  <si>
    <t>انتقال اموال از دکتر محمد پوروزیری به داروسازی خوارزمی</t>
  </si>
  <si>
    <t xml:space="preserve">فروش دارایی ثابت و تهاتر با مانده طلب شرکت زاگرس لیفتراک </t>
  </si>
  <si>
    <t xml:space="preserve">افزایش سرمایه در جریان </t>
  </si>
  <si>
    <t xml:space="preserve">4-قضاوت های مدیریت در فرآیند بکارگیری رویه های حسابداری و برآوردها </t>
  </si>
  <si>
    <t>12-</t>
  </si>
  <si>
    <t>12-1-</t>
  </si>
  <si>
    <t>12-2-</t>
  </si>
  <si>
    <t>12-3-</t>
  </si>
  <si>
    <t>14-1-</t>
  </si>
  <si>
    <t>15-1- مانده سفارشات مواد اولیه به شرح زيرتفكيك مي گردد:</t>
  </si>
  <si>
    <t>15-1</t>
  </si>
  <si>
    <t>15-2</t>
  </si>
  <si>
    <t>15-3</t>
  </si>
  <si>
    <t>16-1-</t>
  </si>
  <si>
    <t>17-1</t>
  </si>
  <si>
    <t>17-3</t>
  </si>
  <si>
    <t>17-2</t>
  </si>
  <si>
    <t>17-4</t>
  </si>
  <si>
    <t>17-5</t>
  </si>
  <si>
    <t>افزایش سرمایه در جریان</t>
  </si>
  <si>
    <t>23-1</t>
  </si>
  <si>
    <t>23-2</t>
  </si>
  <si>
    <t xml:space="preserve"> </t>
  </si>
  <si>
    <t xml:space="preserve">قطعات دستگاه خط تولید </t>
  </si>
  <si>
    <t>یادداشتهای توضیحی صورت های مالی</t>
  </si>
  <si>
    <t>مانده در پایان سال 1399</t>
  </si>
  <si>
    <t>ریال</t>
  </si>
  <si>
    <t>در سال مورد گزارش مبلغ 1.607.630  میلیون ریال (سال قبل 1.607.630  میلیون ریال) مواد اولیه خریداری شده است. تامین کنندگان اصلی مواد اولیه (بیش از 10 درصد خرید) به تفکیک کشور و مبلغ خرید  به شرح ذیل است:</t>
  </si>
  <si>
    <t>موجودی دارائیهای ثابت نزد انبار</t>
  </si>
  <si>
    <t>شركت پخش رازي</t>
  </si>
  <si>
    <t>شركت پخش دارويي اكسير</t>
  </si>
  <si>
    <t>دانش و درمان تبسم</t>
  </si>
  <si>
    <t>داروگستر نخبگان</t>
  </si>
  <si>
    <t>پاسارگاد  شعبه تهرانسر 1-14496331-8100-406</t>
  </si>
  <si>
    <t>موجودي پاي كار محصول تكميل نشده</t>
  </si>
  <si>
    <t>18-1</t>
  </si>
  <si>
    <t>18-2</t>
  </si>
  <si>
    <t>پويان پيشرو كاوش</t>
  </si>
  <si>
    <t xml:space="preserve">سایر اقلام </t>
  </si>
  <si>
    <t>شركت گروه فني مهندسي پارت دارو الوند</t>
  </si>
  <si>
    <t>شركت افشان نگار آريا</t>
  </si>
  <si>
    <t xml:space="preserve"> عملکرد سال 98</t>
  </si>
  <si>
    <t>بانک ملی</t>
  </si>
  <si>
    <t>بانک پاسارگاد</t>
  </si>
  <si>
    <t>بانک دی</t>
  </si>
  <si>
    <t>پرداختهای نقدی بابت سود و جریمه تسهیلات</t>
  </si>
  <si>
    <t>12-4-</t>
  </si>
  <si>
    <t>مانده در ابتدای سال 1399</t>
  </si>
  <si>
    <t>سال1400</t>
  </si>
  <si>
    <t>سال1399</t>
  </si>
  <si>
    <t>مانده در پایان سال1400</t>
  </si>
  <si>
    <t>سود جامع سال 1399</t>
  </si>
  <si>
    <t>ذخیره اعتبارات اسنادی</t>
  </si>
  <si>
    <t xml:space="preserve"> عملکرد سال 99</t>
  </si>
  <si>
    <t>فروش پماد</t>
  </si>
  <si>
    <t>تخفيفات و برگشت از فروش پماد</t>
  </si>
  <si>
    <t>پماد</t>
  </si>
  <si>
    <t>شرکت سپاهان پردازش دنا</t>
  </si>
  <si>
    <t>شرکت داروسازی ایران دارو</t>
  </si>
  <si>
    <t>شرکت پدیده پارت</t>
  </si>
  <si>
    <t>شرکت دارو پوش</t>
  </si>
  <si>
    <t>شرکت تعاونی تولیدکنندگان محصولات غذایی بکتاش تامین</t>
  </si>
  <si>
    <t>شرکت البرز فارمد</t>
  </si>
  <si>
    <t>رفاه کارگران شعبه پارس مینو 42505630</t>
  </si>
  <si>
    <t>شرکت مدیریت منابع تجاری ایده گستران زمان (پخش سراسری ممتاز)</t>
  </si>
  <si>
    <t>شرکت پخش قاسم ایران</t>
  </si>
  <si>
    <t>پخش دایا دارو</t>
  </si>
  <si>
    <t>سینا طب ثمین</t>
  </si>
  <si>
    <t>شرکت پخش هجرت</t>
  </si>
  <si>
    <t>شرکت همکاران سیستم پناه تهران</t>
  </si>
  <si>
    <t>شرکت افشان نگار آریا</t>
  </si>
  <si>
    <t>شرکت گروه فنی مهندسی پارت دارو الوند</t>
  </si>
  <si>
    <t>شرکت ایمن فراز مهر</t>
  </si>
  <si>
    <t>ماشین های اداری برادر-مسعود یوسف کرمابکی</t>
  </si>
  <si>
    <t>گروه مشاورین پایدار راهکار هوشمند</t>
  </si>
  <si>
    <t>شرکت کاوش شیمی صانع</t>
  </si>
  <si>
    <t>شرکت داروسازی دکتر عبیدی</t>
  </si>
  <si>
    <t>شرکت فرآورده های زیستی و ضد سرطان خوارزمی</t>
  </si>
  <si>
    <t>ماهنامه علمی پزشکی و دارویی دارونگار</t>
  </si>
  <si>
    <t>موسسه تحقیقات وتوسعه شهردارو</t>
  </si>
  <si>
    <t>شرکت خدماتی مجتمع صنایع داروسازی</t>
  </si>
  <si>
    <t>شرکت پرتوشناسان نوین طب خوارزمی</t>
  </si>
  <si>
    <t>شرکت توسعه دانش مدیریت همگام خوارزمی نوین</t>
  </si>
  <si>
    <t>شرکت سینا کالای شمس</t>
  </si>
  <si>
    <t>الستی یداله</t>
  </si>
  <si>
    <t>الستی آریا</t>
  </si>
  <si>
    <t>الستی مینا</t>
  </si>
  <si>
    <t>الستی آلیس</t>
  </si>
  <si>
    <t>فروزان نیا یداله</t>
  </si>
  <si>
    <t>فروزان نیا حسنعلی</t>
  </si>
  <si>
    <t>فروزان نیا آریان</t>
  </si>
  <si>
    <t>فروزان نیا افشین</t>
  </si>
  <si>
    <t>جاویدی هادی</t>
  </si>
  <si>
    <t>فروزان نیا غلامحسین</t>
  </si>
  <si>
    <t>جاویدی محمد مهدی</t>
  </si>
  <si>
    <t>جاویدی محمد علی</t>
  </si>
  <si>
    <t>جاویدی نرجس</t>
  </si>
  <si>
    <t>جاویدی طاهره</t>
  </si>
  <si>
    <t>توانگریان فریده</t>
  </si>
  <si>
    <t>جاویدی معصومه</t>
  </si>
  <si>
    <t>حمیدرضا رجبی خولکی</t>
  </si>
  <si>
    <t>ترحمی پیمان</t>
  </si>
  <si>
    <t>بانک سپه شعبه پدافند مهرآباد 64917390</t>
  </si>
  <si>
    <t>بانک کارآفرین کارگر شمالی 0100294501604</t>
  </si>
  <si>
    <t>بانک صنعت و معدن شعبه صنعت 0200063068004</t>
  </si>
  <si>
    <t>بانک ملت شرکت پارس خودرو 7297386646</t>
  </si>
  <si>
    <t>بانک ملی  ارج- سیبا 0104584951007</t>
  </si>
  <si>
    <t>بانک ملی شعبه ارج -ارزی 1017210000019</t>
  </si>
  <si>
    <t>بانک صنعت و معدن شعبه صنعت 0100034639002</t>
  </si>
  <si>
    <t>توسعه صادرات ایران مرکزی 0100012400004</t>
  </si>
  <si>
    <t>بانک تجارت چیتگر - ارزی 80293348</t>
  </si>
  <si>
    <t>بانک تجارت ستارخان 33913192</t>
  </si>
  <si>
    <t>بانک توسعه تعاون  شعبه ایران خودرو 171511119604071</t>
  </si>
  <si>
    <t>دی شعبه شهرک اکباتان 0200473859000</t>
  </si>
  <si>
    <t xml:space="preserve">تنخواه </t>
  </si>
  <si>
    <t>دلار آمریکا</t>
  </si>
  <si>
    <t>یورو</t>
  </si>
  <si>
    <t>یوان چین</t>
  </si>
  <si>
    <t>لیر ترکیه</t>
  </si>
  <si>
    <t>روپیه  هند</t>
  </si>
  <si>
    <t>ریال عمان</t>
  </si>
  <si>
    <t>دینار عراق</t>
  </si>
  <si>
    <t>درهم</t>
  </si>
  <si>
    <t xml:space="preserve"> ریال</t>
  </si>
  <si>
    <t>شرکت تولید مواد اولیه داروپخش (تماد)</t>
  </si>
  <si>
    <t>شرکت مفید شیشه</t>
  </si>
  <si>
    <t>شرکت خوش شیمی تجارت</t>
  </si>
  <si>
    <t>شرکت صنایع شیمیایی  کیمیاگران امروز</t>
  </si>
  <si>
    <t>خوش شیمی فارمد</t>
  </si>
  <si>
    <t>شرکت ثمین دارو ایرانیان</t>
  </si>
  <si>
    <t>شرکت تولیدی پرشین کارتن آریان</t>
  </si>
  <si>
    <t>شرکت بهان سار</t>
  </si>
  <si>
    <t>شرکت صنایع بسته بندی داروپات شرق</t>
  </si>
  <si>
    <t>چاپ سنائی ( سید مهدی حاجی میر اسماعیلی و شریک )</t>
  </si>
  <si>
    <t>شرکت تک نگار ( تعاونی چاپ تک نگار قرن امروز )</t>
  </si>
  <si>
    <t>شرکت تولیدژلاتین کپسول ایران</t>
  </si>
  <si>
    <t>شرکت شیمی داروئی داروپخش</t>
  </si>
  <si>
    <t>سازمان غذا و دارو</t>
  </si>
  <si>
    <t>پویان پیشرو کاوش</t>
  </si>
  <si>
    <t>شرکت صنایع بسته بندی آیدانار</t>
  </si>
  <si>
    <t>شرکت تهرانکسری</t>
  </si>
  <si>
    <t>صنایع شیمیایی و داروئی تبریز</t>
  </si>
  <si>
    <t>شرکت چاپ مرمر</t>
  </si>
  <si>
    <t>شرکت توسعه صنایع چاپ و بسته بندی کرمانشاه</t>
  </si>
  <si>
    <t>شرکت بهینه پوشش جم</t>
  </si>
  <si>
    <t>نمونه پلاست ( شرکت نمونه پلاست پارس)</t>
  </si>
  <si>
    <t>شرکت کیمیا کالا</t>
  </si>
  <si>
    <t>کاج سبز پرند</t>
  </si>
  <si>
    <t>شرکت دارویی ره آورد تامین</t>
  </si>
  <si>
    <t>شرکت پردیس پلاست کویر</t>
  </si>
  <si>
    <t>شرکت کامل برچسب پرند</t>
  </si>
  <si>
    <t>شرکت کیمیا الکل زنجان</t>
  </si>
  <si>
    <t>شرکت آماد پلاست فارمد</t>
  </si>
  <si>
    <t>کالا بر چسب</t>
  </si>
  <si>
    <t>شرکت ایرانیان تجهیز رایکا</t>
  </si>
  <si>
    <t>سید صابر علوی فوشازده-سرای کهن</t>
  </si>
  <si>
    <t>محمدرضائی مینا</t>
  </si>
  <si>
    <t>داده افرا مهرگان</t>
  </si>
  <si>
    <t>شرکت مهندسی زیستی آروکو فرایند سازان شریف</t>
  </si>
  <si>
    <t>مجتمع صنایع شیمیایی دکتر مجللی</t>
  </si>
  <si>
    <t>عربی وحید</t>
  </si>
  <si>
    <t>محمدی امیر</t>
  </si>
  <si>
    <t>در ریخته ابوالفضل</t>
  </si>
  <si>
    <t>نایلون باستان پارس</t>
  </si>
  <si>
    <t>کامرانی شکر لو شهرام</t>
  </si>
  <si>
    <t>موسوی سید علی</t>
  </si>
  <si>
    <t>نعمتی مجید</t>
  </si>
  <si>
    <t>فروشگاه پارس 3-سمانه ذاکرین</t>
  </si>
  <si>
    <t>سهرابی امید</t>
  </si>
  <si>
    <t>بارمان ساحل اروند</t>
  </si>
  <si>
    <t>فروشگاه کافه تحریر-مجید نراقی جلیلی</t>
  </si>
  <si>
    <t>موسی زاده حسنی سید علیرضا</t>
  </si>
  <si>
    <t>محمدکاظم دوج</t>
  </si>
  <si>
    <t>شرکت پارس فراسو</t>
  </si>
  <si>
    <t>خواجوند نرجس</t>
  </si>
  <si>
    <t>مروتی ماهینی بنت الهدی</t>
  </si>
  <si>
    <t>منشور طب کوروش</t>
  </si>
  <si>
    <t>رسولی علیرضا</t>
  </si>
  <si>
    <t>داروسازی جالینوس</t>
  </si>
  <si>
    <t>تجارت گستر راد نصر</t>
  </si>
  <si>
    <t>شادلو المیرا</t>
  </si>
  <si>
    <t>خدمات سقف کاذب سبحان</t>
  </si>
  <si>
    <t>شهریور آقبلاغ حسن</t>
  </si>
  <si>
    <t>محمدی نژاد پاشاکی حمزه</t>
  </si>
  <si>
    <t>رایانه گستران سازگار</t>
  </si>
  <si>
    <t>مرادی فردین</t>
  </si>
  <si>
    <t>اشرفی فشی اکبر</t>
  </si>
  <si>
    <t>شرکت اریکه درنا</t>
  </si>
  <si>
    <t>سعید رضا زاده -سپید تجهیز آریانا</t>
  </si>
  <si>
    <t>ساداتی مهناز</t>
  </si>
  <si>
    <t>شریف نژاد غزاله</t>
  </si>
  <si>
    <t>بیرانوند سیاوش</t>
  </si>
  <si>
    <t>لبن جوش آریا-سعید رضائی</t>
  </si>
  <si>
    <t>عنایت مهر پریسا</t>
  </si>
  <si>
    <t>محمد حسنی راد مهدی</t>
  </si>
  <si>
    <t>شفیعی مهدی</t>
  </si>
  <si>
    <t>رضائی ویائی ابراهیم</t>
  </si>
  <si>
    <t>رادقی داود</t>
  </si>
  <si>
    <t>مرکز تخصصی طب کار صادقیه</t>
  </si>
  <si>
    <t>مریم بشیری خصال</t>
  </si>
  <si>
    <t>علی اکبر عطائی</t>
  </si>
  <si>
    <t>مرادباروق فرید</t>
  </si>
  <si>
    <t>امیر طاهری سحر</t>
  </si>
  <si>
    <t>محمدی ارباطی محمد جواد</t>
  </si>
  <si>
    <t>عزیزی بر آفتابی علیرضا</t>
  </si>
  <si>
    <t>پیر فلک ملومه پویا</t>
  </si>
  <si>
    <t>فرمهینی فراهانی علیرضا</t>
  </si>
  <si>
    <t>شهرداری منطقه 21</t>
  </si>
  <si>
    <t>سیامک اکتائی(ماشین آلات صنعتی اکتائی)</t>
  </si>
  <si>
    <t>شرکت تولیدی و صنعتی نوید</t>
  </si>
  <si>
    <t>مهندسی مشاور فرآیند سازان مهاب</t>
  </si>
  <si>
    <t>گروه مهندسی بازرگانی تجارت گستر پایا</t>
  </si>
  <si>
    <t>تراشکاری مهدوی-حیدر مهدوی حاجی</t>
  </si>
  <si>
    <t>اکسیر هیراد</t>
  </si>
  <si>
    <t>ريال</t>
  </si>
  <si>
    <t>سپه</t>
  </si>
  <si>
    <t>پارسیان</t>
  </si>
  <si>
    <t>شهر</t>
  </si>
  <si>
    <t>نمونه های شرکت BDR (سه قلم)- هندوستان</t>
  </si>
  <si>
    <t>ملزومات</t>
  </si>
  <si>
    <t>سایر مزایای کارکنان</t>
  </si>
  <si>
    <t>سایر اول دوره</t>
  </si>
  <si>
    <t>سایر آخر دوره</t>
  </si>
  <si>
    <t>سایر وارده ها (امانی)</t>
  </si>
  <si>
    <t>کسر و اضافه انبار</t>
  </si>
  <si>
    <t>سایر تولید</t>
  </si>
  <si>
    <t>شرکت داروئی امین اعلا</t>
  </si>
  <si>
    <t>بیمه تکمیلی درمان کارکنان</t>
  </si>
  <si>
    <t>اقلام باز  بدهکار صورتحسابهای بانکها</t>
  </si>
  <si>
    <t>بدهی ماه قبل وجاری</t>
  </si>
  <si>
    <t>بیمه عمر و حوادث کارکنان</t>
  </si>
  <si>
    <t>سپرده بیمه</t>
  </si>
  <si>
    <t>مانده حساب سایر به شرح ذیل می باشد:</t>
  </si>
  <si>
    <t xml:space="preserve">مصارف هزینه </t>
  </si>
  <si>
    <t xml:space="preserve"> ريال</t>
  </si>
  <si>
    <t>(مبالغ به  ریال)</t>
  </si>
  <si>
    <t>سمر طب درمان</t>
  </si>
  <si>
    <t>سایر سپرده ها</t>
  </si>
  <si>
    <t xml:space="preserve"> سپرده ها بیمه پرداختنی</t>
  </si>
  <si>
    <t>ماشین سازی و ورق کاری پرگاس طب پاسارگاد</t>
  </si>
  <si>
    <t xml:space="preserve"> عملکرد سال 1400</t>
  </si>
  <si>
    <t>محصول خریداری شده</t>
  </si>
  <si>
    <t>بهای تمام شده مواد و ملزومات فروش رفته</t>
  </si>
  <si>
    <t xml:space="preserve">مجمع عمومی عادی صاحبان سهام </t>
  </si>
  <si>
    <t>استاندارد های حسابداری جدیدو تجدید نظر شده مصوب که هنوز لازم الاجرا نیستند:</t>
  </si>
  <si>
    <t>-2-2</t>
  </si>
  <si>
    <t>هیات مدیره با بررسی نگهداشت سرمایه و نقدینگی سرمایه و نقدینگی مورد نیاز ، قصد نکهداری سرمایه گذاری های بلند مدت برای مدت طولانی را دارد .این سرمایه گذاری های به قصد استفاده مستمر توسط شرکت نگهداری می شود و هدف آن نگهداری پرتفویی از سرمایه گذاری ها جهت تامین درآمد و یا رشد سرمایه گذاری برای شرکت است .</t>
  </si>
  <si>
    <t>یادداشتهای توضیحی صورتهای مالی</t>
  </si>
  <si>
    <t xml:space="preserve">       اقلام  پولي ارزي با نرخ رسمي ارز در تاريخ صورت وضعیت مالی و اقلام غير پولي كه به بهاي تمام شده  تاريخي برحسب ارزثبت شده است ،</t>
  </si>
  <si>
    <t>قرض الحسنه دریافتی از سهامداران</t>
  </si>
  <si>
    <t>پرداختهاي نقدي بابت سود سهام</t>
  </si>
  <si>
    <t>دریافت وجوه پرداختی به شرکتهای وابسته</t>
  </si>
  <si>
    <t xml:space="preserve">اصلاح اشتباهات (یادداشت 27) </t>
  </si>
  <si>
    <t>28- نقد حاصل از عملیات</t>
  </si>
  <si>
    <t>بکارگیری استاندارهای جدید و تجدید نظر شده:</t>
  </si>
  <si>
    <t>آثار با اهمیت ناشی از بکارگیری استانداردهای حسابداری جدید و تجدید نظر شده که در سال جاری لازم الاجرا هستند به شرح ذیل میباشد.</t>
  </si>
  <si>
    <t>استاندارهای حسابداری شماره18و20و38و29و40و41و42 به ترتیب صورتهای مالی جداگانه سرمایگذاری درواحدهای تجاری وابسته و مشارکت های خاص ترکیب های تجاری صورتهای مالی تلفیقی ،مشارکت ها افشای منافع در واحدهای تجاری دیگر واندازگیری ارزش منصفانه که از1400 لازم اجرا میباشد براساس ارزیابی و برآرود های صورت گرفته استانداردهای فوق باتوجه به شرایط کنونی به طور کلی تاثیر قابل ملاحظه ای برشناخت اندازگیری و گزارشگری اقلام صورت مالی نخواهند داشت.</t>
  </si>
  <si>
    <t>-2-1-1</t>
  </si>
  <si>
    <t>-2-2-2</t>
  </si>
  <si>
    <t>نحوه اندازه گیری</t>
  </si>
  <si>
    <t>زمان شناخت درآمد</t>
  </si>
  <si>
    <t>درزمان تصویب سود توسط مجمع عمومی صاحبان سهام شرکت سرمایه پذیر ( تاتاریخ صورت وضعیت مالی)</t>
  </si>
  <si>
    <t>درزمان تحقق سود تضمین شده ( باتوجه به نرخ سود موثر)</t>
  </si>
  <si>
    <t xml:space="preserve"> 3-10 مالیات بردرآمد</t>
  </si>
  <si>
    <t>3-10-1 هزینه مالیات.</t>
  </si>
  <si>
    <t xml:space="preserve"> که به اقلام شناسایی شده در صورت سود و زیان جامع یا حقوق صاحبان سرمایه مرتبط باشند که به تربیت در صورت سود و زیان جامع یا مستقیما در حقوق مالکانه شناسایی میشوند.</t>
  </si>
  <si>
    <t>هزینه مالیات. مجموع مالیات جاری و انتقال است. مالیات جاری و مالیات انتقالی  است. مالیات جاری و مالیات انتقالی در صورت سود و زیان منعکس میشود، مگر در مواردی</t>
  </si>
  <si>
    <t>3-10-2 مالیات انتقالی</t>
  </si>
  <si>
    <t>مالیات انتقالی براساس تفاوت موقتی بین مبلغ دفتری دارایی ها و بدهی ها برای مقاصد گزارشگری مالی و مبالغ مورد استفاده برای مقاصد مالیاتی محاسبه میشود.</t>
  </si>
  <si>
    <t xml:space="preserve">درپایان هردوره گزارشگری برای اطمینان از قابلیت بازیافت مبلغ دفتری دارایی های مالیات انتقالی ، محتمل بودن وجود سود مشمول مالیات درآینده قابل پیش بینی </t>
  </si>
  <si>
    <t>برای بازیافت دارایی مالیات انتقالی ارزیابی میگردد و درصورت ضرورت مبلغ دفتری دارایی های مزبور تا میزان قابل بازیافت کاهش داده میشود. چنین کاهشی ،</t>
  </si>
  <si>
    <t>درصورتی برگشت داده میشود که وجود سود مشمول مالیات به میزان کافی محتمل باشد.</t>
  </si>
  <si>
    <t>3-10-3  تهاتر دارایی های مالیات جاری و بدهی های مالیات جاری</t>
  </si>
  <si>
    <t xml:space="preserve">شرکت دارایی های مالیات جاری و بدهی های مالیات جاری را تنها در صورتی تهاتر میکند که الف حق قانونی برای تهاتر مبالغ شناسایی شده داشته باشد و ب قصد </t>
  </si>
  <si>
    <t>تسویه بر مبنای خالص یا بازیافت و تسویه همزمان دارایی و بدهی را داشته باشد.</t>
  </si>
  <si>
    <t>6_4</t>
  </si>
  <si>
    <t>کاهش</t>
  </si>
  <si>
    <t>آرسا صنعت مازند</t>
  </si>
  <si>
    <t>دستگاه هواساز 1 عدد از کشور آلمان</t>
  </si>
  <si>
    <t>شرکت نیما تهویه آرا</t>
  </si>
  <si>
    <t>ماشین پرکن-آرگین خچاطوریان</t>
  </si>
  <si>
    <t>شرکت آروین تجارت پژوه آزما</t>
  </si>
  <si>
    <t>(مبالغ به ریال)</t>
  </si>
  <si>
    <t>21-1-ذخیره مزایای پایان خدمت کارکنان بر اساس یک ماه آخرین حقوق ثابت و مزایای مستمر برای هر سال خدمت آنان محاسبه و در حسابها منظور می شود.</t>
  </si>
  <si>
    <t>22-1</t>
  </si>
  <si>
    <t>22-2</t>
  </si>
  <si>
    <t>22-3</t>
  </si>
  <si>
    <t>22-4</t>
  </si>
  <si>
    <t>22-6</t>
  </si>
  <si>
    <t>22-7</t>
  </si>
  <si>
    <t>اسناد پرداختنی سایر اشخاص به شرح ذیل می باشد.</t>
  </si>
  <si>
    <t>گردش حساب مالیات پرداختنی (شامل مانده حساب ذخیره واسناد پرداختنی) به قرار ذیل است:</t>
  </si>
  <si>
    <t>مانده درابتدای سال</t>
  </si>
  <si>
    <t>ذخیره مالیات عملکرد سال</t>
  </si>
  <si>
    <t>تعدیل ذخیره مالیات عملکرد سال های قبل</t>
  </si>
  <si>
    <t>پرداختی طی سال</t>
  </si>
  <si>
    <t>رسیدگی نشده</t>
  </si>
  <si>
    <t>خلاصه وضعیت مالیات پرداخنی به شرح زیر است:</t>
  </si>
  <si>
    <t>23-2-1</t>
  </si>
  <si>
    <t>23-2-2</t>
  </si>
  <si>
    <t>مالیات بردرآمد شرکت  برای کلیه سالهای قبل از 1399 قطعی و تسویه شده است.</t>
  </si>
  <si>
    <t>26- پیش دریافت ها</t>
  </si>
  <si>
    <t>29- معاملات غیر نقدی</t>
  </si>
  <si>
    <t>ذخایر</t>
  </si>
  <si>
    <t>اسنادپرداختی</t>
  </si>
  <si>
    <t>تقسیم سود انباشته پایان سال درمورد زیر موکول به تصویب مجمع عمومی صاحبان سهام میباشد.</t>
  </si>
  <si>
    <t>مبلغ</t>
  </si>
  <si>
    <t>سود پیشنهادی هیئت مدیره:</t>
  </si>
  <si>
    <t>سود پیشنهادی هیئت مدیره 1400</t>
  </si>
  <si>
    <t>29</t>
  </si>
  <si>
    <t>31</t>
  </si>
  <si>
    <t>ترکیه فرانسه</t>
  </si>
  <si>
    <t>آثار احتمال آتی با اهمیت ناشی از اجرای استاندارد های حسابداری جدید و تجدید نظر شده مصوب که هنوز لازم الجرا نیستند به شرح زیر است:</t>
  </si>
  <si>
    <t>استاندار حسابداری16آثار تغییر برنرخ ارز آثار با اهمیت ناشی از اجرای استاندارد حسابداری 16آثار تغییر در نرخ ارز صورتهای مالی درحال حاضر برای شرکت وجود ندارد.</t>
  </si>
  <si>
    <t>سرمایه گذاری های جاری</t>
  </si>
  <si>
    <t>انواع سرمایه گذاری ها</t>
  </si>
  <si>
    <t>سرمایه گذاری در اوراق بهادار</t>
  </si>
  <si>
    <t>سرمایه گذاری سریع المعامله در بازار</t>
  </si>
  <si>
    <t>سایر سرمایه گذاری های جاری</t>
  </si>
  <si>
    <t>نوع سرمایه گذاری</t>
  </si>
  <si>
    <t>سایر سرمایه گذاری های جاری و بلند مدت در سهام سایر شرکتها</t>
  </si>
  <si>
    <t>سرمایه گذاری در سایر اوراق</t>
  </si>
  <si>
    <t>بهای تمام شده به کسر کاهش ارزش انباشته هر یک از سرمایه گذاری ها</t>
  </si>
  <si>
    <t>ارزش بازار مجموعه (پرتفوی) سرمایه گذاری ها</t>
  </si>
  <si>
    <t>اقل بهای تمام شده و خالص ارزش فروش هریک از سرمایه گذاری ها</t>
  </si>
  <si>
    <t>5-درآمدهاي عملياتي</t>
  </si>
  <si>
    <t>به تفکیک نرخ وسود کارمزد</t>
  </si>
  <si>
    <t>به تفکیک زمان بندی پرداخت</t>
  </si>
  <si>
    <t>به تفکیک نوع وثیقه</t>
  </si>
  <si>
    <t>6-2-1 تامین کننده گان عمده مواد اولیه شرکتهای کیمیا گران امروز، تولید مواد اولیه دارو پخش( تماد)، کیمیا اثر، ثمین دارو ،انتی بیوتیک سازی ،کالا برچسب ،مفید شیشه ،شیشه رازی سینا کالای شمس
 که به تریتب 384.587 ، 104.564 ، 101.595، 61.661 ، 84.415 ، 1.727 ، 175.908، 21.727 ،18052 ملیون ریال میباشد.</t>
  </si>
  <si>
    <t>افزایش (کاهش) پرداختنی های عملیاتی</t>
  </si>
  <si>
    <t>بازرگانی</t>
  </si>
  <si>
    <t>تولیدی</t>
  </si>
  <si>
    <t>حمل و نقل ترخیص و بارگیری</t>
  </si>
  <si>
    <t>نمونه و تحقیقات</t>
  </si>
  <si>
    <t>اضافات انبارگردانی</t>
  </si>
  <si>
    <t>6-1-1-</t>
  </si>
  <si>
    <t>ارائه خدمات</t>
  </si>
  <si>
    <t>مواد اولیه</t>
  </si>
  <si>
    <t>مواد بسته بندی</t>
  </si>
  <si>
    <t>سنوات قبل از</t>
  </si>
  <si>
    <t>.</t>
  </si>
  <si>
    <t xml:space="preserve">                   </t>
  </si>
  <si>
    <t>خرید</t>
  </si>
  <si>
    <t>32</t>
  </si>
  <si>
    <t>18</t>
  </si>
  <si>
    <t>20</t>
  </si>
  <si>
    <t>مالیات بر عملکرد سال 1399 طبق برگه قطعی صادره مورد پذیرش قرار گردیده و بصورت اقساطی در حال پرداخت میباشد.</t>
  </si>
  <si>
    <t xml:space="preserve"> به استثنای موارد فوق ، سایر معاملات با اشخاص وابسته با شرایط حاکم بر معاملات حقیقی تفاوت با اهمیتی نداشته است :</t>
  </si>
  <si>
    <t>رویداد هایی که از تاریخ پایان دوره گزارشگری تا تاریخ تایید صورتهای مالی اتفاق افتاده و مستلزم افشا یا تعدیل اقلام صورتهای مالی شود رخ نداده است.</t>
  </si>
  <si>
    <t>6-1-1</t>
  </si>
  <si>
    <t>6-2</t>
  </si>
  <si>
    <t xml:space="preserve">دستمزد </t>
  </si>
  <si>
    <t xml:space="preserve">بیمه سهم کارفرما </t>
  </si>
  <si>
    <t>عیدی</t>
  </si>
  <si>
    <t xml:space="preserve">باز خرید سنوات </t>
  </si>
  <si>
    <t>6-2-1-</t>
  </si>
  <si>
    <t>شماره یادداشت</t>
  </si>
  <si>
    <t>دلار امریکا</t>
  </si>
  <si>
    <t>پوند انگلستان</t>
  </si>
  <si>
    <t>درهم امارات</t>
  </si>
  <si>
    <t>....</t>
  </si>
  <si>
    <t>جمع دارایی های پولی و ارزی</t>
  </si>
  <si>
    <t>پرداختنی های تجاری وسایر پرداختنی ها</t>
  </si>
  <si>
    <t>(...)</t>
  </si>
  <si>
    <t>تسهیلات مالی</t>
  </si>
  <si>
    <t>جمع بدهی های پولی و ارزی</t>
  </si>
  <si>
    <t>خالص دارایی ها (بدهی های) پولی و ارزی</t>
  </si>
  <si>
    <t>خالص دارایی ها (بدهیهای) پولی و ارزی در تاریخ 12/29/ 1×13</t>
  </si>
  <si>
    <t>معادل ریالی خالص دارایی ها (بدهیهای ) پولی ارزی در تاریخ 12/29/ 1×13 (میلیون ریال)</t>
  </si>
  <si>
    <t>تعهدات سرمایه ای ارزی</t>
  </si>
  <si>
    <t>نام مشتری</t>
  </si>
  <si>
    <t>دلار</t>
  </si>
  <si>
    <t>فروش و ارائه خدمات</t>
  </si>
  <si>
    <t>.....</t>
  </si>
  <si>
    <t>سایر پرداخت ها</t>
  </si>
  <si>
    <t>35 - وضعیت ارزی</t>
  </si>
  <si>
    <t>معادل ریالی خالص دارایی ها (بدهی ها) پولی و ارزی (  ریال)</t>
  </si>
  <si>
    <t>35-1 - ارز حاصل از صادرات و ارز مصرفی برای واردات و سایر پرداخت ها طی سال مورد گزارش به شرح زیر است :</t>
  </si>
  <si>
    <t>خالص سود(زیان) تسعیر ارز</t>
  </si>
  <si>
    <t>30 - وضعیت ارزی</t>
  </si>
  <si>
    <t>30-1 - ارز حاصل از صادرات و ارز مصرفی برای واردات و سایر پرداخت ها طی سال مورد گزارش به شرح زیر است :</t>
  </si>
  <si>
    <t>تقسیم حداقل 10درصد سود خالص سال1400</t>
  </si>
  <si>
    <t>برگشت از فروش و تخفیفات داخلی</t>
  </si>
  <si>
    <t>بانک پارسیان سایپا21150233</t>
  </si>
  <si>
    <t>بانک کارآفرین کارگر شمالی1900608872606</t>
  </si>
  <si>
    <t>بانک سینا ملاصدرا 14444334444366</t>
  </si>
  <si>
    <t>بانک شهر شعبه تهرانسر100847230975</t>
  </si>
  <si>
    <t>بانک کارآفرین سپرده کوتاه مدت 1101539190602</t>
  </si>
  <si>
    <t>بانک ملت ارزی 8989046877</t>
  </si>
  <si>
    <t>بانک دی ارزی 0305843062012</t>
  </si>
  <si>
    <t>23درصد</t>
  </si>
  <si>
    <t>فروش ضایعات بسته بندی</t>
  </si>
  <si>
    <t>ویتامین ها 3 قلم - 1300  کیلوگرم کشور فرانسه - سوئیس</t>
  </si>
  <si>
    <t>قطعه تاچ اسکرین-چین</t>
  </si>
  <si>
    <t>پرفنازین 50 کیلو تیوریدازین 150 کیلو - ایتالیا</t>
  </si>
  <si>
    <t>شفا گستران مهر رضا</t>
  </si>
  <si>
    <t>سینا کالای شمس</t>
  </si>
  <si>
    <t xml:space="preserve">شرکت اکبریه </t>
  </si>
  <si>
    <t>شرکت بهار پایا</t>
  </si>
  <si>
    <t xml:space="preserve">شرکت تعاونی تولید کنندگان محصولات غذایی بکتاش </t>
  </si>
  <si>
    <t xml:space="preserve">آرمان زوفا </t>
  </si>
  <si>
    <t>شرکت شیشه دارویی رازی</t>
  </si>
  <si>
    <t xml:space="preserve">
شرکت مهندسین مشاو ر پیشگامان صنعت پارسیان</t>
  </si>
  <si>
    <t>بهستان پخش</t>
  </si>
  <si>
    <t>شركت داروسازي التيام</t>
  </si>
  <si>
    <t>توسعه صادرات ایران مرکزی 0400005758007</t>
  </si>
  <si>
    <t>كالاي اماني ما نزد ديگران</t>
  </si>
  <si>
    <t>صندوق ارزی</t>
  </si>
  <si>
    <t>دارو گستر طوبی</t>
  </si>
  <si>
    <t>شرکت رویان دارو</t>
  </si>
  <si>
    <t>شرکت اکبریه</t>
  </si>
  <si>
    <t>تریتا تجارت آریا</t>
  </si>
  <si>
    <t>شرکت کیمیا پیوند تندرست</t>
  </si>
  <si>
    <t>پویا هنر نوین</t>
  </si>
  <si>
    <t>میران تجارت رسام</t>
  </si>
  <si>
    <t>داروسازی فاران شیمی</t>
  </si>
  <si>
    <t>صنایع شیمیایی کیمیاگران امروز</t>
  </si>
  <si>
    <t>شرکت جهان الکل طب اراک</t>
  </si>
  <si>
    <t>پویا طب جاوید شرق</t>
  </si>
  <si>
    <t>شرکت رنگین نقش رازی</t>
  </si>
  <si>
    <t>شرکت شهاب شرق</t>
  </si>
  <si>
    <t>بستانكاران كاركنان</t>
  </si>
  <si>
    <t>جواد شکری</t>
  </si>
  <si>
    <t>محمد رضا رجایی</t>
  </si>
  <si>
    <t>منشور  طب کوروش</t>
  </si>
  <si>
    <t>شرکت همکاران سیستم   البرز</t>
  </si>
  <si>
    <t>شرکت کیان سیر محمد</t>
  </si>
  <si>
    <t>103902866000-</t>
  </si>
  <si>
    <t>پرداخت های نقدی برای خرید دارایی های ثابت نامشهود</t>
  </si>
  <si>
    <t>پرداخت های نقدی حاصل از افزایش سرمایه گذاری ها</t>
  </si>
  <si>
    <t>هدایا ، جوایز و تشویقات</t>
  </si>
  <si>
    <t>بیمه دارائیها</t>
  </si>
  <si>
    <t>ابزار و لوازم فنی مصرفی</t>
  </si>
  <si>
    <t>هزینه بازاریابی وفروش</t>
  </si>
  <si>
    <t>اتاق بازرگاني تهران</t>
  </si>
  <si>
    <t>سهامداران داران با نفوذ قابل ملاحظه</t>
  </si>
  <si>
    <t>5-8-</t>
  </si>
  <si>
    <t>جدول مقایسه ای درآمدهای عملیاتی و بهای تمام شده فروش صادراتي:</t>
  </si>
  <si>
    <t xml:space="preserve"> عملکرد سال 1401</t>
  </si>
  <si>
    <t>تعداد</t>
  </si>
  <si>
    <t>ایران</t>
  </si>
  <si>
    <t>درصدنسبت به کل خرید سال</t>
  </si>
  <si>
    <t>7-1</t>
  </si>
  <si>
    <t>7-2</t>
  </si>
  <si>
    <t>7-3</t>
  </si>
  <si>
    <t>7-4</t>
  </si>
  <si>
    <t>ذخيره هزينه آتي</t>
  </si>
  <si>
    <t>زمین و ساختمان</t>
  </si>
  <si>
    <t>چک و سفته</t>
  </si>
  <si>
    <t>32-تعهدات بدهی ها احتمالی ودارایی های احتمالی</t>
  </si>
  <si>
    <t>33-رویدادهای پس از تاریخ پایان دوره گزارشگری</t>
  </si>
  <si>
    <t xml:space="preserve">34- سود سهام پیشنهادی </t>
  </si>
  <si>
    <t>29- مدیریت سرمایه و ریسک ها</t>
  </si>
  <si>
    <t>29-1-</t>
  </si>
  <si>
    <t>29-1-1- نسبت اهرمی</t>
  </si>
  <si>
    <t>شرکت برای مدیریت ریسک نقدینگی، یک چهارچوب ریسک نقدینگی مناسب برای مدیریت کوتاه مدت ، میان مدت و بلند مدت  تامین وجوه و الزامات مدیریت نقدینگی تعیین کرده است. شرکت ریسک نقدینگی را از طریق نگهداری اندوخته کافی و تسهیلات بانکی ، از طریق نظارت مستمر بر جریان های نقدی پیش بینی شده و واقعی و از طریق تطبیق مقاطع سر رسید داراییها و بدهیهای مالی، مدیریت می کند.</t>
  </si>
  <si>
    <t>29-2- مدیریت ریسک نقدینگی</t>
  </si>
  <si>
    <t>31 - معاملات با اشخاص وابسته</t>
  </si>
  <si>
    <t>31-1 - معاملات انجام شده با اشخاص وابسته طی سال مورد گزارش :</t>
  </si>
  <si>
    <t xml:space="preserve">سایر نقل و انتقالات </t>
  </si>
  <si>
    <t>سود حاصل از سرمایه گذاری ها</t>
  </si>
  <si>
    <t>دریافت های نقدی حاصل از سود سرمایه گذاری ها</t>
  </si>
  <si>
    <t>تامین مالی (برداشت) توسط سهامداران</t>
  </si>
  <si>
    <t>موجودی مواد پایان دوره</t>
  </si>
  <si>
    <t>استهلاک انباشته</t>
  </si>
  <si>
    <t>:بهای تمام شده</t>
  </si>
  <si>
    <t>شركت مديريت منابع تجاري ايده گستران زمان</t>
  </si>
  <si>
    <t>در اجراي مفاد مواد 140و238 اصلاحيه قانون تجارت مصوب سال 1347 و ماده 30 اساسنامه ، مبلغ 84.709 میلیون ريال ازمحل سود قابل تخصيص، به اندوخته قانوني منتقل شده است. به موجب مفاد مواد ياد شده تا رسيدن مانده اندوخته قانوني به 10 درصد سرمايه شركت، انتقال يك بيستم از سود خالص هر سال به اندوخته فوق الذكر الزامي است. اندوخته قانوني قابل انتقال به سرمايه نمي باشد و جز در هنگام انحلال شركت، قابل تقسيم بين سهامداران نيست.</t>
  </si>
  <si>
    <t>رسیدگی به دفاتر</t>
  </si>
  <si>
    <t xml:space="preserve">موجودی مواد پایان دوره در جریان </t>
  </si>
  <si>
    <t>شرکت داروسازان التیام</t>
  </si>
  <si>
    <t>شرکت سلامت پخش هستی</t>
  </si>
  <si>
    <t>شرکت پخش رازی</t>
  </si>
  <si>
    <t>پخش سراسری ممتاز</t>
  </si>
  <si>
    <t>شرکت پخش سراسری یارا طب ثامن</t>
  </si>
  <si>
    <t>شرکت پخش محیا دارو</t>
  </si>
  <si>
    <t>دارایی-ارزش افزوده و عملكرد</t>
  </si>
  <si>
    <t>شركت پخش البرز</t>
  </si>
  <si>
    <t>شركت پارس گيتا دارو</t>
  </si>
  <si>
    <t>سلامت پخش هستي</t>
  </si>
  <si>
    <t>سينا طب ثمين</t>
  </si>
  <si>
    <t>شركت اميد پخش آروند پارسيان</t>
  </si>
  <si>
    <t>مبلغ ارزي</t>
  </si>
  <si>
    <t>22-1- اسناد پرداختني  سایر تامین کنند گان  کالا وخدمات به شرح زير تفكيك مي‌گردد:</t>
  </si>
  <si>
    <t>سایر نقل و انتقالات</t>
  </si>
  <si>
    <t>مانده در پایان سال 1402</t>
  </si>
  <si>
    <t>مبلغ دفتری در پایان سال 1402</t>
  </si>
  <si>
    <t>مانده در 1402/12/29</t>
  </si>
  <si>
    <r>
      <rPr>
        <b/>
        <sz val="10"/>
        <rFont val="B Nazanin"/>
        <charset val="178"/>
      </rPr>
      <t>.</t>
    </r>
    <r>
      <rPr>
        <b/>
        <sz val="10"/>
        <color rgb="FFFF0000"/>
        <rFont val="B Nazanin"/>
        <charset val="178"/>
      </rPr>
      <t>1</t>
    </r>
    <r>
      <rPr>
        <sz val="10"/>
        <color theme="1"/>
        <rFont val="B Nazanin"/>
        <charset val="178"/>
      </rPr>
      <t>تمام انواع وابستگی ها باید ذکر شود به عبارت دیگر در صورتیکه طرف معامله هم شرکت وابسته است و هم یکی از اعضای هیأت مدیره که 5 درصد از سهام آنها را در اختیار دارد هر دو باید افشاء و در جدول ارائه گردد</t>
    </r>
  </si>
  <si>
    <t>شرکت سینا پیشگام دارو نوین</t>
  </si>
  <si>
    <t>سال1402</t>
  </si>
  <si>
    <t>کارمزد پیمانکاری</t>
  </si>
  <si>
    <t>سامانه ایده پرداز پردیس</t>
  </si>
  <si>
    <t>گلیسیرین - 220000 کیلوگرم - مالزی</t>
  </si>
  <si>
    <t>استامینوفن دی سی - 60000 کیلوگرم - چین</t>
  </si>
  <si>
    <t>کیمیا گستر تنها</t>
  </si>
  <si>
    <t>درب غذائی ناصر(حکم اله نجفی)</t>
  </si>
  <si>
    <t>خوش شیمی تجارت</t>
  </si>
  <si>
    <t>پژند نیکو دارو</t>
  </si>
  <si>
    <t>بانک سپه شعبه پدافند مهرآباد 3101079860359</t>
  </si>
  <si>
    <t>بانک اقتصاد نوین شعبه صنعتگران 2-4208941-850-214</t>
  </si>
  <si>
    <t>ایلیا فارمد ایرانیان</t>
  </si>
  <si>
    <t>صنایع دارویی سلامت بزرگمهر</t>
  </si>
  <si>
    <t>شرکت سامان سلامت پژوه</t>
  </si>
  <si>
    <t>شرکت فناوران داروی رشد پارسیان</t>
  </si>
  <si>
    <t>شرکت مهندسی و تولیدی ماریلا صنعت</t>
  </si>
  <si>
    <t>رهامهر پارتاک</t>
  </si>
  <si>
    <t>شرکت شیمیایی و داروئی باران</t>
  </si>
  <si>
    <t>شرکت آروین کالا کیمیا البرز (آروما)</t>
  </si>
  <si>
    <t>کربنات البرز</t>
  </si>
  <si>
    <t>صنعتی و پژوهشی زرنام</t>
  </si>
  <si>
    <t>شرکت کارتن البرز</t>
  </si>
  <si>
    <t>تدبیر دارو سلامت</t>
  </si>
  <si>
    <t>Khonsu International Co LTD</t>
  </si>
  <si>
    <t>فرآیند شیمی بوعلی سینا</t>
  </si>
  <si>
    <t>محمد تقی قدس الهی-چاپ معاصر</t>
  </si>
  <si>
    <t>موسسه خیریه حضرت رقیه (ع)-آوای باران امید</t>
  </si>
  <si>
    <t>بیمه آسیا</t>
  </si>
  <si>
    <t>باقر خجسته-فروشگاه تکنو صنعت</t>
  </si>
  <si>
    <t>شرکت پتروشاران</t>
  </si>
  <si>
    <t>اتاق بازرگانی تهران</t>
  </si>
  <si>
    <t>فروشگاه پروتئین پایتخت- بهروز طهماسب نژاد</t>
  </si>
  <si>
    <t>شرکت کار دارو فرایند</t>
  </si>
  <si>
    <t>سفید بچ گیلان کارخانه شالیکوبی (محمد ابراهیم گلپایگانی)</t>
  </si>
  <si>
    <t xml:space="preserve">تولید و پخش برادران دودانگه </t>
  </si>
  <si>
    <t>Saviours Pharma</t>
  </si>
  <si>
    <t>1402/12/29</t>
  </si>
  <si>
    <t>سال 1402</t>
  </si>
  <si>
    <t>تغییرات حقوق مالکانه درسال 1402</t>
  </si>
  <si>
    <t>Tec Pharma Spain</t>
  </si>
  <si>
    <t>موجودي مواد اوليه و بسته بندي، كالاي ساخته شده، قطعات و لوازم يدكي تا 2.600.000  ميليون ريال در مقابل خطرات ناشي از آتش سوزی و صاعقه و انفجار و زلزله و طوفان و گردباد  بيمه شده است.</t>
  </si>
  <si>
    <t>کاهش هزینه فوق بابت کاهش هزینه های پرسنلی و تشویقات پرسنل و هزینه های مدیریتی  در سال مورد رسیدگی بوده است</t>
  </si>
  <si>
    <t>سود حاصل از سپرده های سرمایه گذاری بانکی</t>
  </si>
  <si>
    <t>مالیات بردرآمد شرکت  برای کلیه سالهای قبل از 1401 قطعی و تسویه شده است.</t>
  </si>
  <si>
    <t>350707202665-</t>
  </si>
  <si>
    <t>14</t>
  </si>
  <si>
    <t>جدول مقایسه ای درآمدهای عملیاتی و بهای تمام شده فروش داخلی:</t>
  </si>
  <si>
    <t>یادداشت های توضیحی صورتهای مالی</t>
  </si>
  <si>
    <t>کمکهای غیر نقدی</t>
  </si>
  <si>
    <t>غذای کارکنان</t>
  </si>
  <si>
    <t>تحقیقات ، آزمایشات و مواد نمونه</t>
  </si>
  <si>
    <t>خدمات اینترنتی و پشتیبانی سیستمهای نرم افزاری</t>
  </si>
  <si>
    <t>هزینه های حقوقی و ثبتی</t>
  </si>
  <si>
    <t>ایاب ذهاب کارکنان</t>
  </si>
  <si>
    <t>400000 ست پمپ اسپری نازال بونا - چین</t>
  </si>
  <si>
    <t>هیتینگ پلیت دستگاه بلیستر - آلمان</t>
  </si>
  <si>
    <t>پمپ اسپری-1.100.000 ست-چین</t>
  </si>
  <si>
    <t>ذخیره هزینه های تحقق یافته و پرداخت نشده</t>
  </si>
  <si>
    <t>15-4</t>
  </si>
  <si>
    <t>15-2- مانده سفارشات قطعات و لوازم یدکی به شرح زيرتفكيك مي گردد:</t>
  </si>
  <si>
    <t>15-3- مانده پیش پرداخت های داخلی خرید مواد اولیه به شرح زيرتفكيك مي گردد:</t>
  </si>
  <si>
    <t>15-4- مانده پیش پرداخت های داخلی سایر پیش پرداختها به شرح زيرتفكيك مي گردد:</t>
  </si>
  <si>
    <t>17-6</t>
  </si>
  <si>
    <t>6-39</t>
  </si>
  <si>
    <t>نایب رئیس هیات مدیره</t>
  </si>
  <si>
    <t>5-4- تخفيفات صادراتی شامل اقلام زير مي باشد.</t>
  </si>
  <si>
    <t>گروه محصولات</t>
  </si>
  <si>
    <t>واحد سنجش</t>
  </si>
  <si>
    <t>ظرفیت قابل دسترس</t>
  </si>
  <si>
    <t>عدد</t>
  </si>
  <si>
    <t>ردیف</t>
  </si>
  <si>
    <t>نام شرکت</t>
  </si>
  <si>
    <t>گروه کالا</t>
  </si>
  <si>
    <t>مبلغ ریالی</t>
  </si>
  <si>
    <t>نوین فارما لیمیتد</t>
  </si>
  <si>
    <t>افغانستان</t>
  </si>
  <si>
    <t>شرکت دارویی امین اعلاء</t>
  </si>
  <si>
    <t>سومالی</t>
  </si>
  <si>
    <t>شرکت تامیریس
 (آقای موتولو مجیداف)</t>
  </si>
  <si>
    <t>تاجیکستان</t>
  </si>
  <si>
    <t>Achi Drugstore</t>
  </si>
  <si>
    <t>سوریه</t>
  </si>
  <si>
    <t>6-3</t>
  </si>
  <si>
    <t>هزینه فوق بابت کارمزد بارگذاری مستندات قانونی محصولات تولید شده در هر بچ شامل کد IRC و XML در سامانه تی تک سازمان غذا و دارو می باشد.</t>
  </si>
  <si>
    <t>اعضای هیات مدیره</t>
  </si>
  <si>
    <t xml:space="preserve">3-4-1-  دارایی های نا مشهود، بر مبنای بهای تمام شده اندازه گیری و  در حسابها  ثبت می شود. مخارجی از قبیل مخارج معرفی یک محصول یا خدمت جدید مانند مخارج  تبلیغات ، مخارج  انجام  فعالیت  تجاری در یک محل جدید یا با دارایی نامشهود منظور نمی شود. شناسایی مخارج  در مبلغ دفتری  یک دارایی نامشهود، هنگامی که دارایی آماده بهره برداری است ،  متوقف می شود . بنابراین ،  مخارج تحمل شده  برای  استفاده  یا  بکارگیری مجدد  یک دارایی نامشهود ، در مبلغ دفتری آن منظور نمی شود. </t>
  </si>
  <si>
    <t xml:space="preserve">3-5-1- داراييها ي ثابت مشهود  بر مبناي بهاي تمام شده اند ازه گیری می شود . مخارج  بعدی مرتبط با دارایی ها ی ثابت مشهود که  موجب  بهبود و ضعیت د ارا یی در مقا یسه با  استاند ارد عملکرد ارزیابی شده اولیه آن گردد ومنجر به افزایش منافع اقتصادی حاصل از دارایی شود ، به مبلغ دفتری دارایی اضافه و طی عمر مفید باقیمانده دارایی های مربوط مستهلک می شود .  مخارج روزمره تعمیر و نگهداری دارایی ها که به منظور حفظ وضعیت دارایی درمقایسه با استاندارد عملکرد ارزیابی شده اولیه دارایی انجام می شود ، در زمان و قو ع به عنوان هزينه‌شناسایی مي‌گردد. </t>
  </si>
  <si>
    <t>صورتهاي مالي برمبناي بهاي تمام شده تاريخي تهيه شده  است.</t>
  </si>
  <si>
    <t xml:space="preserve"> 3-2-موجودي مواد و  كالا</t>
  </si>
  <si>
    <t xml:space="preserve">موجودي مواد و كالا به ” اقل بهاي تمام شده و خالص ارزش فروش هر یک از اقلام مشابه ” اندازه گیری  مي‌شود.         </t>
  </si>
  <si>
    <t>تخفیفات صادراتی</t>
  </si>
  <si>
    <t>5-9-</t>
  </si>
  <si>
    <t>فروش ناخالص داخلی به تفکیک مشتری:</t>
  </si>
  <si>
    <t>ظرفیت اسمی و قابل  دسترس:</t>
  </si>
  <si>
    <t>6-4</t>
  </si>
  <si>
    <t>7-1-</t>
  </si>
  <si>
    <t>7-2-</t>
  </si>
  <si>
    <t>7-3-</t>
  </si>
  <si>
    <t>7-4-</t>
  </si>
  <si>
    <t>9-1-</t>
  </si>
  <si>
    <t>بهای تمام شده :</t>
  </si>
  <si>
    <t>مانده پایان سال1402</t>
  </si>
  <si>
    <t>استهلاك انياشته:</t>
  </si>
  <si>
    <t>12-8-</t>
  </si>
  <si>
    <t>12-8-1</t>
  </si>
  <si>
    <t>سرمایه گذاری های بلند مدت:</t>
  </si>
  <si>
    <t>17-1-</t>
  </si>
  <si>
    <t>غیر تجاری:</t>
  </si>
  <si>
    <t>22-</t>
  </si>
  <si>
    <t>تامين كنندگان كالا و خدمات</t>
  </si>
  <si>
    <t>22-5-</t>
  </si>
  <si>
    <t>22-6-</t>
  </si>
  <si>
    <t>22-7-</t>
  </si>
  <si>
    <t>23-2-1-</t>
  </si>
  <si>
    <t>23-2-2-</t>
  </si>
  <si>
    <t>24-</t>
  </si>
  <si>
    <t>23-</t>
  </si>
  <si>
    <t>25-1-</t>
  </si>
  <si>
    <t>25-</t>
  </si>
  <si>
    <t>تکالیف قانونی ( طبق ماده90) اصلاحیه</t>
  </si>
  <si>
    <t>31-2-مانده حساب های نهایی اشخاص وابسته به شرح زیر آست:</t>
  </si>
  <si>
    <t>ظرفیت اسمی 3 شیفت</t>
  </si>
  <si>
    <t>ظرفیت اسمی 1 شیفت</t>
  </si>
  <si>
    <t>دکتر امیر حسین پوروزیری</t>
  </si>
  <si>
    <t>بلی</t>
  </si>
  <si>
    <t>مالیات تکلیفی و حقوق دستمزد</t>
  </si>
  <si>
    <t>22-3-حساب پرداختنی سایر تامین کنندگان کالا وخدمات  به شرح زير تفكيك مي‌گردد:</t>
  </si>
  <si>
    <t xml:space="preserve">  افزایش دریافتنی های عملیاتی </t>
  </si>
  <si>
    <t xml:space="preserve"> کاهش (افزایش) موجودی مواد و کالا </t>
  </si>
  <si>
    <t xml:space="preserve">کاهش (افزایش) پیش پرداخت های عملیاتی </t>
  </si>
  <si>
    <t>سال مالی منتهی به 30 اسفند 1403</t>
  </si>
  <si>
    <t>سال 1403</t>
  </si>
  <si>
    <t>به تاریخ 30 اسفند 1403</t>
  </si>
  <si>
    <t>مانده در1402/01/01</t>
  </si>
  <si>
    <t>1403/12/30</t>
  </si>
  <si>
    <t>-</t>
  </si>
  <si>
    <t>سود خالص گزارش شده در صورتهای مالی سال 1402</t>
  </si>
  <si>
    <t>سود خالص تجدید ارائه شده سال 1402</t>
  </si>
  <si>
    <t>مانده در ابتدای سال1402</t>
  </si>
  <si>
    <t>مانده در پایان سال1402</t>
  </si>
  <si>
    <t>مبلغ دفتری در پایان سال1403</t>
  </si>
  <si>
    <t>مانده در پایان سال 1403</t>
  </si>
  <si>
    <t>مانده ابتدای سال 1402</t>
  </si>
  <si>
    <t>مانده در ابتدای سال 1402</t>
  </si>
  <si>
    <t>مبلغ دفتری در پایان سال 1403</t>
  </si>
  <si>
    <t>تغییرات حقوق مالکانه درسال 1403</t>
  </si>
  <si>
    <t>سود خالص سال 1403</t>
  </si>
  <si>
    <t>مانده در1403/12/30</t>
  </si>
  <si>
    <t>سال1403</t>
  </si>
  <si>
    <t>تولید واقعی 1403</t>
  </si>
  <si>
    <t>مانده پایان سال1403</t>
  </si>
  <si>
    <t>مانده در 1403/12/30</t>
  </si>
  <si>
    <t>تقسیم حداقل 10درصد سود خالص سال 1403</t>
  </si>
  <si>
    <t>سود پیشنهادی هیئت مدیره 1403</t>
  </si>
  <si>
    <t xml:space="preserve">سال مالی منتهی به30اسفند1403 </t>
  </si>
  <si>
    <t xml:space="preserve">دارایی های ثابت مشهود تا ارزش 3.998.800  میلیون ریال در مقابل خطرات احتمالی  ناشی از حریق،سیل و زلزله از پوشش بیمه ای  برخوردار است.
</t>
  </si>
  <si>
    <t>بانک ملت شرکت پارس خودرو- ارزی5072529441</t>
  </si>
  <si>
    <t>بانک توسعه تعاون شعبه ایران خودرو 171531119604071</t>
  </si>
  <si>
    <t>بانک ملی شعبه ارج - 0233151715003</t>
  </si>
  <si>
    <t xml:space="preserve">قلم اسانس آرومسا-ترکیه </t>
  </si>
  <si>
    <t>اسانس آسرولا100کیلو-ترکیه</t>
  </si>
  <si>
    <t>شایا پخش ویرا</t>
  </si>
  <si>
    <t>سیناپیشگام دارونوین</t>
  </si>
  <si>
    <t>TEC PHARMA SPAIN</t>
  </si>
  <si>
    <t>اسپانیا</t>
  </si>
  <si>
    <t>اندیشه نگار پارس</t>
  </si>
  <si>
    <t>شرکت صنعتی شوفاژ کار</t>
  </si>
  <si>
    <t>پایا ساخت وتولید میهن</t>
  </si>
  <si>
    <t>گروه فنی مهندسی پارت دارو الوند</t>
  </si>
  <si>
    <t>پارت پمپ</t>
  </si>
  <si>
    <t>پیشگامان شفاگستران سام</t>
  </si>
  <si>
    <t>ثمین دارو ایرانیان</t>
  </si>
  <si>
    <t>محیط سازه پویش آزما</t>
  </si>
  <si>
    <t>ثمین کالا پویا</t>
  </si>
  <si>
    <t>درسا دارو</t>
  </si>
  <si>
    <t>بهفر تجارت فارمد</t>
  </si>
  <si>
    <t>بهان سار</t>
  </si>
  <si>
    <t>شرکت بیو فارمسی پارس</t>
  </si>
  <si>
    <t>مصور سازان چارسوق</t>
  </si>
  <si>
    <t>شرکت توسعه صنایع فراز کمپرسور</t>
  </si>
  <si>
    <t>شرکت صنعتی آب آتش بخار</t>
  </si>
  <si>
    <t xml:space="preserve">علیرضا مهدی آقایی </t>
  </si>
  <si>
    <t>شرکت کاردارو فرایند</t>
  </si>
  <si>
    <t>صنایع چسب سینا</t>
  </si>
  <si>
    <t>شرکت گل الکتریک پارت</t>
  </si>
  <si>
    <t>معتبرسازان آویژه صنعت</t>
  </si>
  <si>
    <t>پخش البرز</t>
  </si>
  <si>
    <t>پخش هستی</t>
  </si>
  <si>
    <t>شركت پخش هجرت</t>
  </si>
  <si>
    <t>حکیمان طب کار</t>
  </si>
  <si>
    <t>پخش داروگستر باریج</t>
  </si>
  <si>
    <t>شرکت سینا طب ثمین</t>
  </si>
  <si>
    <t>شرکت دارودرمان آرنگ</t>
  </si>
  <si>
    <t>داروگستر باریج</t>
  </si>
  <si>
    <t>شرکت شایا پخش ویرا</t>
  </si>
  <si>
    <t>شرکت تریتا دارو آرتا</t>
  </si>
  <si>
    <t>پخش داروسازان التیام</t>
  </si>
  <si>
    <t>شرکت البرز بالک</t>
  </si>
  <si>
    <t>سانیار صنعت دارویی وارنا</t>
  </si>
  <si>
    <t>چاپ پرستوک</t>
  </si>
  <si>
    <t>شرکت بازرگانی تجارت گستر پایا</t>
  </si>
  <si>
    <t>چاپ وبسته بندی فرارنگ آریا</t>
  </si>
  <si>
    <t>محیط زیست آسیا</t>
  </si>
  <si>
    <t>محیط  سازه پویش آزما</t>
  </si>
  <si>
    <t>داروسازی ایران دارو</t>
  </si>
  <si>
    <t>22-2- حسابهای  پرداختني اشخاص وابسته مربوط به  شرکت کیمیا اثر سلامت  می باشد.</t>
  </si>
  <si>
    <t>کاویان شیمی</t>
  </si>
  <si>
    <t>تعاونی بانوان گل یاس کبود</t>
  </si>
  <si>
    <t>شرکت کارخانجات داروپخش</t>
  </si>
  <si>
    <t>سرای کهن</t>
  </si>
  <si>
    <t>هزار نقش آریا</t>
  </si>
  <si>
    <t>شرکت اطمینان توسعه آتیه یکتا</t>
  </si>
  <si>
    <t>شرکت مکمل سلامت فارمد</t>
  </si>
  <si>
    <t>شرکت تولیدی اکوصنعت تجارت آریا</t>
  </si>
  <si>
    <t>داروسازی ابن ماسویه</t>
  </si>
  <si>
    <t>شرکت آروین کالا کیمیا البرز</t>
  </si>
  <si>
    <t>شرکت حکیمان طب کار</t>
  </si>
  <si>
    <t>برنج فروشی علی گلی</t>
  </si>
  <si>
    <t>موسسه خیریه حضرت رقیه-آوای باران امید</t>
  </si>
  <si>
    <t>دقت پویای نوین</t>
  </si>
  <si>
    <t>تراشککاری مهدوی</t>
  </si>
  <si>
    <t>Winning Trading (HK) CO LTD</t>
  </si>
  <si>
    <t>پیمان ترحمی</t>
  </si>
  <si>
    <t>در سال مورد گزارش مبلغ2،899،918   میلیون ریال (سال قبل4،658،635   میلیون ریال) مواد اولیه خریداری شده است. تامین کنندگان اصلی مواد اولیه (بیش از 10 درصد خرید) به تفکیک کشور و مبلغ خرید  به شرح ذیل است:</t>
  </si>
  <si>
    <t xml:space="preserve"> عملکرد سال 1402</t>
  </si>
  <si>
    <t>7-5-</t>
  </si>
  <si>
    <t>7-5</t>
  </si>
  <si>
    <r>
      <t>12-7ساختمان و زمین به مبلغ</t>
    </r>
    <r>
      <rPr>
        <sz val="14"/>
        <color rgb="FFFF0000"/>
        <rFont val="B Nazanin"/>
        <charset val="178"/>
      </rPr>
      <t xml:space="preserve"> 48،264</t>
    </r>
    <r>
      <rPr>
        <sz val="14"/>
        <rFont val="B Nazanin"/>
        <charset val="178"/>
      </rPr>
      <t xml:space="preserve"> میلیون ریال بابت دریافت تسهیلات در وثیقه بانک صنعت و معدن می باشد</t>
    </r>
  </si>
  <si>
    <t>سال منتهی به 30 اسفند1403</t>
  </si>
  <si>
    <t>نسبت جاری</t>
  </si>
  <si>
    <t>جمع دارایی هاي  جاري</t>
  </si>
  <si>
    <t>نسبت آنی</t>
  </si>
  <si>
    <t>نسبت بدهی به ارزش افزوده</t>
  </si>
  <si>
    <t>نسبت حاشیه سود ناخالص</t>
  </si>
  <si>
    <t>نسبت مالکانه</t>
  </si>
  <si>
    <t>بازده دارایی</t>
  </si>
  <si>
    <t>بازده فروش</t>
  </si>
  <si>
    <t>افزایش هزينه حقوق و دستمزد مستقيم نسبت به سال 1402 ناشي از افزایش قانونی حقوق و دستمزد  مي باشد</t>
  </si>
  <si>
    <t>تخفیفات کارمزدی</t>
  </si>
  <si>
    <t>مدیر عامل و رئیس هیات مدیره</t>
  </si>
  <si>
    <t>آقای مهدی بهروزان</t>
  </si>
  <si>
    <t>عضو هیات مدیره</t>
  </si>
  <si>
    <t>6_5</t>
  </si>
  <si>
    <t>5-6- تخفيفات کارمزدی شامل اقلام زير مي باشد.</t>
  </si>
  <si>
    <t>5-5 -عمده درآمد خدمات کارمزدی مربوط به  شرکت های سینا پیشگام دارو نوین، پارس گيتا دارو، شرکت رویان دارو وحکیمان طب بوده که طبق قرارداد، تامین مواد اولیه ساخت به عهده شرکتهای مذبور و وظیفه شرکت ساخت محصول دارویی بوده است.</t>
  </si>
  <si>
    <t>5-7-خالص درآمد عملیاتی به تفکیک وابستگی اشخاص:</t>
  </si>
  <si>
    <r>
      <t xml:space="preserve">5-7-1- در سال مورد گزارش مبلغ  </t>
    </r>
    <r>
      <rPr>
        <sz val="14"/>
        <color rgb="FFFF0000"/>
        <rFont val="B Nazanin"/>
        <charset val="178"/>
      </rPr>
      <t>3،171،149</t>
    </r>
    <r>
      <rPr>
        <sz val="14"/>
        <rFont val="B Nazanin"/>
        <charset val="178"/>
      </rPr>
      <t xml:space="preserve"> میلیون ریال فروش شرکت به دارو سازان التیام بوده است که تماما به ارزش منصفانه در دفاتر منعکس گردیده است. </t>
    </r>
  </si>
  <si>
    <t>5-10-</t>
  </si>
  <si>
    <t>اشخاص وابسته:</t>
  </si>
  <si>
    <t>سایر اشخاص:</t>
  </si>
  <si>
    <t>SA VIOURS PHARMA</t>
  </si>
  <si>
    <t>5-11-جدول فروش خالص صادراتی به تفکیک گروه کالایی و کشور:</t>
  </si>
  <si>
    <t>5-12-نحوه تعیین نرخ فروش براساس مجوز سازمان غذا ودارو صادر می شود.</t>
  </si>
  <si>
    <t>تولید واقعی 1402</t>
  </si>
  <si>
    <t>7-6</t>
  </si>
  <si>
    <t>7-7</t>
  </si>
  <si>
    <t>افزایش هزینه فوق بابت افزایش حقوق سالانه شورای عالی کارو وزارت کارمی باشد</t>
  </si>
  <si>
    <t>7-6-</t>
  </si>
  <si>
    <t>7-7-</t>
  </si>
  <si>
    <t>هزینه فوق بابت هزینه حقوق کارگرهای روز مزدساعتی می باشند</t>
  </si>
  <si>
    <t>کاهش هزینه فوق بابت کاهش خرید دارائیهای ثابت واتمام عمرمفید دارائیها می باشد</t>
  </si>
  <si>
    <t>کاهش هزینه فوق بابت کاهش هزینه تعمیرات دارائیهای ثابت می باشد</t>
  </si>
  <si>
    <t>هزینه مابه التفاوت ارز ترجیجی مربوط به صادرات</t>
  </si>
  <si>
    <t>هزینه شناسایی جریمه مالیاتی ماده169سال97و98</t>
  </si>
  <si>
    <t>سیپروفلوکساسین-چین</t>
  </si>
  <si>
    <t>اسانس موز -چین</t>
  </si>
  <si>
    <t>لیدوکائین بیس 9000 کیلو-هند</t>
  </si>
  <si>
    <t>گایافنزین-هند</t>
  </si>
  <si>
    <t>سولفامتوکسازول-چین</t>
  </si>
  <si>
    <t>میکرو کریستالین 101 و 102 -چین</t>
  </si>
  <si>
    <t>اسپری لیدوکائین-چین</t>
  </si>
  <si>
    <t>اسپری نازال ووکسی-چین</t>
  </si>
  <si>
    <t>سنبه و ماتریس اوبلانگ-هند</t>
  </si>
  <si>
    <t>سرمايه شركت در تاريخ 1403/12/30 مبلغ 847.085.000.000 ريال شامل 847085000  سهم 1000 ريالي با نام  پرداخت شده مي باشد</t>
  </si>
  <si>
    <t>22-4-</t>
  </si>
  <si>
    <t>سازمان امورمالیاتی دارایی(ارزش افزوده و عملكرد)</t>
  </si>
  <si>
    <t>حساب جاری سهامداران به شرح زیر تفکیک می گردد.</t>
  </si>
  <si>
    <t xml:space="preserve">سنوات قبل </t>
  </si>
  <si>
    <t>25-1-1</t>
  </si>
  <si>
    <t>به تفکیک تامین کنندگان تسهیلات:</t>
  </si>
  <si>
    <t>25-1-2</t>
  </si>
  <si>
    <t>25-1-3</t>
  </si>
  <si>
    <t>25-1-4</t>
  </si>
  <si>
    <t>سایراسناد دریافتنی</t>
  </si>
  <si>
    <t>سپرده های مسدودی نزد بانک</t>
  </si>
  <si>
    <t>اربیل-عراق</t>
  </si>
  <si>
    <t>مالیات بر درآمد شرکت برای سال 1401رسیدگی گردیده ونسبت به برگ.</t>
  </si>
  <si>
    <t xml:space="preserve">کاهش هزینه فوق بابت کاهش هزینه های بازاریابی وفروش ومحصولات تبلیغاتی بوده است  </t>
  </si>
  <si>
    <t xml:space="preserve">کاهش هزینه فوق بابت کاهش هزینه های ملزومات اداری می باشد </t>
  </si>
  <si>
    <t>سود حاصل از فروش مواداولیه و...</t>
  </si>
  <si>
    <t>گردش پیش پرداختهای سرمایه ای به شرح ذیل می باشد</t>
  </si>
  <si>
    <t>سرمایه گذاری درسهام سایرشرکتها</t>
  </si>
  <si>
    <t>17-8</t>
  </si>
  <si>
    <t>موجودي نزد بانك ها - ارزی</t>
  </si>
  <si>
    <r>
      <rPr>
        <sz val="16"/>
        <rFont val="B Nazanin"/>
        <charset val="178"/>
      </rPr>
      <t>18-3-</t>
    </r>
    <r>
      <rPr>
        <b/>
        <sz val="16"/>
        <rFont val="B Nazanin"/>
        <charset val="178"/>
      </rPr>
      <t xml:space="preserve"> مانده صندوق به شرح زیر مي باشد: </t>
    </r>
  </si>
  <si>
    <r>
      <rPr>
        <sz val="16"/>
        <rFont val="B Nazanin"/>
        <charset val="178"/>
      </rPr>
      <t>18-1-</t>
    </r>
    <r>
      <rPr>
        <b/>
        <sz val="16"/>
        <rFont val="B Nazanin"/>
        <charset val="178"/>
      </rPr>
      <t xml:space="preserve"> موجودي ریالی نزد بانكها به شرح زیر مي باشد: </t>
    </r>
  </si>
  <si>
    <r>
      <rPr>
        <sz val="16"/>
        <rFont val="B Nazanin"/>
        <charset val="178"/>
      </rPr>
      <t>18-2-</t>
    </r>
    <r>
      <rPr>
        <b/>
        <sz val="16"/>
        <rFont val="B Nazanin"/>
        <charset val="178"/>
      </rPr>
      <t xml:space="preserve"> موجودي ارزی نزد بانكها به شرح زیر مي باشد: </t>
    </r>
  </si>
  <si>
    <t>22-5</t>
  </si>
  <si>
    <t>شرکت نوین فارما لیمیتد</t>
  </si>
  <si>
    <t>هزینه شناسایی سه در هزار اتاق بازرگانی</t>
  </si>
  <si>
    <t>شرکت پایش تجارت</t>
  </si>
  <si>
    <t>شرکت کیمیا اثرسلامت</t>
  </si>
  <si>
    <t>خرید کالا و خدمات</t>
  </si>
  <si>
    <t>تسهیلات پرداختی</t>
  </si>
  <si>
    <t>سایر پرداختها</t>
  </si>
  <si>
    <t>سایر دریافتها</t>
  </si>
  <si>
    <t>سایر سهامداران</t>
  </si>
  <si>
    <t>30-2 -تعهدات ارزی شرکت به شرح زیر است :</t>
  </si>
  <si>
    <t>نوع ارز:دلار</t>
  </si>
  <si>
    <t>کل تعهدات</t>
  </si>
  <si>
    <t>ایفا شده</t>
  </si>
  <si>
    <t>ایفا نشده</t>
  </si>
  <si>
    <t>واردات</t>
  </si>
  <si>
    <t>صادرات</t>
  </si>
  <si>
    <t>سرمایه گذاری-سهام وثیقه</t>
  </si>
  <si>
    <t>نوع ارز:بورو</t>
  </si>
  <si>
    <t>نوع ارز:روپیه</t>
  </si>
  <si>
    <t>نوع ارز:یوان چین</t>
  </si>
  <si>
    <t>11-1</t>
  </si>
  <si>
    <t>11-1-</t>
  </si>
  <si>
    <t xml:space="preserve"> مبلغ سودحاصل ازفروش مواد اولیه و.... تهاتر مبلغ 39،355،153،766 ريال فروش مواد اوليه و ملزومات و مبلغ 22،297،152،857 ريال بهاي تمام شده كالاي فروش رفته مواد اوليه و ملزومات می باشد.</t>
  </si>
  <si>
    <t>(افزایش) در ذخیره مزایای پایان خدمات کارکنان</t>
  </si>
  <si>
    <t xml:space="preserve">کاهش (افزایش) پیش دریافت های عملیاتی </t>
  </si>
  <si>
    <t>1/4%</t>
  </si>
  <si>
    <t>ذخیره جریمه دیرکرد تسهیلات</t>
  </si>
  <si>
    <t>یاداشت</t>
  </si>
  <si>
    <t>26-1</t>
  </si>
  <si>
    <t>18-3</t>
  </si>
  <si>
    <t>26-1- مبلغ دریافت شده از شرکت نوین فارما لیمیتد بابت پیش دریافت سفارشات تولید محصولات صادراتی شرکت فوق، درسال 1404می باشدکه درزمان تهیه صورتهای مالی مبلغ34.000 میلیون ریال فاکتور فروش صادر ودرسال مالی1404 ازحساب مشتری کسر می گردد ومابقی مانده حساب فوق با توجه به برنامه ریزی تولیددرسال مالی1404 تولیدوتحویل مشتری خواهدشد.</t>
  </si>
  <si>
    <t xml:space="preserve">32-1- تا زمان تهیه صورتهای مالی، سال مالی 1402دردست رسیدگی سازمان تامین اجتماعی می باشد. ضمناً درخصوص سالهای مالی قبل با توجه به بخشنامه شماره 50432 مورخ 1396/04/31 دیوان عدالت اداری مبنی برعدم امکان رسیدگی سازمان تامین اجتماعی جهت یک سال مالی،رسیدگی بیمه ای سالهای قبل ازسال1402منتفی می باشد. </t>
  </si>
  <si>
    <t>32-2- مبلغ 48.264 میلیون ریال بابت دریافت تسهیلات ازبانک صنعت ومعدن سند مالکیت زمین وساختمان به عنوان وثیقه دررهن گذاشته شده است.</t>
  </si>
  <si>
    <t>مانده در1402/12/29</t>
  </si>
  <si>
    <t>به پیوست صورتهای مالی شرکت داروسازی خوارزمی (سهامی خاص ) مربوط به سال مالی منتهی به 30 اسفند  1403 تقدیم می گردد. اجزای تشکیل دهنده صورت های مالی به قرار زیر است.</t>
  </si>
  <si>
    <t xml:space="preserve"> از آنجاییکه اجزای تشکیل دهنده سود و زیان جامع، محدود به سود خالص می باشد لذا صورت سود وزیان جامع ارائه نشده است.</t>
  </si>
  <si>
    <t>خالص (کاهش) در موجودی نقد</t>
  </si>
  <si>
    <t xml:space="preserve">سود ناشي ازتسعير دارائيها  ارزي </t>
  </si>
  <si>
    <t>9-1</t>
  </si>
  <si>
    <t>شرکت داروسازان التیام-اشخاص وابسته</t>
  </si>
  <si>
    <t>0/09%</t>
  </si>
  <si>
    <t>17-2-1</t>
  </si>
  <si>
    <t>در صورت فزوني بهاي  تمام  شده  نسبت به خالص ارزش  فروش ،  ما به ‌التفاوت به عنوان  زیان   كاهش  ارزش موجودي  شناسايي مي ‌شود.      بها ي تما م شدة موجوديها با  بكارگيري روشهاي زير تعيين مي‌گردد:</t>
  </si>
  <si>
    <t>12-6- افزايش مبلغ تاسيسات عمدتاً بابت خریددستگاه  EDI وپمپ شناوربه ترتيب به مبلغ4.150و1.105 ميليون ريال     مي باشد</t>
  </si>
  <si>
    <t>12-5-افزايش مبلغ لوازم آزمايشگاهي بابت خريد دستگاه  هیتراستیرر به مبلغ27 میلیون می باشد</t>
  </si>
  <si>
    <t>افزایش مبلغ ابزارآلات عمدتا" بابت خريد سنبه وماتریس به مبلغ 18.585 میلیون ریال می باشد.</t>
  </si>
  <si>
    <t>مبلغ  فوق بابت پرداخت مابه التفاوت ارز ترجیحی محصول صادراتی قرص آزیترومایسین500و250میلی گرم به کشور افغانستان  بوده که به حساب خزانه داری کل کشور واریز گردیده است.</t>
  </si>
  <si>
    <t>افزایش مبلغ ماشین آلات عمدتا" بابت خرید سایز پارت به مبلغ3.525 میلیون ریال  می باشد  
.</t>
  </si>
  <si>
    <t>افزایش مبلغ اثاثیه و منصوبات عمدتا" بابت خریدپرینتر.صندلی.کیس کامپیوتر.فشارسنج.اسکنرویخچال فریزر به ترتيب به مبلغ 360 و225و205و184و170و164 میلیون ریال می باشد</t>
  </si>
  <si>
    <t>عمده پیش پرداخت های سرمایه ای مربوط به شهرداری منطقه 21 و آرسا صنعت مازند و دستگاه هواساز می باشد که به ترتیب بابت ساخت 6000 متر زمین جنوبی -خرید دستگاه کلاو باکس-خرید دستگاه هواساز می باشد.</t>
  </si>
  <si>
    <t xml:space="preserve">صورتهای مالی طبق استانداردهای حسابداری تهیه شده و در تاریخ   10/ 04/ 1404    به تائید هیات مدیره شرکت رسیده است. </t>
  </si>
  <si>
    <t>چکهای در جریان وصول بابت فروش کالای ساخته شده (محصول) می باشد که درسال جدید وصول گردیده است.</t>
  </si>
  <si>
    <t>مانده حسابهاي فوق تا تهيه اين گزارش طي چرخه عادي عمليات شركت در حال وصول مي باشد.</t>
  </si>
  <si>
    <t>22-8- مانده حسابهاي فوق تا تاريخ تهيه اين گزارش طي چرخه عادي اين شركت در حال تسويه مي باشد.</t>
  </si>
  <si>
    <t>مالیات بر عملکرد سال 1402رسیدگی شده و در مرحله صدور برگ قطعی می باشد همچنین پرداخت مالیات ابرازی  بصورت اقساطی در حال پرداخت می باشد.</t>
  </si>
  <si>
    <t>کل 17</t>
  </si>
  <si>
    <t>سایر مشتریان    1330+1310 بدون التیام</t>
  </si>
  <si>
    <t>شركت پخش دارو گسترنخبگان - مجزا گردش بستانکار استفاده شده</t>
  </si>
  <si>
    <t>سایر مشتریان 3249-1320 غیر از التیام</t>
  </si>
  <si>
    <t>داروسازی التیام  1499+(1320-3212</t>
  </si>
  <si>
    <t>اشخاص وابسته  1420</t>
  </si>
  <si>
    <t>حساب سهامداران کل 1430 به غیر از پوروزییری ها و جاویدی</t>
  </si>
  <si>
    <t>کارکنان ( وام مساعده )   1452+1451</t>
  </si>
  <si>
    <t>سپرده نزد اشخاص 1499 به غیر التیام</t>
  </si>
  <si>
    <t>علی الحساب 1464</t>
  </si>
  <si>
    <t>اسناد در جریان وصول1140+ بستانکار نخبگان</t>
  </si>
  <si>
    <t>کل 3110</t>
  </si>
  <si>
    <t>1645-3114</t>
  </si>
  <si>
    <t>3114-1645</t>
  </si>
  <si>
    <t>3199-1420</t>
  </si>
  <si>
    <t>3115-1650</t>
  </si>
  <si>
    <t>3115 کیمیا اثر</t>
  </si>
  <si>
    <t>کل 3210</t>
  </si>
  <si>
    <t xml:space="preserve"> التیام- وستا تجهیز-طب کار ایساتیس- بیمه ایران- توزیع برق- ناجیان حریق البرز- بیوفارمسی پارس- تولیدی و صنعتی نوید- پروتئین یاری- گلستانیان- </t>
  </si>
  <si>
    <t>3230-1430</t>
  </si>
  <si>
    <t>3230+1430</t>
  </si>
  <si>
    <t>پوروزيري محمد - اگه مانده بدهکار داشت کسر میشه</t>
  </si>
  <si>
    <t>جاويدي معصومه -- اگه مانده بستانکار داشت، جمع میشه</t>
  </si>
  <si>
    <t>سایر شرکاء ----- قانون بالا شامل این نمیشه</t>
  </si>
  <si>
    <t>آیا امکان داره توی مانده بدهکار بشینه؟؟؟</t>
  </si>
  <si>
    <t>ولی به مقداری تفاوت 62992074562</t>
  </si>
  <si>
    <t>حساب پرداختنی غیرتجاری؟؟؟؟</t>
  </si>
  <si>
    <t>؟؟؟؟؟</t>
  </si>
  <si>
    <t>این از کجا محاسبه شده؟؟؟</t>
  </si>
  <si>
    <t>این چرا با بقیه فرق داره؟</t>
  </si>
  <si>
    <t>چرا بسته بندی و مواد اولیه رو یکی کردید؟</t>
  </si>
  <si>
    <t>1645 (چیز دیگه ایی نداشت)</t>
  </si>
  <si>
    <t>1645 -3114</t>
  </si>
  <si>
    <t>1645  (چیز دیگه ایی نداشت)</t>
  </si>
  <si>
    <t>1650-3115</t>
  </si>
  <si>
    <t>چرا اینجا با اینکه 3115 مقدار داشته، عددی رو نیاورده  (-439594960)</t>
  </si>
  <si>
    <t>1660-3212</t>
  </si>
  <si>
    <t>چرا بیمه ایران توش نیست؟</t>
  </si>
  <si>
    <t>1660 (چرا اینو با 3212 نیاوردد؟؟ اینم داره این معین رو</t>
  </si>
  <si>
    <t>3298-3235-3247-3227-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</si>
</sst>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00_-;_-* #,##0.00\-;_-* &quot;-&quot;??_-;_-@_-"/>
    <numFmt numFmtId="165" formatCode="_(\ #,##0_);[Red]_(\(#,##0\);_(\ &quot;-&quot;_);_(@_)"/>
    <numFmt numFmtId="166" formatCode="_(* #,##0_);_(* \(#,##0\);_(* &quot;-&quot;??_);_(@_)"/>
    <numFmt numFmtId="167" formatCode="#,##0_-;[Red]\(#,##0\)"/>
    <numFmt numFmtId="168" formatCode="0.0"/>
    <numFmt numFmtId="169" formatCode="_(\ #\,##0_);[Red]_(\(#\,##0\);_(\ &quot;-&quot;_);_(@_)"/>
    <numFmt numFmtId="170" formatCode="#,##0_ ;\-#,##0\ "/>
    <numFmt numFmtId="171" formatCode="#,##0_-;[Red]#\(##\)0"/>
    <numFmt numFmtId="172" formatCode="#,##0_ ;\(#,##0\)\ "/>
    <numFmt numFmtId="173" formatCode="_(\ #,##0.0_);[Red]_(\(#,##0.0\);_(\ &quot;-&quot;_);_(@_)"/>
    <numFmt numFmtId="174" formatCode="_-* #,##0_-;_-* #,##0\-;_-* &quot;-&quot;??_-;_-@_-"/>
    <numFmt numFmtId="175" formatCode="[$-3000401]0.#####E+00"/>
    <numFmt numFmtId="176" formatCode="_(\ #,##0.00_);[Red]_(\(#,##0.00\);_(\ &quot;-&quot;_);_(@_)"/>
    <numFmt numFmtId="177" formatCode="_(\ #,##0.000_);[Red]_(\(#,##0.000\);_(\ &quot;-&quot;_);_(@_)"/>
    <numFmt numFmtId="178" formatCode="0.0%"/>
    <numFmt numFmtId="179" formatCode="#,##0;[Red]#,##0"/>
    <numFmt numFmtId="180" formatCode="#,##0.00_ ;\-#,##0.00\ "/>
  </numFmts>
  <fonts count="109"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charset val="178"/>
      <scheme val="minor"/>
    </font>
    <font>
      <b/>
      <sz val="10"/>
      <name val="B Nazanin"/>
      <charset val="178"/>
    </font>
    <font>
      <b/>
      <sz val="11"/>
      <name val="B Nazanin"/>
      <charset val="178"/>
    </font>
    <font>
      <b/>
      <sz val="12"/>
      <name val="B Nazanin"/>
      <charset val="178"/>
    </font>
    <font>
      <sz val="10"/>
      <name val="B Nazanin"/>
      <charset val="178"/>
    </font>
    <font>
      <sz val="12"/>
      <name val="B Nazanin"/>
      <charset val="178"/>
    </font>
    <font>
      <sz val="11"/>
      <name val="B Nazanin"/>
      <charset val="178"/>
    </font>
    <font>
      <sz val="10"/>
      <name val="Arial"/>
      <family val="2"/>
    </font>
    <font>
      <sz val="11"/>
      <color theme="1"/>
      <name val="Calibri"/>
      <family val="2"/>
      <scheme val="minor"/>
    </font>
    <font>
      <u/>
      <sz val="11"/>
      <color theme="10"/>
      <name val="Calibri"/>
      <family val="2"/>
      <charset val="178"/>
      <scheme val="minor"/>
    </font>
    <font>
      <u/>
      <sz val="12"/>
      <color theme="10"/>
      <name val="B Titr"/>
      <charset val="178"/>
    </font>
    <font>
      <b/>
      <sz val="9"/>
      <color indexed="81"/>
      <name val="Tahoma"/>
      <family val="2"/>
    </font>
    <font>
      <sz val="9"/>
      <color indexed="81"/>
      <name val="Tahoma"/>
      <family val="2"/>
    </font>
    <font>
      <b/>
      <sz val="14"/>
      <color theme="1"/>
      <name val="B Nazanin"/>
      <charset val="178"/>
    </font>
    <font>
      <b/>
      <u/>
      <sz val="12"/>
      <name val="B Nazanin"/>
      <charset val="178"/>
    </font>
    <font>
      <b/>
      <sz val="16"/>
      <name val="B Nazanin"/>
      <charset val="178"/>
    </font>
    <font>
      <sz val="18"/>
      <name val="B Nazanin"/>
      <charset val="178"/>
    </font>
    <font>
      <b/>
      <sz val="18"/>
      <name val="B Nazanin"/>
      <charset val="178"/>
    </font>
    <font>
      <b/>
      <u/>
      <sz val="18"/>
      <name val="B Nazanin"/>
      <charset val="178"/>
    </font>
    <font>
      <b/>
      <sz val="18"/>
      <color theme="1"/>
      <name val="B Nazanin"/>
      <charset val="178"/>
    </font>
    <font>
      <b/>
      <u/>
      <sz val="18"/>
      <color theme="10"/>
      <name val="B Titr"/>
      <charset val="178"/>
    </font>
    <font>
      <b/>
      <u/>
      <sz val="16"/>
      <color theme="10"/>
      <name val="B Titr"/>
      <charset val="178"/>
    </font>
    <font>
      <sz val="18"/>
      <color theme="1"/>
      <name val="B Nazanin"/>
      <charset val="178"/>
    </font>
    <font>
      <u/>
      <sz val="18"/>
      <color theme="10"/>
      <name val="B Nazanin"/>
      <charset val="178"/>
    </font>
    <font>
      <b/>
      <sz val="24"/>
      <name val="B Nazanin"/>
      <charset val="178"/>
    </font>
    <font>
      <b/>
      <sz val="24"/>
      <color theme="1"/>
      <name val="B Nazanin"/>
      <charset val="178"/>
    </font>
    <font>
      <b/>
      <sz val="12"/>
      <color theme="1"/>
      <name val="B Nazanin"/>
      <charset val="178"/>
    </font>
    <font>
      <b/>
      <sz val="11"/>
      <color theme="1"/>
      <name val="B Nazanin"/>
      <charset val="178"/>
    </font>
    <font>
      <sz val="11"/>
      <color theme="1"/>
      <name val="B Nazanin"/>
      <charset val="178"/>
    </font>
    <font>
      <sz val="10"/>
      <color theme="1"/>
      <name val="B Nazanin"/>
      <charset val="178"/>
    </font>
    <font>
      <u/>
      <sz val="14"/>
      <color theme="10"/>
      <name val="B Nazanin"/>
      <charset val="178"/>
    </font>
    <font>
      <b/>
      <sz val="14"/>
      <name val="B Nazanin"/>
      <charset val="178"/>
    </font>
    <font>
      <sz val="14"/>
      <name val="B Nazanin"/>
      <charset val="178"/>
    </font>
    <font>
      <sz val="14"/>
      <color theme="1"/>
      <name val="B Nazanin"/>
      <charset val="178"/>
    </font>
    <font>
      <sz val="18"/>
      <name val="B Nazanin"/>
      <charset val="178"/>
    </font>
    <font>
      <sz val="14"/>
      <color rgb="FF000000"/>
      <name val="B Nazanin"/>
      <charset val="178"/>
    </font>
    <font>
      <b/>
      <sz val="14"/>
      <color theme="1"/>
      <name val="B Nazanin"/>
      <charset val="178"/>
    </font>
    <font>
      <b/>
      <u/>
      <sz val="14"/>
      <name val="B Nazanin"/>
      <charset val="178"/>
    </font>
    <font>
      <u/>
      <sz val="18"/>
      <color theme="10"/>
      <name val="B Nazanin"/>
      <charset val="178"/>
    </font>
    <font>
      <b/>
      <sz val="18"/>
      <name val="B Nazanin"/>
      <charset val="178"/>
    </font>
    <font>
      <b/>
      <u/>
      <sz val="18"/>
      <name val="B Nazanin"/>
      <charset val="178"/>
    </font>
    <font>
      <b/>
      <sz val="20"/>
      <name val="B Nazanin"/>
      <charset val="178"/>
    </font>
    <font>
      <b/>
      <u/>
      <sz val="20"/>
      <color theme="10"/>
      <name val="B Nazanin"/>
      <charset val="178"/>
    </font>
    <font>
      <b/>
      <u/>
      <sz val="20"/>
      <name val="B Nazanin"/>
      <charset val="178"/>
    </font>
    <font>
      <sz val="20"/>
      <name val="B Nazanin"/>
      <charset val="178"/>
    </font>
    <font>
      <sz val="10"/>
      <name val="B Nazanin"/>
      <charset val="178"/>
    </font>
    <font>
      <sz val="11"/>
      <name val="B Nazanin"/>
      <charset val="178"/>
    </font>
    <font>
      <u/>
      <sz val="12"/>
      <color theme="10"/>
      <name val="B Nazanin"/>
      <charset val="178"/>
    </font>
    <font>
      <b/>
      <sz val="11"/>
      <name val="B Nazanin"/>
      <charset val="178"/>
    </font>
    <font>
      <b/>
      <u/>
      <sz val="11"/>
      <name val="B Nazanin"/>
      <charset val="178"/>
    </font>
    <font>
      <sz val="12"/>
      <name val="B Nazanin"/>
      <charset val="178"/>
    </font>
    <font>
      <b/>
      <sz val="10"/>
      <name val="B Nazanin"/>
      <charset val="178"/>
    </font>
    <font>
      <b/>
      <u/>
      <sz val="18"/>
      <color theme="10"/>
      <name val="B Nazanin"/>
      <charset val="178"/>
    </font>
    <font>
      <b/>
      <u/>
      <sz val="16"/>
      <color theme="10"/>
      <name val="B Nazanin"/>
      <charset val="178"/>
    </font>
    <font>
      <b/>
      <sz val="16"/>
      <name val="B Nazanin"/>
      <charset val="178"/>
    </font>
    <font>
      <b/>
      <sz val="24"/>
      <name val="B Nazanin"/>
      <charset val="178"/>
    </font>
    <font>
      <b/>
      <sz val="18"/>
      <color theme="1"/>
      <name val="B Nazanin"/>
      <charset val="178"/>
    </font>
    <font>
      <sz val="24"/>
      <name val="B Nazanin"/>
      <charset val="178"/>
    </font>
    <font>
      <sz val="16"/>
      <name val="B Nazanin"/>
      <charset val="178"/>
    </font>
    <font>
      <sz val="16"/>
      <color rgb="FFFF0000"/>
      <name val="B Nazanin"/>
      <charset val="178"/>
    </font>
    <font>
      <u/>
      <sz val="16"/>
      <color theme="10"/>
      <name val="B Nazanin"/>
      <charset val="178"/>
    </font>
    <font>
      <sz val="12"/>
      <color theme="10"/>
      <name val="B Nazanin"/>
      <charset val="178"/>
    </font>
    <font>
      <b/>
      <u/>
      <sz val="16"/>
      <name val="B Nazanin"/>
      <charset val="178"/>
    </font>
    <font>
      <sz val="18"/>
      <color theme="1"/>
      <name val="B Nazanin"/>
      <charset val="178"/>
    </font>
    <font>
      <sz val="16"/>
      <color theme="1"/>
      <name val="B Nazanin"/>
      <charset val="178"/>
    </font>
    <font>
      <u/>
      <sz val="16"/>
      <name val="B Nazanin"/>
      <charset val="178"/>
    </font>
    <font>
      <b/>
      <sz val="16"/>
      <color theme="1"/>
      <name val="B Nazanin"/>
      <charset val="178"/>
    </font>
    <font>
      <sz val="14"/>
      <color rgb="FFFF0000"/>
      <name val="B Nazanin"/>
      <charset val="178"/>
    </font>
    <font>
      <sz val="11"/>
      <color rgb="FFFF0000"/>
      <name val="B Nazanin"/>
      <charset val="178"/>
    </font>
    <font>
      <sz val="11"/>
      <color theme="1"/>
      <name val="B Nazanin"/>
      <charset val="178"/>
    </font>
    <font>
      <b/>
      <sz val="12"/>
      <name val="B Nazanin"/>
      <charset val="178"/>
    </font>
    <font>
      <b/>
      <u/>
      <sz val="12"/>
      <color theme="10"/>
      <name val="B Nazanin"/>
      <charset val="178"/>
    </font>
    <font>
      <b/>
      <sz val="11"/>
      <color theme="1"/>
      <name val="B Nazanin"/>
      <charset val="178"/>
    </font>
    <font>
      <b/>
      <sz val="12"/>
      <color theme="1"/>
      <name val="B Nazanin"/>
      <charset val="178"/>
    </font>
    <font>
      <b/>
      <u/>
      <sz val="14"/>
      <color theme="10"/>
      <name val="B Nazanin"/>
      <charset val="178"/>
    </font>
    <font>
      <b/>
      <sz val="10"/>
      <color theme="1"/>
      <name val="B Nazanin"/>
      <charset val="178"/>
    </font>
    <font>
      <b/>
      <sz val="10"/>
      <color rgb="FFFF0000"/>
      <name val="B Nazanin"/>
      <charset val="178"/>
    </font>
    <font>
      <sz val="10"/>
      <color theme="1"/>
      <name val="B Nazanin"/>
      <charset val="178"/>
    </font>
    <font>
      <sz val="12"/>
      <color theme="1"/>
      <name val="B Nazanin"/>
      <charset val="178"/>
    </font>
    <font>
      <b/>
      <sz val="20"/>
      <color theme="1"/>
      <name val="B Nazanin"/>
      <charset val="178"/>
    </font>
    <font>
      <u/>
      <sz val="12"/>
      <name val="B Nazanin"/>
      <charset val="178"/>
    </font>
    <font>
      <sz val="22"/>
      <name val="B Nazanin"/>
      <charset val="178"/>
    </font>
    <font>
      <u/>
      <sz val="11"/>
      <name val="B Nazanin"/>
      <charset val="178"/>
    </font>
    <font>
      <b/>
      <sz val="18"/>
      <color rgb="FFFF0000"/>
      <name val="B Nazanin"/>
      <charset val="178"/>
    </font>
    <font>
      <b/>
      <sz val="18"/>
      <color theme="10"/>
      <name val="B Nazanin"/>
      <charset val="178"/>
    </font>
    <font>
      <sz val="9.5"/>
      <name val="B Nazanin"/>
      <charset val="178"/>
    </font>
    <font>
      <b/>
      <sz val="9"/>
      <name val="B Nazanin"/>
      <charset val="178"/>
    </font>
    <font>
      <b/>
      <sz val="8"/>
      <name val="B Nazanin"/>
      <charset val="178"/>
    </font>
    <font>
      <sz val="9"/>
      <name val="B Nazanin"/>
      <charset val="178"/>
    </font>
    <font>
      <sz val="9.5"/>
      <color theme="1"/>
      <name val="B Nazanin"/>
      <charset val="178"/>
    </font>
    <font>
      <sz val="26"/>
      <name val="B Nazanin"/>
      <charset val="178"/>
    </font>
    <font>
      <b/>
      <sz val="26"/>
      <name val="B Nazanin"/>
      <charset val="178"/>
    </font>
    <font>
      <b/>
      <sz val="14"/>
      <color rgb="FF000000"/>
      <name val="B Nazanin"/>
      <charset val="178"/>
    </font>
    <font>
      <sz val="16"/>
      <color rgb="FF00B050"/>
      <name val="B Nazanin"/>
      <charset val="178"/>
    </font>
    <font>
      <sz val="28"/>
      <color theme="1"/>
      <name val="B Nazanin"/>
      <charset val="178"/>
    </font>
    <font>
      <sz val="48"/>
      <color theme="1"/>
      <name val="B Nazanin"/>
      <charset val="178"/>
    </font>
    <font>
      <sz val="14"/>
      <color theme="10"/>
      <name val="B Nazanin"/>
      <charset val="178"/>
    </font>
    <font>
      <sz val="28"/>
      <color theme="10"/>
      <name val="B Nazanin"/>
      <charset val="178"/>
    </font>
    <font>
      <sz val="16"/>
      <color theme="10"/>
      <name val="B Nazanin"/>
      <charset val="178"/>
    </font>
    <font>
      <b/>
      <sz val="20"/>
      <color theme="10"/>
      <name val="B Nazanin"/>
      <charset val="178"/>
    </font>
    <font>
      <sz val="18"/>
      <color theme="10"/>
      <name val="B Nazanin"/>
      <charset val="178"/>
    </font>
    <font>
      <b/>
      <sz val="14"/>
      <color theme="10"/>
      <name val="B Nazanin"/>
      <charset val="178"/>
    </font>
    <font>
      <b/>
      <sz val="12"/>
      <color theme="10"/>
      <name val="B Nazanin"/>
      <charset val="178"/>
    </font>
    <font>
      <sz val="16"/>
      <color theme="1"/>
      <name val="Calibri"/>
      <family val="2"/>
      <charset val="178"/>
      <scheme val="minor"/>
    </font>
    <font>
      <sz val="11"/>
      <color rgb="FF9C0006"/>
      <name val="Calibri"/>
      <family val="2"/>
      <scheme val="minor"/>
    </font>
    <font>
      <sz val="11"/>
      <color rgb="FF9C57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C7CE"/>
      </patternFill>
    </fill>
    <fill>
      <patternFill patternType="solid">
        <fgColor rgb="FFFFEB9C"/>
      </patternFill>
    </fill>
  </fills>
  <borders count="65">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thin">
        <color theme="0" tint="-0.24994659260841701"/>
      </right>
      <top/>
      <bottom style="thin">
        <color theme="0" tint="-0.24994659260841701"/>
      </bottom>
      <diagonal/>
    </border>
    <border>
      <left style="thin">
        <color indexed="64"/>
      </left>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theme="0" tint="-0.14996795556505021"/>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theme="0" tint="-0.24994659260841701"/>
      </right>
      <top style="thin">
        <color indexed="64"/>
      </top>
      <bottom style="thin">
        <color indexed="64"/>
      </bottom>
      <diagonal/>
    </border>
  </borders>
  <cellStyleXfs count="16">
    <xf numFmtId="0" fontId="0" fillId="0" borderId="0"/>
    <xf numFmtId="164" fontId="3" fillId="0" borderId="0" applyFont="0" applyFill="0" applyBorder="0" applyAlignment="0" applyProtection="0"/>
    <xf numFmtId="0" fontId="10" fillId="0" borderId="0"/>
    <xf numFmtId="0" fontId="11" fillId="0" borderId="0"/>
    <xf numFmtId="0" fontId="12" fillId="0" borderId="0" applyNumberFormat="0" applyFill="0" applyBorder="0" applyAlignment="0" applyProtection="0"/>
    <xf numFmtId="0" fontId="10" fillId="0" borderId="0"/>
    <xf numFmtId="171" fontId="10" fillId="0" borderId="0" applyFont="0" applyFill="0" applyBorder="0" applyAlignment="0" applyProtection="0"/>
    <xf numFmtId="0" fontId="10" fillId="0" borderId="0"/>
    <xf numFmtId="0" fontId="10" fillId="0" borderId="0"/>
    <xf numFmtId="0" fontId="3" fillId="0" borderId="0"/>
    <xf numFmtId="0" fontId="2" fillId="0" borderId="0"/>
    <xf numFmtId="164" fontId="3" fillId="0" borderId="0" applyFont="0" applyFill="0" applyBorder="0" applyAlignment="0" applyProtection="0"/>
    <xf numFmtId="9" fontId="3" fillId="0" borderId="0" applyFont="0" applyFill="0" applyBorder="0" applyAlignment="0" applyProtection="0"/>
    <xf numFmtId="0" fontId="1" fillId="0" borderId="0"/>
    <xf numFmtId="0" fontId="107" fillId="9" borderId="0" applyNumberFormat="0" applyBorder="0" applyAlignment="0" applyProtection="0"/>
    <xf numFmtId="0" fontId="108" fillId="10" borderId="0" applyNumberFormat="0" applyBorder="0" applyAlignment="0" applyProtection="0"/>
  </cellStyleXfs>
  <cellXfs count="1687">
    <xf numFmtId="0" fontId="0" fillId="0" borderId="0" xfId="0"/>
    <xf numFmtId="165" fontId="9" fillId="0" borderId="0" xfId="0" applyNumberFormat="1" applyFont="1" applyAlignment="1">
      <alignment vertical="center" readingOrder="2"/>
    </xf>
    <xf numFmtId="165" fontId="5" fillId="0" borderId="0" xfId="0" applyNumberFormat="1" applyFont="1" applyAlignment="1">
      <alignment vertical="center" readingOrder="2"/>
    </xf>
    <xf numFmtId="165" fontId="7" fillId="0" borderId="0" xfId="1" applyNumberFormat="1" applyFont="1" applyFill="1" applyAlignment="1">
      <alignment vertical="center" readingOrder="2"/>
    </xf>
    <xf numFmtId="165" fontId="7" fillId="0" borderId="0" xfId="0" applyNumberFormat="1" applyFont="1" applyAlignment="1">
      <alignment vertical="center" readingOrder="2"/>
    </xf>
    <xf numFmtId="0" fontId="7" fillId="2" borderId="0" xfId="0" applyFont="1" applyFill="1" applyAlignment="1">
      <alignment vertical="center" readingOrder="2"/>
    </xf>
    <xf numFmtId="49" fontId="7" fillId="0" borderId="0" xfId="0" applyNumberFormat="1" applyFont="1" applyAlignment="1">
      <alignment vertical="center" readingOrder="2"/>
    </xf>
    <xf numFmtId="49" fontId="6" fillId="2" borderId="0" xfId="0" applyNumberFormat="1" applyFont="1" applyFill="1" applyAlignment="1">
      <alignment horizontal="left" vertical="center" readingOrder="2"/>
    </xf>
    <xf numFmtId="165" fontId="8" fillId="0" borderId="0" xfId="0" applyNumberFormat="1" applyFont="1" applyAlignment="1">
      <alignment vertical="center" readingOrder="2"/>
    </xf>
    <xf numFmtId="165" fontId="8" fillId="0" borderId="0" xfId="1" applyNumberFormat="1" applyFont="1" applyFill="1" applyAlignment="1">
      <alignment vertical="center" readingOrder="2"/>
    </xf>
    <xf numFmtId="49" fontId="9" fillId="0" borderId="0" xfId="0" applyNumberFormat="1" applyFont="1" applyAlignment="1">
      <alignment vertical="center" readingOrder="2"/>
    </xf>
    <xf numFmtId="165" fontId="9" fillId="2" borderId="0" xfId="0" applyNumberFormat="1" applyFont="1" applyFill="1" applyAlignment="1">
      <alignment horizontal="center" vertical="center" readingOrder="2"/>
    </xf>
    <xf numFmtId="165" fontId="6" fillId="2" borderId="0" xfId="0" applyNumberFormat="1" applyFont="1" applyFill="1" applyAlignment="1">
      <alignment horizontal="center" vertical="center" readingOrder="2"/>
    </xf>
    <xf numFmtId="0" fontId="0" fillId="0" borderId="0" xfId="0" applyAlignment="1">
      <alignment horizontal="center" vertical="center"/>
    </xf>
    <xf numFmtId="165" fontId="9" fillId="0" borderId="3" xfId="0" applyNumberFormat="1" applyFont="1" applyBorder="1" applyAlignment="1">
      <alignment horizontal="center" vertical="center" readingOrder="2"/>
    </xf>
    <xf numFmtId="165" fontId="9" fillId="0" borderId="2" xfId="0" applyNumberFormat="1" applyFont="1" applyBorder="1" applyAlignment="1">
      <alignment horizontal="center" vertical="center" readingOrder="2"/>
    </xf>
    <xf numFmtId="165" fontId="13" fillId="0" borderId="0" xfId="4" applyNumberFormat="1" applyFont="1" applyFill="1" applyAlignment="1">
      <alignment vertical="center" readingOrder="2"/>
    </xf>
    <xf numFmtId="165" fontId="13" fillId="0" borderId="0" xfId="4" applyNumberFormat="1" applyFont="1" applyFill="1" applyAlignment="1">
      <alignment readingOrder="2"/>
    </xf>
    <xf numFmtId="165" fontId="13" fillId="2" borderId="0" xfId="4" applyNumberFormat="1" applyFont="1" applyFill="1" applyAlignment="1">
      <alignment vertical="center" readingOrder="2"/>
    </xf>
    <xf numFmtId="0" fontId="4" fillId="2" borderId="0" xfId="0" applyFont="1" applyFill="1" applyAlignment="1">
      <alignment horizontal="center" vertical="center" wrapText="1" readingOrder="2"/>
    </xf>
    <xf numFmtId="165" fontId="7" fillId="2" borderId="0" xfId="0" applyNumberFormat="1" applyFont="1" applyFill="1" applyAlignment="1">
      <alignment horizontal="center" vertical="center" wrapText="1" readingOrder="2"/>
    </xf>
    <xf numFmtId="0" fontId="0" fillId="0" borderId="0" xfId="0" applyAlignment="1">
      <alignment horizontal="center"/>
    </xf>
    <xf numFmtId="165" fontId="9" fillId="0" borderId="0" xfId="0" applyNumberFormat="1" applyFont="1" applyAlignment="1">
      <alignment horizontal="center" vertical="center" readingOrder="2"/>
    </xf>
    <xf numFmtId="165" fontId="8" fillId="2" borderId="0" xfId="0" applyNumberFormat="1" applyFont="1" applyFill="1" applyAlignment="1">
      <alignment horizontal="center" vertical="center" wrapText="1" readingOrder="2"/>
    </xf>
    <xf numFmtId="165" fontId="8" fillId="0" borderId="0" xfId="0" applyNumberFormat="1" applyFont="1" applyAlignment="1">
      <alignment horizontal="right" vertical="center" readingOrder="2"/>
    </xf>
    <xf numFmtId="0" fontId="8" fillId="0" borderId="0" xfId="0" applyFont="1" applyAlignment="1">
      <alignment horizontal="center" vertical="center" readingOrder="2"/>
    </xf>
    <xf numFmtId="165" fontId="8" fillId="0" borderId="0" xfId="0" applyNumberFormat="1" applyFont="1" applyAlignment="1">
      <alignment horizontal="center" vertical="center" readingOrder="2"/>
    </xf>
    <xf numFmtId="165" fontId="6" fillId="2" borderId="0" xfId="0" applyNumberFormat="1" applyFont="1" applyFill="1" applyAlignment="1">
      <alignment horizontal="center" vertical="center" wrapText="1" readingOrder="2"/>
    </xf>
    <xf numFmtId="49" fontId="8" fillId="2" borderId="0" xfId="0" applyNumberFormat="1" applyFont="1" applyFill="1" applyAlignment="1">
      <alignment vertical="center" readingOrder="2"/>
    </xf>
    <xf numFmtId="165" fontId="8" fillId="2" borderId="0" xfId="0" applyNumberFormat="1" applyFont="1" applyFill="1" applyAlignment="1">
      <alignment horizontal="center" vertical="center" readingOrder="2"/>
    </xf>
    <xf numFmtId="165" fontId="8" fillId="2" borderId="0" xfId="0" applyNumberFormat="1" applyFont="1" applyFill="1" applyAlignment="1">
      <alignment vertical="center" readingOrder="2"/>
    </xf>
    <xf numFmtId="49" fontId="8" fillId="0" borderId="0" xfId="0" applyNumberFormat="1" applyFont="1" applyAlignment="1">
      <alignment vertical="center" readingOrder="2"/>
    </xf>
    <xf numFmtId="165" fontId="8" fillId="0" borderId="0" xfId="1" applyNumberFormat="1" applyFont="1" applyFill="1" applyBorder="1" applyAlignment="1">
      <alignment vertical="center" readingOrder="2"/>
    </xf>
    <xf numFmtId="165" fontId="9" fillId="2" borderId="0" xfId="0" applyNumberFormat="1" applyFont="1" applyFill="1" applyAlignment="1">
      <alignment horizontal="center" vertical="center" wrapText="1" readingOrder="2"/>
    </xf>
    <xf numFmtId="0" fontId="4" fillId="2" borderId="1" xfId="0" applyFont="1" applyFill="1" applyBorder="1" applyAlignment="1">
      <alignment horizontal="center" vertical="center" wrapText="1" readingOrder="2"/>
    </xf>
    <xf numFmtId="0" fontId="8" fillId="0" borderId="0" xfId="0" applyFont="1" applyAlignment="1">
      <alignment horizontal="right" vertical="center" readingOrder="2"/>
    </xf>
    <xf numFmtId="165" fontId="6" fillId="0" borderId="0" xfId="0" applyNumberFormat="1" applyFont="1" applyAlignment="1">
      <alignment readingOrder="2"/>
    </xf>
    <xf numFmtId="165" fontId="17" fillId="0" borderId="0" xfId="1" applyNumberFormat="1" applyFont="1" applyFill="1" applyAlignment="1">
      <alignment vertical="center" readingOrder="2"/>
    </xf>
    <xf numFmtId="165" fontId="17" fillId="0" borderId="0" xfId="0" applyNumberFormat="1" applyFont="1" applyAlignment="1">
      <alignment vertical="center" readingOrder="2"/>
    </xf>
    <xf numFmtId="165" fontId="17" fillId="2" borderId="0" xfId="0" applyNumberFormat="1" applyFont="1" applyFill="1" applyAlignment="1">
      <alignment horizontal="center" vertical="center" readingOrder="2"/>
    </xf>
    <xf numFmtId="0" fontId="6" fillId="2" borderId="0" xfId="0" applyFont="1" applyFill="1" applyAlignment="1">
      <alignment vertical="center" readingOrder="2"/>
    </xf>
    <xf numFmtId="165" fontId="6" fillId="2" borderId="0" xfId="0" applyNumberFormat="1" applyFont="1" applyFill="1" applyAlignment="1">
      <alignment horizontal="right" vertical="center" readingOrder="2"/>
    </xf>
    <xf numFmtId="165" fontId="17" fillId="2" borderId="0" xfId="0" applyNumberFormat="1" applyFont="1" applyFill="1" applyAlignment="1">
      <alignment vertical="center" readingOrder="2"/>
    </xf>
    <xf numFmtId="165" fontId="6" fillId="2" borderId="0" xfId="0" applyNumberFormat="1" applyFont="1" applyFill="1" applyAlignment="1">
      <alignment vertical="center" wrapText="1" readingOrder="2"/>
    </xf>
    <xf numFmtId="49" fontId="6" fillId="2" borderId="0" xfId="0" applyNumberFormat="1" applyFont="1" applyFill="1" applyAlignment="1">
      <alignment vertical="center" readingOrder="2"/>
    </xf>
    <xf numFmtId="0" fontId="6" fillId="2" borderId="0" xfId="0" applyFont="1" applyFill="1" applyAlignment="1">
      <alignment horizontal="center" vertical="center" readingOrder="2"/>
    </xf>
    <xf numFmtId="0" fontId="6" fillId="0" borderId="0" xfId="0" applyFont="1" applyAlignment="1">
      <alignment vertical="center" readingOrder="2"/>
    </xf>
    <xf numFmtId="0" fontId="6" fillId="0" borderId="0" xfId="1" applyNumberFormat="1" applyFont="1" applyFill="1" applyAlignment="1">
      <alignment vertical="center" readingOrder="2"/>
    </xf>
    <xf numFmtId="0" fontId="8" fillId="2" borderId="0" xfId="0" applyFont="1" applyFill="1" applyAlignment="1">
      <alignment horizontal="right" vertical="center" readingOrder="2"/>
    </xf>
    <xf numFmtId="165" fontId="6" fillId="0" borderId="4" xfId="0" applyNumberFormat="1" applyFont="1" applyBorder="1" applyAlignment="1">
      <alignment horizontal="center" vertical="center" readingOrder="2"/>
    </xf>
    <xf numFmtId="38" fontId="6" fillId="0" borderId="4" xfId="1" applyNumberFormat="1" applyFont="1" applyFill="1" applyBorder="1" applyAlignment="1">
      <alignment horizontal="center" vertical="center" shrinkToFit="1"/>
    </xf>
    <xf numFmtId="0" fontId="6" fillId="0" borderId="0" xfId="0" applyFont="1" applyAlignment="1">
      <alignment horizontal="right" vertical="center" readingOrder="2"/>
    </xf>
    <xf numFmtId="165" fontId="6" fillId="0" borderId="3" xfId="0" applyNumberFormat="1" applyFont="1" applyBorder="1" applyAlignment="1">
      <alignment horizontal="center" vertical="center" readingOrder="2"/>
    </xf>
    <xf numFmtId="0" fontId="6" fillId="2" borderId="0" xfId="0" applyFont="1" applyFill="1" applyAlignment="1">
      <alignment vertical="center" wrapText="1" readingOrder="2"/>
    </xf>
    <xf numFmtId="0" fontId="8" fillId="2" borderId="0" xfId="0" applyFont="1" applyFill="1" applyAlignment="1">
      <alignment vertical="center" readingOrder="2"/>
    </xf>
    <xf numFmtId="0" fontId="8" fillId="0" borderId="0" xfId="0" applyFont="1" applyAlignment="1">
      <alignment vertical="center" readingOrder="2"/>
    </xf>
    <xf numFmtId="0" fontId="8" fillId="0" borderId="0" xfId="1" applyNumberFormat="1" applyFont="1" applyFill="1" applyAlignment="1">
      <alignment vertical="center" readingOrder="2"/>
    </xf>
    <xf numFmtId="0" fontId="6" fillId="0" borderId="0" xfId="0" applyFont="1" applyAlignment="1">
      <alignment horizontal="center" vertical="center" readingOrder="2"/>
    </xf>
    <xf numFmtId="174" fontId="8" fillId="0" borderId="0" xfId="1" applyNumberFormat="1" applyFont="1" applyFill="1" applyAlignment="1">
      <alignment vertical="center" readingOrder="2"/>
    </xf>
    <xf numFmtId="165" fontId="8" fillId="5" borderId="0" xfId="0" applyNumberFormat="1" applyFont="1" applyFill="1" applyAlignment="1">
      <alignment horizontal="center" vertical="center" readingOrder="2"/>
    </xf>
    <xf numFmtId="3" fontId="0" fillId="0" borderId="0" xfId="0" applyNumberFormat="1" applyAlignment="1">
      <alignment horizontal="right"/>
    </xf>
    <xf numFmtId="165" fontId="6" fillId="0" borderId="0" xfId="0" applyNumberFormat="1" applyFont="1" applyAlignment="1">
      <alignment horizontal="center" vertical="center" readingOrder="2"/>
    </xf>
    <xf numFmtId="3" fontId="0" fillId="2" borderId="0" xfId="0" applyNumberFormat="1" applyFill="1" applyAlignment="1">
      <alignment horizontal="right"/>
    </xf>
    <xf numFmtId="3" fontId="0" fillId="0" borderId="0" xfId="0" applyNumberFormat="1"/>
    <xf numFmtId="0" fontId="6" fillId="2" borderId="1" xfId="0" applyFont="1" applyFill="1" applyBorder="1" applyAlignment="1">
      <alignment horizontal="center" vertical="center" wrapText="1" readingOrder="2"/>
    </xf>
    <xf numFmtId="49" fontId="6" fillId="0" borderId="0" xfId="0" applyNumberFormat="1" applyFont="1" applyAlignment="1">
      <alignment horizontal="right" readingOrder="2"/>
    </xf>
    <xf numFmtId="0" fontId="6" fillId="2" borderId="0" xfId="0" applyFont="1" applyFill="1" applyAlignment="1">
      <alignment horizontal="center" vertical="center" wrapText="1" readingOrder="2"/>
    </xf>
    <xf numFmtId="165" fontId="8" fillId="0" borderId="1" xfId="0" applyNumberFormat="1" applyFont="1" applyBorder="1" applyAlignment="1">
      <alignment horizontal="center" vertical="center" readingOrder="2"/>
    </xf>
    <xf numFmtId="165" fontId="16" fillId="0" borderId="0" xfId="3" applyNumberFormat="1" applyFont="1" applyAlignment="1">
      <alignment vertical="center"/>
    </xf>
    <xf numFmtId="0" fontId="18" fillId="2" borderId="0" xfId="0" applyFont="1" applyFill="1" applyAlignment="1">
      <alignment horizontal="center" vertical="center" wrapText="1" readingOrder="2"/>
    </xf>
    <xf numFmtId="49" fontId="20" fillId="2" borderId="0" xfId="0" applyNumberFormat="1" applyFont="1" applyFill="1" applyAlignment="1">
      <alignment horizontal="left" vertical="center" readingOrder="2"/>
    </xf>
    <xf numFmtId="165" fontId="21" fillId="0" borderId="0" xfId="0" applyNumberFormat="1" applyFont="1" applyAlignment="1">
      <alignment vertical="center" readingOrder="2"/>
    </xf>
    <xf numFmtId="165" fontId="21" fillId="0" borderId="0" xfId="1" applyNumberFormat="1" applyFont="1" applyFill="1" applyAlignment="1">
      <alignment vertical="center" readingOrder="2"/>
    </xf>
    <xf numFmtId="165" fontId="20" fillId="0" borderId="0" xfId="0" applyNumberFormat="1" applyFont="1" applyAlignment="1">
      <alignment readingOrder="2"/>
    </xf>
    <xf numFmtId="0" fontId="20" fillId="2" borderId="0" xfId="0" applyFont="1" applyFill="1" applyAlignment="1">
      <alignment horizontal="center" vertical="center" readingOrder="2"/>
    </xf>
    <xf numFmtId="165" fontId="20" fillId="0" borderId="0" xfId="0" applyNumberFormat="1" applyFont="1" applyAlignment="1">
      <alignment horizontal="center" vertical="center" readingOrder="2"/>
    </xf>
    <xf numFmtId="165" fontId="20" fillId="0" borderId="0" xfId="0" applyNumberFormat="1" applyFont="1" applyAlignment="1">
      <alignment vertical="center" readingOrder="2"/>
    </xf>
    <xf numFmtId="0" fontId="20" fillId="2" borderId="0" xfId="0" applyFont="1" applyFill="1" applyAlignment="1">
      <alignment vertical="center" wrapText="1" readingOrder="2"/>
    </xf>
    <xf numFmtId="165" fontId="23" fillId="0" borderId="0" xfId="4" applyNumberFormat="1" applyFont="1" applyFill="1" applyAlignment="1">
      <alignment vertical="center" readingOrder="2"/>
    </xf>
    <xf numFmtId="165" fontId="23" fillId="0" borderId="0" xfId="4" applyNumberFormat="1" applyFont="1" applyFill="1" applyAlignment="1">
      <alignment readingOrder="2"/>
    </xf>
    <xf numFmtId="165" fontId="20" fillId="0" borderId="0" xfId="1" applyNumberFormat="1" applyFont="1" applyFill="1" applyAlignment="1">
      <alignment vertical="center" readingOrder="2"/>
    </xf>
    <xf numFmtId="174" fontId="20" fillId="0" borderId="0" xfId="1" applyNumberFormat="1" applyFont="1" applyFill="1" applyAlignment="1">
      <alignment vertical="center" readingOrder="2"/>
    </xf>
    <xf numFmtId="169" fontId="21" fillId="2" borderId="0" xfId="0" applyNumberFormat="1" applyFont="1" applyFill="1" applyAlignment="1">
      <alignment horizontal="center" vertical="center" readingOrder="2"/>
    </xf>
    <xf numFmtId="3" fontId="21" fillId="2" borderId="0" xfId="0" applyNumberFormat="1" applyFont="1" applyFill="1" applyAlignment="1">
      <alignment horizontal="center" vertical="center" readingOrder="2"/>
    </xf>
    <xf numFmtId="169" fontId="21" fillId="0" borderId="0" xfId="0" applyNumberFormat="1" applyFont="1" applyAlignment="1">
      <alignment vertical="center" readingOrder="2"/>
    </xf>
    <xf numFmtId="169" fontId="21" fillId="0" borderId="0" xfId="1" applyNumberFormat="1" applyFont="1" applyFill="1" applyAlignment="1">
      <alignment vertical="center" readingOrder="2"/>
    </xf>
    <xf numFmtId="0" fontId="20" fillId="0" borderId="0" xfId="0" applyFont="1" applyAlignment="1">
      <alignment horizontal="center" vertical="center" readingOrder="2"/>
    </xf>
    <xf numFmtId="169" fontId="20" fillId="2" borderId="0" xfId="0" applyNumberFormat="1" applyFont="1" applyFill="1" applyAlignment="1">
      <alignment horizontal="center" vertical="center" wrapText="1" readingOrder="2"/>
    </xf>
    <xf numFmtId="3" fontId="20" fillId="2" borderId="1" xfId="0" applyNumberFormat="1" applyFont="1" applyFill="1" applyBorder="1" applyAlignment="1">
      <alignment horizontal="center" vertical="center" wrapText="1" readingOrder="2"/>
    </xf>
    <xf numFmtId="3" fontId="20" fillId="2" borderId="0" xfId="0" applyNumberFormat="1" applyFont="1" applyFill="1" applyAlignment="1">
      <alignment horizontal="center" vertical="center" wrapText="1" readingOrder="2"/>
    </xf>
    <xf numFmtId="3" fontId="20" fillId="2" borderId="0" xfId="0" applyNumberFormat="1" applyFont="1" applyFill="1" applyAlignment="1">
      <alignment horizontal="center" vertical="center" readingOrder="2"/>
    </xf>
    <xf numFmtId="3" fontId="20" fillId="2" borderId="4" xfId="0" applyNumberFormat="1" applyFont="1" applyFill="1" applyBorder="1" applyAlignment="1">
      <alignment horizontal="center" vertical="center" wrapText="1" readingOrder="2"/>
    </xf>
    <xf numFmtId="3" fontId="20" fillId="0" borderId="0" xfId="0" applyNumberFormat="1" applyFont="1" applyAlignment="1">
      <alignment horizontal="center" vertical="center" readingOrder="2"/>
    </xf>
    <xf numFmtId="169" fontId="20" fillId="0" borderId="0" xfId="0" applyNumberFormat="1" applyFont="1" applyAlignment="1">
      <alignment horizontal="center" vertical="center" readingOrder="2"/>
    </xf>
    <xf numFmtId="169" fontId="20" fillId="0" borderId="0" xfId="1" applyNumberFormat="1" applyFont="1" applyFill="1" applyAlignment="1">
      <alignment horizontal="center" vertical="center" readingOrder="2"/>
    </xf>
    <xf numFmtId="0" fontId="20" fillId="0" borderId="0" xfId="1" applyNumberFormat="1" applyFont="1" applyFill="1" applyAlignment="1">
      <alignment horizontal="center" vertical="center" readingOrder="2"/>
    </xf>
    <xf numFmtId="169" fontId="23" fillId="0" borderId="0" xfId="4" applyNumberFormat="1" applyFont="1" applyFill="1" applyAlignment="1">
      <alignment vertical="center" readingOrder="2"/>
    </xf>
    <xf numFmtId="165" fontId="23" fillId="2" borderId="0" xfId="4" applyNumberFormat="1" applyFont="1" applyFill="1" applyAlignment="1">
      <alignment horizontal="center" vertical="center" readingOrder="2"/>
    </xf>
    <xf numFmtId="169" fontId="20" fillId="0" borderId="0" xfId="0" applyNumberFormat="1" applyFont="1" applyAlignment="1">
      <alignment vertical="center" readingOrder="2"/>
    </xf>
    <xf numFmtId="3" fontId="20" fillId="0" borderId="0" xfId="0" applyNumberFormat="1" applyFont="1" applyAlignment="1">
      <alignment vertical="center" readingOrder="2"/>
    </xf>
    <xf numFmtId="169" fontId="20" fillId="0" borderId="0" xfId="1" applyNumberFormat="1" applyFont="1" applyFill="1" applyAlignment="1">
      <alignment vertical="center" readingOrder="2"/>
    </xf>
    <xf numFmtId="169" fontId="20" fillId="0" borderId="0" xfId="0" applyNumberFormat="1" applyFont="1" applyAlignment="1">
      <alignment horizontal="center" readingOrder="2"/>
    </xf>
    <xf numFmtId="165" fontId="22" fillId="0" borderId="0" xfId="3" applyNumberFormat="1" applyFont="1" applyAlignment="1">
      <alignment horizontal="center" vertical="center"/>
    </xf>
    <xf numFmtId="165" fontId="22" fillId="0" borderId="0" xfId="3" applyNumberFormat="1" applyFont="1" applyAlignment="1">
      <alignment horizontal="center"/>
    </xf>
    <xf numFmtId="3" fontId="20" fillId="2" borderId="2" xfId="0" applyNumberFormat="1" applyFont="1" applyFill="1" applyBorder="1" applyAlignment="1">
      <alignment horizontal="center" vertical="center" wrapText="1" readingOrder="2"/>
    </xf>
    <xf numFmtId="165" fontId="18" fillId="0" borderId="0" xfId="0" applyNumberFormat="1" applyFont="1" applyAlignment="1">
      <alignment vertical="center" readingOrder="2"/>
    </xf>
    <xf numFmtId="0" fontId="20" fillId="2" borderId="0" xfId="0" applyFont="1" applyFill="1" applyAlignment="1">
      <alignment horizontal="center" vertical="center" wrapText="1" readingOrder="2"/>
    </xf>
    <xf numFmtId="0" fontId="20" fillId="2" borderId="1" xfId="0" applyFont="1" applyFill="1" applyBorder="1" applyAlignment="1">
      <alignment horizontal="center" vertical="center" wrapText="1" readingOrder="2"/>
    </xf>
    <xf numFmtId="165" fontId="20" fillId="0" borderId="0" xfId="0" applyNumberFormat="1" applyFont="1" applyAlignment="1">
      <alignment horizontal="center" readingOrder="2"/>
    </xf>
    <xf numFmtId="0" fontId="18" fillId="2" borderId="0" xfId="0" applyFont="1" applyFill="1" applyAlignment="1">
      <alignment horizontal="right" vertical="center" readingOrder="2"/>
    </xf>
    <xf numFmtId="165" fontId="24" fillId="2" borderId="0" xfId="4" applyNumberFormat="1" applyFont="1" applyFill="1" applyAlignment="1">
      <alignment horizontal="center" vertical="center" readingOrder="2"/>
    </xf>
    <xf numFmtId="3" fontId="22" fillId="0" borderId="0" xfId="0" applyNumberFormat="1" applyFont="1" applyAlignment="1">
      <alignment horizontal="center" vertical="center" readingOrder="2"/>
    </xf>
    <xf numFmtId="0" fontId="26" fillId="0" borderId="0" xfId="4" applyFont="1"/>
    <xf numFmtId="49" fontId="25" fillId="0" borderId="0" xfId="3" applyNumberFormat="1" applyFont="1" applyAlignment="1">
      <alignment vertical="center"/>
    </xf>
    <xf numFmtId="0" fontId="25" fillId="0" borderId="0" xfId="3" applyFont="1" applyAlignment="1">
      <alignment vertical="center"/>
    </xf>
    <xf numFmtId="165" fontId="25" fillId="0" borderId="0" xfId="3" applyNumberFormat="1" applyFont="1" applyAlignment="1">
      <alignment horizontal="center" vertical="center"/>
    </xf>
    <xf numFmtId="0" fontId="22" fillId="0" borderId="0" xfId="3" applyFont="1" applyAlignment="1">
      <alignment vertical="center" readingOrder="2"/>
    </xf>
    <xf numFmtId="0" fontId="22" fillId="0" borderId="0" xfId="3" applyFont="1" applyAlignment="1">
      <alignment horizontal="center" vertical="center"/>
    </xf>
    <xf numFmtId="49" fontId="22" fillId="0" borderId="0" xfId="3" applyNumberFormat="1" applyFont="1" applyAlignment="1">
      <alignment vertical="center" readingOrder="2"/>
    </xf>
    <xf numFmtId="165" fontId="25" fillId="0" borderId="1" xfId="3" applyNumberFormat="1" applyFont="1" applyBorder="1" applyAlignment="1">
      <alignment horizontal="center" vertical="center"/>
    </xf>
    <xf numFmtId="165" fontId="22" fillId="0" borderId="2" xfId="3" applyNumberFormat="1" applyFont="1" applyBorder="1" applyAlignment="1">
      <alignment horizontal="center" vertical="center"/>
    </xf>
    <xf numFmtId="165" fontId="22" fillId="0" borderId="3" xfId="3" applyNumberFormat="1" applyFont="1" applyBorder="1" applyAlignment="1">
      <alignment horizontal="center" vertical="center"/>
    </xf>
    <xf numFmtId="0" fontId="25" fillId="0" borderId="0" xfId="3" applyFont="1" applyAlignment="1">
      <alignment horizontal="center" vertical="center"/>
    </xf>
    <xf numFmtId="0" fontId="22" fillId="0" borderId="0" xfId="3" applyFont="1" applyAlignment="1">
      <alignment horizontal="right" vertical="center" readingOrder="2"/>
    </xf>
    <xf numFmtId="0" fontId="22" fillId="0" borderId="2" xfId="3" applyFont="1" applyBorder="1" applyAlignment="1">
      <alignment horizontal="center" vertical="center"/>
    </xf>
    <xf numFmtId="0" fontId="22" fillId="0" borderId="4" xfId="3" applyFont="1" applyBorder="1" applyAlignment="1">
      <alignment horizontal="center" vertical="center"/>
    </xf>
    <xf numFmtId="49" fontId="22" fillId="0" borderId="0" xfId="3" applyNumberFormat="1" applyFont="1" applyAlignment="1">
      <alignment vertical="center"/>
    </xf>
    <xf numFmtId="0" fontId="22" fillId="0" borderId="0" xfId="3" applyFont="1" applyAlignment="1">
      <alignment vertical="center"/>
    </xf>
    <xf numFmtId="0" fontId="22" fillId="0" borderId="1" xfId="3" applyFont="1" applyBorder="1" applyAlignment="1">
      <alignment horizontal="center" vertical="center" wrapText="1"/>
    </xf>
    <xf numFmtId="0" fontId="22" fillId="0" borderId="0" xfId="3" applyFont="1" applyAlignment="1">
      <alignment horizontal="center" vertical="center" wrapText="1"/>
    </xf>
    <xf numFmtId="49" fontId="25" fillId="0" borderId="0" xfId="3" applyNumberFormat="1" applyFont="1" applyAlignment="1">
      <alignment horizontal="center" vertical="center"/>
    </xf>
    <xf numFmtId="172" fontId="20" fillId="0" borderId="0" xfId="7" applyNumberFormat="1" applyFont="1" applyAlignment="1">
      <alignment horizontal="center" vertical="center" shrinkToFit="1" readingOrder="2"/>
    </xf>
    <xf numFmtId="3" fontId="20" fillId="0" borderId="0" xfId="1" applyNumberFormat="1" applyFont="1" applyFill="1" applyBorder="1" applyAlignment="1">
      <alignment horizontal="center" shrinkToFit="1"/>
    </xf>
    <xf numFmtId="3" fontId="19" fillId="0" borderId="0" xfId="1" applyNumberFormat="1" applyFont="1" applyFill="1" applyBorder="1" applyAlignment="1">
      <alignment horizontal="center" vertical="center" shrinkToFit="1"/>
    </xf>
    <xf numFmtId="0" fontId="25" fillId="0" borderId="0" xfId="3" applyFont="1" applyAlignment="1">
      <alignment horizontal="center" wrapText="1" readingOrder="2"/>
    </xf>
    <xf numFmtId="165" fontId="22" fillId="0" borderId="1" xfId="3" applyNumberFormat="1" applyFont="1" applyBorder="1" applyAlignment="1">
      <alignment horizontal="center"/>
    </xf>
    <xf numFmtId="0" fontId="22" fillId="0" borderId="0" xfId="3" applyFont="1" applyAlignment="1">
      <alignment horizontal="center"/>
    </xf>
    <xf numFmtId="0" fontId="22" fillId="0" borderId="0" xfId="3" applyFont="1" applyAlignment="1">
      <alignment horizontal="center" wrapText="1" readingOrder="2"/>
    </xf>
    <xf numFmtId="0" fontId="25" fillId="0" borderId="0" xfId="3" applyFont="1" applyAlignment="1">
      <alignment horizontal="right" vertical="top" wrapText="1" readingOrder="2"/>
    </xf>
    <xf numFmtId="0" fontId="22" fillId="0" borderId="0" xfId="3" applyFont="1" applyAlignment="1">
      <alignment horizontal="right" vertical="top" wrapText="1" readingOrder="2"/>
    </xf>
    <xf numFmtId="3" fontId="20" fillId="0" borderId="0" xfId="1" applyNumberFormat="1" applyFont="1" applyFill="1" applyBorder="1" applyAlignment="1">
      <alignment horizontal="center" vertical="center" shrinkToFit="1"/>
    </xf>
    <xf numFmtId="0" fontId="22" fillId="0" borderId="0" xfId="3" applyFont="1" applyAlignment="1">
      <alignment horizontal="right" wrapText="1" readingOrder="2"/>
    </xf>
    <xf numFmtId="165" fontId="22" fillId="0" borderId="3" xfId="3" applyNumberFormat="1" applyFont="1" applyBorder="1" applyAlignment="1">
      <alignment horizontal="center"/>
    </xf>
    <xf numFmtId="3" fontId="25" fillId="0" borderId="0" xfId="3" applyNumberFormat="1" applyFont="1" applyAlignment="1">
      <alignment horizontal="right" vertical="top" wrapText="1" readingOrder="2"/>
    </xf>
    <xf numFmtId="165" fontId="25" fillId="0" borderId="0" xfId="3" applyNumberFormat="1" applyFont="1" applyAlignment="1">
      <alignment horizontal="right" vertical="top" wrapText="1" readingOrder="2"/>
    </xf>
    <xf numFmtId="0" fontId="25" fillId="0" borderId="0" xfId="3" applyFont="1" applyAlignment="1">
      <alignment horizontal="right" vertical="center"/>
    </xf>
    <xf numFmtId="165" fontId="25" fillId="0" borderId="0" xfId="3" applyNumberFormat="1" applyFont="1" applyAlignment="1">
      <alignment vertical="center"/>
    </xf>
    <xf numFmtId="0" fontId="25" fillId="0" borderId="0" xfId="3" applyFont="1" applyAlignment="1">
      <alignment horizontal="right" vertical="center" wrapText="1" readingOrder="2"/>
    </xf>
    <xf numFmtId="3" fontId="25" fillId="0" borderId="0" xfId="3" applyNumberFormat="1" applyFont="1" applyAlignment="1">
      <alignment vertical="center"/>
    </xf>
    <xf numFmtId="0" fontId="22" fillId="0" borderId="4" xfId="3" applyFont="1" applyBorder="1" applyAlignment="1">
      <alignment horizontal="center" vertical="center" wrapText="1"/>
    </xf>
    <xf numFmtId="165" fontId="25" fillId="0" borderId="0" xfId="3" applyNumberFormat="1" applyFont="1" applyAlignment="1">
      <alignment horizontal="center"/>
    </xf>
    <xf numFmtId="0" fontId="25" fillId="0" borderId="0" xfId="3" applyFont="1" applyAlignment="1">
      <alignment horizontal="center"/>
    </xf>
    <xf numFmtId="165" fontId="25" fillId="0" borderId="3" xfId="3" applyNumberFormat="1" applyFont="1" applyBorder="1" applyAlignment="1">
      <alignment horizontal="center"/>
    </xf>
    <xf numFmtId="0" fontId="25" fillId="0" borderId="0" xfId="3" applyFont="1" applyAlignment="1">
      <alignment horizontal="center" vertical="center" readingOrder="2"/>
    </xf>
    <xf numFmtId="3" fontId="27" fillId="0" borderId="0" xfId="0" applyNumberFormat="1" applyFont="1" applyAlignment="1">
      <alignment horizontal="center" vertical="center" readingOrder="2"/>
    </xf>
    <xf numFmtId="165" fontId="28" fillId="0" borderId="0" xfId="3" applyNumberFormat="1" applyFont="1" applyAlignment="1">
      <alignment horizontal="center" vertical="center"/>
    </xf>
    <xf numFmtId="169" fontId="27" fillId="0" borderId="0" xfId="0" applyNumberFormat="1" applyFont="1" applyAlignment="1">
      <alignment horizontal="center" vertical="center" readingOrder="2"/>
    </xf>
    <xf numFmtId="3" fontId="27" fillId="0" borderId="1" xfId="0" applyNumberFormat="1" applyFont="1" applyBorder="1" applyAlignment="1">
      <alignment horizontal="center" vertical="center" readingOrder="2"/>
    </xf>
    <xf numFmtId="3" fontId="27" fillId="0" borderId="2" xfId="0" applyNumberFormat="1" applyFont="1" applyBorder="1" applyAlignment="1">
      <alignment horizontal="center" vertical="center" readingOrder="2"/>
    </xf>
    <xf numFmtId="165" fontId="27" fillId="0" borderId="0" xfId="0" applyNumberFormat="1" applyFont="1" applyAlignment="1">
      <alignment horizontal="center" vertical="center" readingOrder="2"/>
    </xf>
    <xf numFmtId="3" fontId="27" fillId="2" borderId="0" xfId="0" applyNumberFormat="1" applyFont="1" applyFill="1" applyAlignment="1">
      <alignment horizontal="center" vertical="center" wrapText="1" readingOrder="2"/>
    </xf>
    <xf numFmtId="3" fontId="27" fillId="0" borderId="3" xfId="0" applyNumberFormat="1" applyFont="1" applyBorder="1" applyAlignment="1">
      <alignment horizontal="center" vertical="center" readingOrder="2"/>
    </xf>
    <xf numFmtId="3" fontId="28" fillId="0" borderId="3" xfId="0" applyNumberFormat="1" applyFont="1" applyBorder="1" applyAlignment="1">
      <alignment horizontal="center" vertical="center" readingOrder="2"/>
    </xf>
    <xf numFmtId="0" fontId="29" fillId="0" borderId="0" xfId="10" applyFont="1"/>
    <xf numFmtId="0" fontId="29" fillId="0" borderId="0" xfId="10" applyFont="1" applyAlignment="1">
      <alignment horizontal="center"/>
    </xf>
    <xf numFmtId="0" fontId="31" fillId="0" borderId="0" xfId="10" applyFont="1" applyAlignment="1">
      <alignment vertical="center"/>
    </xf>
    <xf numFmtId="0" fontId="30" fillId="0" borderId="1" xfId="10" applyFont="1" applyBorder="1" applyAlignment="1">
      <alignment horizontal="center" vertical="center" wrapText="1"/>
    </xf>
    <xf numFmtId="0" fontId="30" fillId="0" borderId="0" xfId="10" applyFont="1" applyAlignment="1">
      <alignment horizontal="center" vertical="center" wrapText="1"/>
    </xf>
    <xf numFmtId="165" fontId="31" fillId="0" borderId="0" xfId="10" applyNumberFormat="1" applyFont="1" applyAlignment="1">
      <alignment horizontal="center" vertical="center"/>
    </xf>
    <xf numFmtId="165" fontId="31" fillId="0" borderId="2" xfId="10" applyNumberFormat="1" applyFont="1" applyBorder="1" applyAlignment="1">
      <alignment horizontal="center" vertical="center"/>
    </xf>
    <xf numFmtId="165" fontId="31" fillId="0" borderId="4" xfId="10" applyNumberFormat="1" applyFont="1" applyBorder="1" applyAlignment="1">
      <alignment horizontal="center" vertical="center"/>
    </xf>
    <xf numFmtId="165" fontId="31" fillId="0" borderId="3" xfId="10" applyNumberFormat="1" applyFont="1" applyBorder="1" applyAlignment="1">
      <alignment horizontal="center" vertical="center"/>
    </xf>
    <xf numFmtId="165" fontId="31" fillId="0" borderId="6" xfId="10" applyNumberFormat="1" applyFont="1" applyBorder="1" applyAlignment="1">
      <alignment horizontal="center" vertical="center"/>
    </xf>
    <xf numFmtId="0" fontId="31" fillId="0" borderId="1" xfId="10" applyFont="1" applyBorder="1" applyAlignment="1">
      <alignment horizontal="center" vertical="center"/>
    </xf>
    <xf numFmtId="0" fontId="31" fillId="0" borderId="0" xfId="10" applyFont="1" applyAlignment="1">
      <alignment horizontal="center" vertical="center"/>
    </xf>
    <xf numFmtId="165" fontId="31" fillId="0" borderId="0" xfId="10" applyNumberFormat="1" applyFont="1" applyAlignment="1">
      <alignment horizontal="center"/>
    </xf>
    <xf numFmtId="165" fontId="33" fillId="0" borderId="0" xfId="4" applyNumberFormat="1" applyFont="1" applyFill="1" applyAlignment="1">
      <alignment horizontal="center" vertical="center" readingOrder="2"/>
    </xf>
    <xf numFmtId="165" fontId="33" fillId="0" borderId="0" xfId="4" applyNumberFormat="1" applyFont="1" applyFill="1" applyAlignment="1">
      <alignment horizontal="center" readingOrder="2"/>
    </xf>
    <xf numFmtId="165" fontId="35" fillId="0" borderId="0" xfId="1" applyNumberFormat="1" applyFont="1" applyFill="1" applyAlignment="1">
      <alignment vertical="center" readingOrder="2"/>
    </xf>
    <xf numFmtId="165" fontId="35" fillId="0" borderId="0" xfId="0" applyNumberFormat="1" applyFont="1" applyAlignment="1">
      <alignment vertical="center" readingOrder="2"/>
    </xf>
    <xf numFmtId="49" fontId="35" fillId="2" borderId="0" xfId="0" applyNumberFormat="1" applyFont="1" applyFill="1" applyAlignment="1">
      <alignment vertical="center" readingOrder="2"/>
    </xf>
    <xf numFmtId="165" fontId="34" fillId="2" borderId="0" xfId="0" applyNumberFormat="1" applyFont="1" applyFill="1" applyAlignment="1">
      <alignment horizontal="center" vertical="center" readingOrder="2"/>
    </xf>
    <xf numFmtId="165" fontId="35" fillId="2" borderId="1" xfId="0" applyNumberFormat="1" applyFont="1" applyFill="1" applyBorder="1" applyAlignment="1">
      <alignment horizontal="center" vertical="center" readingOrder="2"/>
    </xf>
    <xf numFmtId="165" fontId="35" fillId="2" borderId="0" xfId="0" applyNumberFormat="1" applyFont="1" applyFill="1" applyAlignment="1">
      <alignment horizontal="center" vertical="center" readingOrder="2"/>
    </xf>
    <xf numFmtId="165" fontId="34" fillId="2" borderId="0" xfId="0" applyNumberFormat="1" applyFont="1" applyFill="1" applyAlignment="1">
      <alignment horizontal="center" wrapText="1" readingOrder="2"/>
    </xf>
    <xf numFmtId="0" fontId="34" fillId="2" borderId="1" xfId="0" applyFont="1" applyFill="1" applyBorder="1" applyAlignment="1">
      <alignment horizontal="center" wrapText="1" readingOrder="2"/>
    </xf>
    <xf numFmtId="0" fontId="34" fillId="2" borderId="0" xfId="0" applyFont="1" applyFill="1" applyAlignment="1">
      <alignment horizontal="center" wrapText="1" readingOrder="2"/>
    </xf>
    <xf numFmtId="0" fontId="34" fillId="2" borderId="0" xfId="0" applyFont="1" applyFill="1" applyAlignment="1">
      <alignment wrapText="1" readingOrder="2"/>
    </xf>
    <xf numFmtId="165" fontId="35" fillId="0" borderId="0" xfId="0" applyNumberFormat="1" applyFont="1" applyAlignment="1">
      <alignment horizontal="center" readingOrder="2"/>
    </xf>
    <xf numFmtId="165" fontId="35" fillId="2" borderId="0" xfId="0" applyNumberFormat="1" applyFont="1" applyFill="1" applyAlignment="1">
      <alignment vertical="center" readingOrder="2"/>
    </xf>
    <xf numFmtId="165" fontId="35" fillId="2" borderId="0" xfId="0" applyNumberFormat="1" applyFont="1" applyFill="1" applyAlignment="1">
      <alignment horizontal="center" vertical="center" wrapText="1" readingOrder="2"/>
    </xf>
    <xf numFmtId="165" fontId="34" fillId="2" borderId="0" xfId="0" applyNumberFormat="1" applyFont="1" applyFill="1" applyAlignment="1">
      <alignment horizontal="center" vertical="center" wrapText="1" readingOrder="2"/>
    </xf>
    <xf numFmtId="165" fontId="35" fillId="2" borderId="0" xfId="0" applyNumberFormat="1" applyFont="1" applyFill="1" applyAlignment="1">
      <alignment horizontal="center" readingOrder="2"/>
    </xf>
    <xf numFmtId="0" fontId="35" fillId="2" borderId="0" xfId="0" applyFont="1" applyFill="1" applyAlignment="1">
      <alignment horizontal="right" vertical="center" wrapText="1" readingOrder="2"/>
    </xf>
    <xf numFmtId="165" fontId="35" fillId="2" borderId="0" xfId="0" applyNumberFormat="1" applyFont="1" applyFill="1" applyAlignment="1">
      <alignment horizontal="center" wrapText="1" readingOrder="2"/>
    </xf>
    <xf numFmtId="165" fontId="35" fillId="0" borderId="0" xfId="1" applyNumberFormat="1" applyFont="1" applyFill="1" applyAlignment="1">
      <alignment horizontal="center" vertical="center" wrapText="1" readingOrder="2"/>
    </xf>
    <xf numFmtId="165" fontId="36" fillId="0" borderId="0" xfId="1" applyNumberFormat="1" applyFont="1" applyFill="1" applyAlignment="1">
      <alignment horizontal="center" vertical="center" wrapText="1" readingOrder="2"/>
    </xf>
    <xf numFmtId="165" fontId="35" fillId="0" borderId="4" xfId="1" applyNumberFormat="1" applyFont="1" applyFill="1" applyBorder="1" applyAlignment="1">
      <alignment horizontal="center" vertical="center" wrapText="1" readingOrder="2"/>
    </xf>
    <xf numFmtId="165" fontId="37" fillId="2" borderId="0" xfId="0" applyNumberFormat="1" applyFont="1" applyFill="1" applyAlignment="1">
      <alignment horizontal="center" vertical="center" wrapText="1" readingOrder="2"/>
    </xf>
    <xf numFmtId="165" fontId="35" fillId="2" borderId="2" xfId="0" applyNumberFormat="1" applyFont="1" applyFill="1" applyBorder="1" applyAlignment="1">
      <alignment horizontal="center" vertical="center" readingOrder="2"/>
    </xf>
    <xf numFmtId="165" fontId="36" fillId="2" borderId="0" xfId="0" applyNumberFormat="1" applyFont="1" applyFill="1" applyAlignment="1">
      <alignment horizontal="center" vertical="center" readingOrder="2"/>
    </xf>
    <xf numFmtId="49" fontId="35" fillId="0" borderId="0" xfId="0" applyNumberFormat="1" applyFont="1" applyAlignment="1">
      <alignment vertical="center" readingOrder="2"/>
    </xf>
    <xf numFmtId="165" fontId="34" fillId="2" borderId="3" xfId="0" applyNumberFormat="1" applyFont="1" applyFill="1" applyBorder="1" applyAlignment="1">
      <alignment horizontal="center" vertical="center" readingOrder="2"/>
    </xf>
    <xf numFmtId="165" fontId="34" fillId="2" borderId="0" xfId="0" applyNumberFormat="1" applyFont="1" applyFill="1" applyAlignment="1">
      <alignment horizontal="center" readingOrder="2"/>
    </xf>
    <xf numFmtId="165" fontId="34" fillId="0" borderId="3" xfId="1" applyNumberFormat="1" applyFont="1" applyFill="1" applyBorder="1" applyAlignment="1">
      <alignment horizontal="center" vertical="center" wrapText="1" readingOrder="2"/>
    </xf>
    <xf numFmtId="165" fontId="34" fillId="2" borderId="0" xfId="0" applyNumberFormat="1" applyFont="1" applyFill="1" applyAlignment="1">
      <alignment vertical="top" readingOrder="2"/>
    </xf>
    <xf numFmtId="165" fontId="34" fillId="2" borderId="0" xfId="0" applyNumberFormat="1" applyFont="1" applyFill="1" applyAlignment="1">
      <alignment wrapText="1" readingOrder="2"/>
    </xf>
    <xf numFmtId="0" fontId="38" fillId="7" borderId="0" xfId="0" applyFont="1" applyFill="1" applyAlignment="1">
      <alignment horizontal="right" vertical="top" wrapText="1" readingOrder="1"/>
    </xf>
    <xf numFmtId="165" fontId="35" fillId="0" borderId="0" xfId="1" applyNumberFormat="1" applyFont="1" applyFill="1" applyBorder="1" applyAlignment="1">
      <alignment vertical="center" readingOrder="2"/>
    </xf>
    <xf numFmtId="49" fontId="34" fillId="0" borderId="0" xfId="0" applyNumberFormat="1" applyFont="1" applyAlignment="1">
      <alignment horizontal="right" vertical="center" readingOrder="2"/>
    </xf>
    <xf numFmtId="0" fontId="35" fillId="0" borderId="0" xfId="0" applyFont="1" applyAlignment="1">
      <alignment horizontal="right" vertical="top" wrapText="1" readingOrder="2"/>
    </xf>
    <xf numFmtId="0" fontId="36" fillId="0" borderId="0" xfId="0" applyFont="1"/>
    <xf numFmtId="165" fontId="34" fillId="2" borderId="3" xfId="0" applyNumberFormat="1" applyFont="1" applyFill="1" applyBorder="1" applyAlignment="1">
      <alignment horizontal="center" vertical="center" wrapText="1" readingOrder="2"/>
    </xf>
    <xf numFmtId="3" fontId="34" fillId="2" borderId="3" xfId="0" applyNumberFormat="1" applyFont="1" applyFill="1" applyBorder="1" applyAlignment="1">
      <alignment horizontal="center" vertical="center" wrapText="1" readingOrder="2"/>
    </xf>
    <xf numFmtId="165" fontId="36" fillId="0" borderId="0" xfId="0" applyNumberFormat="1" applyFont="1" applyAlignment="1">
      <alignment horizontal="center" vertical="center" readingOrder="2"/>
    </xf>
    <xf numFmtId="3" fontId="34" fillId="2" borderId="0" xfId="0" applyNumberFormat="1" applyFont="1" applyFill="1" applyAlignment="1">
      <alignment horizontal="center" vertical="center" wrapText="1" readingOrder="2"/>
    </xf>
    <xf numFmtId="3" fontId="35" fillId="0" borderId="0" xfId="0" applyNumberFormat="1" applyFont="1" applyAlignment="1">
      <alignment horizontal="right" vertical="top" wrapText="1" readingOrder="2"/>
    </xf>
    <xf numFmtId="3" fontId="39" fillId="2" borderId="3" xfId="0" applyNumberFormat="1" applyFont="1" applyFill="1" applyBorder="1" applyAlignment="1">
      <alignment horizontal="center" vertical="center" wrapText="1" readingOrder="2"/>
    </xf>
    <xf numFmtId="3" fontId="39" fillId="2" borderId="0" xfId="0" applyNumberFormat="1" applyFont="1" applyFill="1" applyAlignment="1">
      <alignment horizontal="center" vertical="center" wrapText="1" readingOrder="2"/>
    </xf>
    <xf numFmtId="3" fontId="34" fillId="0" borderId="0" xfId="0" applyNumberFormat="1" applyFont="1" applyAlignment="1">
      <alignment horizontal="center"/>
    </xf>
    <xf numFmtId="174" fontId="35" fillId="0" borderId="0" xfId="1" applyNumberFormat="1" applyFont="1" applyFill="1" applyBorder="1" applyAlignment="1">
      <alignment horizontal="right" vertical="top" wrapText="1" readingOrder="2"/>
    </xf>
    <xf numFmtId="49" fontId="34" fillId="2" borderId="0" xfId="0" applyNumberFormat="1" applyFont="1" applyFill="1" applyAlignment="1">
      <alignment horizontal="right" vertical="center" readingOrder="2"/>
    </xf>
    <xf numFmtId="165" fontId="35" fillId="0" borderId="0" xfId="0" applyNumberFormat="1" applyFont="1" applyAlignment="1">
      <alignment horizontal="center" vertical="center" readingOrder="2"/>
    </xf>
    <xf numFmtId="165" fontId="33" fillId="0" borderId="0" xfId="4" applyNumberFormat="1" applyFont="1" applyFill="1" applyAlignment="1">
      <alignment vertical="center" readingOrder="2"/>
    </xf>
    <xf numFmtId="165" fontId="33" fillId="0" borderId="0" xfId="4" applyNumberFormat="1" applyFont="1" applyFill="1" applyAlignment="1">
      <alignment readingOrder="2"/>
    </xf>
    <xf numFmtId="0" fontId="33" fillId="2" borderId="0" xfId="4" applyNumberFormat="1" applyFont="1" applyFill="1" applyAlignment="1">
      <alignment horizontal="center" vertical="center" readingOrder="2"/>
    </xf>
    <xf numFmtId="165" fontId="34" fillId="0" borderId="0" xfId="0" applyNumberFormat="1" applyFont="1" applyAlignment="1">
      <alignment readingOrder="2"/>
    </xf>
    <xf numFmtId="165" fontId="40" fillId="2" borderId="0" xfId="0" applyNumberFormat="1" applyFont="1" applyFill="1" applyAlignment="1">
      <alignment horizontal="center" vertical="center" readingOrder="2"/>
    </xf>
    <xf numFmtId="165" fontId="40" fillId="0" borderId="0" xfId="1" applyNumberFormat="1" applyFont="1" applyFill="1" applyAlignment="1">
      <alignment vertical="center" readingOrder="2"/>
    </xf>
    <xf numFmtId="165" fontId="40" fillId="0" borderId="0" xfId="0" applyNumberFormat="1" applyFont="1" applyAlignment="1">
      <alignment vertical="center" readingOrder="2"/>
    </xf>
    <xf numFmtId="165" fontId="34" fillId="2" borderId="4" xfId="0" applyNumberFormat="1" applyFont="1" applyFill="1" applyBorder="1" applyAlignment="1">
      <alignment horizontal="center" vertical="center" wrapText="1" readingOrder="2"/>
    </xf>
    <xf numFmtId="165" fontId="35" fillId="2" borderId="0" xfId="0" applyNumberFormat="1" applyFont="1" applyFill="1" applyAlignment="1">
      <alignment horizontal="right" vertical="center" readingOrder="2"/>
    </xf>
    <xf numFmtId="49" fontId="35" fillId="0" borderId="0" xfId="0" applyNumberFormat="1" applyFont="1" applyAlignment="1">
      <alignment horizontal="center" vertical="center" readingOrder="2"/>
    </xf>
    <xf numFmtId="165" fontId="35" fillId="2" borderId="1" xfId="0" applyNumberFormat="1" applyFont="1" applyFill="1" applyBorder="1" applyAlignment="1">
      <alignment horizontal="center" vertical="center" wrapText="1" readingOrder="2"/>
    </xf>
    <xf numFmtId="165" fontId="34" fillId="2" borderId="3" xfId="0" applyNumberFormat="1" applyFont="1" applyFill="1" applyBorder="1" applyAlignment="1">
      <alignment horizontal="center" wrapText="1" readingOrder="2"/>
    </xf>
    <xf numFmtId="0" fontId="34" fillId="2" borderId="0" xfId="0" applyFont="1" applyFill="1" applyAlignment="1">
      <alignment horizontal="center" vertical="center" readingOrder="2"/>
    </xf>
    <xf numFmtId="165" fontId="35" fillId="0" borderId="0" xfId="1" applyNumberFormat="1" applyFont="1" applyFill="1" applyAlignment="1">
      <alignment horizontal="right" vertical="center" readingOrder="2"/>
    </xf>
    <xf numFmtId="165" fontId="35" fillId="0" borderId="0" xfId="0" applyNumberFormat="1" applyFont="1" applyAlignment="1">
      <alignment horizontal="right" vertical="center" readingOrder="2"/>
    </xf>
    <xf numFmtId="0" fontId="34" fillId="2" borderId="0" xfId="0" applyFont="1" applyFill="1" applyAlignment="1">
      <alignment vertical="center" readingOrder="2"/>
    </xf>
    <xf numFmtId="0" fontId="34" fillId="2" borderId="0" xfId="0" applyFont="1" applyFill="1" applyAlignment="1">
      <alignment horizontal="right" vertical="center" readingOrder="2"/>
    </xf>
    <xf numFmtId="0" fontId="34" fillId="2" borderId="1" xfId="0" applyFont="1" applyFill="1" applyBorder="1" applyAlignment="1">
      <alignment horizontal="center" vertical="center" wrapText="1" readingOrder="2"/>
    </xf>
    <xf numFmtId="165" fontId="34" fillId="2" borderId="1" xfId="0" applyNumberFormat="1" applyFont="1" applyFill="1" applyBorder="1" applyAlignment="1">
      <alignment horizontal="center" vertical="center" wrapText="1" readingOrder="2"/>
    </xf>
    <xf numFmtId="165" fontId="35" fillId="0" borderId="24" xfId="1" applyNumberFormat="1" applyFont="1" applyFill="1" applyBorder="1" applyAlignment="1">
      <alignment vertical="center" readingOrder="2"/>
    </xf>
    <xf numFmtId="165" fontId="35" fillId="0" borderId="23" xfId="0" applyNumberFormat="1" applyFont="1" applyBorder="1" applyAlignment="1">
      <alignment vertical="center" readingOrder="2"/>
    </xf>
    <xf numFmtId="165" fontId="35" fillId="0" borderId="25" xfId="0" applyNumberFormat="1" applyFont="1" applyBorder="1" applyAlignment="1">
      <alignment vertical="center" readingOrder="2"/>
    </xf>
    <xf numFmtId="0" fontId="35" fillId="2" borderId="0" xfId="0" applyFont="1" applyFill="1" applyAlignment="1">
      <alignment horizontal="right" vertical="center" readingOrder="2"/>
    </xf>
    <xf numFmtId="165" fontId="35" fillId="2" borderId="0" xfId="0" applyNumberFormat="1" applyFont="1" applyFill="1" applyAlignment="1">
      <alignment horizontal="right" vertical="center" wrapText="1" readingOrder="2"/>
    </xf>
    <xf numFmtId="165" fontId="35" fillId="0" borderId="0" xfId="0" applyNumberFormat="1" applyFont="1" applyAlignment="1">
      <alignment horizontal="right" vertical="center" wrapText="1" readingOrder="2"/>
    </xf>
    <xf numFmtId="0" fontId="34" fillId="0" borderId="0" xfId="0" applyFont="1" applyAlignment="1">
      <alignment horizontal="right" vertical="center" readingOrder="2"/>
    </xf>
    <xf numFmtId="165" fontId="35" fillId="2" borderId="0" xfId="2" applyNumberFormat="1" applyFont="1" applyFill="1" applyAlignment="1">
      <alignment horizontal="center" vertical="center" wrapText="1" readingOrder="2"/>
    </xf>
    <xf numFmtId="165" fontId="34" fillId="0" borderId="0" xfId="0" applyNumberFormat="1" applyFont="1" applyAlignment="1">
      <alignment horizontal="right" vertical="center" readingOrder="2"/>
    </xf>
    <xf numFmtId="165" fontId="34" fillId="2" borderId="0" xfId="2" applyNumberFormat="1" applyFont="1" applyFill="1" applyAlignment="1">
      <alignment horizontal="center" vertical="center" wrapText="1" readingOrder="2"/>
    </xf>
    <xf numFmtId="49" fontId="34" fillId="2" borderId="0" xfId="0" applyNumberFormat="1" applyFont="1" applyFill="1" applyAlignment="1">
      <alignment horizontal="center" vertical="center" readingOrder="2"/>
    </xf>
    <xf numFmtId="165" fontId="34" fillId="2" borderId="0" xfId="0" applyNumberFormat="1" applyFont="1" applyFill="1" applyAlignment="1">
      <alignment horizontal="right" vertical="center" readingOrder="2"/>
    </xf>
    <xf numFmtId="49" fontId="34" fillId="2" borderId="0" xfId="0" applyNumberFormat="1" applyFont="1" applyFill="1" applyAlignment="1">
      <alignment horizontal="center" vertical="center" wrapText="1" readingOrder="2"/>
    </xf>
    <xf numFmtId="165" fontId="34" fillId="2" borderId="0" xfId="0" applyNumberFormat="1" applyFont="1" applyFill="1" applyAlignment="1">
      <alignment horizontal="right" vertical="center" wrapText="1" readingOrder="2"/>
    </xf>
    <xf numFmtId="165" fontId="41" fillId="0" borderId="0" xfId="4" applyNumberFormat="1" applyFont="1" applyFill="1" applyAlignment="1">
      <alignment vertical="center" readingOrder="2"/>
    </xf>
    <xf numFmtId="165" fontId="41" fillId="0" borderId="0" xfId="4" applyNumberFormat="1" applyFont="1" applyFill="1" applyAlignment="1">
      <alignment readingOrder="2"/>
    </xf>
    <xf numFmtId="165" fontId="37" fillId="0" borderId="0" xfId="0" applyNumberFormat="1" applyFont="1" applyAlignment="1">
      <alignment horizontal="right" vertical="center" readingOrder="2"/>
    </xf>
    <xf numFmtId="165" fontId="37" fillId="0" borderId="0" xfId="1" applyNumberFormat="1" applyFont="1" applyFill="1" applyAlignment="1">
      <alignment horizontal="right" vertical="center" readingOrder="2"/>
    </xf>
    <xf numFmtId="165" fontId="37" fillId="0" borderId="0" xfId="0" applyNumberFormat="1" applyFont="1" applyAlignment="1">
      <alignment vertical="center" readingOrder="2"/>
    </xf>
    <xf numFmtId="0" fontId="42" fillId="2" borderId="0" xfId="0" applyFont="1" applyFill="1" applyAlignment="1">
      <alignment vertical="center" readingOrder="2"/>
    </xf>
    <xf numFmtId="165" fontId="37" fillId="0" borderId="0" xfId="1" applyNumberFormat="1" applyFont="1" applyFill="1" applyAlignment="1">
      <alignment vertical="center" readingOrder="2"/>
    </xf>
    <xf numFmtId="165" fontId="37" fillId="2" borderId="0" xfId="0" applyNumberFormat="1" applyFont="1" applyFill="1" applyAlignment="1">
      <alignment vertical="center" readingOrder="2"/>
    </xf>
    <xf numFmtId="165" fontId="42" fillId="2" borderId="0" xfId="0" applyNumberFormat="1" applyFont="1" applyFill="1" applyAlignment="1">
      <alignment horizontal="center" vertical="center" readingOrder="2"/>
    </xf>
    <xf numFmtId="165" fontId="37" fillId="2" borderId="0" xfId="0" applyNumberFormat="1" applyFont="1" applyFill="1" applyAlignment="1">
      <alignment horizontal="center" vertical="center" readingOrder="2"/>
    </xf>
    <xf numFmtId="165" fontId="42" fillId="2" borderId="0" xfId="0" applyNumberFormat="1" applyFont="1" applyFill="1" applyAlignment="1">
      <alignment horizontal="center" vertical="center" wrapText="1" readingOrder="2"/>
    </xf>
    <xf numFmtId="0" fontId="42" fillId="2" borderId="0" xfId="0" applyFont="1" applyFill="1" applyAlignment="1">
      <alignment horizontal="center" vertical="center" wrapText="1" readingOrder="2"/>
    </xf>
    <xf numFmtId="165" fontId="42" fillId="2" borderId="1" xfId="0" applyNumberFormat="1" applyFont="1" applyFill="1" applyBorder="1" applyAlignment="1">
      <alignment horizontal="center" vertical="center" wrapText="1" readingOrder="2"/>
    </xf>
    <xf numFmtId="165" fontId="37" fillId="0" borderId="0" xfId="1" applyNumberFormat="1" applyFont="1" applyFill="1" applyBorder="1" applyAlignment="1">
      <alignment vertical="center" readingOrder="2"/>
    </xf>
    <xf numFmtId="0" fontId="37" fillId="2" borderId="0" xfId="0" applyFont="1" applyFill="1" applyAlignment="1">
      <alignment horizontal="right" vertical="center" readingOrder="2"/>
    </xf>
    <xf numFmtId="165" fontId="37" fillId="2" borderId="0" xfId="0" applyNumberFormat="1" applyFont="1" applyFill="1" applyAlignment="1">
      <alignment horizontal="right" vertical="center" wrapText="1" readingOrder="2"/>
    </xf>
    <xf numFmtId="165" fontId="37" fillId="0" borderId="0" xfId="0" applyNumberFormat="1" applyFont="1" applyAlignment="1">
      <alignment horizontal="right" vertical="center" wrapText="1" readingOrder="2"/>
    </xf>
    <xf numFmtId="165" fontId="37" fillId="0" borderId="0" xfId="0" applyNumberFormat="1" applyFont="1" applyAlignment="1">
      <alignment horizontal="center" vertical="center" readingOrder="2"/>
    </xf>
    <xf numFmtId="165" fontId="43" fillId="0" borderId="0" xfId="1" applyNumberFormat="1" applyFont="1" applyFill="1" applyAlignment="1">
      <alignment vertical="center" readingOrder="2"/>
    </xf>
    <xf numFmtId="165" fontId="43" fillId="0" borderId="0" xfId="0" applyNumberFormat="1" applyFont="1" applyAlignment="1">
      <alignment vertical="center" readingOrder="2"/>
    </xf>
    <xf numFmtId="165" fontId="42" fillId="0" borderId="0" xfId="0" applyNumberFormat="1" applyFont="1" applyAlignment="1">
      <alignment readingOrder="2"/>
    </xf>
    <xf numFmtId="165" fontId="45" fillId="2" borderId="0" xfId="4" applyNumberFormat="1" applyFont="1" applyFill="1" applyAlignment="1">
      <alignment vertical="center" readingOrder="2"/>
    </xf>
    <xf numFmtId="165" fontId="45" fillId="0" borderId="0" xfId="4" applyNumberFormat="1" applyFont="1" applyFill="1" applyAlignment="1">
      <alignment vertical="center" readingOrder="2"/>
    </xf>
    <xf numFmtId="165" fontId="45" fillId="0" borderId="0" xfId="4" applyNumberFormat="1" applyFont="1" applyFill="1" applyAlignment="1">
      <alignment readingOrder="2"/>
    </xf>
    <xf numFmtId="49" fontId="44" fillId="2" borderId="0" xfId="0" applyNumberFormat="1" applyFont="1" applyFill="1" applyAlignment="1">
      <alignment horizontal="left" vertical="center" readingOrder="2"/>
    </xf>
    <xf numFmtId="165" fontId="44" fillId="2" borderId="0" xfId="0" applyNumberFormat="1" applyFont="1" applyFill="1" applyAlignment="1">
      <alignment horizontal="right" vertical="center" readingOrder="2"/>
    </xf>
    <xf numFmtId="165" fontId="46" fillId="2" borderId="0" xfId="0" applyNumberFormat="1" applyFont="1" applyFill="1" applyAlignment="1">
      <alignment horizontal="center" vertical="center" readingOrder="2"/>
    </xf>
    <xf numFmtId="165" fontId="46" fillId="2" borderId="0" xfId="0" applyNumberFormat="1" applyFont="1" applyFill="1" applyAlignment="1">
      <alignment vertical="center" readingOrder="2"/>
    </xf>
    <xf numFmtId="165" fontId="46" fillId="0" borderId="0" xfId="1" applyNumberFormat="1" applyFont="1" applyFill="1" applyAlignment="1">
      <alignment vertical="center" readingOrder="2"/>
    </xf>
    <xf numFmtId="165" fontId="46" fillId="0" borderId="0" xfId="0" applyNumberFormat="1" applyFont="1" applyAlignment="1">
      <alignment vertical="center" readingOrder="2"/>
    </xf>
    <xf numFmtId="165" fontId="44" fillId="0" borderId="0" xfId="0" applyNumberFormat="1" applyFont="1" applyAlignment="1">
      <alignment readingOrder="2"/>
    </xf>
    <xf numFmtId="49" fontId="44" fillId="2" borderId="0" xfId="0" applyNumberFormat="1" applyFont="1" applyFill="1" applyAlignment="1">
      <alignment vertical="center" readingOrder="2"/>
    </xf>
    <xf numFmtId="165" fontId="44" fillId="2" borderId="0" xfId="0" applyNumberFormat="1" applyFont="1" applyFill="1" applyAlignment="1">
      <alignment horizontal="center" vertical="center" readingOrder="2"/>
    </xf>
    <xf numFmtId="165" fontId="44" fillId="2" borderId="0" xfId="0" applyNumberFormat="1" applyFont="1" applyFill="1" applyAlignment="1">
      <alignment vertical="center" readingOrder="2"/>
    </xf>
    <xf numFmtId="165" fontId="44" fillId="0" borderId="0" xfId="1" applyNumberFormat="1" applyFont="1" applyFill="1" applyAlignment="1">
      <alignment vertical="center" readingOrder="2"/>
    </xf>
    <xf numFmtId="165" fontId="44" fillId="0" borderId="0" xfId="0" applyNumberFormat="1" applyFont="1" applyAlignment="1">
      <alignment vertical="center" readingOrder="2"/>
    </xf>
    <xf numFmtId="165" fontId="44" fillId="2" borderId="0" xfId="0" applyNumberFormat="1" applyFont="1" applyFill="1" applyAlignment="1">
      <alignment horizontal="center" readingOrder="2"/>
    </xf>
    <xf numFmtId="0" fontId="44" fillId="2" borderId="0" xfId="0" applyFont="1" applyFill="1" applyAlignment="1">
      <alignment horizontal="center" vertical="center" readingOrder="2"/>
    </xf>
    <xf numFmtId="0" fontId="44" fillId="2" borderId="0" xfId="0" applyFont="1" applyFill="1" applyAlignment="1">
      <alignment vertical="center" readingOrder="2"/>
    </xf>
    <xf numFmtId="0" fontId="44" fillId="2" borderId="1" xfId="0" applyFont="1" applyFill="1" applyBorder="1" applyAlignment="1">
      <alignment horizontal="center" vertical="center" wrapText="1" readingOrder="2"/>
    </xf>
    <xf numFmtId="0" fontId="44" fillId="2" borderId="0" xfId="0" applyFont="1" applyFill="1" applyAlignment="1">
      <alignment horizontal="center" vertical="center" wrapText="1" readingOrder="2"/>
    </xf>
    <xf numFmtId="0" fontId="44" fillId="0" borderId="0" xfId="1" applyNumberFormat="1" applyFont="1" applyFill="1" applyAlignment="1">
      <alignment vertical="center" readingOrder="2"/>
    </xf>
    <xf numFmtId="0" fontId="44" fillId="0" borderId="0" xfId="0" applyFont="1" applyAlignment="1">
      <alignment vertical="center" readingOrder="2"/>
    </xf>
    <xf numFmtId="0" fontId="44" fillId="2" borderId="0" xfId="0" applyFont="1" applyFill="1" applyAlignment="1">
      <alignment horizontal="right" vertical="center" readingOrder="2"/>
    </xf>
    <xf numFmtId="165" fontId="44" fillId="2" borderId="0" xfId="0" applyNumberFormat="1" applyFont="1" applyFill="1" applyAlignment="1">
      <alignment horizontal="center" vertical="center" wrapText="1" readingOrder="2"/>
    </xf>
    <xf numFmtId="165" fontId="44" fillId="0" borderId="0" xfId="1" applyNumberFormat="1" applyFont="1" applyFill="1" applyBorder="1" applyAlignment="1">
      <alignment vertical="center" readingOrder="2"/>
    </xf>
    <xf numFmtId="49" fontId="44" fillId="0" borderId="0" xfId="0" applyNumberFormat="1" applyFont="1" applyAlignment="1">
      <alignment vertical="center" readingOrder="2"/>
    </xf>
    <xf numFmtId="165" fontId="44" fillId="0" borderId="0" xfId="0" applyNumberFormat="1" applyFont="1" applyAlignment="1">
      <alignment horizontal="right" vertical="center" readingOrder="2"/>
    </xf>
    <xf numFmtId="165" fontId="44" fillId="0" borderId="0" xfId="0" applyNumberFormat="1" applyFont="1" applyAlignment="1">
      <alignment horizontal="center" vertical="center" readingOrder="2"/>
    </xf>
    <xf numFmtId="165" fontId="47" fillId="0" borderId="0" xfId="1" applyNumberFormat="1" applyFont="1" applyFill="1" applyAlignment="1">
      <alignment horizontal="center" vertical="center" wrapText="1" readingOrder="2"/>
    </xf>
    <xf numFmtId="49" fontId="44" fillId="0" borderId="0" xfId="0" applyNumberFormat="1" applyFont="1" applyAlignment="1">
      <alignment horizontal="center" vertical="center" readingOrder="2"/>
    </xf>
    <xf numFmtId="49" fontId="44" fillId="0" borderId="0" xfId="0" applyNumberFormat="1" applyFont="1" applyAlignment="1">
      <alignment horizontal="right" vertical="center" readingOrder="2"/>
    </xf>
    <xf numFmtId="0" fontId="44" fillId="0" borderId="0" xfId="0" applyFont="1" applyAlignment="1">
      <alignment horizontal="right" vertical="center" readingOrder="2"/>
    </xf>
    <xf numFmtId="165" fontId="44" fillId="0" borderId="3" xfId="0" applyNumberFormat="1" applyFont="1" applyBorder="1" applyAlignment="1">
      <alignment horizontal="center" vertical="center" readingOrder="2"/>
    </xf>
    <xf numFmtId="165" fontId="44" fillId="2" borderId="3" xfId="0" applyNumberFormat="1" applyFont="1" applyFill="1" applyBorder="1" applyAlignment="1">
      <alignment horizontal="center" vertical="center" wrapText="1" readingOrder="2"/>
    </xf>
    <xf numFmtId="165" fontId="44" fillId="0" borderId="1" xfId="0" applyNumberFormat="1" applyFont="1" applyBorder="1" applyAlignment="1">
      <alignment horizontal="center" vertical="center" readingOrder="2"/>
    </xf>
    <xf numFmtId="165" fontId="44" fillId="0" borderId="2" xfId="0" applyNumberFormat="1" applyFont="1" applyBorder="1" applyAlignment="1">
      <alignment horizontal="center" vertical="center" readingOrder="2"/>
    </xf>
    <xf numFmtId="165" fontId="44" fillId="0" borderId="2" xfId="0" applyNumberFormat="1" applyFont="1" applyBorder="1" applyAlignment="1">
      <alignment vertical="center" readingOrder="2"/>
    </xf>
    <xf numFmtId="49" fontId="44" fillId="2" borderId="0" xfId="0" applyNumberFormat="1" applyFont="1" applyFill="1" applyAlignment="1">
      <alignment horizontal="center" vertical="top" readingOrder="2"/>
    </xf>
    <xf numFmtId="165" fontId="44" fillId="0" borderId="0" xfId="0" applyNumberFormat="1" applyFont="1" applyAlignment="1">
      <alignment vertical="top" wrapText="1" readingOrder="2"/>
    </xf>
    <xf numFmtId="0" fontId="44" fillId="2" borderId="0" xfId="0" applyFont="1" applyFill="1" applyAlignment="1">
      <alignment vertical="center" wrapText="1" readingOrder="2"/>
    </xf>
    <xf numFmtId="0" fontId="44" fillId="2" borderId="1" xfId="0" applyFont="1" applyFill="1" applyBorder="1" applyAlignment="1">
      <alignment horizontal="center" vertical="center" readingOrder="2"/>
    </xf>
    <xf numFmtId="165" fontId="44" fillId="2" borderId="2" xfId="0" applyNumberFormat="1" applyFont="1" applyFill="1" applyBorder="1" applyAlignment="1">
      <alignment vertical="center" readingOrder="2"/>
    </xf>
    <xf numFmtId="178" fontId="44" fillId="2" borderId="0" xfId="12" applyNumberFormat="1" applyFont="1" applyFill="1" applyBorder="1" applyAlignment="1">
      <alignment horizontal="center" vertical="center" readingOrder="2"/>
    </xf>
    <xf numFmtId="9" fontId="44" fillId="2" borderId="0" xfId="12" applyFont="1" applyFill="1" applyBorder="1" applyAlignment="1">
      <alignment horizontal="center" vertical="center" readingOrder="2"/>
    </xf>
    <xf numFmtId="165" fontId="44" fillId="0" borderId="1" xfId="0" applyNumberFormat="1" applyFont="1" applyBorder="1" applyAlignment="1">
      <alignment vertical="center" readingOrder="2"/>
    </xf>
    <xf numFmtId="165" fontId="44" fillId="0" borderId="5" xfId="0" applyNumberFormat="1" applyFont="1" applyBorder="1" applyAlignment="1">
      <alignment vertical="center" readingOrder="2"/>
    </xf>
    <xf numFmtId="174" fontId="44" fillId="0" borderId="0" xfId="1" applyNumberFormat="1" applyFont="1" applyFill="1" applyAlignment="1">
      <alignment horizontal="center" vertical="center" readingOrder="2"/>
    </xf>
    <xf numFmtId="165" fontId="41" fillId="2" borderId="0" xfId="4" applyNumberFormat="1" applyFont="1" applyFill="1" applyAlignment="1">
      <alignment horizontal="center" vertical="center" readingOrder="2"/>
    </xf>
    <xf numFmtId="165" fontId="41" fillId="0" borderId="0" xfId="4" applyNumberFormat="1" applyFont="1" applyFill="1" applyAlignment="1">
      <alignment horizontal="center" vertical="center" readingOrder="2"/>
    </xf>
    <xf numFmtId="49" fontId="42" fillId="2" borderId="0" xfId="0" applyNumberFormat="1" applyFont="1" applyFill="1" applyAlignment="1">
      <alignment horizontal="left" vertical="center" readingOrder="2"/>
    </xf>
    <xf numFmtId="49" fontId="37" fillId="0" borderId="0" xfId="0" applyNumberFormat="1" applyFont="1" applyAlignment="1">
      <alignment vertical="center" readingOrder="2"/>
    </xf>
    <xf numFmtId="0" fontId="42" fillId="2" borderId="0" xfId="0" applyFont="1" applyFill="1" applyAlignment="1">
      <alignment vertical="center" wrapText="1" readingOrder="2"/>
    </xf>
    <xf numFmtId="0" fontId="42" fillId="0" borderId="1" xfId="0" applyFont="1" applyBorder="1" applyAlignment="1">
      <alignment horizontal="center" vertical="center" wrapText="1" readingOrder="2"/>
    </xf>
    <xf numFmtId="0" fontId="42" fillId="2" borderId="1" xfId="0" applyFont="1" applyFill="1" applyBorder="1" applyAlignment="1">
      <alignment horizontal="center" vertical="center" wrapText="1" readingOrder="2"/>
    </xf>
    <xf numFmtId="0" fontId="37" fillId="0" borderId="0" xfId="0" applyFont="1" applyAlignment="1">
      <alignment horizontal="right" vertical="center" readingOrder="2"/>
    </xf>
    <xf numFmtId="165" fontId="47" fillId="0" borderId="0" xfId="1" applyNumberFormat="1" applyFont="1" applyFill="1" applyBorder="1" applyAlignment="1">
      <alignment horizontal="center" vertical="center" wrapText="1" readingOrder="2"/>
    </xf>
    <xf numFmtId="165" fontId="47" fillId="0" borderId="3" xfId="1" applyNumberFormat="1" applyFont="1" applyFill="1" applyBorder="1" applyAlignment="1">
      <alignment horizontal="center" vertical="center" wrapText="1" readingOrder="2"/>
    </xf>
    <xf numFmtId="165" fontId="42" fillId="0" borderId="0" xfId="0" applyNumberFormat="1" applyFont="1" applyAlignment="1">
      <alignment horizontal="center" vertical="center" readingOrder="2"/>
    </xf>
    <xf numFmtId="49" fontId="37" fillId="2" borderId="0" xfId="0" applyNumberFormat="1" applyFont="1" applyFill="1" applyAlignment="1">
      <alignment horizontal="left" vertical="top" readingOrder="2"/>
    </xf>
    <xf numFmtId="49" fontId="42" fillId="2" borderId="0" xfId="0" applyNumberFormat="1" applyFont="1" applyFill="1" applyAlignment="1">
      <alignment horizontal="left" vertical="top" readingOrder="2"/>
    </xf>
    <xf numFmtId="165" fontId="42" fillId="0" borderId="0" xfId="0" applyNumberFormat="1" applyFont="1" applyAlignment="1">
      <alignment horizontal="right" vertical="center" readingOrder="2"/>
    </xf>
    <xf numFmtId="49" fontId="37" fillId="2" borderId="0" xfId="0" applyNumberFormat="1" applyFont="1" applyFill="1" applyAlignment="1">
      <alignment horizontal="center" vertical="center" readingOrder="2"/>
    </xf>
    <xf numFmtId="165" fontId="37" fillId="2" borderId="1" xfId="0" applyNumberFormat="1" applyFont="1" applyFill="1" applyBorder="1" applyAlignment="1">
      <alignment horizontal="center" vertical="center" readingOrder="2"/>
    </xf>
    <xf numFmtId="165" fontId="37" fillId="0" borderId="0" xfId="1" applyNumberFormat="1" applyFont="1" applyFill="1" applyAlignment="1">
      <alignment horizontal="center" vertical="center" readingOrder="2"/>
    </xf>
    <xf numFmtId="49" fontId="37" fillId="0" borderId="0" xfId="0" applyNumberFormat="1" applyFont="1" applyAlignment="1">
      <alignment horizontal="center" vertical="center" readingOrder="2"/>
    </xf>
    <xf numFmtId="0" fontId="37" fillId="0" borderId="0" xfId="0" applyFont="1" applyAlignment="1">
      <alignment vertical="center" readingOrder="2"/>
    </xf>
    <xf numFmtId="0" fontId="48" fillId="0" borderId="0" xfId="0" applyFont="1" applyAlignment="1">
      <alignment horizontal="right" vertical="center" readingOrder="2"/>
    </xf>
    <xf numFmtId="165" fontId="49" fillId="0" borderId="0" xfId="0" applyNumberFormat="1" applyFont="1" applyAlignment="1">
      <alignment vertical="center" readingOrder="2"/>
    </xf>
    <xf numFmtId="165" fontId="49" fillId="0" borderId="0" xfId="0" applyNumberFormat="1" applyFont="1" applyAlignment="1">
      <alignment horizontal="center" vertical="center" readingOrder="2"/>
    </xf>
    <xf numFmtId="165" fontId="34" fillId="0" borderId="0" xfId="0" applyNumberFormat="1" applyFont="1" applyAlignment="1">
      <alignment horizontal="center" vertical="center" readingOrder="2"/>
    </xf>
    <xf numFmtId="165" fontId="50" fillId="0" borderId="0" xfId="4" applyNumberFormat="1" applyFont="1" applyFill="1" applyAlignment="1">
      <alignment vertical="center" readingOrder="2"/>
    </xf>
    <xf numFmtId="165" fontId="50" fillId="0" borderId="0" xfId="4" applyNumberFormat="1" applyFont="1" applyFill="1" applyAlignment="1">
      <alignment readingOrder="2"/>
    </xf>
    <xf numFmtId="165" fontId="50" fillId="2" borderId="0" xfId="4" applyNumberFormat="1" applyFont="1" applyFill="1" applyAlignment="1">
      <alignment horizontal="center" vertical="center" readingOrder="2"/>
    </xf>
    <xf numFmtId="49" fontId="51" fillId="2" borderId="0" xfId="0" applyNumberFormat="1" applyFont="1" applyFill="1" applyAlignment="1">
      <alignment horizontal="left" vertical="center" readingOrder="2"/>
    </xf>
    <xf numFmtId="165" fontId="51" fillId="2" borderId="0" xfId="0" applyNumberFormat="1" applyFont="1" applyFill="1" applyAlignment="1">
      <alignment vertical="center" readingOrder="2"/>
    </xf>
    <xf numFmtId="165" fontId="52" fillId="2" borderId="0" xfId="0" applyNumberFormat="1" applyFont="1" applyFill="1" applyAlignment="1">
      <alignment horizontal="center" vertical="center" readingOrder="2"/>
    </xf>
    <xf numFmtId="165" fontId="52" fillId="0" borderId="0" xfId="0" applyNumberFormat="1" applyFont="1" applyAlignment="1">
      <alignment vertical="center" readingOrder="2"/>
    </xf>
    <xf numFmtId="165" fontId="51" fillId="0" borderId="0" xfId="0" applyNumberFormat="1" applyFont="1" applyAlignment="1">
      <alignment readingOrder="2"/>
    </xf>
    <xf numFmtId="49" fontId="49" fillId="2" borderId="0" xfId="0" applyNumberFormat="1" applyFont="1" applyFill="1" applyAlignment="1">
      <alignment vertical="center" readingOrder="2"/>
    </xf>
    <xf numFmtId="0" fontId="51" fillId="2" borderId="0" xfId="0" applyFont="1" applyFill="1" applyAlignment="1">
      <alignment horizontal="center" vertical="center" readingOrder="2"/>
    </xf>
    <xf numFmtId="0" fontId="49" fillId="2" borderId="0" xfId="0" applyFont="1" applyFill="1" applyAlignment="1">
      <alignment vertical="center" readingOrder="2"/>
    </xf>
    <xf numFmtId="0" fontId="51" fillId="2" borderId="0" xfId="0" applyFont="1" applyFill="1" applyAlignment="1">
      <alignment horizontal="center" vertical="center" wrapText="1" readingOrder="2"/>
    </xf>
    <xf numFmtId="0" fontId="51" fillId="2" borderId="1" xfId="0" applyFont="1" applyFill="1" applyBorder="1" applyAlignment="1">
      <alignment horizontal="center" vertical="center" wrapText="1" readingOrder="2"/>
    </xf>
    <xf numFmtId="0" fontId="49" fillId="0" borderId="0" xfId="0" applyFont="1" applyAlignment="1">
      <alignment vertical="center" readingOrder="2"/>
    </xf>
    <xf numFmtId="49" fontId="49" fillId="0" borderId="0" xfId="0" applyNumberFormat="1" applyFont="1" applyAlignment="1">
      <alignment vertical="center" readingOrder="2"/>
    </xf>
    <xf numFmtId="165" fontId="51" fillId="0" borderId="0" xfId="0" applyNumberFormat="1" applyFont="1" applyAlignment="1">
      <alignment horizontal="right" vertical="center" readingOrder="2"/>
    </xf>
    <xf numFmtId="165" fontId="48" fillId="0" borderId="0" xfId="0" applyNumberFormat="1" applyFont="1" applyAlignment="1">
      <alignment horizontal="center" vertical="center" readingOrder="2"/>
    </xf>
    <xf numFmtId="49" fontId="49" fillId="0" borderId="0" xfId="0" applyNumberFormat="1" applyFont="1" applyAlignment="1">
      <alignment horizontal="center" vertical="center" readingOrder="2"/>
    </xf>
    <xf numFmtId="49" fontId="53" fillId="0" borderId="0" xfId="0" applyNumberFormat="1" applyFont="1" applyAlignment="1">
      <alignment horizontal="right" vertical="center" shrinkToFit="1" readingOrder="2"/>
    </xf>
    <xf numFmtId="0" fontId="51" fillId="0" borderId="0" xfId="0" applyFont="1" applyAlignment="1">
      <alignment horizontal="right" vertical="center" readingOrder="2"/>
    </xf>
    <xf numFmtId="165" fontId="35" fillId="0" borderId="0" xfId="0" applyNumberFormat="1" applyFont="1" applyAlignment="1">
      <alignment horizontal="center" vertical="center" wrapText="1" readingOrder="2"/>
    </xf>
    <xf numFmtId="165" fontId="35" fillId="0" borderId="0" xfId="1" applyNumberFormat="1" applyFont="1" applyFill="1" applyBorder="1" applyAlignment="1">
      <alignment horizontal="center" vertical="center" wrapText="1" readingOrder="2"/>
    </xf>
    <xf numFmtId="49" fontId="49" fillId="2" borderId="0" xfId="0" applyNumberFormat="1" applyFont="1" applyFill="1" applyAlignment="1">
      <alignment horizontal="center" vertical="center" readingOrder="2"/>
    </xf>
    <xf numFmtId="165" fontId="51" fillId="2" borderId="0" xfId="0" applyNumberFormat="1" applyFont="1" applyFill="1" applyAlignment="1">
      <alignment horizontal="center" vertical="center" readingOrder="2"/>
    </xf>
    <xf numFmtId="165" fontId="49" fillId="2" borderId="0" xfId="0" applyNumberFormat="1" applyFont="1" applyFill="1" applyAlignment="1">
      <alignment horizontal="center" vertical="center" readingOrder="2"/>
    </xf>
    <xf numFmtId="0" fontId="48" fillId="0" borderId="0" xfId="0" applyFont="1" applyAlignment="1">
      <alignment vertical="center" readingOrder="2"/>
    </xf>
    <xf numFmtId="49" fontId="48" fillId="0" borderId="0" xfId="0" applyNumberFormat="1" applyFont="1" applyAlignment="1">
      <alignment horizontal="center" vertical="center" readingOrder="2"/>
    </xf>
    <xf numFmtId="165" fontId="51" fillId="0" borderId="0" xfId="0" applyNumberFormat="1" applyFont="1" applyAlignment="1">
      <alignment vertical="center" readingOrder="2"/>
    </xf>
    <xf numFmtId="49" fontId="48" fillId="2" borderId="0" xfId="0" applyNumberFormat="1" applyFont="1" applyFill="1" applyAlignment="1">
      <alignment vertical="center" readingOrder="2"/>
    </xf>
    <xf numFmtId="0" fontId="48" fillId="2" borderId="0" xfId="0" applyFont="1" applyFill="1" applyAlignment="1">
      <alignment vertical="center" readingOrder="2"/>
    </xf>
    <xf numFmtId="49" fontId="48" fillId="0" borderId="0" xfId="0" applyNumberFormat="1" applyFont="1" applyAlignment="1">
      <alignment vertical="center" readingOrder="2"/>
    </xf>
    <xf numFmtId="165" fontId="54" fillId="0" borderId="0" xfId="0" applyNumberFormat="1" applyFont="1" applyAlignment="1">
      <alignment horizontal="right" vertical="center" readingOrder="2"/>
    </xf>
    <xf numFmtId="165" fontId="48" fillId="0" borderId="0" xfId="0" applyNumberFormat="1" applyFont="1" applyAlignment="1">
      <alignment vertical="center" readingOrder="2"/>
    </xf>
    <xf numFmtId="165" fontId="54" fillId="0" borderId="0" xfId="0" applyNumberFormat="1" applyFont="1" applyAlignment="1">
      <alignment horizontal="center" vertical="center" readingOrder="2"/>
    </xf>
    <xf numFmtId="49" fontId="49" fillId="0" borderId="0" xfId="0" applyNumberFormat="1" applyFont="1" applyAlignment="1">
      <alignment horizontal="right" vertical="center" readingOrder="2"/>
    </xf>
    <xf numFmtId="165" fontId="55" fillId="0" borderId="0" xfId="4" applyNumberFormat="1" applyFont="1" applyFill="1" applyAlignment="1">
      <alignment readingOrder="2"/>
    </xf>
    <xf numFmtId="169" fontId="55" fillId="0" borderId="0" xfId="4" applyNumberFormat="1" applyFont="1" applyFill="1" applyAlignment="1">
      <alignment vertical="center" readingOrder="2"/>
    </xf>
    <xf numFmtId="165" fontId="55" fillId="0" borderId="0" xfId="4" applyNumberFormat="1" applyFont="1" applyFill="1" applyAlignment="1">
      <alignment vertical="center" readingOrder="2"/>
    </xf>
    <xf numFmtId="165" fontId="56" fillId="2" borderId="0" xfId="4" applyNumberFormat="1" applyFont="1" applyFill="1" applyAlignment="1">
      <alignment horizontal="center" vertical="center" readingOrder="2"/>
    </xf>
    <xf numFmtId="0" fontId="42" fillId="0" borderId="0" xfId="0" applyFont="1" applyAlignment="1">
      <alignment horizontal="center" vertical="center" readingOrder="2"/>
    </xf>
    <xf numFmtId="0" fontId="57" fillId="2" borderId="0" xfId="0" applyFont="1" applyFill="1" applyAlignment="1">
      <alignment horizontal="center" vertical="center" wrapText="1" readingOrder="2"/>
    </xf>
    <xf numFmtId="165" fontId="42" fillId="0" borderId="0" xfId="0" applyNumberFormat="1" applyFont="1" applyAlignment="1">
      <alignment vertical="center" readingOrder="2"/>
    </xf>
    <xf numFmtId="3" fontId="58" fillId="0" borderId="0" xfId="0" applyNumberFormat="1" applyFont="1" applyAlignment="1">
      <alignment horizontal="center" vertical="center" readingOrder="2"/>
    </xf>
    <xf numFmtId="3" fontId="58" fillId="0" borderId="2" xfId="0" applyNumberFormat="1" applyFont="1" applyBorder="1" applyAlignment="1">
      <alignment horizontal="center" vertical="center" readingOrder="2"/>
    </xf>
    <xf numFmtId="3" fontId="58" fillId="0" borderId="3" xfId="0" applyNumberFormat="1" applyFont="1" applyBorder="1" applyAlignment="1">
      <alignment horizontal="center" vertical="center" readingOrder="2"/>
    </xf>
    <xf numFmtId="165" fontId="57" fillId="0" borderId="0" xfId="0" applyNumberFormat="1" applyFont="1" applyAlignment="1">
      <alignment vertical="center" readingOrder="2"/>
    </xf>
    <xf numFmtId="165" fontId="59" fillId="0" borderId="0" xfId="10" applyNumberFormat="1" applyFont="1" applyAlignment="1">
      <alignment horizontal="center"/>
    </xf>
    <xf numFmtId="174" fontId="55" fillId="0" borderId="0" xfId="1" applyNumberFormat="1" applyFont="1" applyFill="1" applyAlignment="1">
      <alignment horizontal="center" vertical="center" readingOrder="2"/>
    </xf>
    <xf numFmtId="174" fontId="55" fillId="0" borderId="0" xfId="1" applyNumberFormat="1" applyFont="1" applyFill="1" applyAlignment="1">
      <alignment horizontal="center" readingOrder="2"/>
    </xf>
    <xf numFmtId="174" fontId="55" fillId="2" borderId="0" xfId="1" applyNumberFormat="1" applyFont="1" applyFill="1" applyAlignment="1">
      <alignment horizontal="center" vertical="center" readingOrder="2"/>
    </xf>
    <xf numFmtId="174" fontId="42" fillId="2" borderId="0" xfId="1" applyNumberFormat="1" applyFont="1" applyFill="1" applyAlignment="1">
      <alignment horizontal="center" vertical="center" readingOrder="2"/>
    </xf>
    <xf numFmtId="174" fontId="43" fillId="0" borderId="0" xfId="1" applyNumberFormat="1" applyFont="1" applyFill="1" applyAlignment="1">
      <alignment horizontal="center" vertical="center" readingOrder="2"/>
    </xf>
    <xf numFmtId="174" fontId="42" fillId="0" borderId="0" xfId="1" applyNumberFormat="1" applyFont="1" applyFill="1" applyAlignment="1">
      <alignment horizontal="center" readingOrder="2"/>
    </xf>
    <xf numFmtId="174" fontId="42" fillId="2" borderId="0" xfId="1" applyNumberFormat="1" applyFont="1" applyFill="1" applyBorder="1" applyAlignment="1">
      <alignment horizontal="center" vertical="center" wrapText="1" readingOrder="2"/>
    </xf>
    <xf numFmtId="174" fontId="42" fillId="2" borderId="1" xfId="1" applyNumberFormat="1" applyFont="1" applyFill="1" applyBorder="1" applyAlignment="1">
      <alignment horizontal="center" vertical="center" wrapText="1" readingOrder="2"/>
    </xf>
    <xf numFmtId="174" fontId="42" fillId="2" borderId="0" xfId="1" applyNumberFormat="1" applyFont="1" applyFill="1" applyBorder="1" applyAlignment="1">
      <alignment horizontal="center" vertical="center" readingOrder="2"/>
    </xf>
    <xf numFmtId="174" fontId="42" fillId="2" borderId="7" xfId="1" applyNumberFormat="1" applyFont="1" applyFill="1" applyBorder="1" applyAlignment="1">
      <alignment horizontal="center" vertical="center" wrapText="1" readingOrder="2"/>
    </xf>
    <xf numFmtId="174" fontId="42" fillId="0" borderId="0" xfId="1" applyNumberFormat="1" applyFont="1" applyFill="1" applyAlignment="1">
      <alignment horizontal="center" vertical="center" readingOrder="2"/>
    </xf>
    <xf numFmtId="174" fontId="42" fillId="0" borderId="0" xfId="1" applyNumberFormat="1" applyFont="1" applyFill="1" applyBorder="1" applyAlignment="1">
      <alignment horizontal="center" vertical="center" readingOrder="2"/>
    </xf>
    <xf numFmtId="3" fontId="58" fillId="0" borderId="0" xfId="1" applyNumberFormat="1" applyFont="1" applyFill="1" applyBorder="1" applyAlignment="1">
      <alignment horizontal="center" vertical="center" readingOrder="2"/>
    </xf>
    <xf numFmtId="174" fontId="42" fillId="0" borderId="1" xfId="1" applyNumberFormat="1" applyFont="1" applyFill="1" applyBorder="1" applyAlignment="1">
      <alignment horizontal="center" vertical="center" readingOrder="2"/>
    </xf>
    <xf numFmtId="174" fontId="59" fillId="0" borderId="1" xfId="1" applyNumberFormat="1" applyFont="1" applyBorder="1" applyAlignment="1">
      <alignment horizontal="center" vertical="center"/>
    </xf>
    <xf numFmtId="3" fontId="58" fillId="0" borderId="0" xfId="1" applyNumberFormat="1" applyFont="1" applyBorder="1" applyAlignment="1">
      <alignment horizontal="center" vertical="center"/>
    </xf>
    <xf numFmtId="174" fontId="59" fillId="0" borderId="0" xfId="1" applyNumberFormat="1" applyFont="1" applyBorder="1" applyAlignment="1">
      <alignment horizontal="center" vertical="center"/>
    </xf>
    <xf numFmtId="174" fontId="42" fillId="0" borderId="2" xfId="1" applyNumberFormat="1" applyFont="1" applyFill="1" applyBorder="1" applyAlignment="1">
      <alignment horizontal="center" vertical="center" readingOrder="2"/>
    </xf>
    <xf numFmtId="3" fontId="60" fillId="0" borderId="0" xfId="0" applyNumberFormat="1" applyFont="1"/>
    <xf numFmtId="174" fontId="42" fillId="0" borderId="3" xfId="1" applyNumberFormat="1" applyFont="1" applyFill="1" applyBorder="1" applyAlignment="1">
      <alignment horizontal="center" vertical="center" readingOrder="2"/>
    </xf>
    <xf numFmtId="165" fontId="61" fillId="0" borderId="0" xfId="1" applyNumberFormat="1" applyFont="1" applyFill="1" applyAlignment="1">
      <alignment horizontal="center" vertical="center" wrapText="1" readingOrder="2"/>
    </xf>
    <xf numFmtId="165" fontId="57" fillId="0" borderId="3" xfId="1" applyNumberFormat="1" applyFont="1" applyFill="1" applyBorder="1" applyAlignment="1">
      <alignment horizontal="center" vertical="center" wrapText="1" readingOrder="2"/>
    </xf>
    <xf numFmtId="165" fontId="62" fillId="0" borderId="0" xfId="1" applyNumberFormat="1" applyFont="1" applyFill="1" applyAlignment="1">
      <alignment horizontal="center" vertical="center" wrapText="1" readingOrder="2"/>
    </xf>
    <xf numFmtId="165" fontId="63" fillId="0" borderId="0" xfId="4" applyNumberFormat="1" applyFont="1" applyFill="1" applyAlignment="1">
      <alignment horizontal="right" vertical="center" readingOrder="2"/>
    </xf>
    <xf numFmtId="165" fontId="63" fillId="0" borderId="0" xfId="4" applyNumberFormat="1" applyFont="1" applyFill="1" applyAlignment="1">
      <alignment horizontal="right" readingOrder="2"/>
    </xf>
    <xf numFmtId="165" fontId="63" fillId="2" borderId="0" xfId="4" applyNumberFormat="1" applyFont="1" applyFill="1" applyAlignment="1">
      <alignment horizontal="right" vertical="center" readingOrder="2"/>
    </xf>
    <xf numFmtId="165" fontId="63" fillId="2" borderId="0" xfId="4" applyNumberFormat="1" applyFont="1" applyFill="1" applyAlignment="1">
      <alignment horizontal="center" vertical="center" readingOrder="2"/>
    </xf>
    <xf numFmtId="165" fontId="61" fillId="0" borderId="0" xfId="0" applyNumberFormat="1" applyFont="1" applyAlignment="1">
      <alignment horizontal="right" vertical="center" readingOrder="2"/>
    </xf>
    <xf numFmtId="0" fontId="61" fillId="0" borderId="1" xfId="0" applyFont="1" applyBorder="1" applyAlignment="1">
      <alignment horizontal="center" vertical="center" readingOrder="2"/>
    </xf>
    <xf numFmtId="0" fontId="61" fillId="2" borderId="0" xfId="0" applyFont="1" applyFill="1" applyAlignment="1">
      <alignment horizontal="center" vertical="center" wrapText="1" readingOrder="2"/>
    </xf>
    <xf numFmtId="165" fontId="61" fillId="0" borderId="0" xfId="0" applyNumberFormat="1" applyFont="1" applyAlignment="1">
      <alignment horizontal="center" vertical="center" readingOrder="2"/>
    </xf>
    <xf numFmtId="0" fontId="61" fillId="0" borderId="0" xfId="0" applyFont="1" applyAlignment="1">
      <alignment horizontal="center" vertical="center" wrapText="1" readingOrder="2"/>
    </xf>
    <xf numFmtId="165" fontId="61" fillId="0" borderId="0" xfId="0" applyNumberFormat="1" applyFont="1" applyAlignment="1">
      <alignment horizontal="center" readingOrder="2"/>
    </xf>
    <xf numFmtId="165" fontId="57" fillId="0" borderId="0" xfId="0" applyNumberFormat="1" applyFont="1" applyAlignment="1">
      <alignment horizontal="center" vertical="center" readingOrder="2"/>
    </xf>
    <xf numFmtId="49" fontId="61" fillId="0" borderId="0" xfId="0" applyNumberFormat="1" applyFont="1" applyAlignment="1">
      <alignment horizontal="right" vertical="center" readingOrder="2"/>
    </xf>
    <xf numFmtId="165" fontId="61" fillId="0" borderId="0" xfId="1" applyNumberFormat="1" applyFont="1" applyFill="1" applyAlignment="1">
      <alignment horizontal="right" vertical="center" readingOrder="2"/>
    </xf>
    <xf numFmtId="165" fontId="57" fillId="0" borderId="0" xfId="0" applyNumberFormat="1" applyFont="1" applyAlignment="1">
      <alignment horizontal="center" readingOrder="2"/>
    </xf>
    <xf numFmtId="49" fontId="61" fillId="0" borderId="0" xfId="0" applyNumberFormat="1" applyFont="1" applyAlignment="1">
      <alignment horizontal="center" vertical="center" readingOrder="2"/>
    </xf>
    <xf numFmtId="0" fontId="34" fillId="0" borderId="1" xfId="0" applyFont="1" applyBorder="1" applyAlignment="1">
      <alignment horizontal="center" vertical="center" readingOrder="2"/>
    </xf>
    <xf numFmtId="165" fontId="35" fillId="0" borderId="0" xfId="0" applyNumberFormat="1" applyFont="1" applyAlignment="1">
      <alignment vertical="center" wrapText="1" readingOrder="2"/>
    </xf>
    <xf numFmtId="0" fontId="35" fillId="2" borderId="0" xfId="0" applyFont="1" applyFill="1" applyAlignment="1">
      <alignment horizontal="center" vertical="center" wrapText="1" readingOrder="2"/>
    </xf>
    <xf numFmtId="0" fontId="35" fillId="0" borderId="0" xfId="0" applyFont="1" applyAlignment="1">
      <alignment horizontal="center" vertical="center" wrapText="1" readingOrder="2"/>
    </xf>
    <xf numFmtId="165" fontId="61" fillId="0" borderId="1" xfId="1" applyNumberFormat="1" applyFont="1" applyFill="1" applyBorder="1" applyAlignment="1">
      <alignment horizontal="center" vertical="center" wrapText="1" readingOrder="2"/>
    </xf>
    <xf numFmtId="165" fontId="61" fillId="0" borderId="0" xfId="1" applyNumberFormat="1" applyFont="1" applyFill="1" applyBorder="1" applyAlignment="1">
      <alignment horizontal="center" vertical="center" wrapText="1" readingOrder="2"/>
    </xf>
    <xf numFmtId="165" fontId="34" fillId="0" borderId="3" xfId="0" applyNumberFormat="1" applyFont="1" applyBorder="1" applyAlignment="1">
      <alignment horizontal="center" vertical="center" readingOrder="2"/>
    </xf>
    <xf numFmtId="49" fontId="64" fillId="0" borderId="0" xfId="4" applyNumberFormat="1" applyFont="1" applyFill="1" applyAlignment="1">
      <alignment readingOrder="2"/>
    </xf>
    <xf numFmtId="165" fontId="34" fillId="0" borderId="0" xfId="0" applyNumberFormat="1" applyFont="1" applyAlignment="1">
      <alignment vertical="center" readingOrder="2"/>
    </xf>
    <xf numFmtId="165" fontId="48" fillId="0" borderId="0" xfId="1" applyNumberFormat="1" applyFont="1" applyFill="1" applyAlignment="1">
      <alignment vertical="center" readingOrder="2"/>
    </xf>
    <xf numFmtId="165" fontId="63" fillId="0" borderId="0" xfId="4" applyNumberFormat="1" applyFont="1" applyFill="1" applyAlignment="1">
      <alignment vertical="center" readingOrder="2"/>
    </xf>
    <xf numFmtId="165" fontId="63" fillId="0" borderId="0" xfId="4" applyNumberFormat="1" applyFont="1" applyFill="1" applyAlignment="1">
      <alignment readingOrder="2"/>
    </xf>
    <xf numFmtId="165" fontId="65" fillId="0" borderId="0" xfId="0" applyNumberFormat="1" applyFont="1" applyAlignment="1">
      <alignment vertical="center" readingOrder="2"/>
    </xf>
    <xf numFmtId="165" fontId="65" fillId="0" borderId="0" xfId="1" applyNumberFormat="1" applyFont="1" applyFill="1" applyAlignment="1">
      <alignment vertical="center" readingOrder="2"/>
    </xf>
    <xf numFmtId="165" fontId="57" fillId="0" borderId="0" xfId="0" applyNumberFormat="1" applyFont="1" applyAlignment="1">
      <alignment readingOrder="2"/>
    </xf>
    <xf numFmtId="165" fontId="61" fillId="0" borderId="0" xfId="0" applyNumberFormat="1" applyFont="1" applyAlignment="1">
      <alignment vertical="center" readingOrder="2"/>
    </xf>
    <xf numFmtId="165" fontId="61" fillId="0" borderId="0" xfId="1" applyNumberFormat="1" applyFont="1" applyFill="1" applyAlignment="1">
      <alignment vertical="center" readingOrder="2"/>
    </xf>
    <xf numFmtId="165" fontId="57" fillId="0" borderId="0" xfId="1" applyNumberFormat="1" applyFont="1" applyFill="1" applyBorder="1" applyAlignment="1">
      <alignment vertical="center" readingOrder="2"/>
    </xf>
    <xf numFmtId="165" fontId="61" fillId="0" borderId="0" xfId="1" applyNumberFormat="1" applyFont="1" applyFill="1" applyBorder="1" applyAlignment="1">
      <alignment vertical="center" readingOrder="2"/>
    </xf>
    <xf numFmtId="49" fontId="61" fillId="0" borderId="0" xfId="0" applyNumberFormat="1" applyFont="1" applyAlignment="1">
      <alignment vertical="center" readingOrder="2"/>
    </xf>
    <xf numFmtId="165" fontId="57" fillId="2" borderId="0" xfId="0" applyNumberFormat="1" applyFont="1" applyFill="1" applyAlignment="1">
      <alignment horizontal="center" vertical="center" readingOrder="2"/>
    </xf>
    <xf numFmtId="49" fontId="57" fillId="2" borderId="0" xfId="0" applyNumberFormat="1" applyFont="1" applyFill="1" applyAlignment="1">
      <alignment horizontal="left" vertical="center" readingOrder="2"/>
    </xf>
    <xf numFmtId="49" fontId="57" fillId="0" borderId="0" xfId="0" applyNumberFormat="1" applyFont="1" applyAlignment="1">
      <alignment vertical="center" readingOrder="2"/>
    </xf>
    <xf numFmtId="165" fontId="57" fillId="0" borderId="1" xfId="0" applyNumberFormat="1" applyFont="1" applyBorder="1" applyAlignment="1">
      <alignment horizontal="center" vertical="center" readingOrder="2"/>
    </xf>
    <xf numFmtId="0" fontId="57" fillId="0" borderId="1" xfId="0" applyFont="1" applyBorder="1" applyAlignment="1">
      <alignment horizontal="center" vertical="center" readingOrder="2"/>
    </xf>
    <xf numFmtId="0" fontId="57" fillId="0" borderId="0" xfId="0" applyFont="1" applyAlignment="1">
      <alignment vertical="center" readingOrder="2"/>
    </xf>
    <xf numFmtId="0" fontId="57" fillId="0" borderId="1" xfId="0" applyFont="1" applyBorder="1" applyAlignment="1">
      <alignment vertical="center" readingOrder="2"/>
    </xf>
    <xf numFmtId="0" fontId="57" fillId="2" borderId="0" xfId="0" applyFont="1" applyFill="1" applyAlignment="1">
      <alignment vertical="center" readingOrder="2"/>
    </xf>
    <xf numFmtId="165" fontId="57" fillId="0" borderId="3" xfId="0" applyNumberFormat="1" applyFont="1" applyBorder="1" applyAlignment="1">
      <alignment horizontal="center" readingOrder="2"/>
    </xf>
    <xf numFmtId="170" fontId="61" fillId="0" borderId="0" xfId="5" applyNumberFormat="1" applyFont="1" applyAlignment="1">
      <alignment vertical="center" shrinkToFit="1" readingOrder="2"/>
    </xf>
    <xf numFmtId="0" fontId="67" fillId="0" borderId="0" xfId="0" applyFont="1" applyAlignment="1">
      <alignment vertical="center"/>
    </xf>
    <xf numFmtId="165" fontId="61" fillId="0" borderId="2" xfId="0" applyNumberFormat="1" applyFont="1" applyBorder="1" applyAlignment="1">
      <alignment horizontal="center" vertical="center" readingOrder="2"/>
    </xf>
    <xf numFmtId="170" fontId="61" fillId="0" borderId="0" xfId="5" applyNumberFormat="1" applyFont="1" applyAlignment="1">
      <alignment horizontal="center" vertical="center" shrinkToFit="1" readingOrder="2"/>
    </xf>
    <xf numFmtId="49" fontId="61" fillId="2" borderId="0" xfId="0" applyNumberFormat="1" applyFont="1" applyFill="1" applyAlignment="1">
      <alignment horizontal="left" vertical="center" readingOrder="2"/>
    </xf>
    <xf numFmtId="165" fontId="68" fillId="0" borderId="0" xfId="0" applyNumberFormat="1" applyFont="1" applyAlignment="1">
      <alignment vertical="center" readingOrder="2"/>
    </xf>
    <xf numFmtId="165" fontId="68" fillId="0" borderId="0" xfId="1" applyNumberFormat="1" applyFont="1" applyFill="1" applyAlignment="1">
      <alignment vertical="center" readingOrder="2"/>
    </xf>
    <xf numFmtId="165" fontId="61" fillId="0" borderId="0" xfId="0" applyNumberFormat="1" applyFont="1" applyAlignment="1">
      <alignment readingOrder="2"/>
    </xf>
    <xf numFmtId="0" fontId="57" fillId="0" borderId="1" xfId="0" applyFont="1" applyBorder="1" applyAlignment="1">
      <alignment horizontal="center" vertical="center" wrapText="1" readingOrder="2"/>
    </xf>
    <xf numFmtId="0" fontId="57" fillId="0" borderId="0" xfId="0" applyFont="1" applyAlignment="1">
      <alignment horizontal="center" vertical="center" wrapText="1" readingOrder="2"/>
    </xf>
    <xf numFmtId="165" fontId="57" fillId="0" borderId="0" xfId="1" applyNumberFormat="1" applyFont="1" applyFill="1" applyAlignment="1">
      <alignment vertical="center" readingOrder="2"/>
    </xf>
    <xf numFmtId="1" fontId="67" fillId="0" borderId="0" xfId="0" applyNumberFormat="1" applyFont="1" applyAlignment="1">
      <alignment horizontal="center" vertical="center" shrinkToFit="1" readingOrder="2"/>
    </xf>
    <xf numFmtId="10" fontId="61" fillId="0" borderId="0" xfId="5" applyNumberFormat="1" applyFont="1" applyAlignment="1">
      <alignment horizontal="center" vertical="center" shrinkToFit="1" readingOrder="2"/>
    </xf>
    <xf numFmtId="0" fontId="67" fillId="0" borderId="0" xfId="0" applyFont="1" applyAlignment="1">
      <alignment horizontal="center" vertical="center" shrinkToFit="1" readingOrder="2"/>
    </xf>
    <xf numFmtId="165" fontId="61" fillId="0" borderId="1" xfId="0" applyNumberFormat="1" applyFont="1" applyBorder="1" applyAlignment="1">
      <alignment horizontal="center" vertical="center" readingOrder="2"/>
    </xf>
    <xf numFmtId="0" fontId="61" fillId="0" borderId="0" xfId="0" applyFont="1" applyAlignment="1">
      <alignment horizontal="right" vertical="center" wrapText="1" readingOrder="2"/>
    </xf>
    <xf numFmtId="0" fontId="69" fillId="0" borderId="0" xfId="3" applyFont="1" applyAlignment="1">
      <alignment horizontal="right" vertical="center" readingOrder="2"/>
    </xf>
    <xf numFmtId="0" fontId="67" fillId="0" borderId="0" xfId="3" applyFont="1" applyAlignment="1">
      <alignment vertical="center"/>
    </xf>
    <xf numFmtId="49" fontId="67" fillId="0" borderId="0" xfId="3" applyNumberFormat="1" applyFont="1" applyAlignment="1">
      <alignment vertical="center"/>
    </xf>
    <xf numFmtId="0" fontId="57" fillId="0" borderId="7" xfId="0" applyFont="1" applyBorder="1" applyAlignment="1">
      <alignment horizontal="center" vertical="center" readingOrder="2"/>
    </xf>
    <xf numFmtId="0" fontId="57" fillId="0" borderId="0" xfId="0" applyFont="1" applyAlignment="1">
      <alignment horizontal="center" vertical="center" readingOrder="2"/>
    </xf>
    <xf numFmtId="0" fontId="67" fillId="0" borderId="0" xfId="3" applyFont="1" applyAlignment="1">
      <alignment vertical="center" wrapText="1"/>
    </xf>
    <xf numFmtId="0" fontId="67" fillId="0" borderId="0" xfId="3" applyFont="1" applyAlignment="1">
      <alignment horizontal="center" vertical="center" wrapText="1"/>
    </xf>
    <xf numFmtId="165" fontId="67" fillId="0" borderId="0" xfId="3" applyNumberFormat="1" applyFont="1" applyAlignment="1">
      <alignment vertical="center"/>
    </xf>
    <xf numFmtId="165" fontId="67" fillId="0" borderId="0" xfId="3" applyNumberFormat="1" applyFont="1" applyAlignment="1">
      <alignment horizontal="center" vertical="center"/>
    </xf>
    <xf numFmtId="165" fontId="69" fillId="0" borderId="0" xfId="3" applyNumberFormat="1" applyFont="1" applyAlignment="1">
      <alignment vertical="center"/>
    </xf>
    <xf numFmtId="165" fontId="69" fillId="0" borderId="5" xfId="3" applyNumberFormat="1" applyFont="1" applyBorder="1" applyAlignment="1">
      <alignment horizontal="center" vertical="center"/>
    </xf>
    <xf numFmtId="165" fontId="69" fillId="0" borderId="0" xfId="3" applyNumberFormat="1" applyFont="1" applyAlignment="1">
      <alignment horizontal="center" vertical="center"/>
    </xf>
    <xf numFmtId="0" fontId="34" fillId="0" borderId="1" xfId="0" applyFont="1" applyBorder="1" applyAlignment="1">
      <alignment horizontal="center" vertical="center" wrapText="1" readingOrder="2"/>
    </xf>
    <xf numFmtId="0" fontId="34" fillId="2" borderId="0" xfId="0" applyFont="1" applyFill="1" applyAlignment="1">
      <alignment vertical="center" wrapText="1" readingOrder="2"/>
    </xf>
    <xf numFmtId="49" fontId="34" fillId="0" borderId="0" xfId="0" applyNumberFormat="1" applyFont="1" applyAlignment="1">
      <alignment vertical="center" readingOrder="2"/>
    </xf>
    <xf numFmtId="0" fontId="34" fillId="0" borderId="0" xfId="0" applyFont="1" applyAlignment="1">
      <alignment vertical="center" readingOrder="2"/>
    </xf>
    <xf numFmtId="3" fontId="35" fillId="0" borderId="0" xfId="5" applyNumberFormat="1" applyFont="1" applyAlignment="1">
      <alignment horizontal="center" shrinkToFit="1" readingOrder="2"/>
    </xf>
    <xf numFmtId="3" fontId="35" fillId="0" borderId="1" xfId="5" applyNumberFormat="1" applyFont="1" applyBorder="1" applyAlignment="1">
      <alignment horizontal="center" shrinkToFit="1" readingOrder="2"/>
    </xf>
    <xf numFmtId="3" fontId="35" fillId="0" borderId="0" xfId="0" applyNumberFormat="1" applyFont="1" applyAlignment="1">
      <alignment horizontal="center" shrinkToFit="1" readingOrder="2"/>
    </xf>
    <xf numFmtId="165" fontId="70" fillId="0" borderId="0" xfId="0" applyNumberFormat="1" applyFont="1" applyAlignment="1">
      <alignment horizontal="center" vertical="center" readingOrder="2"/>
    </xf>
    <xf numFmtId="165" fontId="35" fillId="0" borderId="1" xfId="0" applyNumberFormat="1" applyFont="1" applyBorder="1" applyAlignment="1">
      <alignment horizontal="center" vertical="center" readingOrder="2"/>
    </xf>
    <xf numFmtId="3" fontId="35" fillId="0" borderId="1" xfId="0" applyNumberFormat="1" applyFont="1" applyBorder="1" applyAlignment="1">
      <alignment horizontal="center" shrinkToFit="1" readingOrder="2"/>
    </xf>
    <xf numFmtId="165" fontId="57" fillId="0" borderId="3" xfId="0" applyNumberFormat="1" applyFont="1" applyBorder="1" applyAlignment="1">
      <alignment horizontal="center" vertical="center" wrapText="1" readingOrder="2"/>
    </xf>
    <xf numFmtId="49" fontId="53" fillId="0" borderId="0" xfId="0" applyNumberFormat="1" applyFont="1" applyAlignment="1">
      <alignment vertical="center" readingOrder="2"/>
    </xf>
    <xf numFmtId="165" fontId="53" fillId="0" borderId="0" xfId="0" applyNumberFormat="1" applyFont="1" applyAlignment="1">
      <alignment vertical="center" readingOrder="2"/>
    </xf>
    <xf numFmtId="165" fontId="53" fillId="0" borderId="0" xfId="1" applyNumberFormat="1" applyFont="1" applyFill="1" applyAlignment="1">
      <alignment vertical="center" readingOrder="2"/>
    </xf>
    <xf numFmtId="165" fontId="35" fillId="0" borderId="1" xfId="0" applyNumberFormat="1" applyFont="1" applyBorder="1" applyAlignment="1">
      <alignment horizontal="center" readingOrder="2"/>
    </xf>
    <xf numFmtId="0" fontId="35" fillId="0" borderId="0" xfId="0" applyFont="1" applyAlignment="1">
      <alignment horizontal="right" vertical="center" shrinkToFit="1" readingOrder="2"/>
    </xf>
    <xf numFmtId="0" fontId="34" fillId="2" borderId="0" xfId="0" applyFont="1" applyFill="1" applyAlignment="1">
      <alignment horizontal="center" vertical="center" wrapText="1" readingOrder="2"/>
    </xf>
    <xf numFmtId="0" fontId="71" fillId="0" borderId="0" xfId="0" applyFont="1"/>
    <xf numFmtId="174" fontId="71" fillId="0" borderId="0" xfId="1" applyNumberFormat="1" applyFont="1"/>
    <xf numFmtId="0" fontId="72" fillId="0" borderId="0" xfId="0" applyFont="1"/>
    <xf numFmtId="174" fontId="72" fillId="0" borderId="0" xfId="1" applyNumberFormat="1" applyFont="1"/>
    <xf numFmtId="0" fontId="53" fillId="0" borderId="0" xfId="0" applyFont="1" applyAlignment="1">
      <alignment horizontal="right" vertical="center" shrinkToFit="1" readingOrder="2"/>
    </xf>
    <xf numFmtId="174" fontId="72" fillId="6" borderId="0" xfId="1" applyNumberFormat="1" applyFont="1" applyFill="1"/>
    <xf numFmtId="165" fontId="35" fillId="0" borderId="0" xfId="0" applyNumberFormat="1" applyFont="1" applyAlignment="1">
      <alignment horizontal="left" vertical="center" readingOrder="2"/>
    </xf>
    <xf numFmtId="0" fontId="73" fillId="0" borderId="0" xfId="0" applyFont="1" applyAlignment="1">
      <alignment vertical="center" readingOrder="2"/>
    </xf>
    <xf numFmtId="165" fontId="53" fillId="0" borderId="0" xfId="0" applyNumberFormat="1" applyFont="1" applyAlignment="1">
      <alignment horizontal="left" vertical="center" readingOrder="2"/>
    </xf>
    <xf numFmtId="165" fontId="42" fillId="0" borderId="3" xfId="1" applyNumberFormat="1" applyFont="1" applyFill="1" applyBorder="1" applyAlignment="1">
      <alignment horizontal="center" vertical="center" wrapText="1" readingOrder="2"/>
    </xf>
    <xf numFmtId="165" fontId="74" fillId="0" borderId="0" xfId="4" applyNumberFormat="1" applyFont="1" applyFill="1" applyAlignment="1">
      <alignment readingOrder="2"/>
    </xf>
    <xf numFmtId="49" fontId="73" fillId="0" borderId="0" xfId="0" applyNumberFormat="1" applyFont="1" applyAlignment="1">
      <alignment vertical="center" readingOrder="2"/>
    </xf>
    <xf numFmtId="165" fontId="73" fillId="0" borderId="0" xfId="0" applyNumberFormat="1" applyFont="1" applyAlignment="1">
      <alignment vertical="center" readingOrder="2"/>
    </xf>
    <xf numFmtId="165" fontId="73" fillId="0" borderId="0" xfId="0" applyNumberFormat="1" applyFont="1" applyAlignment="1">
      <alignment horizontal="center" readingOrder="2"/>
    </xf>
    <xf numFmtId="165" fontId="34" fillId="0" borderId="0" xfId="0" applyNumberFormat="1" applyFont="1" applyAlignment="1">
      <alignment horizontal="center" readingOrder="2"/>
    </xf>
    <xf numFmtId="165" fontId="34" fillId="0" borderId="0" xfId="0" applyNumberFormat="1" applyFont="1" applyAlignment="1">
      <alignment horizontal="right" readingOrder="2"/>
    </xf>
    <xf numFmtId="3" fontId="35" fillId="0" borderId="0" xfId="0" applyNumberFormat="1" applyFont="1" applyAlignment="1">
      <alignment horizontal="center" vertical="center" shrinkToFit="1" readingOrder="2"/>
    </xf>
    <xf numFmtId="0" fontId="34" fillId="0" borderId="1" xfId="0" applyFont="1" applyBorder="1" applyAlignment="1">
      <alignment horizontal="center" wrapText="1" readingOrder="2"/>
    </xf>
    <xf numFmtId="0" fontId="34" fillId="0" borderId="0" xfId="0" applyFont="1" applyAlignment="1">
      <alignment horizontal="center" wrapText="1" readingOrder="2"/>
    </xf>
    <xf numFmtId="165" fontId="51" fillId="0" borderId="0" xfId="0" applyNumberFormat="1" applyFont="1" applyAlignment="1">
      <alignment horizontal="center" readingOrder="2"/>
    </xf>
    <xf numFmtId="167" fontId="76" fillId="0" borderId="32" xfId="0" applyNumberFormat="1" applyFont="1" applyBorder="1" applyAlignment="1">
      <alignment horizontal="right" vertical="center" shrinkToFit="1"/>
    </xf>
    <xf numFmtId="165" fontId="76" fillId="0" borderId="15" xfId="10" applyNumberFormat="1" applyFont="1" applyBorder="1" applyAlignment="1">
      <alignment horizontal="center" vertical="center" wrapText="1"/>
    </xf>
    <xf numFmtId="167" fontId="76" fillId="0" borderId="18" xfId="0" applyNumberFormat="1" applyFont="1" applyBorder="1" applyAlignment="1">
      <alignment horizontal="right" vertical="center" shrinkToFit="1"/>
    </xf>
    <xf numFmtId="167" fontId="76" fillId="0" borderId="30" xfId="0" applyNumberFormat="1" applyFont="1" applyBorder="1" applyAlignment="1">
      <alignment horizontal="right" vertical="center" shrinkToFit="1"/>
    </xf>
    <xf numFmtId="49" fontId="51" fillId="0" borderId="0" xfId="0" applyNumberFormat="1" applyFont="1" applyAlignment="1">
      <alignment vertical="center" readingOrder="2"/>
    </xf>
    <xf numFmtId="0" fontId="41" fillId="0" borderId="0" xfId="4" applyFont="1"/>
    <xf numFmtId="0" fontId="66" fillId="0" borderId="0" xfId="10" applyFont="1" applyAlignment="1">
      <alignment vertical="center"/>
    </xf>
    <xf numFmtId="165" fontId="66" fillId="0" borderId="0" xfId="10" applyNumberFormat="1" applyFont="1" applyAlignment="1">
      <alignment horizontal="center" vertical="center"/>
    </xf>
    <xf numFmtId="0" fontId="59" fillId="0" borderId="0" xfId="10" applyFont="1" applyAlignment="1">
      <alignment vertical="center" readingOrder="2"/>
    </xf>
    <xf numFmtId="0" fontId="59" fillId="0" borderId="0" xfId="10" applyFont="1" applyAlignment="1">
      <alignment horizontal="center" vertical="center"/>
    </xf>
    <xf numFmtId="49" fontId="59" fillId="0" borderId="0" xfId="10" applyNumberFormat="1" applyFont="1" applyAlignment="1">
      <alignment vertical="center" readingOrder="2"/>
    </xf>
    <xf numFmtId="165" fontId="59" fillId="0" borderId="0" xfId="10" applyNumberFormat="1" applyFont="1" applyAlignment="1">
      <alignment horizontal="center" vertical="center"/>
    </xf>
    <xf numFmtId="165" fontId="61" fillId="0" borderId="4" xfId="1" applyNumberFormat="1" applyFont="1" applyFill="1" applyBorder="1" applyAlignment="1">
      <alignment horizontal="center" vertical="center" wrapText="1" readingOrder="2"/>
    </xf>
    <xf numFmtId="165" fontId="61" fillId="0" borderId="5" xfId="1" applyNumberFormat="1" applyFont="1" applyFill="1" applyBorder="1" applyAlignment="1">
      <alignment horizontal="center" vertical="center" wrapText="1" readingOrder="2"/>
    </xf>
    <xf numFmtId="0" fontId="66" fillId="0" borderId="0" xfId="10" applyFont="1" applyAlignment="1">
      <alignment horizontal="center" vertical="center"/>
    </xf>
    <xf numFmtId="0" fontId="59" fillId="0" borderId="0" xfId="10" applyFont="1" applyAlignment="1">
      <alignment horizontal="right" vertical="center" readingOrder="2"/>
    </xf>
    <xf numFmtId="0" fontId="59" fillId="0" borderId="4" xfId="10" applyFont="1" applyBorder="1" applyAlignment="1">
      <alignment horizontal="center" vertical="center"/>
    </xf>
    <xf numFmtId="0" fontId="59" fillId="0" borderId="0" xfId="10" applyFont="1" applyAlignment="1">
      <alignment vertical="center"/>
    </xf>
    <xf numFmtId="0" fontId="59" fillId="0" borderId="1" xfId="10" applyFont="1" applyBorder="1" applyAlignment="1">
      <alignment horizontal="center" vertical="center" wrapText="1"/>
    </xf>
    <xf numFmtId="0" fontId="59" fillId="0" borderId="0" xfId="10" applyFont="1" applyAlignment="1">
      <alignment horizontal="center" vertical="center" wrapText="1"/>
    </xf>
    <xf numFmtId="3" fontId="37" fillId="0" borderId="0" xfId="1" applyNumberFormat="1" applyFont="1" applyFill="1" applyBorder="1" applyAlignment="1">
      <alignment horizontal="center" vertical="center" shrinkToFit="1"/>
    </xf>
    <xf numFmtId="0" fontId="66" fillId="0" borderId="0" xfId="10" applyFont="1" applyAlignment="1">
      <alignment horizontal="center" wrapText="1" readingOrder="2"/>
    </xf>
    <xf numFmtId="3" fontId="66" fillId="0" borderId="0" xfId="10" applyNumberFormat="1" applyFont="1" applyAlignment="1">
      <alignment horizontal="center" vertical="center"/>
    </xf>
    <xf numFmtId="165" fontId="66" fillId="0" borderId="0" xfId="10" applyNumberFormat="1" applyFont="1" applyAlignment="1">
      <alignment vertical="center"/>
    </xf>
    <xf numFmtId="0" fontId="66" fillId="0" borderId="0" xfId="10" applyFont="1" applyAlignment="1">
      <alignment horizontal="right" vertical="top" wrapText="1" readingOrder="2"/>
    </xf>
    <xf numFmtId="0" fontId="59" fillId="0" borderId="0" xfId="10" applyFont="1" applyAlignment="1">
      <alignment horizontal="right" vertical="top" wrapText="1" readingOrder="2"/>
    </xf>
    <xf numFmtId="3" fontId="35" fillId="0" borderId="49" xfId="5" applyNumberFormat="1" applyFont="1" applyBorder="1" applyAlignment="1">
      <alignment horizontal="center" shrinkToFit="1" readingOrder="2"/>
    </xf>
    <xf numFmtId="3" fontId="66" fillId="0" borderId="0" xfId="10" applyNumberFormat="1" applyFont="1" applyAlignment="1">
      <alignment horizontal="right" vertical="top" wrapText="1" readingOrder="2"/>
    </xf>
    <xf numFmtId="3" fontId="66" fillId="0" borderId="0" xfId="10" applyNumberFormat="1" applyFont="1" applyAlignment="1">
      <alignment vertical="center"/>
    </xf>
    <xf numFmtId="165" fontId="66" fillId="0" borderId="0" xfId="10" applyNumberFormat="1" applyFont="1" applyAlignment="1">
      <alignment horizontal="right" vertical="top" wrapText="1" readingOrder="2"/>
    </xf>
    <xf numFmtId="0" fontId="66" fillId="0" borderId="0" xfId="10" applyFont="1" applyAlignment="1">
      <alignment horizontal="right" vertical="center"/>
    </xf>
    <xf numFmtId="0" fontId="66" fillId="0" borderId="0" xfId="10" applyFont="1" applyAlignment="1">
      <alignment horizontal="right" vertical="center" wrapText="1" readingOrder="2"/>
    </xf>
    <xf numFmtId="0" fontId="66" fillId="0" borderId="1" xfId="10" applyFont="1" applyBorder="1" applyAlignment="1">
      <alignment horizontal="center" vertical="center"/>
    </xf>
    <xf numFmtId="0" fontId="66" fillId="0" borderId="0" xfId="10" applyFont="1" applyAlignment="1">
      <alignment horizontal="center"/>
    </xf>
    <xf numFmtId="165" fontId="66" fillId="0" borderId="0" xfId="10" applyNumberFormat="1" applyFont="1" applyAlignment="1">
      <alignment horizontal="center"/>
    </xf>
    <xf numFmtId="0" fontId="66" fillId="0" borderId="0" xfId="10" applyFont="1" applyAlignment="1">
      <alignment horizontal="center" vertical="center" readingOrder="2"/>
    </xf>
    <xf numFmtId="165" fontId="77" fillId="0" borderId="0" xfId="4" applyNumberFormat="1" applyFont="1" applyFill="1" applyAlignment="1">
      <alignment vertical="center" readingOrder="2"/>
    </xf>
    <xf numFmtId="165" fontId="77" fillId="0" borderId="0" xfId="4" applyNumberFormat="1" applyFont="1" applyFill="1" applyAlignment="1">
      <alignment readingOrder="2"/>
    </xf>
    <xf numFmtId="165" fontId="77" fillId="2" borderId="0" xfId="4" applyNumberFormat="1" applyFont="1" applyFill="1" applyAlignment="1">
      <alignment horizontal="center" vertical="center" readingOrder="2"/>
    </xf>
    <xf numFmtId="165" fontId="34" fillId="0" borderId="0" xfId="1" applyNumberFormat="1" applyFont="1" applyFill="1" applyAlignment="1">
      <alignment vertical="center" readingOrder="2"/>
    </xf>
    <xf numFmtId="165" fontId="34" fillId="0" borderId="1" xfId="0" applyNumberFormat="1" applyFont="1" applyBorder="1" applyAlignment="1">
      <alignment horizontal="center" vertical="center" readingOrder="2"/>
    </xf>
    <xf numFmtId="0" fontId="34" fillId="2" borderId="7" xfId="0" applyFont="1" applyFill="1" applyBorder="1" applyAlignment="1">
      <alignment horizontal="center" vertical="center" wrapText="1" readingOrder="2"/>
    </xf>
    <xf numFmtId="165" fontId="73" fillId="0" borderId="0" xfId="0" applyNumberFormat="1" applyFont="1" applyAlignment="1">
      <alignment horizontal="center" vertical="center" readingOrder="2"/>
    </xf>
    <xf numFmtId="165" fontId="53" fillId="2" borderId="0" xfId="0" applyNumberFormat="1" applyFont="1" applyFill="1" applyAlignment="1">
      <alignment horizontal="center" vertical="center" wrapText="1" readingOrder="2"/>
    </xf>
    <xf numFmtId="49" fontId="34" fillId="0" borderId="0" xfId="0" applyNumberFormat="1" applyFont="1" applyAlignment="1">
      <alignment horizontal="center" vertical="center" readingOrder="2"/>
    </xf>
    <xf numFmtId="3" fontId="34" fillId="0" borderId="3" xfId="5" applyNumberFormat="1" applyFont="1" applyBorder="1" applyAlignment="1">
      <alignment horizontal="center" shrinkToFit="1" readingOrder="2"/>
    </xf>
    <xf numFmtId="165" fontId="34" fillId="0" borderId="0" xfId="1" applyNumberFormat="1" applyFont="1" applyFill="1" applyAlignment="1">
      <alignment horizontal="center" vertical="center" readingOrder="2"/>
    </xf>
    <xf numFmtId="0" fontId="34" fillId="2" borderId="2" xfId="0" applyFont="1" applyFill="1" applyBorder="1" applyAlignment="1">
      <alignment horizontal="center" vertical="center" wrapText="1" readingOrder="2"/>
    </xf>
    <xf numFmtId="0" fontId="34" fillId="0" borderId="0" xfId="9" applyFont="1" applyAlignment="1">
      <alignment horizontal="right" vertical="center" shrinkToFit="1" readingOrder="2"/>
    </xf>
    <xf numFmtId="165" fontId="34" fillId="0" borderId="0" xfId="1" applyNumberFormat="1" applyFont="1" applyFill="1" applyBorder="1" applyAlignment="1">
      <alignment vertical="center" readingOrder="2"/>
    </xf>
    <xf numFmtId="0" fontId="34" fillId="0" borderId="0" xfId="9" applyFont="1" applyAlignment="1">
      <alignment horizontal="right" vertical="top" shrinkToFit="1" readingOrder="2"/>
    </xf>
    <xf numFmtId="3" fontId="35" fillId="0" borderId="3" xfId="0" applyNumberFormat="1" applyFont="1" applyBorder="1" applyAlignment="1">
      <alignment horizontal="center" vertical="center" shrinkToFit="1" readingOrder="2"/>
    </xf>
    <xf numFmtId="3" fontId="35" fillId="0" borderId="3" xfId="5" applyNumberFormat="1" applyFont="1" applyBorder="1" applyAlignment="1">
      <alignment horizontal="center" shrinkToFit="1" readingOrder="2"/>
    </xf>
    <xf numFmtId="165" fontId="34" fillId="0" borderId="3" xfId="0" applyNumberFormat="1" applyFont="1" applyBorder="1" applyAlignment="1">
      <alignment horizontal="center" readingOrder="2"/>
    </xf>
    <xf numFmtId="0" fontId="35" fillId="0" borderId="0" xfId="0" applyFont="1" applyAlignment="1">
      <alignment horizontal="right" vertical="center" readingOrder="2"/>
    </xf>
    <xf numFmtId="0" fontId="74" fillId="0" borderId="0" xfId="4" applyFont="1" applyAlignment="1"/>
    <xf numFmtId="0" fontId="74" fillId="0" borderId="0" xfId="4" applyFont="1"/>
    <xf numFmtId="0" fontId="74" fillId="0" borderId="0" xfId="4" applyFont="1" applyAlignment="1">
      <alignment wrapText="1"/>
    </xf>
    <xf numFmtId="0" fontId="39" fillId="0" borderId="0" xfId="3" applyFont="1" applyAlignment="1">
      <alignment vertical="center"/>
    </xf>
    <xf numFmtId="165" fontId="39" fillId="0" borderId="0" xfId="3" applyNumberFormat="1" applyFont="1" applyAlignment="1">
      <alignment horizontal="center" vertical="center"/>
    </xf>
    <xf numFmtId="0" fontId="75" fillId="0" borderId="0" xfId="3" applyFont="1" applyAlignment="1">
      <alignment vertical="center"/>
    </xf>
    <xf numFmtId="0" fontId="39" fillId="0" borderId="1" xfId="3" applyFont="1" applyBorder="1" applyAlignment="1">
      <alignment horizontal="center" vertical="center"/>
    </xf>
    <xf numFmtId="0" fontId="39" fillId="0" borderId="0" xfId="3" applyFont="1" applyAlignment="1">
      <alignment horizontal="center" vertical="center"/>
    </xf>
    <xf numFmtId="0" fontId="39" fillId="0" borderId="0" xfId="3" applyFont="1" applyAlignment="1">
      <alignment horizontal="center" vertical="center" wrapText="1"/>
    </xf>
    <xf numFmtId="165" fontId="36" fillId="0" borderId="0" xfId="3" applyNumberFormat="1" applyFont="1" applyAlignment="1">
      <alignment horizontal="center" vertical="center"/>
    </xf>
    <xf numFmtId="165" fontId="39" fillId="0" borderId="0" xfId="3" applyNumberFormat="1" applyFont="1" applyAlignment="1">
      <alignment horizontal="center"/>
    </xf>
    <xf numFmtId="0" fontId="39" fillId="0" borderId="0" xfId="3" applyFont="1"/>
    <xf numFmtId="165" fontId="39" fillId="0" borderId="3" xfId="3" applyNumberFormat="1" applyFont="1" applyBorder="1" applyAlignment="1">
      <alignment horizontal="center" vertical="center"/>
    </xf>
    <xf numFmtId="174" fontId="75" fillId="0" borderId="0" xfId="1" applyNumberFormat="1" applyFont="1" applyAlignment="1">
      <alignment vertical="center"/>
    </xf>
    <xf numFmtId="174" fontId="74" fillId="0" borderId="0" xfId="1" applyNumberFormat="1" applyFont="1" applyAlignment="1"/>
    <xf numFmtId="174" fontId="74" fillId="0" borderId="0" xfId="1" applyNumberFormat="1" applyFont="1" applyAlignment="1">
      <alignment wrapText="1"/>
    </xf>
    <xf numFmtId="0" fontId="76" fillId="0" borderId="0" xfId="3" applyFont="1" applyAlignment="1">
      <alignment vertical="center"/>
    </xf>
    <xf numFmtId="174" fontId="76" fillId="0" borderId="0" xfId="1" applyNumberFormat="1" applyFont="1" applyAlignment="1">
      <alignment vertical="center"/>
    </xf>
    <xf numFmtId="0" fontId="76" fillId="0" borderId="0" xfId="3" applyFont="1" applyAlignment="1">
      <alignment horizontal="right" vertical="center" readingOrder="2"/>
    </xf>
    <xf numFmtId="0" fontId="76" fillId="0" borderId="0" xfId="3" applyFont="1" applyAlignment="1">
      <alignment horizontal="right" vertical="center"/>
    </xf>
    <xf numFmtId="0" fontId="76" fillId="0" borderId="1" xfId="3" applyFont="1" applyBorder="1" applyAlignment="1">
      <alignment horizontal="center" vertical="center"/>
    </xf>
    <xf numFmtId="0" fontId="76" fillId="0" borderId="0" xfId="3" applyFont="1" applyAlignment="1">
      <alignment horizontal="center" vertical="center"/>
    </xf>
    <xf numFmtId="0" fontId="76" fillId="0" borderId="0" xfId="3" applyFont="1" applyAlignment="1">
      <alignment horizontal="center" vertical="center" wrapText="1"/>
    </xf>
    <xf numFmtId="165" fontId="76" fillId="0" borderId="0" xfId="3" applyNumberFormat="1" applyFont="1" applyAlignment="1">
      <alignment horizontal="center" vertical="center"/>
    </xf>
    <xf numFmtId="165" fontId="76" fillId="0" borderId="0" xfId="3" applyNumberFormat="1" applyFont="1" applyAlignment="1">
      <alignment horizontal="right" vertical="center"/>
    </xf>
    <xf numFmtId="165" fontId="76" fillId="0" borderId="3" xfId="3" applyNumberFormat="1" applyFont="1" applyBorder="1" applyAlignment="1">
      <alignment horizontal="center" vertical="center"/>
    </xf>
    <xf numFmtId="165" fontId="76" fillId="0" borderId="0" xfId="3" applyNumberFormat="1" applyFont="1" applyAlignment="1">
      <alignment horizontal="right" vertical="center" readingOrder="1"/>
    </xf>
    <xf numFmtId="165" fontId="76" fillId="0" borderId="4" xfId="3" applyNumberFormat="1" applyFont="1" applyBorder="1" applyAlignment="1">
      <alignment horizontal="center" vertical="center"/>
    </xf>
    <xf numFmtId="165" fontId="76" fillId="0" borderId="0" xfId="3" applyNumberFormat="1" applyFont="1" applyAlignment="1">
      <alignment vertical="center"/>
    </xf>
    <xf numFmtId="174" fontId="76" fillId="0" borderId="0" xfId="3" applyNumberFormat="1" applyFont="1" applyAlignment="1">
      <alignment vertical="center"/>
    </xf>
    <xf numFmtId="165" fontId="76" fillId="0" borderId="1" xfId="3" applyNumberFormat="1" applyFont="1" applyBorder="1" applyAlignment="1">
      <alignment horizontal="center" vertical="center"/>
    </xf>
    <xf numFmtId="0" fontId="76" fillId="0" borderId="0" xfId="3" applyFont="1" applyAlignment="1">
      <alignment horizontal="right" vertical="center" wrapText="1" readingOrder="2"/>
    </xf>
    <xf numFmtId="0" fontId="75" fillId="0" borderId="0" xfId="3" applyFont="1" applyAlignment="1">
      <alignment horizontal="right" vertical="center" readingOrder="2"/>
    </xf>
    <xf numFmtId="0" fontId="78" fillId="0" borderId="0" xfId="3" applyFont="1" applyAlignment="1">
      <alignment vertical="center"/>
    </xf>
    <xf numFmtId="165" fontId="76" fillId="0" borderId="0" xfId="3" applyNumberFormat="1" applyFont="1" applyAlignment="1">
      <alignment horizontal="right" vertical="center" wrapText="1" readingOrder="2"/>
    </xf>
    <xf numFmtId="0" fontId="78" fillId="0" borderId="1" xfId="3" applyFont="1" applyBorder="1" applyAlignment="1">
      <alignment horizontal="center" vertical="center"/>
    </xf>
    <xf numFmtId="0" fontId="78" fillId="0" borderId="0" xfId="3" applyFont="1" applyAlignment="1">
      <alignment horizontal="center" vertical="center"/>
    </xf>
    <xf numFmtId="0" fontId="78" fillId="0" borderId="0" xfId="3" applyFont="1" applyAlignment="1">
      <alignment horizontal="center" vertical="center" wrapText="1"/>
    </xf>
    <xf numFmtId="174" fontId="76" fillId="0" borderId="0" xfId="1" applyNumberFormat="1" applyFont="1" applyBorder="1" applyAlignment="1">
      <alignment vertical="center"/>
    </xf>
    <xf numFmtId="174" fontId="76" fillId="0" borderId="0" xfId="1" applyNumberFormat="1" applyFont="1" applyAlignment="1">
      <alignment horizontal="center" vertical="center"/>
    </xf>
    <xf numFmtId="0" fontId="50" fillId="0" borderId="0" xfId="4" applyFont="1"/>
    <xf numFmtId="0" fontId="36" fillId="0" borderId="0" xfId="3" applyFont="1"/>
    <xf numFmtId="0" fontId="39" fillId="0" borderId="0" xfId="3" applyFont="1" applyAlignment="1">
      <alignment vertical="top" wrapText="1" readingOrder="2"/>
    </xf>
    <xf numFmtId="0" fontId="39" fillId="2" borderId="0" xfId="3" applyFont="1" applyFill="1" applyAlignment="1">
      <alignment horizontal="center" vertical="center"/>
    </xf>
    <xf numFmtId="0" fontId="36" fillId="0" borderId="0" xfId="3" applyFont="1" applyAlignment="1">
      <alignment horizontal="center" vertical="center"/>
    </xf>
    <xf numFmtId="0" fontId="72" fillId="0" borderId="0" xfId="3" applyFont="1"/>
    <xf numFmtId="0" fontId="50" fillId="0" borderId="0" xfId="4" applyFont="1" applyAlignment="1">
      <alignment vertical="center"/>
    </xf>
    <xf numFmtId="0" fontId="72" fillId="0" borderId="0" xfId="3" applyFont="1" applyAlignment="1">
      <alignment vertical="center"/>
    </xf>
    <xf numFmtId="165" fontId="72" fillId="0" borderId="0" xfId="3" applyNumberFormat="1" applyFont="1" applyAlignment="1">
      <alignment horizontal="center" vertical="center" wrapText="1"/>
    </xf>
    <xf numFmtId="0" fontId="56" fillId="0" borderId="0" xfId="4" applyFont="1" applyAlignment="1">
      <alignment vertical="center"/>
    </xf>
    <xf numFmtId="0" fontId="69" fillId="0" borderId="0" xfId="10" applyFont="1" applyAlignment="1">
      <alignment vertical="center"/>
    </xf>
    <xf numFmtId="165" fontId="69" fillId="0" borderId="0" xfId="10" applyNumberFormat="1" applyFont="1" applyAlignment="1">
      <alignment horizontal="center" vertical="center" wrapText="1"/>
    </xf>
    <xf numFmtId="165" fontId="69" fillId="0" borderId="0" xfId="10" applyNumberFormat="1" applyFont="1" applyAlignment="1">
      <alignment vertical="center"/>
    </xf>
    <xf numFmtId="0" fontId="69" fillId="0" borderId="10" xfId="10" applyFont="1" applyBorder="1" applyAlignment="1">
      <alignment horizontal="center" vertical="center" wrapText="1"/>
    </xf>
    <xf numFmtId="0" fontId="69" fillId="0" borderId="8" xfId="10" applyFont="1" applyBorder="1" applyAlignment="1">
      <alignment horizontal="center" vertical="center" wrapText="1"/>
    </xf>
    <xf numFmtId="0" fontId="69" fillId="0" borderId="29" xfId="10" applyFont="1" applyBorder="1" applyAlignment="1">
      <alignment horizontal="center" vertical="center" wrapText="1"/>
    </xf>
    <xf numFmtId="167" fontId="69" fillId="0" borderId="32" xfId="0" applyNumberFormat="1" applyFont="1" applyBorder="1" applyAlignment="1">
      <alignment horizontal="right" vertical="center" shrinkToFit="1"/>
    </xf>
    <xf numFmtId="165" fontId="69" fillId="0" borderId="16" xfId="10" applyNumberFormat="1" applyFont="1" applyBorder="1" applyAlignment="1">
      <alignment horizontal="center" vertical="center" wrapText="1"/>
    </xf>
    <xf numFmtId="165" fontId="69" fillId="0" borderId="44" xfId="10" applyNumberFormat="1" applyFont="1" applyBorder="1" applyAlignment="1">
      <alignment horizontal="center" vertical="center" wrapText="1"/>
    </xf>
    <xf numFmtId="165" fontId="69" fillId="0" borderId="17" xfId="10" applyNumberFormat="1" applyFont="1" applyBorder="1" applyAlignment="1">
      <alignment horizontal="center" vertical="center" wrapText="1"/>
    </xf>
    <xf numFmtId="165" fontId="69" fillId="0" borderId="15" xfId="10" applyNumberFormat="1" applyFont="1" applyBorder="1" applyAlignment="1">
      <alignment horizontal="center" vertical="center" wrapText="1"/>
    </xf>
    <xf numFmtId="165" fontId="69" fillId="0" borderId="32" xfId="10" applyNumberFormat="1" applyFont="1" applyBorder="1" applyAlignment="1">
      <alignment horizontal="center" vertical="center" wrapText="1"/>
    </xf>
    <xf numFmtId="167" fontId="69" fillId="0" borderId="18" xfId="0" applyNumberFormat="1" applyFont="1" applyBorder="1" applyAlignment="1">
      <alignment horizontal="right" vertical="center" shrinkToFit="1"/>
    </xf>
    <xf numFmtId="165" fontId="69" fillId="0" borderId="13" xfId="10" applyNumberFormat="1" applyFont="1" applyBorder="1" applyAlignment="1">
      <alignment horizontal="center" vertical="center" wrapText="1"/>
    </xf>
    <xf numFmtId="165" fontId="69" fillId="0" borderId="45" xfId="10" applyNumberFormat="1" applyFont="1" applyBorder="1" applyAlignment="1">
      <alignment horizontal="center" vertical="center" wrapText="1"/>
    </xf>
    <xf numFmtId="165" fontId="69" fillId="0" borderId="47" xfId="10" applyNumberFormat="1" applyFont="1" applyBorder="1" applyAlignment="1">
      <alignment horizontal="center" vertical="center" wrapText="1"/>
    </xf>
    <xf numFmtId="165" fontId="69" fillId="0" borderId="18" xfId="10" applyNumberFormat="1" applyFont="1" applyBorder="1" applyAlignment="1">
      <alignment horizontal="center" vertical="center" wrapText="1"/>
    </xf>
    <xf numFmtId="165" fontId="69" fillId="0" borderId="48" xfId="10" applyNumberFormat="1" applyFont="1" applyBorder="1" applyAlignment="1">
      <alignment horizontal="center" vertical="center" wrapText="1"/>
    </xf>
    <xf numFmtId="167" fontId="69" fillId="0" borderId="30" xfId="0" applyNumberFormat="1" applyFont="1" applyBorder="1" applyAlignment="1">
      <alignment horizontal="right" vertical="center" shrinkToFit="1"/>
    </xf>
    <xf numFmtId="165" fontId="69" fillId="0" borderId="12" xfId="10" applyNumberFormat="1" applyFont="1" applyBorder="1" applyAlignment="1">
      <alignment horizontal="center" vertical="center" wrapText="1"/>
    </xf>
    <xf numFmtId="165" fontId="69" fillId="0" borderId="46" xfId="10" applyNumberFormat="1" applyFont="1" applyBorder="1" applyAlignment="1">
      <alignment horizontal="center" vertical="center" wrapText="1"/>
    </xf>
    <xf numFmtId="165" fontId="69" fillId="0" borderId="14" xfId="10" applyNumberFormat="1" applyFont="1" applyBorder="1" applyAlignment="1">
      <alignment horizontal="center" vertical="center" wrapText="1"/>
    </xf>
    <xf numFmtId="165" fontId="69" fillId="0" borderId="30" xfId="10" applyNumberFormat="1" applyFont="1" applyBorder="1" applyAlignment="1">
      <alignment horizontal="center" vertical="center" wrapText="1"/>
    </xf>
    <xf numFmtId="165" fontId="69" fillId="0" borderId="11" xfId="10" applyNumberFormat="1" applyFont="1" applyBorder="1" applyAlignment="1">
      <alignment horizontal="center" vertical="center" wrapText="1"/>
    </xf>
    <xf numFmtId="165" fontId="69" fillId="0" borderId="22" xfId="10" applyNumberFormat="1" applyFont="1" applyBorder="1" applyAlignment="1">
      <alignment horizontal="center" vertical="center" wrapText="1"/>
    </xf>
    <xf numFmtId="165" fontId="69" fillId="0" borderId="19" xfId="10" applyNumberFormat="1" applyFont="1" applyBorder="1" applyAlignment="1">
      <alignment horizontal="center" vertical="center" wrapText="1"/>
    </xf>
    <xf numFmtId="165" fontId="69" fillId="0" borderId="51" xfId="10" applyNumberFormat="1" applyFont="1" applyBorder="1" applyAlignment="1">
      <alignment horizontal="center" vertical="center" wrapText="1"/>
    </xf>
    <xf numFmtId="165" fontId="69" fillId="0" borderId="52" xfId="10" applyNumberFormat="1" applyFont="1" applyBorder="1" applyAlignment="1">
      <alignment horizontal="center" vertical="center" wrapText="1"/>
    </xf>
    <xf numFmtId="165" fontId="69" fillId="0" borderId="50" xfId="10" applyNumberFormat="1" applyFont="1" applyBorder="1" applyAlignment="1">
      <alignment horizontal="center" vertical="center" wrapText="1"/>
    </xf>
    <xf numFmtId="165" fontId="69" fillId="0" borderId="31" xfId="10" applyNumberFormat="1" applyFont="1" applyBorder="1" applyAlignment="1">
      <alignment horizontal="center" vertical="center" wrapText="1"/>
    </xf>
    <xf numFmtId="0" fontId="69" fillId="0" borderId="13" xfId="10" applyFont="1" applyBorder="1" applyAlignment="1">
      <alignment vertical="center"/>
    </xf>
    <xf numFmtId="165" fontId="69" fillId="0" borderId="57" xfId="10" applyNumberFormat="1" applyFont="1" applyBorder="1" applyAlignment="1">
      <alignment horizontal="center" vertical="center" wrapText="1"/>
    </xf>
    <xf numFmtId="167" fontId="69" fillId="0" borderId="53" xfId="0" applyNumberFormat="1" applyFont="1" applyBorder="1" applyAlignment="1">
      <alignment horizontal="right" vertical="center" shrinkToFit="1"/>
    </xf>
    <xf numFmtId="165" fontId="69" fillId="0" borderId="26" xfId="10" applyNumberFormat="1" applyFont="1" applyBorder="1" applyAlignment="1">
      <alignment horizontal="center" vertical="center" wrapText="1"/>
    </xf>
    <xf numFmtId="165" fontId="69" fillId="0" borderId="38" xfId="10" applyNumberFormat="1" applyFont="1" applyBorder="1" applyAlignment="1">
      <alignment horizontal="center" vertical="center" wrapText="1"/>
    </xf>
    <xf numFmtId="165" fontId="69" fillId="0" borderId="28" xfId="10" applyNumberFormat="1" applyFont="1" applyBorder="1" applyAlignment="1">
      <alignment horizontal="center" vertical="center" wrapText="1"/>
    </xf>
    <xf numFmtId="165" fontId="69" fillId="0" borderId="27" xfId="10" applyNumberFormat="1" applyFont="1" applyBorder="1" applyAlignment="1">
      <alignment horizontal="center" vertical="center" wrapText="1"/>
    </xf>
    <xf numFmtId="165" fontId="69" fillId="0" borderId="56" xfId="10" applyNumberFormat="1" applyFont="1" applyBorder="1" applyAlignment="1">
      <alignment horizontal="center" vertical="center" wrapText="1"/>
    </xf>
    <xf numFmtId="165" fontId="69" fillId="0" borderId="29" xfId="10" applyNumberFormat="1" applyFont="1" applyBorder="1" applyAlignment="1">
      <alignment horizontal="center" vertical="center" wrapText="1"/>
    </xf>
    <xf numFmtId="165" fontId="69" fillId="0" borderId="9" xfId="10" applyNumberFormat="1" applyFont="1" applyBorder="1" applyAlignment="1">
      <alignment horizontal="center" vertical="center" wrapText="1"/>
    </xf>
    <xf numFmtId="165" fontId="69" fillId="0" borderId="43" xfId="10" applyNumberFormat="1" applyFont="1" applyBorder="1" applyAlignment="1">
      <alignment horizontal="center" vertical="center" wrapText="1"/>
    </xf>
    <xf numFmtId="165" fontId="69" fillId="0" borderId="10" xfId="10" applyNumberFormat="1" applyFont="1" applyBorder="1" applyAlignment="1">
      <alignment horizontal="center" vertical="center" wrapText="1"/>
    </xf>
    <xf numFmtId="165" fontId="69" fillId="0" borderId="8" xfId="10" applyNumberFormat="1" applyFont="1" applyBorder="1" applyAlignment="1">
      <alignment horizontal="center" vertical="center" wrapText="1"/>
    </xf>
    <xf numFmtId="0" fontId="69" fillId="0" borderId="0" xfId="10" applyFont="1" applyAlignment="1">
      <alignment horizontal="right" vertical="center" wrapText="1" readingOrder="2"/>
    </xf>
    <xf numFmtId="0" fontId="69" fillId="0" borderId="0" xfId="10" applyFont="1" applyAlignment="1">
      <alignment vertical="center" wrapText="1" readingOrder="2"/>
    </xf>
    <xf numFmtId="174" fontId="69" fillId="0" borderId="18" xfId="1" applyNumberFormat="1" applyFont="1" applyBorder="1" applyAlignment="1">
      <alignment horizontal="center" vertical="center"/>
    </xf>
    <xf numFmtId="0" fontId="73" fillId="0" borderId="0" xfId="8" applyFont="1" applyAlignment="1">
      <alignment vertical="center" wrapText="1"/>
    </xf>
    <xf numFmtId="165" fontId="81" fillId="0" borderId="0" xfId="3" applyNumberFormat="1" applyFont="1" applyAlignment="1">
      <alignment horizontal="center" vertical="center" wrapText="1"/>
    </xf>
    <xf numFmtId="165" fontId="72" fillId="0" borderId="0" xfId="3" applyNumberFormat="1" applyFont="1" applyAlignment="1">
      <alignment vertical="center"/>
    </xf>
    <xf numFmtId="0" fontId="36" fillId="0" borderId="0" xfId="10" applyFont="1" applyAlignment="1">
      <alignment horizontal="right" vertical="center" wrapText="1" readingOrder="2"/>
    </xf>
    <xf numFmtId="0" fontId="36" fillId="0" borderId="0" xfId="3" applyFont="1" applyAlignment="1">
      <alignment horizontal="right" vertical="center" wrapText="1" readingOrder="2"/>
    </xf>
    <xf numFmtId="0" fontId="81" fillId="0" borderId="0" xfId="3" applyFont="1" applyAlignment="1">
      <alignment horizontal="right" vertical="center" wrapText="1" readingOrder="2"/>
    </xf>
    <xf numFmtId="0" fontId="36" fillId="0" borderId="7" xfId="3" applyFont="1" applyBorder="1" applyAlignment="1">
      <alignment horizontal="center" vertical="center" wrapText="1" readingOrder="2"/>
    </xf>
    <xf numFmtId="174" fontId="36" fillId="0" borderId="0" xfId="1" applyNumberFormat="1" applyFont="1" applyAlignment="1">
      <alignment horizontal="center" wrapText="1" readingOrder="2"/>
    </xf>
    <xf numFmtId="174" fontId="36" fillId="0" borderId="7" xfId="1" applyNumberFormat="1" applyFont="1" applyBorder="1" applyAlignment="1">
      <alignment horizontal="center" vertical="center" wrapText="1" readingOrder="2"/>
    </xf>
    <xf numFmtId="0" fontId="36" fillId="0" borderId="0" xfId="3" applyFont="1" applyAlignment="1">
      <alignment horizontal="center" wrapText="1" readingOrder="2"/>
    </xf>
    <xf numFmtId="174" fontId="36" fillId="0" borderId="0" xfId="3" applyNumberFormat="1" applyFont="1" applyAlignment="1">
      <alignment horizontal="center" wrapText="1" readingOrder="2"/>
    </xf>
    <xf numFmtId="174" fontId="36" fillId="0" borderId="0" xfId="1" applyNumberFormat="1" applyFont="1" applyBorder="1" applyAlignment="1">
      <alignment horizontal="center" wrapText="1" readingOrder="2"/>
    </xf>
    <xf numFmtId="166" fontId="83" fillId="0" borderId="0" xfId="1" applyNumberFormat="1" applyFont="1" applyFill="1" applyBorder="1" applyAlignment="1">
      <alignment vertical="center" readingOrder="2"/>
    </xf>
    <xf numFmtId="0" fontId="83" fillId="0" borderId="0" xfId="0" applyFont="1" applyAlignment="1">
      <alignment vertical="center" readingOrder="2"/>
    </xf>
    <xf numFmtId="0" fontId="53" fillId="0" borderId="0" xfId="0" applyFont="1" applyAlignment="1">
      <alignment readingOrder="2"/>
    </xf>
    <xf numFmtId="0" fontId="53" fillId="2" borderId="0" xfId="0" applyFont="1" applyFill="1" applyAlignment="1">
      <alignment readingOrder="2"/>
    </xf>
    <xf numFmtId="165" fontId="53" fillId="2" borderId="0" xfId="0" applyNumberFormat="1" applyFont="1" applyFill="1" applyAlignment="1">
      <alignment horizontal="center" vertical="center" readingOrder="2"/>
    </xf>
    <xf numFmtId="165" fontId="53" fillId="2" borderId="0" xfId="0" applyNumberFormat="1" applyFont="1" applyFill="1" applyAlignment="1">
      <alignment readingOrder="2"/>
    </xf>
    <xf numFmtId="166" fontId="53" fillId="0" borderId="0" xfId="1" applyNumberFormat="1" applyFont="1" applyFill="1" applyBorder="1" applyAlignment="1">
      <alignment readingOrder="2"/>
    </xf>
    <xf numFmtId="0" fontId="53" fillId="2" borderId="1" xfId="0" applyFont="1" applyFill="1" applyBorder="1" applyAlignment="1">
      <alignment horizontal="center" readingOrder="2"/>
    </xf>
    <xf numFmtId="0" fontId="53" fillId="2" borderId="0" xfId="0" applyFont="1" applyFill="1" applyAlignment="1">
      <alignment horizontal="center" vertical="center" readingOrder="2"/>
    </xf>
    <xf numFmtId="165" fontId="73" fillId="2" borderId="1" xfId="0" applyNumberFormat="1" applyFont="1" applyFill="1" applyBorder="1" applyAlignment="1">
      <alignment horizontal="center" vertical="center" wrapText="1" readingOrder="2"/>
    </xf>
    <xf numFmtId="165" fontId="73" fillId="2" borderId="0" xfId="0" applyNumberFormat="1" applyFont="1" applyFill="1" applyAlignment="1">
      <alignment wrapText="1" readingOrder="2"/>
    </xf>
    <xf numFmtId="165" fontId="73" fillId="2" borderId="0" xfId="0" applyNumberFormat="1" applyFont="1" applyFill="1" applyAlignment="1">
      <alignment horizontal="center" vertical="center" readingOrder="2"/>
    </xf>
    <xf numFmtId="0" fontId="73" fillId="2" borderId="0" xfId="0" applyFont="1" applyFill="1" applyAlignment="1">
      <alignment horizontal="right" vertical="center" readingOrder="2"/>
    </xf>
    <xf numFmtId="165" fontId="53" fillId="2" borderId="0" xfId="0" applyNumberFormat="1" applyFont="1" applyFill="1" applyAlignment="1">
      <alignment horizontal="right" vertical="center" wrapText="1" readingOrder="2"/>
    </xf>
    <xf numFmtId="166" fontId="53" fillId="0" borderId="0" xfId="0" applyNumberFormat="1" applyFont="1" applyAlignment="1">
      <alignment readingOrder="2"/>
    </xf>
    <xf numFmtId="165" fontId="53" fillId="0" borderId="0" xfId="0" applyNumberFormat="1" applyFont="1" applyAlignment="1">
      <alignment readingOrder="2"/>
    </xf>
    <xf numFmtId="165" fontId="53" fillId="2" borderId="0" xfId="0" applyNumberFormat="1" applyFont="1" applyFill="1" applyAlignment="1">
      <alignment horizontal="right" wrapText="1" readingOrder="2"/>
    </xf>
    <xf numFmtId="1" fontId="53" fillId="0" borderId="0" xfId="0" applyNumberFormat="1" applyFont="1" applyAlignment="1">
      <alignment horizontal="center" readingOrder="2"/>
    </xf>
    <xf numFmtId="168" fontId="53" fillId="0" borderId="0" xfId="0" applyNumberFormat="1" applyFont="1" applyAlignment="1">
      <alignment readingOrder="2"/>
    </xf>
    <xf numFmtId="165" fontId="53" fillId="2" borderId="0" xfId="1" applyNumberFormat="1" applyFont="1" applyFill="1" applyBorder="1" applyAlignment="1">
      <alignment horizontal="center" vertical="center" wrapText="1" readingOrder="2"/>
    </xf>
    <xf numFmtId="174" fontId="53" fillId="0" borderId="0" xfId="1" applyNumberFormat="1" applyFont="1" applyFill="1" applyBorder="1" applyAlignment="1">
      <alignment readingOrder="2"/>
    </xf>
    <xf numFmtId="1" fontId="53" fillId="0" borderId="0" xfId="0" applyNumberFormat="1" applyFont="1" applyAlignment="1">
      <alignment readingOrder="2"/>
    </xf>
    <xf numFmtId="3" fontId="53" fillId="0" borderId="0" xfId="0" applyNumberFormat="1" applyFont="1" applyAlignment="1">
      <alignment readingOrder="2"/>
    </xf>
    <xf numFmtId="43" fontId="53" fillId="0" borderId="0" xfId="0" applyNumberFormat="1" applyFont="1" applyAlignment="1">
      <alignment readingOrder="2"/>
    </xf>
    <xf numFmtId="165" fontId="73" fillId="2" borderId="0" xfId="0" applyNumberFormat="1" applyFont="1" applyFill="1" applyAlignment="1">
      <alignment horizontal="right" wrapText="1" readingOrder="2"/>
    </xf>
    <xf numFmtId="165" fontId="53" fillId="2" borderId="0" xfId="0" applyNumberFormat="1" applyFont="1" applyFill="1" applyAlignment="1">
      <alignment vertical="center" wrapText="1" readingOrder="2"/>
    </xf>
    <xf numFmtId="0" fontId="84" fillId="0" borderId="0" xfId="0" applyFont="1" applyAlignment="1">
      <alignment horizontal="center" vertical="center" readingOrder="2"/>
    </xf>
    <xf numFmtId="0" fontId="53" fillId="0" borderId="0" xfId="0" applyFont="1" applyAlignment="1">
      <alignment horizontal="right" readingOrder="2"/>
    </xf>
    <xf numFmtId="165" fontId="53" fillId="2" borderId="0" xfId="0" applyNumberFormat="1" applyFont="1" applyFill="1" applyAlignment="1">
      <alignment horizontal="center" wrapText="1" readingOrder="2"/>
    </xf>
    <xf numFmtId="0" fontId="49" fillId="0" borderId="0" xfId="0" applyFont="1" applyAlignment="1">
      <alignment readingOrder="2"/>
    </xf>
    <xf numFmtId="165" fontId="49" fillId="0" borderId="0" xfId="0" applyNumberFormat="1" applyFont="1" applyAlignment="1">
      <alignment readingOrder="2"/>
    </xf>
    <xf numFmtId="166" fontId="49" fillId="0" borderId="0" xfId="1" applyNumberFormat="1" applyFont="1" applyFill="1" applyBorder="1" applyAlignment="1">
      <alignment readingOrder="2"/>
    </xf>
    <xf numFmtId="0" fontId="73" fillId="2" borderId="0" xfId="0" applyFont="1" applyFill="1" applyAlignment="1">
      <alignment horizontal="center" readingOrder="2"/>
    </xf>
    <xf numFmtId="166" fontId="85" fillId="0" borderId="0" xfId="1" applyNumberFormat="1" applyFont="1" applyFill="1" applyBorder="1" applyAlignment="1">
      <alignment vertical="center" wrapText="1" readingOrder="2"/>
    </xf>
    <xf numFmtId="3" fontId="85" fillId="0" borderId="0" xfId="0" applyNumberFormat="1" applyFont="1" applyAlignment="1">
      <alignment vertical="center" wrapText="1" readingOrder="2"/>
    </xf>
    <xf numFmtId="0" fontId="69" fillId="0" borderId="0" xfId="0" applyFont="1" applyAlignment="1">
      <alignment vertical="center"/>
    </xf>
    <xf numFmtId="0" fontId="72" fillId="0" borderId="0" xfId="0" applyFont="1" applyAlignment="1">
      <alignment vertical="center"/>
    </xf>
    <xf numFmtId="9" fontId="37" fillId="0" borderId="0" xfId="12" applyFont="1" applyFill="1" applyAlignment="1">
      <alignment vertical="center" readingOrder="2"/>
    </xf>
    <xf numFmtId="0" fontId="50" fillId="2" borderId="0" xfId="4" applyFont="1" applyFill="1" applyBorder="1" applyAlignment="1">
      <alignment horizontal="center" vertical="center" readingOrder="2"/>
    </xf>
    <xf numFmtId="165" fontId="61" fillId="0" borderId="0" xfId="0" applyNumberFormat="1" applyFont="1" applyAlignment="1">
      <alignment horizontal="center" vertical="center" wrapText="1" readingOrder="2"/>
    </xf>
    <xf numFmtId="0" fontId="34" fillId="2" borderId="1" xfId="0" applyFont="1" applyFill="1" applyBorder="1" applyAlignment="1">
      <alignment horizontal="center" vertical="center" readingOrder="2"/>
    </xf>
    <xf numFmtId="49" fontId="35" fillId="0" borderId="0" xfId="0" applyNumberFormat="1" applyFont="1" applyAlignment="1">
      <alignment horizontal="right" vertical="center" shrinkToFit="1" readingOrder="2"/>
    </xf>
    <xf numFmtId="0" fontId="35" fillId="0" borderId="0" xfId="0" applyFont="1" applyAlignment="1">
      <alignment vertical="center" readingOrder="2"/>
    </xf>
    <xf numFmtId="0" fontId="34" fillId="0" borderId="0" xfId="8" applyFont="1" applyAlignment="1">
      <alignment horizontal="center" vertical="center" wrapText="1"/>
    </xf>
    <xf numFmtId="0" fontId="35" fillId="2" borderId="0" xfId="0" applyFont="1" applyFill="1" applyAlignment="1">
      <alignment readingOrder="2"/>
    </xf>
    <xf numFmtId="0" fontId="35" fillId="2" borderId="0" xfId="0" applyFont="1" applyFill="1" applyAlignment="1">
      <alignment horizontal="center" readingOrder="2"/>
    </xf>
    <xf numFmtId="0" fontId="34" fillId="0" borderId="0" xfId="0" applyFont="1" applyAlignment="1">
      <alignment horizontal="center" readingOrder="2"/>
    </xf>
    <xf numFmtId="0" fontId="34" fillId="2" borderId="0" xfId="0" applyFont="1" applyFill="1" applyAlignment="1">
      <alignment horizontal="center" readingOrder="2"/>
    </xf>
    <xf numFmtId="0" fontId="35" fillId="0" borderId="0" xfId="0" applyFont="1" applyAlignment="1">
      <alignment horizontal="center" readingOrder="2"/>
    </xf>
    <xf numFmtId="0" fontId="35" fillId="0" borderId="0" xfId="0" applyFont="1" applyAlignment="1">
      <alignment readingOrder="2"/>
    </xf>
    <xf numFmtId="0" fontId="35" fillId="2" borderId="0" xfId="0" applyFont="1" applyFill="1" applyAlignment="1">
      <alignment horizontal="center" vertical="center" readingOrder="2"/>
    </xf>
    <xf numFmtId="0" fontId="35" fillId="0" borderId="0" xfId="0" applyFont="1" applyAlignment="1">
      <alignment vertical="center" wrapText="1" readingOrder="2"/>
    </xf>
    <xf numFmtId="0" fontId="34" fillId="0" borderId="0" xfId="0" applyFont="1" applyAlignment="1">
      <alignment horizontal="center" vertical="center" readingOrder="2"/>
    </xf>
    <xf numFmtId="165" fontId="35" fillId="0" borderId="0" xfId="0" applyNumberFormat="1" applyFont="1" applyAlignment="1">
      <alignment horizontal="center" wrapText="1" readingOrder="2"/>
    </xf>
    <xf numFmtId="165" fontId="34" fillId="0" borderId="4" xfId="1" applyNumberFormat="1" applyFont="1" applyFill="1" applyBorder="1" applyAlignment="1">
      <alignment horizontal="center" vertical="center" wrapText="1" readingOrder="2"/>
    </xf>
    <xf numFmtId="165" fontId="34" fillId="2" borderId="4" xfId="1" applyNumberFormat="1" applyFont="1" applyFill="1" applyBorder="1" applyAlignment="1">
      <alignment horizontal="center" vertical="center" wrapText="1" readingOrder="2"/>
    </xf>
    <xf numFmtId="0" fontId="34" fillId="2" borderId="0" xfId="0" applyFont="1" applyFill="1" applyAlignment="1">
      <alignment vertical="top" wrapText="1" readingOrder="2"/>
    </xf>
    <xf numFmtId="165" fontId="34" fillId="0" borderId="0" xfId="0" applyNumberFormat="1" applyFont="1" applyAlignment="1">
      <alignment horizontal="center" vertical="center" wrapText="1" readingOrder="2"/>
    </xf>
    <xf numFmtId="3" fontId="34" fillId="0" borderId="0" xfId="0" applyNumberFormat="1" applyFont="1" applyAlignment="1">
      <alignment horizontal="center" vertical="center" readingOrder="2"/>
    </xf>
    <xf numFmtId="165" fontId="35" fillId="0" borderId="1" xfId="1" applyNumberFormat="1" applyFont="1" applyFill="1" applyBorder="1" applyAlignment="1">
      <alignment horizontal="center" vertical="center" wrapText="1" readingOrder="2"/>
    </xf>
    <xf numFmtId="165" fontId="34" fillId="2" borderId="0" xfId="1" applyNumberFormat="1" applyFont="1" applyFill="1" applyBorder="1" applyAlignment="1">
      <alignment horizontal="center" vertical="center" wrapText="1" readingOrder="2"/>
    </xf>
    <xf numFmtId="0" fontId="34" fillId="0" borderId="0" xfId="0" applyFont="1" applyAlignment="1">
      <alignment readingOrder="2"/>
    </xf>
    <xf numFmtId="165" fontId="34" fillId="2" borderId="49" xfId="1" applyNumberFormat="1" applyFont="1" applyFill="1" applyBorder="1" applyAlignment="1">
      <alignment horizontal="center" vertical="center" wrapText="1" readingOrder="2"/>
    </xf>
    <xf numFmtId="3" fontId="34" fillId="0" borderId="0" xfId="0" applyNumberFormat="1" applyFont="1" applyAlignment="1">
      <alignment readingOrder="2"/>
    </xf>
    <xf numFmtId="49" fontId="35" fillId="0" borderId="0" xfId="0" applyNumberFormat="1" applyFont="1" applyAlignment="1">
      <alignment horizontal="center" readingOrder="2"/>
    </xf>
    <xf numFmtId="174" fontId="36" fillId="2" borderId="0" xfId="0" applyNumberFormat="1" applyFont="1" applyFill="1" applyAlignment="1">
      <alignment horizontal="right"/>
    </xf>
    <xf numFmtId="165" fontId="35" fillId="0" borderId="0" xfId="0" applyNumberFormat="1" applyFont="1" applyAlignment="1">
      <alignment readingOrder="2"/>
    </xf>
    <xf numFmtId="0" fontId="36" fillId="0" borderId="0" xfId="0" applyFont="1" applyAlignment="1">
      <alignment vertical="center"/>
    </xf>
    <xf numFmtId="0" fontId="86" fillId="0" borderId="0" xfId="0" applyFont="1" applyAlignment="1">
      <alignment horizontal="center" vertical="center" readingOrder="2"/>
    </xf>
    <xf numFmtId="0" fontId="42" fillId="0" borderId="0" xfId="0" applyFont="1" applyAlignment="1">
      <alignment horizontal="center" vertical="center" wrapText="1" readingOrder="2"/>
    </xf>
    <xf numFmtId="0" fontId="42" fillId="0" borderId="0" xfId="0" applyFont="1" applyAlignment="1">
      <alignment horizontal="right" vertical="center" wrapText="1" readingOrder="2"/>
    </xf>
    <xf numFmtId="174" fontId="42" fillId="0" borderId="0" xfId="0" applyNumberFormat="1" applyFont="1" applyAlignment="1">
      <alignment horizontal="center" vertical="center" wrapText="1" readingOrder="2"/>
    </xf>
    <xf numFmtId="0" fontId="42" fillId="0" borderId="0" xfId="0" applyFont="1" applyAlignment="1">
      <alignment horizontal="right" vertical="center" readingOrder="2"/>
    </xf>
    <xf numFmtId="165" fontId="42" fillId="0" borderId="4" xfId="0" applyNumberFormat="1" applyFont="1" applyBorder="1" applyAlignment="1">
      <alignment horizontal="center" vertical="center" readingOrder="2"/>
    </xf>
    <xf numFmtId="174" fontId="42" fillId="0" borderId="0" xfId="0" applyNumberFormat="1" applyFont="1" applyAlignment="1">
      <alignment horizontal="center" vertical="center" readingOrder="2"/>
    </xf>
    <xf numFmtId="165" fontId="42" fillId="0" borderId="49" xfId="0" applyNumberFormat="1" applyFont="1" applyBorder="1" applyAlignment="1">
      <alignment horizontal="center" vertical="center" readingOrder="2"/>
    </xf>
    <xf numFmtId="165" fontId="42" fillId="0" borderId="1" xfId="0" applyNumberFormat="1" applyFont="1" applyBorder="1" applyAlignment="1">
      <alignment horizontal="center" vertical="center" readingOrder="2"/>
    </xf>
    <xf numFmtId="165" fontId="42" fillId="0" borderId="2" xfId="0" applyNumberFormat="1" applyFont="1" applyBorder="1" applyAlignment="1">
      <alignment horizontal="center" vertical="center" readingOrder="2"/>
    </xf>
    <xf numFmtId="165" fontId="37" fillId="0" borderId="0" xfId="1" applyNumberFormat="1" applyFont="1" applyFill="1" applyAlignment="1">
      <alignment horizontal="center" vertical="center" wrapText="1" readingOrder="2"/>
    </xf>
    <xf numFmtId="165" fontId="42" fillId="0" borderId="3" xfId="0" applyNumberFormat="1" applyFont="1" applyBorder="1" applyAlignment="1">
      <alignment horizontal="center" vertical="center" readingOrder="2"/>
    </xf>
    <xf numFmtId="165" fontId="42" fillId="0" borderId="0" xfId="1" applyNumberFormat="1" applyFont="1" applyFill="1" applyBorder="1" applyAlignment="1">
      <alignment horizontal="center" vertical="center" wrapText="1" readingOrder="2"/>
    </xf>
    <xf numFmtId="49" fontId="42" fillId="0" borderId="0" xfId="0" applyNumberFormat="1" applyFont="1" applyAlignment="1">
      <alignment horizontal="center" vertical="center" readingOrder="2"/>
    </xf>
    <xf numFmtId="165" fontId="34" fillId="0" borderId="0" xfId="1" applyNumberFormat="1" applyFont="1" applyFill="1" applyBorder="1" applyAlignment="1">
      <alignment horizontal="center" vertical="center" wrapText="1" readingOrder="2"/>
    </xf>
    <xf numFmtId="0" fontId="42" fillId="2" borderId="0" xfId="0" applyFont="1" applyFill="1" applyAlignment="1">
      <alignment horizontal="center" readingOrder="2"/>
    </xf>
    <xf numFmtId="0" fontId="59" fillId="0" borderId="0" xfId="0" applyFont="1" applyAlignment="1">
      <alignment horizontal="center" vertical="center"/>
    </xf>
    <xf numFmtId="0" fontId="59" fillId="0" borderId="0" xfId="0" applyFont="1" applyAlignment="1">
      <alignment vertical="center"/>
    </xf>
    <xf numFmtId="0" fontId="87" fillId="0" borderId="0" xfId="4" applyFont="1" applyFill="1" applyAlignment="1">
      <alignment horizontal="center" vertical="center" readingOrder="2"/>
    </xf>
    <xf numFmtId="0" fontId="87" fillId="2" borderId="0" xfId="4" applyFont="1" applyFill="1" applyAlignment="1">
      <alignment horizontal="center" vertical="center" readingOrder="2"/>
    </xf>
    <xf numFmtId="0" fontId="86" fillId="2" borderId="0" xfId="0" applyFont="1" applyFill="1" applyAlignment="1">
      <alignment horizontal="right" vertical="center" readingOrder="2"/>
    </xf>
    <xf numFmtId="0" fontId="86" fillId="2" borderId="0" xfId="0" applyFont="1" applyFill="1" applyAlignment="1">
      <alignment horizontal="center" vertical="center" readingOrder="2"/>
    </xf>
    <xf numFmtId="174" fontId="50" fillId="0" borderId="0" xfId="4" applyNumberFormat="1" applyFont="1"/>
    <xf numFmtId="0" fontId="88" fillId="2" borderId="0" xfId="0" applyFont="1" applyFill="1" applyAlignment="1">
      <alignment readingOrder="2"/>
    </xf>
    <xf numFmtId="0" fontId="48" fillId="2" borderId="0" xfId="0" applyFont="1" applyFill="1" applyAlignment="1">
      <alignment horizontal="center" vertical="center" readingOrder="2"/>
    </xf>
    <xf numFmtId="0" fontId="89" fillId="2" borderId="0" xfId="0" applyFont="1" applyFill="1" applyAlignment="1">
      <alignment horizontal="center" vertical="center" readingOrder="2"/>
    </xf>
    <xf numFmtId="174" fontId="72" fillId="0" borderId="0" xfId="0" applyNumberFormat="1" applyFont="1"/>
    <xf numFmtId="0" fontId="80" fillId="0" borderId="0" xfId="0" applyFont="1"/>
    <xf numFmtId="0" fontId="54" fillId="2" borderId="1" xfId="0" applyFont="1" applyFill="1" applyBorder="1" applyAlignment="1">
      <alignment horizontal="center" vertical="center" readingOrder="2"/>
    </xf>
    <xf numFmtId="0" fontId="54" fillId="2" borderId="1" xfId="0" applyFont="1" applyFill="1" applyBorder="1" applyAlignment="1">
      <alignment horizontal="center" vertical="center" wrapText="1" readingOrder="2"/>
    </xf>
    <xf numFmtId="0" fontId="54" fillId="2" borderId="0" xfId="0" applyFont="1" applyFill="1" applyAlignment="1">
      <alignment vertical="center" wrapText="1" readingOrder="2"/>
    </xf>
    <xf numFmtId="174" fontId="80" fillId="0" borderId="0" xfId="0" applyNumberFormat="1" applyFont="1"/>
    <xf numFmtId="0" fontId="90" fillId="2" borderId="0" xfId="0" applyFont="1" applyFill="1" applyAlignment="1">
      <alignment horizontal="center" vertical="center" readingOrder="2"/>
    </xf>
    <xf numFmtId="0" fontId="91" fillId="2" borderId="0" xfId="0" applyFont="1" applyFill="1" applyAlignment="1">
      <alignment horizontal="center" vertical="center" readingOrder="2"/>
    </xf>
    <xf numFmtId="0" fontId="81" fillId="0" borderId="0" xfId="0" applyFont="1"/>
    <xf numFmtId="167" fontId="73" fillId="2" borderId="0" xfId="0" applyNumberFormat="1" applyFont="1" applyFill="1" applyAlignment="1">
      <alignment horizontal="center" vertical="center" readingOrder="2"/>
    </xf>
    <xf numFmtId="167" fontId="73" fillId="2" borderId="0" xfId="0" applyNumberFormat="1" applyFont="1" applyFill="1" applyAlignment="1">
      <alignment horizontal="center" vertical="center" wrapText="1" readingOrder="2"/>
    </xf>
    <xf numFmtId="174" fontId="81" fillId="0" borderId="0" xfId="0" applyNumberFormat="1" applyFont="1"/>
    <xf numFmtId="0" fontId="53" fillId="2" borderId="0" xfId="0" applyFont="1" applyFill="1" applyAlignment="1">
      <alignment horizontal="right" vertical="center" readingOrder="2"/>
    </xf>
    <xf numFmtId="165" fontId="73" fillId="2" borderId="0" xfId="0" applyNumberFormat="1" applyFont="1" applyFill="1" applyAlignment="1">
      <alignment horizontal="center" vertical="center" wrapText="1" readingOrder="2"/>
    </xf>
    <xf numFmtId="165" fontId="73" fillId="2" borderId="4" xfId="0" applyNumberFormat="1" applyFont="1" applyFill="1" applyBorder="1" applyAlignment="1">
      <alignment horizontal="center" vertical="center" wrapText="1" readingOrder="2"/>
    </xf>
    <xf numFmtId="165" fontId="73" fillId="2" borderId="0" xfId="0" quotePrefix="1" applyNumberFormat="1" applyFont="1" applyFill="1" applyAlignment="1">
      <alignment horizontal="center" vertical="center" wrapText="1" readingOrder="2"/>
    </xf>
    <xf numFmtId="174" fontId="81" fillId="0" borderId="0" xfId="1" applyNumberFormat="1" applyFont="1"/>
    <xf numFmtId="165" fontId="81" fillId="0" borderId="0" xfId="0" applyNumberFormat="1" applyFont="1"/>
    <xf numFmtId="167" fontId="73" fillId="2" borderId="3" xfId="0" applyNumberFormat="1" applyFont="1" applyFill="1" applyBorder="1" applyAlignment="1">
      <alignment horizontal="center" vertical="center" readingOrder="2"/>
    </xf>
    <xf numFmtId="0" fontId="88" fillId="2" borderId="0" xfId="0" applyFont="1" applyFill="1" applyAlignment="1">
      <alignment horizontal="right" vertical="center" readingOrder="2"/>
    </xf>
    <xf numFmtId="167" fontId="54" fillId="2" borderId="0" xfId="0" applyNumberFormat="1" applyFont="1" applyFill="1" applyAlignment="1">
      <alignment horizontal="center" vertical="center" readingOrder="2"/>
    </xf>
    <xf numFmtId="0" fontId="92" fillId="0" borderId="0" xfId="0" applyFont="1"/>
    <xf numFmtId="0" fontId="80" fillId="0" borderId="0" xfId="0" applyFont="1" applyAlignment="1">
      <alignment horizontal="center" vertical="center"/>
    </xf>
    <xf numFmtId="167" fontId="80" fillId="0" borderId="0" xfId="0" applyNumberFormat="1" applyFont="1" applyAlignment="1">
      <alignment horizontal="center" vertical="center"/>
    </xf>
    <xf numFmtId="165" fontId="80" fillId="0" borderId="0" xfId="0" applyNumberFormat="1" applyFont="1" applyAlignment="1">
      <alignment horizontal="center" vertical="center"/>
    </xf>
    <xf numFmtId="0" fontId="72" fillId="0" borderId="0" xfId="0" applyFont="1" applyAlignment="1">
      <alignment horizontal="center" vertical="center"/>
    </xf>
    <xf numFmtId="0" fontId="50" fillId="0" borderId="0" xfId="4" applyFont="1" applyBorder="1"/>
    <xf numFmtId="49" fontId="76" fillId="0" borderId="0" xfId="0" applyNumberFormat="1" applyFont="1" applyAlignment="1">
      <alignment horizontal="left"/>
    </xf>
    <xf numFmtId="0" fontId="76" fillId="0" borderId="0" xfId="0" applyFont="1"/>
    <xf numFmtId="0" fontId="76" fillId="0" borderId="0" xfId="0" applyFont="1" applyAlignment="1">
      <alignment horizontal="left"/>
    </xf>
    <xf numFmtId="0" fontId="73" fillId="2" borderId="0" xfId="0" applyFont="1" applyFill="1" applyAlignment="1">
      <alignment readingOrder="2"/>
    </xf>
    <xf numFmtId="0" fontId="81" fillId="0" borderId="0" xfId="0" applyFont="1" applyAlignment="1">
      <alignment horizontal="left"/>
    </xf>
    <xf numFmtId="167" fontId="73" fillId="2" borderId="0" xfId="0" applyNumberFormat="1" applyFont="1" applyFill="1" applyAlignment="1">
      <alignment horizontal="right" vertical="center" readingOrder="2"/>
    </xf>
    <xf numFmtId="0" fontId="81" fillId="0" borderId="0" xfId="0" applyFont="1" applyAlignment="1">
      <alignment horizontal="center" vertical="center"/>
    </xf>
    <xf numFmtId="0" fontId="73" fillId="2" borderId="1" xfId="0" applyFont="1" applyFill="1" applyBorder="1" applyAlignment="1">
      <alignment horizontal="center" vertical="center" readingOrder="2"/>
    </xf>
    <xf numFmtId="0" fontId="81" fillId="0" borderId="0" xfId="0" applyFont="1" applyAlignment="1">
      <alignment horizontal="center"/>
    </xf>
    <xf numFmtId="0" fontId="53" fillId="2" borderId="0" xfId="0" applyFont="1" applyFill="1" applyAlignment="1">
      <alignment vertical="center" readingOrder="2"/>
    </xf>
    <xf numFmtId="0" fontId="53" fillId="0" borderId="3" xfId="0" applyFont="1" applyBorder="1" applyAlignment="1">
      <alignment horizontal="center" vertical="center" readingOrder="2"/>
    </xf>
    <xf numFmtId="0" fontId="53" fillId="0" borderId="0" xfId="0" applyFont="1" applyAlignment="1">
      <alignment horizontal="center" vertical="center" readingOrder="2"/>
    </xf>
    <xf numFmtId="0" fontId="76" fillId="0" borderId="0" xfId="0" applyFont="1" applyAlignment="1">
      <alignment horizontal="center" vertical="center"/>
    </xf>
    <xf numFmtId="49" fontId="76" fillId="0" borderId="0" xfId="0" applyNumberFormat="1" applyFont="1" applyAlignment="1">
      <alignment horizontal="center" vertical="center"/>
    </xf>
    <xf numFmtId="0" fontId="81" fillId="0" borderId="0" xfId="0" applyFont="1" applyAlignment="1">
      <alignment horizontal="right" wrapText="1"/>
    </xf>
    <xf numFmtId="0" fontId="72" fillId="0" borderId="0" xfId="0" applyFont="1" applyAlignment="1">
      <alignment horizontal="left"/>
    </xf>
    <xf numFmtId="0" fontId="49" fillId="2" borderId="0" xfId="0" applyFont="1" applyFill="1" applyAlignment="1">
      <alignment horizontal="right" vertical="center" readingOrder="2"/>
    </xf>
    <xf numFmtId="0" fontId="57" fillId="2" borderId="0" xfId="0" applyFont="1" applyFill="1" applyAlignment="1">
      <alignment horizontal="center" vertical="center" readingOrder="2"/>
    </xf>
    <xf numFmtId="167" fontId="51" fillId="2" borderId="0" xfId="0" applyNumberFormat="1" applyFont="1" applyFill="1" applyAlignment="1">
      <alignment horizontal="center" vertical="center" readingOrder="2"/>
    </xf>
    <xf numFmtId="0" fontId="49" fillId="2" borderId="0" xfId="0" applyFont="1" applyFill="1" applyAlignment="1">
      <alignment horizontal="center" vertical="center" readingOrder="2"/>
    </xf>
    <xf numFmtId="0" fontId="57" fillId="0" borderId="0" xfId="8" applyFont="1" applyAlignment="1">
      <alignment vertical="center" wrapText="1"/>
    </xf>
    <xf numFmtId="0" fontId="61" fillId="0" borderId="0" xfId="8" applyFont="1" applyAlignment="1">
      <alignment vertical="center" wrapText="1" readingOrder="2"/>
    </xf>
    <xf numFmtId="0" fontId="61" fillId="0" borderId="1" xfId="8" applyFont="1" applyBorder="1" applyAlignment="1">
      <alignment horizontal="center" vertical="center" wrapText="1"/>
    </xf>
    <xf numFmtId="0" fontId="61" fillId="0" borderId="0" xfId="8" applyFont="1" applyAlignment="1">
      <alignment horizontal="center" vertical="center" wrapText="1"/>
    </xf>
    <xf numFmtId="0" fontId="57" fillId="0" borderId="0" xfId="8" applyFont="1" applyAlignment="1">
      <alignment vertical="center" wrapText="1" readingOrder="2"/>
    </xf>
    <xf numFmtId="0" fontId="57" fillId="0" borderId="0" xfId="8" applyFont="1" applyAlignment="1">
      <alignment horizontal="right" vertical="center" wrapText="1" readingOrder="2"/>
    </xf>
    <xf numFmtId="0" fontId="73" fillId="0" borderId="0" xfId="8" applyFont="1" applyAlignment="1">
      <alignment vertical="center" shrinkToFit="1"/>
    </xf>
    <xf numFmtId="0" fontId="53" fillId="0" borderId="0" xfId="8" applyFont="1" applyAlignment="1">
      <alignment horizontal="right" vertical="center" readingOrder="2"/>
    </xf>
    <xf numFmtId="0" fontId="53" fillId="0" borderId="1" xfId="8" applyFont="1" applyBorder="1" applyAlignment="1">
      <alignment horizontal="center" vertical="top" wrapText="1" readingOrder="2"/>
    </xf>
    <xf numFmtId="0" fontId="53" fillId="0" borderId="0" xfId="8" applyFont="1" applyAlignment="1">
      <alignment horizontal="right" vertical="top" wrapText="1" readingOrder="2"/>
    </xf>
    <xf numFmtId="0" fontId="53" fillId="0" borderId="0" xfId="8" applyFont="1" applyAlignment="1">
      <alignment horizontal="center" vertical="top" wrapText="1" readingOrder="2"/>
    </xf>
    <xf numFmtId="9" fontId="53" fillId="0" borderId="0" xfId="8" applyNumberFormat="1" applyFont="1" applyAlignment="1">
      <alignment horizontal="center" vertical="top" wrapText="1" readingOrder="2"/>
    </xf>
    <xf numFmtId="0" fontId="53" fillId="0" borderId="0" xfId="8" applyFont="1" applyAlignment="1">
      <alignment vertical="center" readingOrder="2"/>
    </xf>
    <xf numFmtId="0" fontId="53" fillId="0" borderId="0" xfId="8" applyFont="1" applyAlignment="1">
      <alignment horizontal="center" vertical="center"/>
    </xf>
    <xf numFmtId="0" fontId="73" fillId="0" borderId="0" xfId="8" applyFont="1" applyAlignment="1">
      <alignment vertical="center" readingOrder="2"/>
    </xf>
    <xf numFmtId="0" fontId="73" fillId="0" borderId="0" xfId="8" applyFont="1" applyAlignment="1">
      <alignment horizontal="right" vertical="center" readingOrder="2"/>
    </xf>
    <xf numFmtId="0" fontId="53" fillId="0" borderId="0" xfId="8" applyFont="1" applyAlignment="1">
      <alignment horizontal="right" vertical="center" shrinkToFit="1" readingOrder="2"/>
    </xf>
    <xf numFmtId="49" fontId="73" fillId="0" borderId="0" xfId="8" applyNumberFormat="1" applyFont="1" applyAlignment="1">
      <alignment horizontal="right" vertical="center" shrinkToFit="1" readingOrder="2"/>
    </xf>
    <xf numFmtId="0" fontId="93" fillId="0" borderId="0" xfId="8" applyFont="1" applyAlignment="1">
      <alignment vertical="center" shrinkToFit="1" readingOrder="2"/>
    </xf>
    <xf numFmtId="0" fontId="94" fillId="0" borderId="0" xfId="8" applyFont="1" applyAlignment="1">
      <alignment vertical="center" shrinkToFit="1" readingOrder="2"/>
    </xf>
    <xf numFmtId="0" fontId="53" fillId="0" borderId="0" xfId="8" applyFont="1" applyAlignment="1">
      <alignment vertical="center" shrinkToFit="1"/>
    </xf>
    <xf numFmtId="0" fontId="53" fillId="0" borderId="0" xfId="8" applyFont="1" applyAlignment="1">
      <alignment vertical="center" wrapText="1"/>
    </xf>
    <xf numFmtId="169" fontId="57" fillId="0" borderId="0" xfId="0" applyNumberFormat="1" applyFont="1" applyAlignment="1">
      <alignment vertical="center" readingOrder="2"/>
    </xf>
    <xf numFmtId="169" fontId="57" fillId="0" borderId="0" xfId="0" applyNumberFormat="1" applyFont="1" applyAlignment="1">
      <alignment horizontal="center" vertical="center" readingOrder="2"/>
    </xf>
    <xf numFmtId="169" fontId="57" fillId="0" borderId="0" xfId="1" applyNumberFormat="1" applyFont="1" applyFill="1" applyAlignment="1">
      <alignment vertical="center" readingOrder="2"/>
    </xf>
    <xf numFmtId="49" fontId="57" fillId="2" borderId="0" xfId="0" applyNumberFormat="1" applyFont="1" applyFill="1" applyAlignment="1">
      <alignment vertical="center" readingOrder="2"/>
    </xf>
    <xf numFmtId="169" fontId="57" fillId="0" borderId="7" xfId="0" applyNumberFormat="1" applyFont="1" applyBorder="1" applyAlignment="1">
      <alignment horizontal="center" vertical="center" readingOrder="2"/>
    </xf>
    <xf numFmtId="49" fontId="57" fillId="0" borderId="0" xfId="0" applyNumberFormat="1" applyFont="1" applyAlignment="1">
      <alignment horizontal="center" vertical="center" readingOrder="2"/>
    </xf>
    <xf numFmtId="165" fontId="61" fillId="0" borderId="3" xfId="1" applyNumberFormat="1" applyFont="1" applyFill="1" applyBorder="1" applyAlignment="1">
      <alignment horizontal="center" vertical="center" wrapText="1" readingOrder="2"/>
    </xf>
    <xf numFmtId="169" fontId="50" fillId="2" borderId="0" xfId="4" applyNumberFormat="1" applyFont="1" applyFill="1" applyAlignment="1">
      <alignment vertical="center" readingOrder="2"/>
    </xf>
    <xf numFmtId="169" fontId="50" fillId="0" borderId="0" xfId="4" applyNumberFormat="1" applyFont="1" applyFill="1" applyAlignment="1">
      <alignment vertical="center" readingOrder="2"/>
    </xf>
    <xf numFmtId="169" fontId="50" fillId="0" borderId="0" xfId="4" applyNumberFormat="1" applyFont="1" applyFill="1" applyAlignment="1">
      <alignment readingOrder="2"/>
    </xf>
    <xf numFmtId="169" fontId="50" fillId="2" borderId="0" xfId="4" applyNumberFormat="1" applyFont="1" applyFill="1" applyAlignment="1">
      <alignment horizontal="center" vertical="center" readingOrder="2"/>
    </xf>
    <xf numFmtId="0" fontId="35" fillId="2" borderId="0" xfId="0" applyFont="1" applyFill="1" applyAlignment="1">
      <alignment horizontal="right" vertical="top" readingOrder="2"/>
    </xf>
    <xf numFmtId="169" fontId="35" fillId="2" borderId="0" xfId="0" applyNumberFormat="1" applyFont="1" applyFill="1" applyAlignment="1">
      <alignment horizontal="right" vertical="top" wrapText="1" readingOrder="2"/>
    </xf>
    <xf numFmtId="169" fontId="35" fillId="2" borderId="0" xfId="0" applyNumberFormat="1" applyFont="1" applyFill="1" applyAlignment="1">
      <alignment horizontal="right" wrapText="1" readingOrder="2"/>
    </xf>
    <xf numFmtId="169" fontId="35" fillId="2" borderId="0" xfId="0" applyNumberFormat="1" applyFont="1" applyFill="1" applyAlignment="1">
      <alignment vertical="top" wrapText="1" readingOrder="2"/>
    </xf>
    <xf numFmtId="169" fontId="53" fillId="2" borderId="0" xfId="0" applyNumberFormat="1" applyFont="1" applyFill="1" applyAlignment="1">
      <alignment vertical="center" readingOrder="2"/>
    </xf>
    <xf numFmtId="169" fontId="83" fillId="2" borderId="0" xfId="0" applyNumberFormat="1" applyFont="1" applyFill="1" applyAlignment="1">
      <alignment horizontal="right" vertical="center" readingOrder="2"/>
    </xf>
    <xf numFmtId="169" fontId="83" fillId="0" borderId="0" xfId="0" applyNumberFormat="1" applyFont="1" applyAlignment="1">
      <alignment horizontal="right" vertical="center" readingOrder="2"/>
    </xf>
    <xf numFmtId="169" fontId="83" fillId="0" borderId="0" xfId="1" applyNumberFormat="1" applyFont="1" applyFill="1" applyAlignment="1">
      <alignment horizontal="right" vertical="center" readingOrder="2"/>
    </xf>
    <xf numFmtId="169" fontId="53" fillId="0" borderId="0" xfId="0" applyNumberFormat="1" applyFont="1" applyAlignment="1">
      <alignment horizontal="right" readingOrder="2"/>
    </xf>
    <xf numFmtId="169" fontId="48" fillId="0" borderId="0" xfId="0" applyNumberFormat="1" applyFont="1" applyAlignment="1">
      <alignment horizontal="right" vertical="center" readingOrder="2"/>
    </xf>
    <xf numFmtId="169" fontId="48" fillId="0" borderId="0" xfId="0" applyNumberFormat="1" applyFont="1" applyAlignment="1">
      <alignment vertical="center" readingOrder="2"/>
    </xf>
    <xf numFmtId="169" fontId="48" fillId="0" borderId="0" xfId="1" applyNumberFormat="1" applyFont="1" applyFill="1" applyAlignment="1">
      <alignment vertical="center" readingOrder="2"/>
    </xf>
    <xf numFmtId="49" fontId="53" fillId="0" borderId="0" xfId="0" applyNumberFormat="1" applyFont="1" applyAlignment="1">
      <alignment horizontal="right" vertical="center" readingOrder="2"/>
    </xf>
    <xf numFmtId="49" fontId="34" fillId="2" borderId="0" xfId="0" applyNumberFormat="1" applyFont="1" applyFill="1" applyAlignment="1">
      <alignment horizontal="left" vertical="center" readingOrder="2"/>
    </xf>
    <xf numFmtId="0" fontId="34" fillId="2" borderId="1" xfId="0" applyFont="1" applyFill="1" applyBorder="1" applyAlignment="1">
      <alignment vertical="center" readingOrder="2"/>
    </xf>
    <xf numFmtId="165" fontId="40" fillId="2" borderId="1" xfId="0" applyNumberFormat="1" applyFont="1" applyFill="1" applyBorder="1" applyAlignment="1">
      <alignment horizontal="center" vertical="center" readingOrder="2"/>
    </xf>
    <xf numFmtId="0" fontId="34" fillId="0" borderId="0" xfId="1" applyNumberFormat="1" applyFont="1" applyFill="1" applyAlignment="1">
      <alignment horizontal="center" vertical="center" readingOrder="2"/>
    </xf>
    <xf numFmtId="49" fontId="34" fillId="0" borderId="0" xfId="0" applyNumberFormat="1" applyFont="1" applyAlignment="1">
      <alignment horizontal="left" vertical="center" readingOrder="2"/>
    </xf>
    <xf numFmtId="165" fontId="34" fillId="0" borderId="2" xfId="0" applyNumberFormat="1" applyFont="1" applyBorder="1" applyAlignment="1">
      <alignment horizontal="center" vertical="center" readingOrder="2"/>
    </xf>
    <xf numFmtId="49" fontId="34" fillId="0" borderId="0" xfId="0" applyNumberFormat="1" applyFont="1" applyAlignment="1">
      <alignment horizontal="left" readingOrder="2"/>
    </xf>
    <xf numFmtId="174" fontId="34" fillId="0" borderId="0" xfId="1" applyNumberFormat="1" applyFont="1" applyFill="1" applyBorder="1" applyAlignment="1">
      <alignment horizontal="center" readingOrder="2"/>
    </xf>
    <xf numFmtId="165" fontId="34" fillId="0" borderId="0" xfId="1" applyNumberFormat="1" applyFont="1" applyFill="1" applyAlignment="1">
      <alignment horizontal="center" readingOrder="2"/>
    </xf>
    <xf numFmtId="174" fontId="34" fillId="0" borderId="0" xfId="1" applyNumberFormat="1" applyFont="1" applyFill="1" applyAlignment="1">
      <alignment horizontal="center" readingOrder="2"/>
    </xf>
    <xf numFmtId="174" fontId="35" fillId="0" borderId="0" xfId="1" applyNumberFormat="1" applyFont="1" applyFill="1" applyAlignment="1">
      <alignment horizontal="center" readingOrder="2"/>
    </xf>
    <xf numFmtId="49" fontId="34" fillId="0" borderId="0" xfId="0" applyNumberFormat="1" applyFont="1" applyAlignment="1">
      <alignment horizontal="center" readingOrder="2"/>
    </xf>
    <xf numFmtId="165" fontId="40" fillId="2" borderId="0" xfId="0" applyNumberFormat="1" applyFont="1" applyFill="1" applyAlignment="1">
      <alignment horizontal="center" readingOrder="2"/>
    </xf>
    <xf numFmtId="49" fontId="34" fillId="2" borderId="0" xfId="0" applyNumberFormat="1" applyFont="1" applyFill="1" applyAlignment="1">
      <alignment horizontal="center" readingOrder="2"/>
    </xf>
    <xf numFmtId="0" fontId="34" fillId="2" borderId="0" xfId="0" applyFont="1" applyFill="1" applyAlignment="1">
      <alignment readingOrder="2"/>
    </xf>
    <xf numFmtId="0" fontId="34" fillId="2" borderId="1" xfId="0" applyFont="1" applyFill="1" applyBorder="1" applyAlignment="1">
      <alignment horizontal="center" readingOrder="2"/>
    </xf>
    <xf numFmtId="0" fontId="34" fillId="0" borderId="0" xfId="0" applyFont="1" applyAlignment="1">
      <alignment horizontal="right" readingOrder="2"/>
    </xf>
    <xf numFmtId="165" fontId="34" fillId="0" borderId="0" xfId="0" applyNumberFormat="1" applyFont="1" applyAlignment="1">
      <alignment horizontal="center" wrapText="1" readingOrder="2"/>
    </xf>
    <xf numFmtId="49" fontId="34" fillId="0" borderId="0" xfId="0" applyNumberFormat="1" applyFont="1" applyAlignment="1">
      <alignment horizontal="center" vertical="center" wrapText="1" readingOrder="2"/>
    </xf>
    <xf numFmtId="165" fontId="34" fillId="0" borderId="4" xfId="0" applyNumberFormat="1" applyFont="1" applyBorder="1" applyAlignment="1">
      <alignment horizontal="center" vertical="center" wrapText="1" readingOrder="2"/>
    </xf>
    <xf numFmtId="173" fontId="34" fillId="0" borderId="0" xfId="0" applyNumberFormat="1" applyFont="1" applyAlignment="1">
      <alignment horizontal="center" vertical="center" readingOrder="2"/>
    </xf>
    <xf numFmtId="165" fontId="34" fillId="2" borderId="4" xfId="0" applyNumberFormat="1" applyFont="1" applyFill="1" applyBorder="1" applyAlignment="1">
      <alignment horizontal="center" readingOrder="2"/>
    </xf>
    <xf numFmtId="176" fontId="34" fillId="0" borderId="0" xfId="0" applyNumberFormat="1" applyFont="1" applyAlignment="1">
      <alignment horizontal="center" readingOrder="2"/>
    </xf>
    <xf numFmtId="174" fontId="34" fillId="0" borderId="0" xfId="1" applyNumberFormat="1" applyFont="1" applyFill="1" applyAlignment="1">
      <alignment vertical="center" readingOrder="2"/>
    </xf>
    <xf numFmtId="178" fontId="34" fillId="0" borderId="0" xfId="12" applyNumberFormat="1" applyFont="1" applyFill="1" applyAlignment="1">
      <alignment horizontal="center" readingOrder="2"/>
    </xf>
    <xf numFmtId="177" fontId="34" fillId="0" borderId="0" xfId="0" applyNumberFormat="1" applyFont="1" applyAlignment="1">
      <alignment readingOrder="2"/>
    </xf>
    <xf numFmtId="165" fontId="34" fillId="2" borderId="3" xfId="0" applyNumberFormat="1" applyFont="1" applyFill="1" applyBorder="1" applyAlignment="1">
      <alignment horizontal="center" readingOrder="2"/>
    </xf>
    <xf numFmtId="0" fontId="57" fillId="0" borderId="0" xfId="0" applyFont="1" applyAlignment="1">
      <alignment readingOrder="2"/>
    </xf>
    <xf numFmtId="165" fontId="61" fillId="0" borderId="1" xfId="0" applyNumberFormat="1" applyFont="1" applyBorder="1" applyAlignment="1">
      <alignment readingOrder="2"/>
    </xf>
    <xf numFmtId="0" fontId="57" fillId="2" borderId="1" xfId="0" applyFont="1" applyFill="1" applyBorder="1" applyAlignment="1">
      <alignment horizontal="center" readingOrder="2"/>
    </xf>
    <xf numFmtId="0" fontId="57" fillId="2" borderId="0" xfId="0" applyFont="1" applyFill="1" applyAlignment="1">
      <alignment horizontal="center" readingOrder="2"/>
    </xf>
    <xf numFmtId="0" fontId="61" fillId="0" borderId="0" xfId="0" applyFont="1" applyAlignment="1">
      <alignment readingOrder="2"/>
    </xf>
    <xf numFmtId="0" fontId="61" fillId="2" borderId="0" xfId="0" applyFont="1" applyFill="1" applyAlignment="1">
      <alignment horizontal="center" wrapText="1" readingOrder="2"/>
    </xf>
    <xf numFmtId="165" fontId="57" fillId="2" borderId="4" xfId="0" applyNumberFormat="1" applyFont="1" applyFill="1" applyBorder="1" applyAlignment="1">
      <alignment horizontal="center" readingOrder="2"/>
    </xf>
    <xf numFmtId="165" fontId="57" fillId="0" borderId="4" xfId="0" applyNumberFormat="1" applyFont="1" applyBorder="1" applyAlignment="1">
      <alignment horizontal="center" readingOrder="2"/>
    </xf>
    <xf numFmtId="165" fontId="61" fillId="2" borderId="0" xfId="0" applyNumberFormat="1" applyFont="1" applyFill="1" applyAlignment="1">
      <alignment horizontal="center" readingOrder="2"/>
    </xf>
    <xf numFmtId="165" fontId="61" fillId="2" borderId="0" xfId="0" applyNumberFormat="1" applyFont="1" applyFill="1" applyAlignment="1">
      <alignment readingOrder="2"/>
    </xf>
    <xf numFmtId="0" fontId="61" fillId="0" borderId="0" xfId="0" applyFont="1" applyAlignment="1">
      <alignment horizontal="right"/>
    </xf>
    <xf numFmtId="0" fontId="61" fillId="0" borderId="0" xfId="5" applyFont="1" applyAlignment="1">
      <alignment shrinkToFit="1" readingOrder="2"/>
    </xf>
    <xf numFmtId="3" fontId="42" fillId="0" borderId="0" xfId="5" applyNumberFormat="1" applyFont="1" applyAlignment="1">
      <alignment horizontal="center" vertical="top" readingOrder="2"/>
    </xf>
    <xf numFmtId="0" fontId="42" fillId="2" borderId="1" xfId="0" applyFont="1" applyFill="1" applyBorder="1" applyAlignment="1">
      <alignment horizontal="center" vertical="center" readingOrder="2"/>
    </xf>
    <xf numFmtId="2" fontId="34" fillId="0" borderId="0" xfId="0" applyNumberFormat="1" applyFont="1" applyAlignment="1">
      <alignment vertical="top" wrapText="1" readingOrder="2"/>
    </xf>
    <xf numFmtId="2" fontId="42" fillId="0" borderId="0" xfId="0" applyNumberFormat="1" applyFont="1" applyAlignment="1">
      <alignment vertical="top" wrapText="1" readingOrder="2"/>
    </xf>
    <xf numFmtId="2" fontId="34" fillId="0" borderId="0" xfId="0" applyNumberFormat="1" applyFont="1" applyAlignment="1">
      <alignment horizontal="right" vertical="top" readingOrder="2"/>
    </xf>
    <xf numFmtId="2" fontId="34" fillId="0" borderId="0" xfId="0" applyNumberFormat="1" applyFont="1" applyAlignment="1">
      <alignment horizontal="center" vertical="top" readingOrder="2"/>
    </xf>
    <xf numFmtId="2" fontId="34" fillId="0" borderId="0" xfId="0" applyNumberFormat="1" applyFont="1" applyAlignment="1">
      <alignment horizontal="right" vertical="top" wrapText="1" readingOrder="2"/>
    </xf>
    <xf numFmtId="165" fontId="61" fillId="0" borderId="0" xfId="0" applyNumberFormat="1" applyFont="1" applyAlignment="1">
      <alignment horizontal="center" vertical="top" shrinkToFit="1" readingOrder="2"/>
    </xf>
    <xf numFmtId="165" fontId="42" fillId="0" borderId="0" xfId="1" applyNumberFormat="1" applyFont="1" applyFill="1" applyBorder="1" applyAlignment="1">
      <alignment vertical="center" readingOrder="2"/>
    </xf>
    <xf numFmtId="1" fontId="42" fillId="0" borderId="0" xfId="0" applyNumberFormat="1" applyFont="1" applyAlignment="1">
      <alignment horizontal="center" vertical="top" wrapText="1" readingOrder="2"/>
    </xf>
    <xf numFmtId="165" fontId="34" fillId="2" borderId="0" xfId="0" applyNumberFormat="1" applyFont="1" applyFill="1" applyAlignment="1">
      <alignment vertical="center" readingOrder="2"/>
    </xf>
    <xf numFmtId="0" fontId="42" fillId="2" borderId="2" xfId="0" applyFont="1" applyFill="1" applyBorder="1" applyAlignment="1">
      <alignment horizontal="center" vertical="center" wrapText="1" readingOrder="2"/>
    </xf>
    <xf numFmtId="175" fontId="95" fillId="7" borderId="0" xfId="0" applyNumberFormat="1" applyFont="1" applyFill="1" applyAlignment="1">
      <alignment horizontal="right" vertical="center" wrapText="1"/>
    </xf>
    <xf numFmtId="0" fontId="95" fillId="7" borderId="0" xfId="0" applyFont="1" applyFill="1" applyAlignment="1">
      <alignment horizontal="right" vertical="top" wrapText="1" readingOrder="1"/>
    </xf>
    <xf numFmtId="0" fontId="39" fillId="7" borderId="0" xfId="0" applyFont="1" applyFill="1"/>
    <xf numFmtId="49" fontId="34" fillId="2" borderId="0" xfId="0" applyNumberFormat="1" applyFont="1" applyFill="1" applyAlignment="1">
      <alignment horizontal="left" vertical="top" readingOrder="2"/>
    </xf>
    <xf numFmtId="174" fontId="61" fillId="0" borderId="0" xfId="1" applyNumberFormat="1" applyFont="1" applyFill="1" applyAlignment="1">
      <alignment horizontal="center" vertical="center" wrapText="1" readingOrder="2"/>
    </xf>
    <xf numFmtId="0" fontId="35" fillId="2" borderId="1" xfId="0" applyFont="1" applyFill="1" applyBorder="1" applyAlignment="1">
      <alignment horizontal="center" vertical="center" wrapText="1" readingOrder="2"/>
    </xf>
    <xf numFmtId="0" fontId="35" fillId="0" borderId="0" xfId="0" applyFont="1" applyAlignment="1">
      <alignment horizontal="center" vertical="center" readingOrder="2"/>
    </xf>
    <xf numFmtId="165" fontId="91" fillId="0" borderId="0" xfId="0" applyNumberFormat="1" applyFont="1" applyAlignment="1">
      <alignment vertical="center" readingOrder="2"/>
    </xf>
    <xf numFmtId="165" fontId="35" fillId="0" borderId="4" xfId="0" applyNumberFormat="1" applyFont="1" applyBorder="1" applyAlignment="1">
      <alignment horizontal="center" vertical="center" readingOrder="2"/>
    </xf>
    <xf numFmtId="165" fontId="34" fillId="0" borderId="5" xfId="0" applyNumberFormat="1" applyFont="1" applyBorder="1" applyAlignment="1">
      <alignment horizontal="center" vertical="center" readingOrder="2"/>
    </xf>
    <xf numFmtId="164" fontId="61" fillId="0" borderId="0" xfId="1" applyFont="1" applyFill="1" applyAlignment="1">
      <alignment horizontal="center" vertical="center" wrapText="1" readingOrder="2"/>
    </xf>
    <xf numFmtId="165" fontId="34" fillId="0" borderId="1" xfId="1" applyNumberFormat="1" applyFont="1" applyFill="1" applyBorder="1" applyAlignment="1">
      <alignment horizontal="center" vertical="center" wrapText="1" readingOrder="2"/>
    </xf>
    <xf numFmtId="165" fontId="35" fillId="0" borderId="0" xfId="0" applyNumberFormat="1" applyFont="1" applyAlignment="1">
      <alignment horizontal="left" vertical="center" wrapText="1" readingOrder="2"/>
    </xf>
    <xf numFmtId="3" fontId="72" fillId="0" borderId="0" xfId="0" applyNumberFormat="1" applyFont="1" applyAlignment="1">
      <alignment horizontal="right"/>
    </xf>
    <xf numFmtId="165" fontId="35" fillId="0" borderId="0" xfId="0" applyNumberFormat="1" applyFont="1" applyAlignment="1">
      <alignment horizontal="right" vertical="top" readingOrder="2"/>
    </xf>
    <xf numFmtId="0" fontId="69" fillId="0" borderId="0" xfId="0" applyFont="1" applyAlignment="1">
      <alignment horizontal="center" vertical="center"/>
    </xf>
    <xf numFmtId="174" fontId="50" fillId="0" borderId="0" xfId="1" applyNumberFormat="1" applyFont="1" applyAlignment="1">
      <alignment vertical="center"/>
    </xf>
    <xf numFmtId="174" fontId="72" fillId="0" borderId="0" xfId="1" applyNumberFormat="1" applyFont="1" applyAlignment="1">
      <alignment vertical="center"/>
    </xf>
    <xf numFmtId="164" fontId="42" fillId="0" borderId="0" xfId="1" applyFont="1" applyFill="1" applyAlignment="1">
      <alignment horizontal="center" vertical="center" readingOrder="2"/>
    </xf>
    <xf numFmtId="0" fontId="63" fillId="0" borderId="0" xfId="4" applyFont="1" applyAlignment="1">
      <alignment horizontal="center" vertical="center"/>
    </xf>
    <xf numFmtId="0" fontId="67" fillId="0" borderId="0" xfId="0" applyFont="1" applyAlignment="1">
      <alignment horizontal="left" vertical="center"/>
    </xf>
    <xf numFmtId="0" fontId="67" fillId="0" borderId="0" xfId="0" applyFont="1" applyAlignment="1">
      <alignment horizontal="right" vertical="center"/>
    </xf>
    <xf numFmtId="0" fontId="67" fillId="0" borderId="0" xfId="0" applyFont="1" applyAlignment="1">
      <alignment horizontal="center" vertical="center"/>
    </xf>
    <xf numFmtId="165" fontId="74" fillId="2" borderId="0" xfId="4" applyNumberFormat="1" applyFont="1" applyFill="1" applyAlignment="1">
      <alignment vertical="center" readingOrder="2"/>
    </xf>
    <xf numFmtId="165" fontId="96" fillId="2" borderId="1" xfId="0" applyNumberFormat="1" applyFont="1" applyFill="1" applyBorder="1" applyAlignment="1">
      <alignment horizontal="center" vertical="center" wrapText="1" readingOrder="2"/>
    </xf>
    <xf numFmtId="165" fontId="44" fillId="0" borderId="3" xfId="1" applyNumberFormat="1" applyFont="1" applyFill="1" applyBorder="1" applyAlignment="1">
      <alignment horizontal="center" vertical="center" wrapText="1" readingOrder="2"/>
    </xf>
    <xf numFmtId="165" fontId="34" fillId="0" borderId="3" xfId="0" applyNumberFormat="1" applyFont="1" applyBorder="1" applyAlignment="1">
      <alignment horizontal="center" vertical="center" wrapText="1" readingOrder="2"/>
    </xf>
    <xf numFmtId="0" fontId="35" fillId="0" borderId="0" xfId="0" applyFont="1" applyAlignment="1">
      <alignment horizontal="right" vertical="top" readingOrder="2"/>
    </xf>
    <xf numFmtId="169" fontId="35" fillId="0" borderId="0" xfId="0" applyNumberFormat="1" applyFont="1" applyAlignment="1">
      <alignment horizontal="right" wrapText="1" readingOrder="2"/>
    </xf>
    <xf numFmtId="165" fontId="57" fillId="2" borderId="3" xfId="0" applyNumberFormat="1" applyFont="1" applyFill="1" applyBorder="1" applyAlignment="1">
      <alignment horizontal="center" readingOrder="2"/>
    </xf>
    <xf numFmtId="0" fontId="97" fillId="0" borderId="0" xfId="10" applyFont="1"/>
    <xf numFmtId="0" fontId="97" fillId="0" borderId="0" xfId="0" applyFont="1"/>
    <xf numFmtId="0" fontId="97" fillId="0" borderId="0" xfId="10" applyFont="1" applyAlignment="1">
      <alignment horizontal="center"/>
    </xf>
    <xf numFmtId="0" fontId="97" fillId="0" borderId="0" xfId="10" applyFont="1" applyAlignment="1">
      <alignment vertical="center"/>
    </xf>
    <xf numFmtId="165" fontId="97" fillId="0" borderId="0" xfId="10" applyNumberFormat="1" applyFont="1" applyAlignment="1">
      <alignment horizontal="center" vertical="center"/>
    </xf>
    <xf numFmtId="165" fontId="97" fillId="0" borderId="0" xfId="10" applyNumberFormat="1" applyFont="1" applyAlignment="1">
      <alignment horizontal="center"/>
    </xf>
    <xf numFmtId="0" fontId="97" fillId="0" borderId="0" xfId="10" applyFont="1" applyAlignment="1">
      <alignment horizontal="center" vertical="center"/>
    </xf>
    <xf numFmtId="0" fontId="97" fillId="0" borderId="1" xfId="10" applyFont="1" applyBorder="1" applyAlignment="1">
      <alignment horizontal="center" vertical="center"/>
    </xf>
    <xf numFmtId="3" fontId="97" fillId="0" borderId="0" xfId="10" applyNumberFormat="1" applyFont="1" applyAlignment="1">
      <alignment horizontal="center" vertical="center"/>
    </xf>
    <xf numFmtId="0" fontId="97" fillId="0" borderId="0" xfId="0" applyFont="1" applyAlignment="1">
      <alignment horizontal="center" vertical="center"/>
    </xf>
    <xf numFmtId="0" fontId="98" fillId="0" borderId="0" xfId="0" applyFont="1" applyAlignment="1">
      <alignment horizontal="center"/>
    </xf>
    <xf numFmtId="165" fontId="73" fillId="2" borderId="3" xfId="0" applyNumberFormat="1" applyFont="1" applyFill="1" applyBorder="1" applyAlignment="1">
      <alignment horizontal="center" vertical="center" wrapText="1" readingOrder="2"/>
    </xf>
    <xf numFmtId="9" fontId="53" fillId="2" borderId="0" xfId="12" applyFont="1" applyFill="1" applyBorder="1" applyAlignment="1">
      <alignment horizontal="center" vertical="center" readingOrder="2"/>
    </xf>
    <xf numFmtId="9" fontId="44" fillId="0" borderId="0" xfId="12" applyFont="1" applyFill="1" applyAlignment="1">
      <alignment vertical="center" readingOrder="2"/>
    </xf>
    <xf numFmtId="165" fontId="57" fillId="0" borderId="0" xfId="0" applyNumberFormat="1" applyFont="1" applyAlignment="1">
      <alignment horizontal="center" vertical="center" wrapText="1" readingOrder="2"/>
    </xf>
    <xf numFmtId="0" fontId="53" fillId="0" borderId="1" xfId="0" applyFont="1" applyBorder="1" applyAlignment="1">
      <alignment horizontal="center" vertical="center" readingOrder="2"/>
    </xf>
    <xf numFmtId="9" fontId="53" fillId="2" borderId="0" xfId="12" applyFont="1" applyFill="1" applyBorder="1" applyAlignment="1">
      <alignment readingOrder="2"/>
    </xf>
    <xf numFmtId="0" fontId="42" fillId="2" borderId="0" xfId="0" applyFont="1" applyFill="1" applyAlignment="1">
      <alignment horizontal="right" vertical="center" readingOrder="2"/>
    </xf>
    <xf numFmtId="3" fontId="61" fillId="0" borderId="3" xfId="5" applyNumberFormat="1" applyFont="1" applyBorder="1" applyAlignment="1">
      <alignment horizontal="center" vertical="top" readingOrder="2"/>
    </xf>
    <xf numFmtId="165" fontId="57" fillId="0" borderId="2" xfId="1" applyNumberFormat="1" applyFont="1" applyFill="1" applyBorder="1" applyAlignment="1">
      <alignment horizontal="center" vertical="center" wrapText="1" readingOrder="2"/>
    </xf>
    <xf numFmtId="174" fontId="67" fillId="0" borderId="0" xfId="1" applyNumberFormat="1" applyFont="1" applyFill="1" applyBorder="1" applyAlignment="1">
      <alignment horizontal="center" vertical="center" shrinkToFit="1" readingOrder="2"/>
    </xf>
    <xf numFmtId="165" fontId="37" fillId="0" borderId="0" xfId="0" applyNumberFormat="1" applyFont="1" applyAlignment="1">
      <alignment vertical="top" wrapText="1" readingOrder="2"/>
    </xf>
    <xf numFmtId="165" fontId="37" fillId="0" borderId="0" xfId="0" applyNumberFormat="1" applyFont="1" applyAlignment="1">
      <alignment vertical="center" wrapText="1" readingOrder="2"/>
    </xf>
    <xf numFmtId="0" fontId="67" fillId="2" borderId="0" xfId="0" applyFont="1" applyFill="1" applyAlignment="1">
      <alignment horizontal="center" vertical="center"/>
    </xf>
    <xf numFmtId="0" fontId="61" fillId="0" borderId="0" xfId="8" applyFont="1" applyAlignment="1">
      <alignment horizontal="right" vertical="center" wrapText="1" readingOrder="2"/>
    </xf>
    <xf numFmtId="0" fontId="57" fillId="0" borderId="0" xfId="8" applyFont="1" applyAlignment="1">
      <alignment horizontal="center" vertical="center" textRotation="180" wrapText="1" readingOrder="2"/>
    </xf>
    <xf numFmtId="0" fontId="34" fillId="0" borderId="0" xfId="8" applyFont="1" applyAlignment="1">
      <alignment horizontal="center" vertical="center" wrapText="1" readingOrder="2"/>
    </xf>
    <xf numFmtId="0" fontId="57" fillId="0" borderId="0" xfId="8" applyFont="1" applyAlignment="1">
      <alignment horizontal="center" vertical="center" wrapText="1"/>
    </xf>
    <xf numFmtId="0" fontId="81" fillId="0" borderId="28" xfId="0" applyFont="1" applyBorder="1" applyAlignment="1">
      <alignment horizontal="center" vertical="center"/>
    </xf>
    <xf numFmtId="0" fontId="81" fillId="0" borderId="26" xfId="0" applyFont="1" applyBorder="1" applyAlignment="1">
      <alignment horizontal="center" vertical="center"/>
    </xf>
    <xf numFmtId="0" fontId="81" fillId="0" borderId="13" xfId="0" applyFont="1" applyBorder="1" applyAlignment="1">
      <alignment horizontal="center" vertical="center"/>
    </xf>
    <xf numFmtId="0" fontId="81" fillId="0" borderId="59" xfId="0" applyFont="1" applyBorder="1" applyAlignment="1">
      <alignment horizontal="center" vertical="center"/>
    </xf>
    <xf numFmtId="0" fontId="81" fillId="0" borderId="40" xfId="0" applyFont="1" applyBorder="1" applyAlignment="1">
      <alignment horizontal="center" vertical="center"/>
    </xf>
    <xf numFmtId="0" fontId="81" fillId="0" borderId="52" xfId="0" applyFont="1" applyBorder="1" applyAlignment="1">
      <alignment horizontal="center" vertical="center"/>
    </xf>
    <xf numFmtId="0" fontId="81" fillId="0" borderId="19" xfId="0" applyFont="1" applyBorder="1" applyAlignment="1">
      <alignment horizontal="center" vertical="center"/>
    </xf>
    <xf numFmtId="166" fontId="81" fillId="0" borderId="50" xfId="1" applyNumberFormat="1" applyFont="1" applyBorder="1" applyAlignment="1">
      <alignment horizontal="center" vertical="center"/>
    </xf>
    <xf numFmtId="165" fontId="35" fillId="2" borderId="48" xfId="0" applyNumberFormat="1" applyFont="1" applyFill="1" applyBorder="1" applyAlignment="1">
      <alignment horizontal="center" vertical="center" wrapText="1" readingOrder="2"/>
    </xf>
    <xf numFmtId="165" fontId="35" fillId="2" borderId="41" xfId="0" applyNumberFormat="1" applyFont="1" applyFill="1" applyBorder="1" applyAlignment="1">
      <alignment horizontal="center" vertical="center" wrapText="1" readingOrder="2"/>
    </xf>
    <xf numFmtId="165" fontId="35" fillId="2" borderId="58" xfId="0" applyNumberFormat="1" applyFont="1" applyFill="1" applyBorder="1" applyAlignment="1">
      <alignment horizontal="center" vertical="center" wrapText="1" readingOrder="2"/>
    </xf>
    <xf numFmtId="165" fontId="35" fillId="2" borderId="27" xfId="0" applyNumberFormat="1" applyFont="1" applyFill="1" applyBorder="1" applyAlignment="1">
      <alignment horizontal="center" vertical="center" wrapText="1" readingOrder="2"/>
    </xf>
    <xf numFmtId="165" fontId="34" fillId="2" borderId="23" xfId="0" applyNumberFormat="1" applyFont="1" applyFill="1" applyBorder="1" applyAlignment="1">
      <alignment horizontal="center" vertical="center" wrapText="1" readingOrder="2"/>
    </xf>
    <xf numFmtId="165" fontId="55" fillId="2" borderId="0" xfId="4" applyNumberFormat="1" applyFont="1" applyFill="1" applyAlignment="1">
      <alignment horizontal="center" vertical="center" readingOrder="2"/>
    </xf>
    <xf numFmtId="0" fontId="39" fillId="0" borderId="0" xfId="0" applyFont="1" applyAlignment="1">
      <alignment horizontal="center" vertical="center"/>
    </xf>
    <xf numFmtId="165" fontId="35" fillId="0" borderId="2" xfId="1" applyNumberFormat="1" applyFont="1" applyFill="1" applyBorder="1" applyAlignment="1">
      <alignment horizontal="center" vertical="center" wrapText="1" readingOrder="2"/>
    </xf>
    <xf numFmtId="165" fontId="61" fillId="2" borderId="0" xfId="0" applyNumberFormat="1" applyFont="1" applyFill="1" applyAlignment="1">
      <alignment horizontal="center" vertical="center" wrapText="1" readingOrder="2"/>
    </xf>
    <xf numFmtId="9" fontId="35" fillId="0" borderId="0" xfId="12" applyFont="1" applyFill="1" applyAlignment="1">
      <alignment vertical="center" readingOrder="2"/>
    </xf>
    <xf numFmtId="165" fontId="57" fillId="2" borderId="0" xfId="0" applyNumberFormat="1" applyFont="1" applyFill="1" applyAlignment="1">
      <alignment horizontal="center" vertical="center" wrapText="1" readingOrder="2"/>
    </xf>
    <xf numFmtId="165" fontId="61" fillId="2" borderId="0" xfId="0" applyNumberFormat="1" applyFont="1" applyFill="1" applyAlignment="1">
      <alignment horizontal="center" vertical="center" readingOrder="2"/>
    </xf>
    <xf numFmtId="176" fontId="57" fillId="2" borderId="0" xfId="0" applyNumberFormat="1" applyFont="1" applyFill="1" applyAlignment="1">
      <alignment horizontal="center" vertical="center" wrapText="1" readingOrder="2"/>
    </xf>
    <xf numFmtId="9" fontId="61" fillId="2" borderId="0" xfId="12" applyFont="1" applyFill="1" applyBorder="1" applyAlignment="1">
      <alignment horizontal="center" vertical="center" wrapText="1" readingOrder="2"/>
    </xf>
    <xf numFmtId="165" fontId="57" fillId="2" borderId="1" xfId="0" applyNumberFormat="1" applyFont="1" applyFill="1" applyBorder="1" applyAlignment="1">
      <alignment horizontal="center" vertical="center" wrapText="1" readingOrder="2"/>
    </xf>
    <xf numFmtId="9" fontId="61" fillId="2" borderId="5" xfId="12" applyFont="1" applyFill="1" applyBorder="1" applyAlignment="1">
      <alignment horizontal="center" vertical="center" wrapText="1" readingOrder="2"/>
    </xf>
    <xf numFmtId="0" fontId="73" fillId="0" borderId="0" xfId="8" applyFont="1" applyAlignment="1">
      <alignment horizontal="center" vertical="center" wrapText="1"/>
    </xf>
    <xf numFmtId="169" fontId="35" fillId="0" borderId="0" xfId="0" applyNumberFormat="1" applyFont="1" applyAlignment="1">
      <alignment horizontal="right" vertical="top" wrapText="1" readingOrder="2"/>
    </xf>
    <xf numFmtId="0" fontId="34" fillId="2" borderId="0" xfId="0" applyFont="1" applyFill="1" applyAlignment="1">
      <alignment horizontal="right" readingOrder="2"/>
    </xf>
    <xf numFmtId="164" fontId="57" fillId="2" borderId="0" xfId="1" applyFont="1" applyFill="1" applyAlignment="1">
      <alignment horizontal="right" vertical="center" wrapText="1" readingOrder="2"/>
    </xf>
    <xf numFmtId="165" fontId="44" fillId="2" borderId="1" xfId="0" applyNumberFormat="1" applyFont="1" applyFill="1" applyBorder="1" applyAlignment="1">
      <alignment horizontal="center" vertical="center" readingOrder="2"/>
    </xf>
    <xf numFmtId="165" fontId="42" fillId="0" borderId="13" xfId="0" applyNumberFormat="1" applyFont="1" applyBorder="1" applyAlignment="1">
      <alignment horizontal="center" vertical="center" wrapText="1" readingOrder="2"/>
    </xf>
    <xf numFmtId="9" fontId="53" fillId="2" borderId="0" xfId="12" applyFont="1" applyFill="1" applyBorder="1" applyAlignment="1">
      <alignment horizontal="center" vertical="center" wrapText="1" readingOrder="2"/>
    </xf>
    <xf numFmtId="165" fontId="42" fillId="0" borderId="13" xfId="0" applyNumberFormat="1" applyFont="1" applyBorder="1" applyAlignment="1">
      <alignment horizontal="center" vertical="center" readingOrder="2"/>
    </xf>
    <xf numFmtId="49" fontId="37" fillId="0" borderId="0" xfId="0" applyNumberFormat="1" applyFont="1" applyAlignment="1">
      <alignment horizontal="left" vertical="center" readingOrder="2"/>
    </xf>
    <xf numFmtId="165" fontId="57" fillId="0" borderId="13" xfId="0" applyNumberFormat="1" applyFont="1" applyBorder="1" applyAlignment="1">
      <alignment horizontal="center" vertical="center" wrapText="1" readingOrder="2"/>
    </xf>
    <xf numFmtId="0" fontId="42" fillId="0" borderId="0" xfId="9" applyFont="1" applyAlignment="1">
      <alignment horizontal="right" vertical="center" wrapText="1" readingOrder="2"/>
    </xf>
    <xf numFmtId="165" fontId="39" fillId="0" borderId="0" xfId="3" applyNumberFormat="1" applyFont="1" applyAlignment="1">
      <alignment horizontal="right" vertical="center" readingOrder="2"/>
    </xf>
    <xf numFmtId="165" fontId="73" fillId="0" borderId="4" xfId="0" applyNumberFormat="1" applyFont="1" applyBorder="1" applyAlignment="1">
      <alignment horizontal="center" vertical="center" wrapText="1" readingOrder="2"/>
    </xf>
    <xf numFmtId="2" fontId="34" fillId="0" borderId="0" xfId="0" applyNumberFormat="1" applyFont="1" applyAlignment="1">
      <alignment vertical="top" readingOrder="2"/>
    </xf>
    <xf numFmtId="0" fontId="37" fillId="2" borderId="0" xfId="0" applyFont="1" applyFill="1" applyAlignment="1">
      <alignment horizontal="center" vertical="center" wrapText="1" readingOrder="2"/>
    </xf>
    <xf numFmtId="170" fontId="57" fillId="0" borderId="3" xfId="5" applyNumberFormat="1" applyFont="1" applyBorder="1" applyAlignment="1">
      <alignment horizontal="center" vertical="center" shrinkToFit="1" readingOrder="2"/>
    </xf>
    <xf numFmtId="165" fontId="57" fillId="0" borderId="3" xfId="0" applyNumberFormat="1" applyFont="1" applyBorder="1" applyAlignment="1">
      <alignment horizontal="center" vertical="center" readingOrder="2"/>
    </xf>
    <xf numFmtId="49" fontId="34" fillId="0" borderId="0" xfId="0" quotePrefix="1" applyNumberFormat="1" applyFont="1" applyAlignment="1">
      <alignment vertical="center" readingOrder="2"/>
    </xf>
    <xf numFmtId="165" fontId="64" fillId="2" borderId="0" xfId="4" applyNumberFormat="1" applyFont="1" applyFill="1" applyAlignment="1">
      <alignment horizontal="center" vertical="center" readingOrder="2"/>
    </xf>
    <xf numFmtId="165" fontId="51" fillId="0" borderId="0" xfId="0" applyNumberFormat="1" applyFont="1" applyAlignment="1">
      <alignment horizontal="center" vertical="center" readingOrder="2"/>
    </xf>
    <xf numFmtId="0" fontId="75" fillId="0" borderId="0" xfId="3" applyFont="1" applyAlignment="1">
      <alignment horizontal="center" vertical="center"/>
    </xf>
    <xf numFmtId="165" fontId="66" fillId="0" borderId="3" xfId="10" applyNumberFormat="1" applyFont="1" applyBorder="1" applyAlignment="1">
      <alignment horizontal="center"/>
    </xf>
    <xf numFmtId="165" fontId="105" fillId="2" borderId="0" xfId="4" applyNumberFormat="1" applyFont="1" applyFill="1" applyAlignment="1">
      <alignment vertical="center" readingOrder="2"/>
    </xf>
    <xf numFmtId="165" fontId="39" fillId="0" borderId="0" xfId="3" applyNumberFormat="1" applyFont="1" applyAlignment="1">
      <alignment vertical="center" readingOrder="2"/>
    </xf>
    <xf numFmtId="165" fontId="36" fillId="0" borderId="0" xfId="3" applyNumberFormat="1" applyFont="1" applyAlignment="1">
      <alignment vertical="center" readingOrder="1"/>
    </xf>
    <xf numFmtId="165" fontId="39" fillId="0" borderId="0" xfId="3" applyNumberFormat="1" applyFont="1" applyAlignment="1">
      <alignment vertical="center" readingOrder="1"/>
    </xf>
    <xf numFmtId="165" fontId="76" fillId="0" borderId="2" xfId="3" applyNumberFormat="1" applyFont="1" applyBorder="1" applyAlignment="1">
      <alignment horizontal="center" vertical="center"/>
    </xf>
    <xf numFmtId="3" fontId="34" fillId="0" borderId="2" xfId="5" applyNumberFormat="1" applyFont="1" applyBorder="1" applyAlignment="1">
      <alignment horizontal="center" shrinkToFit="1" readingOrder="2"/>
    </xf>
    <xf numFmtId="0" fontId="50" fillId="0" borderId="0" xfId="4" applyFont="1" applyAlignment="1">
      <alignment vertical="center" wrapText="1"/>
    </xf>
    <xf numFmtId="0" fontId="36" fillId="0" borderId="0" xfId="3" applyFont="1" applyAlignment="1">
      <alignment vertical="center"/>
    </xf>
    <xf numFmtId="3" fontId="35" fillId="0" borderId="0" xfId="5" applyNumberFormat="1" applyFont="1" applyAlignment="1">
      <alignment horizontal="center" vertical="center" shrinkToFit="1" readingOrder="2"/>
    </xf>
    <xf numFmtId="165" fontId="36" fillId="0" borderId="1" xfId="3" applyNumberFormat="1" applyFont="1" applyBorder="1" applyAlignment="1">
      <alignment horizontal="center" vertical="center"/>
    </xf>
    <xf numFmtId="3" fontId="34" fillId="0" borderId="3" xfId="5" applyNumberFormat="1" applyFont="1" applyBorder="1" applyAlignment="1">
      <alignment horizontal="center" vertical="center" shrinkToFit="1" readingOrder="2"/>
    </xf>
    <xf numFmtId="165" fontId="36" fillId="0" borderId="6" xfId="3" applyNumberFormat="1" applyFont="1" applyBorder="1" applyAlignment="1">
      <alignment horizontal="center" vertical="center"/>
    </xf>
    <xf numFmtId="3" fontId="35" fillId="0" borderId="3" xfId="5" applyNumberFormat="1" applyFont="1" applyBorder="1" applyAlignment="1">
      <alignment horizontal="center" vertical="center" shrinkToFit="1" readingOrder="2"/>
    </xf>
    <xf numFmtId="165" fontId="36" fillId="0" borderId="3" xfId="3" applyNumberFormat="1" applyFont="1" applyBorder="1" applyAlignment="1">
      <alignment horizontal="center" vertical="center"/>
    </xf>
    <xf numFmtId="49" fontId="51" fillId="2" borderId="0" xfId="0" applyNumberFormat="1" applyFont="1" applyFill="1" applyAlignment="1">
      <alignment horizontal="left" vertical="top" readingOrder="2"/>
    </xf>
    <xf numFmtId="3" fontId="69" fillId="0" borderId="0" xfId="10" applyNumberFormat="1" applyFont="1" applyAlignment="1">
      <alignment vertical="center"/>
    </xf>
    <xf numFmtId="165" fontId="72" fillId="0" borderId="13" xfId="3" applyNumberFormat="1" applyFont="1" applyBorder="1" applyAlignment="1">
      <alignment vertical="center" wrapText="1"/>
    </xf>
    <xf numFmtId="167" fontId="80" fillId="0" borderId="13" xfId="0" applyNumberFormat="1" applyFont="1" applyBorder="1" applyAlignment="1">
      <alignment horizontal="right" vertical="center" shrinkToFit="1"/>
    </xf>
    <xf numFmtId="165" fontId="72" fillId="0" borderId="13" xfId="3" applyNumberFormat="1" applyFont="1" applyBorder="1" applyAlignment="1">
      <alignment horizontal="center" vertical="center" wrapText="1"/>
    </xf>
    <xf numFmtId="0" fontId="75" fillId="0" borderId="13" xfId="3" applyFont="1" applyBorder="1" applyAlignment="1">
      <alignment horizontal="center" vertical="center" wrapText="1"/>
    </xf>
    <xf numFmtId="165" fontId="31" fillId="0" borderId="13" xfId="3" applyNumberFormat="1" applyFont="1" applyBorder="1" applyAlignment="1">
      <alignment horizontal="center" vertical="center" wrapText="1"/>
    </xf>
    <xf numFmtId="174" fontId="67" fillId="0" borderId="0" xfId="1" applyNumberFormat="1" applyFont="1" applyAlignment="1">
      <alignment vertical="center"/>
    </xf>
    <xf numFmtId="0" fontId="69" fillId="0" borderId="13" xfId="3" applyFont="1" applyBorder="1" applyAlignment="1">
      <alignment horizontal="center" vertical="center" wrapText="1"/>
    </xf>
    <xf numFmtId="0" fontId="106" fillId="0" borderId="0" xfId="0" applyFont="1"/>
    <xf numFmtId="165" fontId="69" fillId="0" borderId="0" xfId="10" applyNumberFormat="1" applyFont="1" applyBorder="1" applyAlignment="1">
      <alignment horizontal="center" vertical="center" wrapText="1"/>
    </xf>
    <xf numFmtId="0" fontId="59" fillId="0" borderId="0" xfId="10" applyFont="1" applyBorder="1" applyAlignment="1">
      <alignment horizontal="center" vertical="center" wrapText="1"/>
    </xf>
    <xf numFmtId="0" fontId="59" fillId="0" borderId="2" xfId="10" applyFont="1" applyBorder="1" applyAlignment="1">
      <alignment horizontal="center" vertical="center" wrapText="1"/>
    </xf>
    <xf numFmtId="3" fontId="35" fillId="0" borderId="0" xfId="5" applyNumberFormat="1" applyFont="1" applyBorder="1" applyAlignment="1">
      <alignment horizontal="center" shrinkToFit="1" readingOrder="2"/>
    </xf>
    <xf numFmtId="0" fontId="29" fillId="0" borderId="0" xfId="3" applyFont="1" applyAlignment="1">
      <alignment vertical="center"/>
    </xf>
    <xf numFmtId="0" fontId="29" fillId="0" borderId="0" xfId="3" applyFont="1" applyAlignment="1">
      <alignment horizontal="right" vertical="center"/>
    </xf>
    <xf numFmtId="0" fontId="53" fillId="2" borderId="0" xfId="0" applyFont="1" applyFill="1" applyAlignment="1">
      <alignment horizontal="center" vertical="center" readingOrder="2"/>
    </xf>
    <xf numFmtId="165" fontId="35" fillId="0" borderId="0" xfId="0" applyNumberFormat="1" applyFont="1" applyAlignment="1">
      <alignment horizontal="center" vertical="center" readingOrder="2"/>
    </xf>
    <xf numFmtId="0" fontId="34" fillId="2" borderId="1" xfId="0" applyFont="1" applyFill="1" applyBorder="1" applyAlignment="1">
      <alignment horizontal="center" wrapText="1" readingOrder="2"/>
    </xf>
    <xf numFmtId="0" fontId="44" fillId="2" borderId="1" xfId="0" applyFont="1" applyFill="1" applyBorder="1" applyAlignment="1">
      <alignment horizontal="center" vertical="center" wrapText="1" readingOrder="2"/>
    </xf>
    <xf numFmtId="165" fontId="61" fillId="0" borderId="0" xfId="0" applyNumberFormat="1" applyFont="1" applyAlignment="1">
      <alignment horizontal="center" vertical="center" readingOrder="2"/>
    </xf>
    <xf numFmtId="165" fontId="48" fillId="0" borderId="0" xfId="0" applyNumberFormat="1" applyFont="1" applyAlignment="1">
      <alignment horizontal="center" vertical="center" readingOrder="2"/>
    </xf>
    <xf numFmtId="165" fontId="6" fillId="2" borderId="1" xfId="0" applyNumberFormat="1" applyFont="1" applyFill="1" applyBorder="1" applyAlignment="1">
      <alignment horizontal="center" vertical="center" wrapText="1" readingOrder="2"/>
    </xf>
    <xf numFmtId="165" fontId="6" fillId="2" borderId="1" xfId="0" applyNumberFormat="1" applyFont="1" applyFill="1" applyBorder="1" applyAlignment="1">
      <alignment horizontal="center" vertical="center" readingOrder="2"/>
    </xf>
    <xf numFmtId="0" fontId="20" fillId="0" borderId="0" xfId="0" applyFont="1" applyAlignment="1">
      <alignment horizontal="right" vertical="center" wrapText="1" readingOrder="2"/>
    </xf>
    <xf numFmtId="165" fontId="20" fillId="0" borderId="0" xfId="0" applyNumberFormat="1" applyFont="1" applyAlignment="1">
      <alignment horizontal="right" vertical="center" readingOrder="2"/>
    </xf>
    <xf numFmtId="0" fontId="20" fillId="0" borderId="0" xfId="9" applyFont="1" applyAlignment="1">
      <alignment horizontal="right" vertical="center" wrapText="1" readingOrder="2"/>
    </xf>
    <xf numFmtId="165" fontId="29" fillId="0" borderId="0" xfId="3" applyNumberFormat="1" applyFont="1" applyAlignment="1">
      <alignment horizontal="center" vertical="center"/>
    </xf>
    <xf numFmtId="165" fontId="20" fillId="0" borderId="13" xfId="0" applyNumberFormat="1" applyFont="1" applyBorder="1" applyAlignment="1">
      <alignment horizontal="center" vertical="center" wrapText="1" readingOrder="2"/>
    </xf>
    <xf numFmtId="169" fontId="18" fillId="0" borderId="7" xfId="0" applyNumberFormat="1" applyFont="1" applyBorder="1" applyAlignment="1">
      <alignment horizontal="center" vertical="center" readingOrder="2"/>
    </xf>
    <xf numFmtId="165" fontId="34" fillId="0" borderId="0" xfId="0" applyNumberFormat="1" applyFont="1" applyAlignment="1">
      <alignment horizontal="center" vertical="center" readingOrder="2"/>
    </xf>
    <xf numFmtId="165" fontId="61" fillId="0" borderId="0" xfId="0" applyNumberFormat="1" applyFont="1" applyAlignment="1">
      <alignment horizontal="center" vertical="center" readingOrder="2"/>
    </xf>
    <xf numFmtId="0" fontId="57" fillId="0" borderId="1" xfId="0" applyFont="1" applyBorder="1" applyAlignment="1">
      <alignment horizontal="center" vertical="center" readingOrder="2"/>
    </xf>
    <xf numFmtId="0" fontId="67" fillId="2" borderId="0" xfId="0" applyFont="1" applyFill="1" applyAlignment="1">
      <alignment vertical="center"/>
    </xf>
    <xf numFmtId="170" fontId="61" fillId="2" borderId="0" xfId="5" applyNumberFormat="1" applyFont="1" applyFill="1" applyAlignment="1">
      <alignment vertical="center" shrinkToFit="1" readingOrder="2"/>
    </xf>
    <xf numFmtId="165" fontId="61" fillId="0" borderId="0" xfId="0" applyNumberFormat="1" applyFont="1" applyAlignment="1">
      <alignment horizontal="center" vertical="center" shrinkToFit="1" readingOrder="1"/>
    </xf>
    <xf numFmtId="165" fontId="35" fillId="0" borderId="0" xfId="0" applyNumberFormat="1" applyFont="1" applyAlignment="1">
      <alignment horizontal="center" vertical="center" readingOrder="2"/>
    </xf>
    <xf numFmtId="49" fontId="34" fillId="2" borderId="0" xfId="0" applyNumberFormat="1" applyFont="1" applyFill="1" applyAlignment="1">
      <alignment horizontal="right" vertical="center" readingOrder="2"/>
    </xf>
    <xf numFmtId="0" fontId="34" fillId="2" borderId="1" xfId="0" applyFont="1" applyFill="1" applyBorder="1" applyAlignment="1">
      <alignment horizontal="center" wrapText="1" readingOrder="2"/>
    </xf>
    <xf numFmtId="165" fontId="34" fillId="2" borderId="0" xfId="0" applyNumberFormat="1" applyFont="1" applyFill="1" applyAlignment="1">
      <alignment horizontal="center" vertical="center" wrapText="1" readingOrder="2"/>
    </xf>
    <xf numFmtId="165" fontId="34" fillId="2" borderId="0" xfId="0" applyNumberFormat="1" applyFont="1" applyFill="1" applyAlignment="1">
      <alignment horizontal="center" wrapText="1" readingOrder="2"/>
    </xf>
    <xf numFmtId="0" fontId="81" fillId="0" borderId="13" xfId="0" applyFont="1" applyBorder="1" applyAlignment="1">
      <alignment horizontal="center" vertical="center"/>
    </xf>
    <xf numFmtId="49" fontId="57" fillId="0" borderId="0" xfId="0" applyNumberFormat="1" applyFont="1" applyAlignment="1">
      <alignment horizontal="center" vertical="center" readingOrder="2"/>
    </xf>
    <xf numFmtId="165" fontId="35" fillId="0" borderId="3" xfId="0" applyNumberFormat="1" applyFont="1" applyBorder="1" applyAlignment="1">
      <alignment horizontal="center" vertical="center" readingOrder="2"/>
    </xf>
    <xf numFmtId="3" fontId="35" fillId="0" borderId="0" xfId="0" applyNumberFormat="1" applyFont="1" applyAlignment="1">
      <alignment horizontal="center" vertical="top" wrapText="1" readingOrder="2"/>
    </xf>
    <xf numFmtId="0" fontId="81" fillId="0" borderId="12" xfId="0" applyFont="1" applyBorder="1" applyAlignment="1">
      <alignment horizontal="center" vertical="center"/>
    </xf>
    <xf numFmtId="165" fontId="35" fillId="2" borderId="11" xfId="0" applyNumberFormat="1" applyFont="1" applyFill="1" applyBorder="1" applyAlignment="1">
      <alignment horizontal="center" vertical="center" wrapText="1" readingOrder="2"/>
    </xf>
    <xf numFmtId="169" fontId="18" fillId="0" borderId="0" xfId="0" applyNumberFormat="1" applyFont="1" applyAlignment="1">
      <alignment vertical="center" readingOrder="2"/>
    </xf>
    <xf numFmtId="0" fontId="34" fillId="0" borderId="0" xfId="0" applyFont="1" applyAlignment="1">
      <alignment horizontal="right" vertical="center" readingOrder="2"/>
    </xf>
    <xf numFmtId="0" fontId="35" fillId="0" borderId="0" xfId="1" applyNumberFormat="1" applyFont="1" applyFill="1" applyAlignment="1">
      <alignment horizontal="center" vertical="center" wrapText="1" readingOrder="2"/>
    </xf>
    <xf numFmtId="0" fontId="48" fillId="0" borderId="0" xfId="0" applyNumberFormat="1" applyFont="1" applyAlignment="1">
      <alignment horizontal="center" vertical="center" readingOrder="2"/>
    </xf>
    <xf numFmtId="0" fontId="49" fillId="0" borderId="0" xfId="0" applyNumberFormat="1" applyFont="1" applyAlignment="1">
      <alignment horizontal="center" vertical="center" readingOrder="2"/>
    </xf>
    <xf numFmtId="174" fontId="61" fillId="0" borderId="0" xfId="1" applyNumberFormat="1" applyFont="1" applyFill="1" applyAlignment="1">
      <alignment vertical="center" wrapText="1" readingOrder="2"/>
    </xf>
    <xf numFmtId="165" fontId="35" fillId="0" borderId="0" xfId="0" applyNumberFormat="1" applyFont="1" applyAlignment="1">
      <alignment horizontal="center" vertical="center" readingOrder="2"/>
    </xf>
    <xf numFmtId="165" fontId="35" fillId="0" borderId="0" xfId="0" applyNumberFormat="1" applyFont="1" applyAlignment="1">
      <alignment horizontal="right" vertical="center" readingOrder="2"/>
    </xf>
    <xf numFmtId="165" fontId="16" fillId="0" borderId="0" xfId="3" applyNumberFormat="1" applyFont="1" applyAlignment="1">
      <alignment horizontal="right" vertical="center" readingOrder="2"/>
    </xf>
    <xf numFmtId="165" fontId="57" fillId="2" borderId="3" xfId="1" applyNumberFormat="1" applyFont="1" applyFill="1" applyBorder="1" applyAlignment="1">
      <alignment horizontal="center" vertical="center" wrapText="1" readingOrder="2"/>
    </xf>
    <xf numFmtId="165" fontId="34" fillId="0" borderId="0" xfId="0" applyNumberFormat="1" applyFont="1" applyAlignment="1">
      <alignment horizontal="center" readingOrder="2"/>
    </xf>
    <xf numFmtId="165" fontId="34" fillId="2" borderId="0" xfId="0" applyNumberFormat="1" applyFont="1" applyFill="1" applyAlignment="1">
      <alignment horizontal="center" vertical="center" readingOrder="2"/>
    </xf>
    <xf numFmtId="165" fontId="61" fillId="0" borderId="0" xfId="0" applyNumberFormat="1" applyFont="1" applyAlignment="1">
      <alignment horizontal="center" vertical="center" readingOrder="2"/>
    </xf>
    <xf numFmtId="3" fontId="35" fillId="2" borderId="0" xfId="0" applyNumberFormat="1" applyFont="1" applyFill="1" applyAlignment="1">
      <alignment horizontal="center" shrinkToFit="1" readingOrder="2"/>
    </xf>
    <xf numFmtId="165" fontId="35" fillId="0" borderId="0" xfId="0" applyNumberFormat="1" applyFont="1" applyAlignment="1">
      <alignment horizontal="center" vertical="center" readingOrder="1"/>
    </xf>
    <xf numFmtId="165" fontId="61" fillId="0" borderId="0" xfId="0" applyNumberFormat="1" applyFont="1" applyAlignment="1">
      <alignment horizontal="center" vertical="center" readingOrder="1"/>
    </xf>
    <xf numFmtId="165" fontId="57" fillId="2" borderId="2" xfId="1" applyNumberFormat="1" applyFont="1" applyFill="1" applyBorder="1" applyAlignment="1">
      <alignment horizontal="center" vertical="center" wrapText="1" readingOrder="2"/>
    </xf>
    <xf numFmtId="3" fontId="35" fillId="2" borderId="0" xfId="5" applyNumberFormat="1" applyFont="1" applyFill="1" applyAlignment="1">
      <alignment horizontal="center" shrinkToFit="1" readingOrder="2"/>
    </xf>
    <xf numFmtId="0" fontId="67" fillId="0" borderId="0" xfId="0" applyFont="1"/>
    <xf numFmtId="174" fontId="67" fillId="0" borderId="0" xfId="1" applyNumberFormat="1" applyFont="1"/>
    <xf numFmtId="165" fontId="63" fillId="0" borderId="0" xfId="4" applyNumberFormat="1" applyFont="1" applyFill="1" applyAlignment="1">
      <alignment horizontal="center" vertical="center" readingOrder="2"/>
    </xf>
    <xf numFmtId="0" fontId="18" fillId="0" borderId="0" xfId="0" applyFont="1" applyAlignment="1">
      <alignment vertical="center" readingOrder="2"/>
    </xf>
    <xf numFmtId="165" fontId="61" fillId="0" borderId="0" xfId="0" applyNumberFormat="1" applyFont="1" applyAlignment="1">
      <alignment horizontal="center" vertical="top" readingOrder="2"/>
    </xf>
    <xf numFmtId="3" fontId="61" fillId="0" borderId="0" xfId="5" applyNumberFormat="1" applyFont="1" applyAlignment="1">
      <alignment horizontal="center" shrinkToFit="1" readingOrder="2"/>
    </xf>
    <xf numFmtId="165" fontId="18" fillId="0" borderId="0" xfId="0" applyNumberFormat="1" applyFont="1" applyAlignment="1">
      <alignment horizontal="center" vertical="center" readingOrder="2"/>
    </xf>
    <xf numFmtId="3" fontId="67" fillId="0" borderId="0" xfId="0" applyNumberFormat="1" applyFont="1"/>
    <xf numFmtId="3" fontId="61" fillId="0" borderId="0" xfId="5" applyNumberFormat="1" applyFont="1" applyAlignment="1">
      <alignment horizontal="center" readingOrder="1"/>
    </xf>
    <xf numFmtId="0" fontId="61" fillId="0" borderId="0" xfId="0" applyFont="1" applyAlignment="1">
      <alignment horizontal="right" vertical="center" shrinkToFit="1" readingOrder="2"/>
    </xf>
    <xf numFmtId="165" fontId="18" fillId="0" borderId="3" xfId="1" applyNumberFormat="1" applyFont="1" applyFill="1" applyBorder="1" applyAlignment="1">
      <alignment horizontal="center" vertical="center" wrapText="1" readingOrder="2"/>
    </xf>
    <xf numFmtId="3" fontId="18" fillId="0" borderId="0" xfId="0" applyNumberFormat="1" applyFont="1" applyAlignment="1">
      <alignment horizontal="center" vertical="center" shrinkToFit="1" readingOrder="2"/>
    </xf>
    <xf numFmtId="3" fontId="61" fillId="0" borderId="0" xfId="0" applyNumberFormat="1" applyFont="1" applyAlignment="1">
      <alignment horizontal="center" vertical="center" shrinkToFit="1" readingOrder="2"/>
    </xf>
    <xf numFmtId="179" fontId="73" fillId="2" borderId="0" xfId="0" applyNumberFormat="1" applyFont="1" applyFill="1" applyAlignment="1">
      <alignment horizontal="center" vertical="center" wrapText="1" readingOrder="2"/>
    </xf>
    <xf numFmtId="0" fontId="73" fillId="2" borderId="0" xfId="0" applyNumberFormat="1" applyFont="1" applyFill="1" applyAlignment="1">
      <alignment horizontal="center" vertical="center" wrapText="1" readingOrder="2"/>
    </xf>
    <xf numFmtId="165" fontId="34" fillId="2" borderId="3" xfId="1" applyNumberFormat="1" applyFont="1" applyFill="1" applyBorder="1" applyAlignment="1">
      <alignment horizontal="center" vertical="center" wrapText="1" readingOrder="2"/>
    </xf>
    <xf numFmtId="165" fontId="34" fillId="0" borderId="0" xfId="0" applyNumberFormat="1" applyFont="1" applyBorder="1" applyAlignment="1">
      <alignment horizontal="center" vertical="center" readingOrder="2"/>
    </xf>
    <xf numFmtId="165" fontId="36" fillId="0" borderId="0" xfId="3" applyNumberFormat="1" applyFont="1" applyAlignment="1">
      <alignment horizontal="right" vertical="center" readingOrder="1"/>
    </xf>
    <xf numFmtId="165" fontId="69" fillId="2" borderId="16" xfId="10" applyNumberFormat="1" applyFont="1" applyFill="1" applyBorder="1" applyAlignment="1">
      <alignment horizontal="center" vertical="center" wrapText="1"/>
    </xf>
    <xf numFmtId="165" fontId="69" fillId="2" borderId="13" xfId="10" applyNumberFormat="1" applyFont="1" applyFill="1" applyBorder="1" applyAlignment="1">
      <alignment horizontal="center" vertical="center" wrapText="1"/>
    </xf>
    <xf numFmtId="165" fontId="69" fillId="2" borderId="12" xfId="10" applyNumberFormat="1" applyFont="1" applyFill="1" applyBorder="1" applyAlignment="1">
      <alignment horizontal="center" vertical="center" wrapText="1"/>
    </xf>
    <xf numFmtId="165" fontId="42" fillId="0" borderId="0" xfId="0" applyNumberFormat="1" applyFont="1" applyAlignment="1">
      <alignment horizontal="center" vertical="center" readingOrder="2"/>
    </xf>
    <xf numFmtId="0" fontId="66" fillId="0" borderId="0" xfId="10" applyFont="1" applyAlignment="1">
      <alignment horizontal="center" vertical="center"/>
    </xf>
    <xf numFmtId="0" fontId="59" fillId="0" borderId="0" xfId="10" applyFont="1" applyAlignment="1">
      <alignment horizontal="center" vertical="center"/>
    </xf>
    <xf numFmtId="165" fontId="66" fillId="0" borderId="0" xfId="10" applyNumberFormat="1" applyFont="1" applyAlignment="1">
      <alignment horizontal="center" vertical="center"/>
    </xf>
    <xf numFmtId="165" fontId="44" fillId="0" borderId="5" xfId="0" applyNumberFormat="1" applyFont="1" applyBorder="1" applyAlignment="1">
      <alignment horizontal="center" vertical="center" readingOrder="2"/>
    </xf>
    <xf numFmtId="0" fontId="81" fillId="0" borderId="0" xfId="0" applyFont="1"/>
    <xf numFmtId="49" fontId="19" fillId="0" borderId="0" xfId="0" applyNumberFormat="1" applyFont="1" applyAlignment="1">
      <alignment horizontal="center" vertical="center" readingOrder="2"/>
    </xf>
    <xf numFmtId="49" fontId="19" fillId="0" borderId="0" xfId="0" applyNumberFormat="1" applyFont="1" applyAlignment="1">
      <alignment horizontal="left" vertical="center" readingOrder="2"/>
    </xf>
    <xf numFmtId="165" fontId="35" fillId="0" borderId="0" xfId="1" applyNumberFormat="1" applyFont="1" applyFill="1" applyAlignment="1">
      <alignment horizontal="center" vertical="center" readingOrder="1"/>
    </xf>
    <xf numFmtId="165" fontId="47" fillId="0" borderId="0" xfId="1" applyNumberFormat="1" applyFont="1" applyFill="1" applyAlignment="1">
      <alignment horizontal="center" vertical="center" readingOrder="1"/>
    </xf>
    <xf numFmtId="0" fontId="25" fillId="0" borderId="0" xfId="10" applyFont="1" applyAlignment="1">
      <alignment horizontal="center" wrapText="1" readingOrder="2"/>
    </xf>
    <xf numFmtId="3" fontId="35" fillId="0" borderId="4" xfId="5" applyNumberFormat="1" applyFont="1" applyBorder="1" applyAlignment="1">
      <alignment horizontal="center" shrinkToFit="1" readingOrder="2"/>
    </xf>
    <xf numFmtId="0" fontId="34" fillId="2" borderId="0" xfId="0" applyFont="1" applyFill="1" applyAlignment="1">
      <alignment horizontal="center" readingOrder="2"/>
    </xf>
    <xf numFmtId="0" fontId="34" fillId="2" borderId="1" xfId="0" applyFont="1" applyFill="1" applyBorder="1" applyAlignment="1">
      <alignment horizontal="center" vertical="center" readingOrder="2"/>
    </xf>
    <xf numFmtId="165" fontId="34" fillId="2" borderId="0" xfId="1" applyNumberFormat="1" applyFont="1" applyFill="1" applyAlignment="1">
      <alignment horizontal="center" vertical="center" wrapText="1" readingOrder="2"/>
    </xf>
    <xf numFmtId="165" fontId="35" fillId="2" borderId="0" xfId="1" applyNumberFormat="1" applyFont="1" applyFill="1" applyAlignment="1">
      <alignment horizontal="center" vertical="center" wrapText="1" readingOrder="2"/>
    </xf>
    <xf numFmtId="165" fontId="35" fillId="2" borderId="1" xfId="1" applyNumberFormat="1" applyFont="1" applyFill="1" applyBorder="1" applyAlignment="1">
      <alignment horizontal="center" vertical="center" wrapText="1" readingOrder="2"/>
    </xf>
    <xf numFmtId="165" fontId="35" fillId="2" borderId="4" xfId="1" applyNumberFormat="1" applyFont="1" applyFill="1" applyBorder="1" applyAlignment="1">
      <alignment horizontal="center" vertical="center" wrapText="1" readingOrder="2"/>
    </xf>
    <xf numFmtId="165" fontId="44" fillId="0" borderId="0" xfId="0" applyNumberFormat="1" applyFont="1" applyAlignment="1">
      <alignment horizontal="center" vertical="center" readingOrder="2"/>
    </xf>
    <xf numFmtId="165" fontId="44" fillId="0" borderId="1" xfId="1" applyNumberFormat="1" applyFont="1" applyFill="1" applyBorder="1" applyAlignment="1">
      <alignment horizontal="center" vertical="center" wrapText="1" readingOrder="2"/>
    </xf>
    <xf numFmtId="165" fontId="44" fillId="0" borderId="0" xfId="1" applyNumberFormat="1" applyFont="1" applyFill="1" applyAlignment="1">
      <alignment horizontal="center" vertical="center" wrapText="1" readingOrder="2"/>
    </xf>
    <xf numFmtId="49" fontId="48" fillId="0" borderId="0" xfId="0" applyNumberFormat="1" applyFont="1" applyAlignment="1">
      <alignment horizontal="center" vertical="center" readingOrder="2"/>
    </xf>
    <xf numFmtId="2" fontId="34" fillId="0" borderId="0" xfId="8" applyNumberFormat="1" applyFont="1" applyAlignment="1">
      <alignment horizontal="center" vertical="center" wrapText="1"/>
    </xf>
    <xf numFmtId="2" fontId="35" fillId="0" borderId="0" xfId="0" applyNumberFormat="1" applyFont="1" applyAlignment="1">
      <alignment readingOrder="2"/>
    </xf>
    <xf numFmtId="2" fontId="36" fillId="0" borderId="0" xfId="0" applyNumberFormat="1" applyFont="1" applyAlignment="1">
      <alignment vertical="center"/>
    </xf>
    <xf numFmtId="49" fontId="9" fillId="2" borderId="0" xfId="0" applyNumberFormat="1" applyFont="1" applyFill="1" applyAlignment="1">
      <alignment horizontal="left" vertical="center" readingOrder="2"/>
    </xf>
    <xf numFmtId="49" fontId="57" fillId="0" borderId="0" xfId="0" applyNumberFormat="1" applyFont="1" applyAlignment="1">
      <alignment horizontal="center" vertical="center" readingOrder="2"/>
    </xf>
    <xf numFmtId="3" fontId="35" fillId="0" borderId="0" xfId="5" applyNumberFormat="1" applyFont="1" applyAlignment="1">
      <alignment horizontal="center" vertical="center" readingOrder="1"/>
    </xf>
    <xf numFmtId="3" fontId="61" fillId="0" borderId="0" xfId="5" applyNumberFormat="1" applyFont="1" applyAlignment="1">
      <alignment horizontal="center" vertical="center" readingOrder="1"/>
    </xf>
    <xf numFmtId="3" fontId="35" fillId="0" borderId="0" xfId="0" applyNumberFormat="1" applyFont="1" applyAlignment="1">
      <alignment horizontal="center" vertical="center" readingOrder="1"/>
    </xf>
    <xf numFmtId="174" fontId="66" fillId="0" borderId="0" xfId="1" applyNumberFormat="1" applyFont="1" applyAlignment="1">
      <alignment vertical="center"/>
    </xf>
    <xf numFmtId="174" fontId="66" fillId="0" borderId="0" xfId="10" applyNumberFormat="1" applyFont="1" applyAlignment="1">
      <alignment vertical="center"/>
    </xf>
    <xf numFmtId="165" fontId="39" fillId="2" borderId="3" xfId="3" applyNumberFormat="1" applyFont="1" applyFill="1" applyBorder="1" applyAlignment="1">
      <alignment horizontal="center"/>
    </xf>
    <xf numFmtId="4" fontId="34" fillId="0" borderId="0" xfId="8" applyNumberFormat="1" applyFont="1" applyAlignment="1">
      <alignment horizontal="center" vertical="center" wrapText="1"/>
    </xf>
    <xf numFmtId="4" fontId="35" fillId="0" borderId="0" xfId="0" applyNumberFormat="1" applyFont="1" applyAlignment="1">
      <alignment readingOrder="2"/>
    </xf>
    <xf numFmtId="4" fontId="36" fillId="0" borderId="0" xfId="0" applyNumberFormat="1" applyFont="1" applyAlignment="1">
      <alignment vertical="center"/>
    </xf>
    <xf numFmtId="165" fontId="37" fillId="0" borderId="0" xfId="0" applyNumberFormat="1" applyFont="1" applyBorder="1" applyAlignment="1">
      <alignment vertical="center" readingOrder="2"/>
    </xf>
    <xf numFmtId="0" fontId="67" fillId="0" borderId="0" xfId="0" applyFont="1" applyAlignment="1">
      <alignment horizontal="center" vertical="center"/>
    </xf>
    <xf numFmtId="0" fontId="67" fillId="0" borderId="0" xfId="0" applyFont="1" applyAlignment="1">
      <alignment vertical="center"/>
    </xf>
    <xf numFmtId="174" fontId="20" fillId="0" borderId="0" xfId="1" applyNumberFormat="1" applyFont="1" applyFill="1" applyAlignment="1">
      <alignment horizontal="center" vertical="center" readingOrder="2"/>
    </xf>
    <xf numFmtId="179" fontId="61" fillId="0" borderId="0" xfId="1" applyNumberFormat="1" applyFont="1" applyFill="1" applyAlignment="1">
      <alignment horizontal="center" vertical="center" wrapText="1" readingOrder="1"/>
    </xf>
    <xf numFmtId="165" fontId="44" fillId="0" borderId="0" xfId="0" applyNumberFormat="1" applyFont="1" applyAlignment="1">
      <alignment horizontal="center" vertical="center" readingOrder="2"/>
    </xf>
    <xf numFmtId="165" fontId="33" fillId="2" borderId="0" xfId="4" applyNumberFormat="1" applyFont="1" applyFill="1" applyAlignment="1">
      <alignment horizontal="center" vertical="center" readingOrder="2"/>
    </xf>
    <xf numFmtId="0" fontId="33" fillId="2" borderId="0" xfId="4" applyNumberFormat="1" applyFont="1" applyFill="1" applyAlignment="1">
      <alignment horizontal="center" vertical="center" readingOrder="2"/>
    </xf>
    <xf numFmtId="165" fontId="34" fillId="2" borderId="0" xfId="0" applyNumberFormat="1" applyFont="1" applyFill="1" applyAlignment="1">
      <alignment horizontal="center" vertical="center" wrapText="1" readingOrder="2"/>
    </xf>
    <xf numFmtId="165" fontId="34" fillId="2" borderId="0" xfId="0" applyNumberFormat="1" applyFont="1" applyFill="1" applyAlignment="1">
      <alignment horizontal="right" vertical="center" wrapText="1" readingOrder="2"/>
    </xf>
    <xf numFmtId="0" fontId="81" fillId="0" borderId="9" xfId="0" applyFont="1" applyBorder="1" applyAlignment="1">
      <alignment horizontal="center" vertical="center"/>
    </xf>
    <xf numFmtId="0" fontId="81" fillId="0" borderId="10" xfId="0" applyFont="1" applyBorder="1" applyAlignment="1">
      <alignment horizontal="center" vertical="center"/>
    </xf>
    <xf numFmtId="165" fontId="37" fillId="2" borderId="0" xfId="0" applyNumberFormat="1" applyFont="1" applyFill="1" applyAlignment="1">
      <alignment horizontal="right" vertical="center" readingOrder="2"/>
    </xf>
    <xf numFmtId="165" fontId="19" fillId="2" borderId="0" xfId="0" applyNumberFormat="1" applyFont="1" applyFill="1" applyAlignment="1">
      <alignment horizontal="right" vertical="center" readingOrder="2"/>
    </xf>
    <xf numFmtId="165" fontId="19" fillId="0" borderId="0" xfId="0" applyNumberFormat="1" applyFont="1" applyAlignment="1">
      <alignment horizontal="right" vertical="center" wrapText="1" readingOrder="2"/>
    </xf>
    <xf numFmtId="0" fontId="34" fillId="2" borderId="0" xfId="0" applyFont="1" applyFill="1" applyAlignment="1">
      <alignment horizontal="center" vertical="center" readingOrder="2"/>
    </xf>
    <xf numFmtId="165" fontId="20" fillId="0" borderId="0" xfId="9" applyNumberFormat="1" applyFont="1" applyAlignment="1">
      <alignment horizontal="right" vertical="center" readingOrder="2"/>
    </xf>
    <xf numFmtId="0" fontId="34" fillId="0" borderId="0" xfId="0" applyFont="1" applyAlignment="1">
      <alignment horizontal="right" vertical="center" readingOrder="2"/>
    </xf>
    <xf numFmtId="3" fontId="34" fillId="2" borderId="0" xfId="0" applyNumberFormat="1" applyFont="1" applyFill="1" applyBorder="1" applyAlignment="1">
      <alignment horizontal="center" vertical="center" wrapText="1" readingOrder="2"/>
    </xf>
    <xf numFmtId="0" fontId="34" fillId="2" borderId="0" xfId="0" applyFont="1" applyFill="1" applyBorder="1" applyAlignment="1">
      <alignment horizontal="center" wrapText="1" readingOrder="2"/>
    </xf>
    <xf numFmtId="165" fontId="35" fillId="2" borderId="7" xfId="0" applyNumberFormat="1" applyFont="1" applyFill="1" applyBorder="1" applyAlignment="1">
      <alignment horizontal="right" vertical="center" wrapText="1" readingOrder="2"/>
    </xf>
    <xf numFmtId="0" fontId="81" fillId="0" borderId="43" xfId="0" applyFont="1" applyBorder="1" applyAlignment="1">
      <alignment horizontal="center" vertical="center"/>
    </xf>
    <xf numFmtId="165" fontId="35" fillId="2" borderId="23" xfId="0" applyNumberFormat="1" applyFont="1" applyFill="1" applyBorder="1" applyAlignment="1">
      <alignment horizontal="center" vertical="center" wrapText="1" readingOrder="2"/>
    </xf>
    <xf numFmtId="166" fontId="81" fillId="0" borderId="33" xfId="1" applyNumberFormat="1" applyFont="1" applyBorder="1" applyAlignment="1">
      <alignment horizontal="center" vertical="center"/>
    </xf>
    <xf numFmtId="165" fontId="35" fillId="2" borderId="60" xfId="0" applyNumberFormat="1" applyFont="1" applyFill="1" applyBorder="1" applyAlignment="1">
      <alignment horizontal="center" vertical="center" wrapText="1" readingOrder="2"/>
    </xf>
    <xf numFmtId="165" fontId="35" fillId="2" borderId="61" xfId="0" applyNumberFormat="1" applyFont="1" applyFill="1" applyBorder="1" applyAlignment="1">
      <alignment horizontal="center" vertical="center" wrapText="1" readingOrder="2"/>
    </xf>
    <xf numFmtId="165" fontId="35" fillId="2" borderId="37" xfId="0" applyNumberFormat="1" applyFont="1" applyFill="1" applyBorder="1" applyAlignment="1">
      <alignment horizontal="center" vertical="center" wrapText="1" readingOrder="2"/>
    </xf>
    <xf numFmtId="165" fontId="35" fillId="2" borderId="36" xfId="0" applyNumberFormat="1" applyFont="1" applyFill="1" applyBorder="1" applyAlignment="1">
      <alignment horizontal="center" vertical="center" wrapText="1" readingOrder="2"/>
    </xf>
    <xf numFmtId="0" fontId="76" fillId="0" borderId="0" xfId="0" applyFont="1" applyBorder="1" applyAlignment="1">
      <alignment horizontal="center" vertical="center"/>
    </xf>
    <xf numFmtId="165" fontId="34" fillId="2" borderId="0" xfId="0" applyNumberFormat="1" applyFont="1" applyFill="1" applyBorder="1" applyAlignment="1">
      <alignment horizontal="center" vertical="center" wrapText="1" readingOrder="2"/>
    </xf>
    <xf numFmtId="165" fontId="44" fillId="0" borderId="4" xfId="1" applyNumberFormat="1" applyFont="1" applyFill="1" applyBorder="1" applyAlignment="1">
      <alignment horizontal="center" vertical="center" wrapText="1" readingOrder="2"/>
    </xf>
    <xf numFmtId="165" fontId="20" fillId="0" borderId="0" xfId="9" applyNumberFormat="1" applyFont="1" applyAlignment="1">
      <alignment readingOrder="2"/>
    </xf>
    <xf numFmtId="49" fontId="20" fillId="2" borderId="0" xfId="9" applyNumberFormat="1" applyFont="1" applyFill="1" applyAlignment="1">
      <alignment horizontal="left" vertical="center" readingOrder="2"/>
    </xf>
    <xf numFmtId="0" fontId="18" fillId="2" borderId="0" xfId="9" applyFont="1" applyFill="1" applyAlignment="1">
      <alignment horizontal="right" vertical="center" readingOrder="2"/>
    </xf>
    <xf numFmtId="169" fontId="21" fillId="2" borderId="0" xfId="9" applyNumberFormat="1" applyFont="1" applyFill="1" applyAlignment="1">
      <alignment horizontal="center" vertical="center" readingOrder="2"/>
    </xf>
    <xf numFmtId="3" fontId="21" fillId="2" borderId="0" xfId="9" applyNumberFormat="1" applyFont="1" applyFill="1" applyAlignment="1">
      <alignment horizontal="center" vertical="center" readingOrder="2"/>
    </xf>
    <xf numFmtId="169" fontId="21" fillId="0" borderId="0" xfId="9" applyNumberFormat="1" applyFont="1" applyAlignment="1">
      <alignment vertical="center" readingOrder="2"/>
    </xf>
    <xf numFmtId="169" fontId="21" fillId="0" borderId="0" xfId="11" applyNumberFormat="1" applyFont="1" applyFill="1" applyAlignment="1">
      <alignment vertical="center" readingOrder="2"/>
    </xf>
    <xf numFmtId="165" fontId="21" fillId="0" borderId="0" xfId="11" applyNumberFormat="1" applyFont="1" applyFill="1" applyAlignment="1">
      <alignment vertical="center" readingOrder="2"/>
    </xf>
    <xf numFmtId="165" fontId="21" fillId="0" borderId="0" xfId="9" applyNumberFormat="1" applyFont="1" applyAlignment="1">
      <alignment vertical="center" readingOrder="2"/>
    </xf>
    <xf numFmtId="0" fontId="20" fillId="0" borderId="0" xfId="9" applyFont="1" applyAlignment="1">
      <alignment horizontal="center" vertical="center" readingOrder="2"/>
    </xf>
    <xf numFmtId="0" fontId="20" fillId="2" borderId="0" xfId="9" applyFont="1" applyFill="1" applyAlignment="1">
      <alignment horizontal="center" vertical="center" readingOrder="2"/>
    </xf>
    <xf numFmtId="0" fontId="18" fillId="2" borderId="0" xfId="9" applyFont="1" applyFill="1" applyAlignment="1">
      <alignment horizontal="center" vertical="center" wrapText="1" readingOrder="2"/>
    </xf>
    <xf numFmtId="169" fontId="20" fillId="2" borderId="0" xfId="9" applyNumberFormat="1" applyFont="1" applyFill="1" applyAlignment="1">
      <alignment horizontal="center" vertical="center" wrapText="1" readingOrder="2"/>
    </xf>
    <xf numFmtId="3" fontId="20" fillId="0" borderId="1" xfId="9" applyNumberFormat="1" applyFont="1" applyBorder="1" applyAlignment="1">
      <alignment horizontal="center" vertical="center" wrapText="1" readingOrder="2"/>
    </xf>
    <xf numFmtId="3" fontId="20" fillId="0" borderId="0" xfId="9" applyNumberFormat="1" applyFont="1" applyAlignment="1">
      <alignment horizontal="center" vertical="center" wrapText="1" readingOrder="2"/>
    </xf>
    <xf numFmtId="3" fontId="20" fillId="2" borderId="0" xfId="9" applyNumberFormat="1" applyFont="1" applyFill="1" applyAlignment="1">
      <alignment horizontal="center" vertical="center" wrapText="1" readingOrder="2"/>
    </xf>
    <xf numFmtId="3" fontId="20" fillId="2" borderId="1" xfId="9" applyNumberFormat="1" applyFont="1" applyFill="1" applyBorder="1" applyAlignment="1">
      <alignment horizontal="center" vertical="center" wrapText="1" readingOrder="2"/>
    </xf>
    <xf numFmtId="3" fontId="20" fillId="2" borderId="0" xfId="9" applyNumberFormat="1" applyFont="1" applyFill="1" applyAlignment="1">
      <alignment horizontal="center" vertical="center" readingOrder="2"/>
    </xf>
    <xf numFmtId="3" fontId="20" fillId="0" borderId="0" xfId="9" applyNumberFormat="1" applyFont="1" applyAlignment="1">
      <alignment horizontal="center" vertical="center" readingOrder="2"/>
    </xf>
    <xf numFmtId="169" fontId="20" fillId="0" borderId="0" xfId="9" applyNumberFormat="1" applyFont="1" applyAlignment="1">
      <alignment horizontal="center" vertical="center" readingOrder="2"/>
    </xf>
    <xf numFmtId="169" fontId="20" fillId="0" borderId="0" xfId="11" applyNumberFormat="1" applyFont="1" applyFill="1" applyAlignment="1">
      <alignment horizontal="center" vertical="center" readingOrder="2"/>
    </xf>
    <xf numFmtId="0" fontId="20" fillId="0" borderId="0" xfId="11" applyNumberFormat="1" applyFont="1" applyFill="1" applyAlignment="1">
      <alignment horizontal="center" vertical="center" readingOrder="2"/>
    </xf>
    <xf numFmtId="165" fontId="20" fillId="0" borderId="0" xfId="9" applyNumberFormat="1" applyFont="1" applyAlignment="1">
      <alignment vertical="center" readingOrder="2"/>
    </xf>
    <xf numFmtId="169" fontId="20" fillId="0" borderId="0" xfId="9" applyNumberFormat="1" applyFont="1" applyAlignment="1">
      <alignment vertical="center" readingOrder="2"/>
    </xf>
    <xf numFmtId="3" fontId="20" fillId="0" borderId="0" xfId="9" applyNumberFormat="1" applyFont="1" applyAlignment="1">
      <alignment vertical="center" readingOrder="2"/>
    </xf>
    <xf numFmtId="169" fontId="20" fillId="0" borderId="0" xfId="11" applyNumberFormat="1" applyFont="1" applyFill="1" applyAlignment="1">
      <alignment vertical="center" readingOrder="2"/>
    </xf>
    <xf numFmtId="165" fontId="20" fillId="0" borderId="0" xfId="11" applyNumberFormat="1" applyFont="1" applyFill="1" applyAlignment="1">
      <alignment vertical="center" readingOrder="2"/>
    </xf>
    <xf numFmtId="169" fontId="20" fillId="0" borderId="0" xfId="9" applyNumberFormat="1" applyFont="1" applyAlignment="1">
      <alignment horizontal="center" readingOrder="2"/>
    </xf>
    <xf numFmtId="3" fontId="27" fillId="0" borderId="0" xfId="9" applyNumberFormat="1" applyFont="1" applyAlignment="1">
      <alignment horizontal="center" vertical="center" readingOrder="2"/>
    </xf>
    <xf numFmtId="174" fontId="20" fillId="0" borderId="0" xfId="11" applyNumberFormat="1" applyFont="1" applyFill="1" applyAlignment="1">
      <alignment vertical="center" readingOrder="2"/>
    </xf>
    <xf numFmtId="165" fontId="28" fillId="0" borderId="0" xfId="13" applyNumberFormat="1" applyFont="1" applyAlignment="1">
      <alignment horizontal="center" vertical="center"/>
    </xf>
    <xf numFmtId="165" fontId="28" fillId="0" borderId="1" xfId="13" applyNumberFormat="1" applyFont="1" applyBorder="1" applyAlignment="1">
      <alignment horizontal="center" vertical="center"/>
    </xf>
    <xf numFmtId="3" fontId="27" fillId="0" borderId="2" xfId="9" applyNumberFormat="1" applyFont="1" applyBorder="1" applyAlignment="1">
      <alignment horizontal="center" vertical="center" readingOrder="2"/>
    </xf>
    <xf numFmtId="3" fontId="27" fillId="2" borderId="2" xfId="9" applyNumberFormat="1" applyFont="1" applyFill="1" applyBorder="1" applyAlignment="1">
      <alignment horizontal="center" vertical="center" readingOrder="2"/>
    </xf>
    <xf numFmtId="165" fontId="20" fillId="0" borderId="0" xfId="9" applyNumberFormat="1" applyFont="1" applyAlignment="1">
      <alignment horizontal="right" readingOrder="2"/>
    </xf>
    <xf numFmtId="174" fontId="28" fillId="0" borderId="0" xfId="11" applyNumberFormat="1" applyFont="1" applyBorder="1" applyAlignment="1">
      <alignment horizontal="center" vertical="center"/>
    </xf>
    <xf numFmtId="3" fontId="27" fillId="0" borderId="3" xfId="9" applyNumberFormat="1" applyFont="1" applyBorder="1" applyAlignment="1">
      <alignment horizontal="center" vertical="center" readingOrder="2"/>
    </xf>
    <xf numFmtId="3" fontId="27" fillId="2" borderId="3" xfId="9" applyNumberFormat="1" applyFont="1" applyFill="1" applyBorder="1" applyAlignment="1">
      <alignment horizontal="center" vertical="center" readingOrder="2"/>
    </xf>
    <xf numFmtId="165" fontId="20" fillId="0" borderId="0" xfId="9" applyNumberFormat="1" applyFont="1" applyAlignment="1">
      <alignment horizontal="center" readingOrder="2"/>
    </xf>
    <xf numFmtId="3" fontId="22" fillId="0" borderId="0" xfId="9" applyNumberFormat="1" applyFont="1" applyAlignment="1">
      <alignment horizontal="center" vertical="center" readingOrder="2"/>
    </xf>
    <xf numFmtId="165" fontId="18" fillId="0" borderId="0" xfId="9" applyNumberFormat="1" applyFont="1" applyAlignment="1">
      <alignment vertical="center" readingOrder="2"/>
    </xf>
    <xf numFmtId="165" fontId="22" fillId="0" borderId="0" xfId="13" applyNumberFormat="1" applyFont="1" applyAlignment="1">
      <alignment horizontal="center"/>
    </xf>
    <xf numFmtId="3" fontId="35" fillId="0" borderId="1" xfId="5" applyNumberFormat="1" applyFont="1" applyBorder="1" applyAlignment="1">
      <alignment horizontal="center" vertical="center" wrapText="1" shrinkToFit="1" readingOrder="1"/>
    </xf>
    <xf numFmtId="165" fontId="42" fillId="0" borderId="0" xfId="0" applyNumberFormat="1" applyFont="1" applyAlignment="1">
      <alignment horizontal="center" vertical="center" readingOrder="2"/>
    </xf>
    <xf numFmtId="0" fontId="39" fillId="0" borderId="0" xfId="3" applyFont="1" applyAlignment="1">
      <alignment vertical="center" readingOrder="2"/>
    </xf>
    <xf numFmtId="165" fontId="73" fillId="0" borderId="0" xfId="0" applyNumberFormat="1" applyFont="1" applyAlignment="1">
      <alignment horizontal="center" vertical="center" readingOrder="2"/>
    </xf>
    <xf numFmtId="165" fontId="44" fillId="0" borderId="0" xfId="0" applyNumberFormat="1" applyFont="1" applyAlignment="1">
      <alignment horizontal="center" vertical="center" readingOrder="2"/>
    </xf>
    <xf numFmtId="3" fontId="35" fillId="0" borderId="0" xfId="5" applyNumberFormat="1" applyFont="1" applyAlignment="1">
      <alignment horizontal="center" vertical="center" wrapText="1" shrinkToFit="1" readingOrder="1"/>
    </xf>
    <xf numFmtId="0" fontId="67" fillId="0" borderId="0" xfId="0" applyFont="1" applyAlignment="1">
      <alignment vertical="center"/>
    </xf>
    <xf numFmtId="165" fontId="61" fillId="0" borderId="0" xfId="0" applyNumberFormat="1" applyFont="1" applyAlignment="1">
      <alignment horizontal="center" vertical="center" readingOrder="2"/>
    </xf>
    <xf numFmtId="165" fontId="81" fillId="2" borderId="0" xfId="0" applyNumberFormat="1" applyFont="1" applyFill="1" applyAlignment="1">
      <alignment horizontal="center" vertical="center" readingOrder="2"/>
    </xf>
    <xf numFmtId="165" fontId="81" fillId="2" borderId="0" xfId="0" applyNumberFormat="1" applyFont="1" applyFill="1" applyAlignment="1">
      <alignment horizontal="center" vertical="center" wrapText="1" readingOrder="2"/>
    </xf>
    <xf numFmtId="165" fontId="81" fillId="2" borderId="1" xfId="0" applyNumberFormat="1" applyFont="1" applyFill="1" applyBorder="1" applyAlignment="1">
      <alignment horizontal="center" vertical="center" wrapText="1" readingOrder="2"/>
    </xf>
    <xf numFmtId="165" fontId="81" fillId="2" borderId="0" xfId="1" applyNumberFormat="1" applyFont="1" applyFill="1" applyBorder="1" applyAlignment="1">
      <alignment horizontal="center" vertical="center" wrapText="1" readingOrder="2"/>
    </xf>
    <xf numFmtId="165" fontId="81" fillId="2" borderId="3" xfId="1" applyNumberFormat="1" applyFont="1" applyFill="1" applyBorder="1" applyAlignment="1">
      <alignment horizontal="center" vertical="center" wrapText="1" readingOrder="2"/>
    </xf>
    <xf numFmtId="165" fontId="29" fillId="2" borderId="1" xfId="0" applyNumberFormat="1" applyFont="1" applyFill="1" applyBorder="1" applyAlignment="1">
      <alignment horizontal="center" vertical="center" readingOrder="2"/>
    </xf>
    <xf numFmtId="165" fontId="29" fillId="2" borderId="1" xfId="0" applyNumberFormat="1" applyFont="1" applyFill="1" applyBorder="1" applyAlignment="1">
      <alignment horizontal="center" vertical="center" wrapText="1" readingOrder="2"/>
    </xf>
    <xf numFmtId="165" fontId="29" fillId="2" borderId="0" xfId="0" applyNumberFormat="1" applyFont="1" applyFill="1" applyAlignment="1">
      <alignment horizontal="center" vertical="center" wrapText="1" readingOrder="2"/>
    </xf>
    <xf numFmtId="0" fontId="34" fillId="0" borderId="13" xfId="8" applyFont="1" applyBorder="1" applyAlignment="1">
      <alignment horizontal="center" vertical="center" wrapText="1" readingOrder="2"/>
    </xf>
    <xf numFmtId="0" fontId="57" fillId="8" borderId="13" xfId="8" applyFont="1" applyFill="1" applyBorder="1" applyAlignment="1">
      <alignment vertical="center" wrapText="1" readingOrder="2"/>
    </xf>
    <xf numFmtId="165" fontId="61" fillId="0" borderId="3" xfId="0" applyNumberFormat="1" applyFont="1" applyBorder="1" applyAlignment="1">
      <alignment horizontal="center" vertical="center" readingOrder="2"/>
    </xf>
    <xf numFmtId="165" fontId="61" fillId="0" borderId="4" xfId="0" applyNumberFormat="1" applyFont="1" applyBorder="1" applyAlignment="1">
      <alignment horizontal="center" vertical="center" readingOrder="2"/>
    </xf>
    <xf numFmtId="170" fontId="57" fillId="0" borderId="4" xfId="5" applyNumberFormat="1" applyFont="1" applyBorder="1" applyAlignment="1">
      <alignment horizontal="center" vertical="center" shrinkToFit="1" readingOrder="2"/>
    </xf>
    <xf numFmtId="0" fontId="9" fillId="0" borderId="0" xfId="0" applyFont="1" applyAlignment="1">
      <alignment horizontal="right" vertical="center" readingOrder="2"/>
    </xf>
    <xf numFmtId="165" fontId="69" fillId="0" borderId="58" xfId="10" applyNumberFormat="1" applyFont="1" applyBorder="1" applyAlignment="1">
      <alignment horizontal="center" vertical="center" wrapText="1"/>
    </xf>
    <xf numFmtId="165" fontId="35" fillId="0" borderId="0" xfId="0" applyNumberFormat="1" applyFont="1" applyAlignment="1">
      <alignment horizontal="center" vertical="center" readingOrder="2"/>
    </xf>
    <xf numFmtId="0" fontId="34" fillId="0" borderId="0" xfId="0" applyFont="1" applyAlignment="1">
      <alignment horizontal="right" vertical="center" readingOrder="2"/>
    </xf>
    <xf numFmtId="0" fontId="97" fillId="0" borderId="0" xfId="10" applyFont="1" applyAlignment="1">
      <alignment horizontal="right" vertical="center" wrapText="1" readingOrder="2"/>
    </xf>
    <xf numFmtId="0" fontId="97" fillId="0" borderId="1" xfId="10" applyFont="1" applyBorder="1" applyAlignment="1">
      <alignment horizontal="center" vertical="center"/>
    </xf>
    <xf numFmtId="174" fontId="67" fillId="0" borderId="0" xfId="1" applyNumberFormat="1" applyFont="1" applyBorder="1" applyAlignment="1">
      <alignment vertical="center"/>
    </xf>
    <xf numFmtId="0" fontId="67" fillId="0" borderId="0" xfId="3" applyFont="1" applyBorder="1" applyAlignment="1">
      <alignment vertical="center"/>
    </xf>
    <xf numFmtId="0" fontId="67" fillId="0" borderId="0" xfId="3" applyFont="1" applyBorder="1" applyAlignment="1">
      <alignment horizontal="center" vertical="center"/>
    </xf>
    <xf numFmtId="165" fontId="67" fillId="0" borderId="0" xfId="3" applyNumberFormat="1" applyFont="1" applyBorder="1" applyAlignment="1">
      <alignment horizontal="center" vertical="center" wrapText="1"/>
    </xf>
    <xf numFmtId="165" fontId="67" fillId="0" borderId="0" xfId="3" applyNumberFormat="1" applyFont="1" applyBorder="1" applyAlignment="1">
      <alignment vertical="center"/>
    </xf>
    <xf numFmtId="0" fontId="69" fillId="0" borderId="13" xfId="3" applyFont="1" applyBorder="1" applyAlignment="1">
      <alignment horizontal="center" vertical="center"/>
    </xf>
    <xf numFmtId="165" fontId="69" fillId="0" borderId="13" xfId="3" applyNumberFormat="1" applyFont="1" applyBorder="1" applyAlignment="1">
      <alignment horizontal="center" vertical="center" wrapText="1"/>
    </xf>
    <xf numFmtId="174" fontId="67" fillId="0" borderId="0" xfId="3" applyNumberFormat="1" applyFont="1" applyBorder="1" applyAlignment="1">
      <alignment vertical="center"/>
    </xf>
    <xf numFmtId="165" fontId="69" fillId="0" borderId="12" xfId="3" applyNumberFormat="1" applyFont="1" applyBorder="1" applyAlignment="1">
      <alignment horizontal="center" vertical="center" wrapText="1"/>
    </xf>
    <xf numFmtId="165" fontId="69" fillId="0" borderId="13" xfId="10" applyNumberFormat="1" applyFont="1" applyBorder="1" applyAlignment="1">
      <alignment horizontal="right" vertical="center" wrapText="1"/>
    </xf>
    <xf numFmtId="0" fontId="97" fillId="0" borderId="0" xfId="10" applyFont="1" applyBorder="1" applyAlignment="1">
      <alignment horizontal="center" vertical="center"/>
    </xf>
    <xf numFmtId="0" fontId="97" fillId="0" borderId="0" xfId="10" applyFont="1" applyAlignment="1">
      <alignment horizontal="center" vertical="center" wrapText="1" readingOrder="2"/>
    </xf>
    <xf numFmtId="0" fontId="97" fillId="0" borderId="0" xfId="10" applyFont="1" applyAlignment="1">
      <alignment vertical="center" wrapText="1" readingOrder="2"/>
    </xf>
    <xf numFmtId="0" fontId="97" fillId="0" borderId="0" xfId="10" applyFont="1" applyAlignment="1">
      <alignment horizontal="left" vertical="center" wrapText="1" readingOrder="2"/>
    </xf>
    <xf numFmtId="3" fontId="97" fillId="0" borderId="0" xfId="10" applyNumberFormat="1" applyFont="1" applyAlignment="1">
      <alignment horizontal="center" vertical="center" wrapText="1" readingOrder="2"/>
    </xf>
    <xf numFmtId="165" fontId="34" fillId="0" borderId="0" xfId="0" applyNumberFormat="1" applyFont="1" applyAlignment="1">
      <alignment horizontal="center" readingOrder="2"/>
    </xf>
    <xf numFmtId="165" fontId="48" fillId="0" borderId="0" xfId="0" applyNumberFormat="1" applyFont="1" applyAlignment="1">
      <alignment horizontal="center" vertical="center" readingOrder="2"/>
    </xf>
    <xf numFmtId="165" fontId="20" fillId="0" borderId="1" xfId="0" applyNumberFormat="1" applyFont="1" applyBorder="1" applyAlignment="1">
      <alignment horizontal="center" vertical="center" wrapText="1" readingOrder="1"/>
    </xf>
    <xf numFmtId="49" fontId="9" fillId="0" borderId="0" xfId="0" applyNumberFormat="1" applyFont="1" applyAlignment="1">
      <alignment horizontal="center" vertical="center" readingOrder="2"/>
    </xf>
    <xf numFmtId="165" fontId="61" fillId="0" borderId="0" xfId="1" applyNumberFormat="1" applyFont="1" applyFill="1" applyAlignment="1">
      <alignment horizontal="right" vertical="center" wrapText="1" readingOrder="1"/>
    </xf>
    <xf numFmtId="165" fontId="35" fillId="0" borderId="0" xfId="0" applyNumberFormat="1" applyFont="1" applyAlignment="1">
      <alignment horizontal="center" vertical="center" readingOrder="2"/>
    </xf>
    <xf numFmtId="49" fontId="35" fillId="0" borderId="0" xfId="0" applyNumberFormat="1" applyFont="1" applyAlignment="1">
      <alignment horizontal="center" vertical="center" readingOrder="2"/>
    </xf>
    <xf numFmtId="0" fontId="16" fillId="0" borderId="0" xfId="3" applyFont="1" applyAlignment="1">
      <alignment vertical="center"/>
    </xf>
    <xf numFmtId="165" fontId="34" fillId="0" borderId="0" xfId="0" applyNumberFormat="1" applyFont="1" applyAlignment="1">
      <alignment horizontal="center" readingOrder="2"/>
    </xf>
    <xf numFmtId="165" fontId="57" fillId="2" borderId="0" xfId="0" applyNumberFormat="1" applyFont="1" applyFill="1" applyAlignment="1">
      <alignment horizontal="center" vertical="center" readingOrder="2"/>
    </xf>
    <xf numFmtId="165" fontId="34" fillId="2" borderId="0" xfId="0" applyNumberFormat="1" applyFont="1" applyFill="1" applyAlignment="1">
      <alignment horizontal="center" vertical="center" readingOrder="2"/>
    </xf>
    <xf numFmtId="165" fontId="35" fillId="6" borderId="0" xfId="0" applyNumberFormat="1" applyFont="1" applyFill="1" applyAlignment="1">
      <alignment vertical="center" readingOrder="2"/>
    </xf>
    <xf numFmtId="165" fontId="35" fillId="6" borderId="0" xfId="1" applyNumberFormat="1" applyFont="1" applyFill="1" applyAlignment="1">
      <alignment vertical="center" readingOrder="2"/>
    </xf>
    <xf numFmtId="176" fontId="35" fillId="0" borderId="0" xfId="0" applyNumberFormat="1" applyFont="1" applyAlignment="1">
      <alignment vertical="center" readingOrder="2"/>
    </xf>
    <xf numFmtId="0" fontId="67" fillId="0" borderId="0" xfId="3" applyFont="1" applyFill="1" applyBorder="1" applyAlignment="1">
      <alignment horizontal="center" vertical="center"/>
    </xf>
    <xf numFmtId="0" fontId="67" fillId="0" borderId="0" xfId="3" applyFont="1" applyFill="1" applyBorder="1" applyAlignment="1">
      <alignment vertical="center"/>
    </xf>
    <xf numFmtId="165" fontId="67" fillId="0" borderId="0" xfId="3" applyNumberFormat="1" applyFont="1" applyFill="1" applyBorder="1" applyAlignment="1">
      <alignment horizontal="center" vertical="center" wrapText="1"/>
    </xf>
    <xf numFmtId="0" fontId="16" fillId="0" borderId="0" xfId="10" applyFont="1" applyAlignment="1">
      <alignment horizontal="right" vertical="top" wrapText="1" readingOrder="2"/>
    </xf>
    <xf numFmtId="0" fontId="16" fillId="0" borderId="0" xfId="10" applyFont="1" applyAlignment="1">
      <alignment horizontal="right" vertical="center" wrapText="1" readingOrder="2"/>
    </xf>
    <xf numFmtId="0" fontId="16" fillId="0" borderId="0" xfId="10" applyFont="1" applyAlignment="1">
      <alignment vertical="center" wrapText="1" readingOrder="2"/>
    </xf>
    <xf numFmtId="165" fontId="36" fillId="0" borderId="0" xfId="3" applyNumberFormat="1" applyFont="1" applyAlignment="1">
      <alignment vertical="center"/>
    </xf>
    <xf numFmtId="0" fontId="16" fillId="0" borderId="0" xfId="3" applyFont="1" applyAlignment="1">
      <alignment horizontal="right" vertical="top" readingOrder="2"/>
    </xf>
    <xf numFmtId="0" fontId="36" fillId="0" borderId="0" xfId="3" applyFont="1" applyAlignment="1">
      <alignment horizontal="center" vertical="center" wrapText="1" readingOrder="2"/>
    </xf>
    <xf numFmtId="0" fontId="81" fillId="6" borderId="0" xfId="0" applyFont="1" applyFill="1"/>
    <xf numFmtId="174" fontId="81" fillId="6" borderId="0" xfId="0" applyNumberFormat="1" applyFont="1" applyFill="1"/>
    <xf numFmtId="165" fontId="35" fillId="6" borderId="0" xfId="1" applyNumberFormat="1" applyFont="1" applyFill="1" applyBorder="1" applyAlignment="1">
      <alignment vertical="center" readingOrder="2"/>
    </xf>
    <xf numFmtId="165" fontId="20" fillId="0" borderId="0" xfId="0" applyNumberFormat="1" applyFont="1" applyAlignment="1">
      <alignment horizontal="center" vertical="center" readingOrder="2"/>
    </xf>
    <xf numFmtId="165" fontId="61" fillId="0" borderId="0" xfId="0" applyNumberFormat="1" applyFont="1" applyAlignment="1">
      <alignment horizontal="center" vertical="center" readingOrder="2"/>
    </xf>
    <xf numFmtId="165" fontId="67" fillId="0" borderId="0" xfId="3" applyNumberFormat="1" applyFont="1" applyAlignment="1">
      <alignment vertical="center"/>
    </xf>
    <xf numFmtId="165" fontId="35" fillId="2" borderId="0" xfId="0" applyNumberFormat="1" applyFont="1" applyFill="1" applyAlignment="1">
      <alignment horizontal="left" vertical="center" readingOrder="2"/>
    </xf>
    <xf numFmtId="165" fontId="61" fillId="2" borderId="0" xfId="1" applyNumberFormat="1" applyFont="1" applyFill="1" applyAlignment="1">
      <alignment horizontal="center" vertical="center" wrapText="1" readingOrder="2"/>
    </xf>
    <xf numFmtId="165" fontId="35" fillId="2" borderId="0" xfId="1" applyNumberFormat="1" applyFont="1" applyFill="1" applyAlignment="1">
      <alignment vertical="center" readingOrder="2"/>
    </xf>
    <xf numFmtId="0" fontId="81" fillId="2" borderId="0" xfId="0" applyFont="1" applyFill="1"/>
    <xf numFmtId="165" fontId="76" fillId="2" borderId="0" xfId="3" applyNumberFormat="1" applyFont="1" applyFill="1" applyAlignment="1">
      <alignment horizontal="center" vertical="center"/>
    </xf>
    <xf numFmtId="165" fontId="42" fillId="2" borderId="4" xfId="0" applyNumberFormat="1" applyFont="1" applyFill="1" applyBorder="1" applyAlignment="1">
      <alignment horizontal="center" vertical="center" readingOrder="2"/>
    </xf>
    <xf numFmtId="165" fontId="34" fillId="2" borderId="4" xfId="0" applyNumberFormat="1" applyFont="1" applyFill="1" applyBorder="1" applyAlignment="1">
      <alignment horizontal="center" vertical="center" readingOrder="2"/>
    </xf>
    <xf numFmtId="165" fontId="61" fillId="2" borderId="4" xfId="0" applyNumberFormat="1" applyFont="1" applyFill="1" applyBorder="1" applyAlignment="1">
      <alignment horizontal="center" vertical="center" wrapText="1" readingOrder="2"/>
    </xf>
    <xf numFmtId="165" fontId="57" fillId="2" borderId="4" xfId="0" applyNumberFormat="1" applyFont="1" applyFill="1" applyBorder="1" applyAlignment="1">
      <alignment horizontal="center" vertical="center" readingOrder="2"/>
    </xf>
    <xf numFmtId="165" fontId="36" fillId="0" borderId="0" xfId="0" applyNumberFormat="1" applyFont="1"/>
    <xf numFmtId="179" fontId="34" fillId="2" borderId="23" xfId="0" applyNumberFormat="1" applyFont="1" applyFill="1" applyBorder="1" applyAlignment="1">
      <alignment horizontal="center" vertical="center" wrapText="1" readingOrder="2"/>
    </xf>
    <xf numFmtId="49" fontId="9" fillId="2" borderId="0" xfId="0" applyNumberFormat="1" applyFont="1" applyFill="1" applyAlignment="1">
      <alignment horizontal="center" vertical="center" readingOrder="2"/>
    </xf>
    <xf numFmtId="165" fontId="61" fillId="2" borderId="3" xfId="1" applyNumberFormat="1" applyFont="1" applyFill="1" applyBorder="1" applyAlignment="1">
      <alignment horizontal="center" vertical="center" wrapText="1" readingOrder="2"/>
    </xf>
    <xf numFmtId="173" fontId="34" fillId="2" borderId="0" xfId="0" applyNumberFormat="1" applyFont="1" applyFill="1" applyAlignment="1">
      <alignment horizontal="center" readingOrder="2"/>
    </xf>
    <xf numFmtId="176" fontId="34" fillId="2" borderId="0" xfId="0" applyNumberFormat="1" applyFont="1" applyFill="1" applyAlignment="1">
      <alignment horizontal="center" readingOrder="2"/>
    </xf>
    <xf numFmtId="165" fontId="61" fillId="2" borderId="0" xfId="0" applyNumberFormat="1" applyFont="1" applyFill="1" applyAlignment="1">
      <alignment vertical="center" readingOrder="2"/>
    </xf>
    <xf numFmtId="165" fontId="61" fillId="2" borderId="4" xfId="0" applyNumberFormat="1" applyFont="1" applyFill="1" applyBorder="1" applyAlignment="1">
      <alignment horizontal="center" vertical="center" readingOrder="2"/>
    </xf>
    <xf numFmtId="170" fontId="57" fillId="2" borderId="4" xfId="1" applyNumberFormat="1" applyFont="1" applyFill="1" applyBorder="1" applyAlignment="1">
      <alignment horizontal="center" vertical="center" shrinkToFit="1" readingOrder="2"/>
    </xf>
    <xf numFmtId="165" fontId="69" fillId="2" borderId="5" xfId="3" applyNumberFormat="1" applyFont="1" applyFill="1" applyBorder="1" applyAlignment="1">
      <alignment horizontal="center" vertical="center"/>
    </xf>
    <xf numFmtId="165" fontId="67" fillId="2" borderId="0" xfId="3" applyNumberFormat="1" applyFont="1" applyFill="1" applyBorder="1" applyAlignment="1">
      <alignment vertical="center"/>
    </xf>
    <xf numFmtId="165" fontId="67" fillId="2" borderId="0" xfId="3" applyNumberFormat="1" applyFont="1" applyFill="1" applyBorder="1" applyAlignment="1">
      <alignment horizontal="center" vertical="center" wrapText="1"/>
    </xf>
    <xf numFmtId="0" fontId="67" fillId="2" borderId="0" xfId="3" applyFont="1" applyFill="1" applyBorder="1" applyAlignment="1">
      <alignment horizontal="center" vertical="center"/>
    </xf>
    <xf numFmtId="165" fontId="19" fillId="0" borderId="0" xfId="1" applyNumberFormat="1" applyFont="1" applyFill="1" applyAlignment="1">
      <alignment horizontal="center" vertical="center" wrapText="1" readingOrder="2"/>
    </xf>
    <xf numFmtId="0" fontId="69" fillId="0" borderId="4" xfId="10" applyFont="1" applyBorder="1" applyAlignment="1">
      <alignment horizontal="center" vertical="center"/>
    </xf>
    <xf numFmtId="167" fontId="69" fillId="0" borderId="62" xfId="0" applyNumberFormat="1" applyFont="1" applyBorder="1" applyAlignment="1">
      <alignment horizontal="right" vertical="center" shrinkToFit="1"/>
    </xf>
    <xf numFmtId="165" fontId="69" fillId="0" borderId="63" xfId="10" applyNumberFormat="1" applyFont="1" applyBorder="1" applyAlignment="1">
      <alignment vertical="center" wrapText="1"/>
    </xf>
    <xf numFmtId="167" fontId="69" fillId="0" borderId="64" xfId="0" applyNumberFormat="1" applyFont="1" applyBorder="1" applyAlignment="1">
      <alignment horizontal="right" vertical="center" shrinkToFit="1"/>
    </xf>
    <xf numFmtId="165" fontId="34" fillId="0" borderId="0" xfId="0" applyNumberFormat="1" applyFont="1" applyAlignment="1">
      <alignment horizontal="center" vertical="center" readingOrder="2"/>
    </xf>
    <xf numFmtId="167" fontId="69" fillId="0" borderId="13" xfId="0" applyNumberFormat="1" applyFont="1" applyBorder="1" applyAlignment="1">
      <alignment horizontal="right" vertical="center" shrinkToFit="1"/>
    </xf>
    <xf numFmtId="167" fontId="69" fillId="0" borderId="4" xfId="0" applyNumberFormat="1" applyFont="1" applyBorder="1" applyAlignment="1">
      <alignment horizontal="right" vertical="center" shrinkToFit="1"/>
    </xf>
    <xf numFmtId="0" fontId="59" fillId="0" borderId="0" xfId="0" applyFont="1" applyAlignment="1">
      <alignment horizontal="center" vertical="center"/>
    </xf>
    <xf numFmtId="0" fontId="67" fillId="0" borderId="1" xfId="0" applyFont="1" applyBorder="1" applyAlignment="1">
      <alignment horizontal="center" vertical="center"/>
    </xf>
    <xf numFmtId="0" fontId="67" fillId="0" borderId="0" xfId="0" applyFont="1" applyAlignment="1">
      <alignment horizontal="right" vertical="center" wrapText="1"/>
    </xf>
    <xf numFmtId="0" fontId="18" fillId="0" borderId="0" xfId="4" applyFont="1" applyAlignment="1">
      <alignment horizontal="center" vertical="center"/>
    </xf>
    <xf numFmtId="0" fontId="69" fillId="0" borderId="0" xfId="0" applyFont="1" applyAlignment="1">
      <alignment horizontal="right" vertical="center"/>
    </xf>
    <xf numFmtId="0" fontId="67" fillId="0" borderId="0" xfId="0" applyFont="1" applyAlignment="1">
      <alignment horizontal="right" vertical="center"/>
    </xf>
    <xf numFmtId="0" fontId="67" fillId="0" borderId="0" xfId="0" applyFont="1" applyAlignment="1">
      <alignment vertical="center"/>
    </xf>
    <xf numFmtId="0" fontId="67" fillId="0" borderId="2" xfId="0" applyFont="1" applyBorder="1" applyAlignment="1">
      <alignment horizontal="center"/>
    </xf>
    <xf numFmtId="49" fontId="67" fillId="0" borderId="0" xfId="0" applyNumberFormat="1" applyFont="1" applyAlignment="1">
      <alignment horizontal="center"/>
    </xf>
    <xf numFmtId="0" fontId="69" fillId="0" borderId="1" xfId="0" applyFont="1" applyBorder="1" applyAlignment="1">
      <alignment horizontal="center" vertical="center"/>
    </xf>
    <xf numFmtId="0" fontId="39" fillId="0" borderId="1" xfId="0" applyFont="1" applyBorder="1" applyAlignment="1">
      <alignment horizontal="center" vertical="center"/>
    </xf>
    <xf numFmtId="0" fontId="67" fillId="0" borderId="0" xfId="0" applyFont="1" applyAlignment="1">
      <alignment horizontal="center" vertical="center"/>
    </xf>
    <xf numFmtId="0" fontId="6" fillId="2" borderId="0" xfId="4" applyFont="1" applyFill="1" applyBorder="1" applyAlignment="1">
      <alignment horizontal="center" vertical="center" readingOrder="2"/>
    </xf>
    <xf numFmtId="0" fontId="69" fillId="0" borderId="0" xfId="0" applyFont="1" applyAlignment="1">
      <alignment horizontal="center" vertical="center"/>
    </xf>
    <xf numFmtId="49" fontId="51" fillId="2" borderId="0" xfId="0" applyNumberFormat="1" applyFont="1" applyFill="1" applyAlignment="1">
      <alignment horizontal="center" vertical="center" wrapText="1" readingOrder="2"/>
    </xf>
    <xf numFmtId="165" fontId="49" fillId="2" borderId="0" xfId="0" applyNumberFormat="1" applyFont="1" applyFill="1" applyAlignment="1">
      <alignment horizontal="center" vertical="center" wrapText="1" readingOrder="2"/>
    </xf>
    <xf numFmtId="0" fontId="73" fillId="2" borderId="0" xfId="0" applyFont="1" applyFill="1" applyAlignment="1">
      <alignment horizontal="center" readingOrder="2"/>
    </xf>
    <xf numFmtId="165" fontId="53" fillId="2" borderId="0" xfId="0" applyNumberFormat="1" applyFont="1" applyFill="1" applyAlignment="1">
      <alignment horizontal="center" readingOrder="2"/>
    </xf>
    <xf numFmtId="0" fontId="81" fillId="0" borderId="0" xfId="0" applyFont="1" applyAlignment="1">
      <alignment horizontal="right" vertical="center" wrapText="1"/>
    </xf>
    <xf numFmtId="165" fontId="53" fillId="2" borderId="0" xfId="0" applyNumberFormat="1" applyFont="1" applyFill="1" applyAlignment="1">
      <alignment horizontal="right" readingOrder="2"/>
    </xf>
    <xf numFmtId="0" fontId="34" fillId="0" borderId="0" xfId="8" applyFont="1" applyAlignment="1">
      <alignment horizontal="center" vertical="center" wrapText="1"/>
    </xf>
    <xf numFmtId="0" fontId="35" fillId="4" borderId="0" xfId="0" applyFont="1" applyFill="1" applyAlignment="1">
      <alignment horizontal="right" vertical="center" wrapText="1" readingOrder="2"/>
    </xf>
    <xf numFmtId="0" fontId="34" fillId="2" borderId="0" xfId="0" applyFont="1" applyFill="1" applyAlignment="1">
      <alignment horizontal="center" readingOrder="2"/>
    </xf>
    <xf numFmtId="0" fontId="39" fillId="0" borderId="0" xfId="0" applyFont="1" applyAlignment="1">
      <alignment horizontal="center" vertical="center"/>
    </xf>
    <xf numFmtId="165" fontId="42" fillId="0" borderId="0" xfId="0" applyNumberFormat="1" applyFont="1" applyAlignment="1">
      <alignment horizontal="center" vertical="center" readingOrder="2"/>
    </xf>
    <xf numFmtId="0" fontId="20" fillId="2" borderId="0" xfId="4" applyFont="1" applyFill="1" applyAlignment="1">
      <alignment horizontal="center" vertical="center" readingOrder="2"/>
    </xf>
    <xf numFmtId="49" fontId="42" fillId="0" borderId="0" xfId="0" applyNumberFormat="1" applyFont="1" applyAlignment="1">
      <alignment horizontal="center" vertical="center" readingOrder="2"/>
    </xf>
    <xf numFmtId="0" fontId="42" fillId="2" borderId="0" xfId="0" applyFont="1" applyFill="1" applyAlignment="1">
      <alignment horizontal="center" readingOrder="2"/>
    </xf>
    <xf numFmtId="0" fontId="6" fillId="2" borderId="0" xfId="4" applyFont="1" applyFill="1" applyAlignment="1">
      <alignment horizontal="center" vertical="center" readingOrder="2"/>
    </xf>
    <xf numFmtId="0" fontId="80" fillId="0" borderId="0" xfId="0" applyFont="1" applyAlignment="1">
      <alignment horizontal="center"/>
    </xf>
    <xf numFmtId="49" fontId="80" fillId="0" borderId="0" xfId="0" applyNumberFormat="1" applyFont="1" applyAlignment="1">
      <alignment horizontal="center"/>
    </xf>
    <xf numFmtId="0" fontId="89" fillId="2" borderId="0" xfId="0" applyFont="1" applyFill="1" applyAlignment="1">
      <alignment horizontal="center" vertical="center" readingOrder="2"/>
    </xf>
    <xf numFmtId="0" fontId="67" fillId="0" borderId="0" xfId="0" applyFont="1" applyAlignment="1">
      <alignment horizontal="center"/>
    </xf>
    <xf numFmtId="0" fontId="81" fillId="0" borderId="0" xfId="0" applyFont="1" applyAlignment="1">
      <alignment horizontal="right"/>
    </xf>
    <xf numFmtId="0" fontId="76" fillId="0" borderId="0" xfId="0" applyFont="1"/>
    <xf numFmtId="0" fontId="81" fillId="0" borderId="0" xfId="0" applyFont="1"/>
    <xf numFmtId="0" fontId="81" fillId="0" borderId="0" xfId="0" applyFont="1" applyAlignment="1">
      <alignment horizontal="right" vertical="top" wrapText="1"/>
    </xf>
    <xf numFmtId="0" fontId="49" fillId="4" borderId="0" xfId="0" applyFont="1" applyFill="1" applyAlignment="1">
      <alignment horizontal="right" vertical="center" readingOrder="2"/>
    </xf>
    <xf numFmtId="0" fontId="53" fillId="2" borderId="0" xfId="0" applyFont="1" applyFill="1" applyAlignment="1">
      <alignment horizontal="center" vertical="center" readingOrder="2"/>
    </xf>
    <xf numFmtId="0" fontId="76" fillId="0" borderId="0" xfId="0" applyFont="1" applyAlignment="1">
      <alignment horizontal="right"/>
    </xf>
    <xf numFmtId="0" fontId="76" fillId="0" borderId="0" xfId="0" applyFont="1" applyAlignment="1">
      <alignment horizontal="right" wrapText="1"/>
    </xf>
    <xf numFmtId="0" fontId="81" fillId="0" borderId="0" xfId="0" applyFont="1" applyAlignment="1">
      <alignment horizontal="right" wrapText="1"/>
    </xf>
    <xf numFmtId="0" fontId="57" fillId="0" borderId="0" xfId="8" applyFont="1" applyAlignment="1">
      <alignment horizontal="center" vertical="center" wrapText="1"/>
    </xf>
    <xf numFmtId="0" fontId="61" fillId="0" borderId="0" xfId="8" applyFont="1" applyAlignment="1">
      <alignment horizontal="right" vertical="center" wrapText="1" readingOrder="2"/>
    </xf>
    <xf numFmtId="0" fontId="57" fillId="0" borderId="0" xfId="8" applyFont="1" applyAlignment="1">
      <alignment horizontal="right" vertical="center" wrapText="1" readingOrder="2"/>
    </xf>
    <xf numFmtId="0" fontId="61" fillId="0" borderId="0" xfId="8" applyFont="1" applyAlignment="1">
      <alignment horizontal="right" vertical="center" wrapText="1"/>
    </xf>
    <xf numFmtId="0" fontId="61" fillId="0" borderId="0" xfId="8" applyFont="1" applyAlignment="1">
      <alignment horizontal="right" vertical="top" wrapText="1" readingOrder="2"/>
    </xf>
    <xf numFmtId="0" fontId="61" fillId="0" borderId="0" xfId="8" applyFont="1" applyAlignment="1">
      <alignment vertical="top" wrapText="1" readingOrder="2"/>
    </xf>
    <xf numFmtId="0" fontId="61" fillId="0" borderId="0" xfId="8" applyFont="1" applyAlignment="1">
      <alignment horizontal="center" vertical="center" wrapText="1" readingOrder="2"/>
    </xf>
    <xf numFmtId="0" fontId="34" fillId="0" borderId="13" xfId="8" applyFont="1" applyBorder="1" applyAlignment="1">
      <alignment horizontal="center" vertical="center" wrapText="1" readingOrder="2"/>
    </xf>
    <xf numFmtId="0" fontId="57" fillId="0" borderId="45" xfId="8" applyFont="1" applyBorder="1" applyAlignment="1">
      <alignment horizontal="center" vertical="center" wrapText="1" readingOrder="2"/>
    </xf>
    <xf numFmtId="0" fontId="57" fillId="0" borderId="18" xfId="8" applyFont="1" applyBorder="1" applyAlignment="1">
      <alignment horizontal="center" vertical="center" wrapText="1" readingOrder="2"/>
    </xf>
    <xf numFmtId="0" fontId="57" fillId="0" borderId="13" xfId="8" applyFont="1" applyBorder="1" applyAlignment="1">
      <alignment horizontal="center" vertical="center" wrapText="1" readingOrder="2"/>
    </xf>
    <xf numFmtId="0" fontId="73" fillId="0" borderId="0" xfId="8" applyFont="1" applyAlignment="1">
      <alignment horizontal="center" vertical="center" wrapText="1"/>
    </xf>
    <xf numFmtId="0" fontId="6" fillId="0" borderId="0" xfId="8" applyFont="1" applyAlignment="1">
      <alignment horizontal="center" vertical="center" wrapText="1"/>
    </xf>
    <xf numFmtId="0" fontId="53" fillId="0" borderId="0" xfId="8" applyFont="1" applyAlignment="1">
      <alignment horizontal="right" vertical="center" shrinkToFit="1" readingOrder="2"/>
    </xf>
    <xf numFmtId="0" fontId="73" fillId="0" borderId="0" xfId="8" applyFont="1" applyAlignment="1">
      <alignment horizontal="right" vertical="center" wrapText="1" readingOrder="2"/>
    </xf>
    <xf numFmtId="0" fontId="53" fillId="0" borderId="0" xfId="8" applyFont="1" applyAlignment="1">
      <alignment horizontal="right" vertical="center" readingOrder="2"/>
    </xf>
    <xf numFmtId="0" fontId="53" fillId="0" borderId="0" xfId="8" applyFont="1" applyAlignment="1">
      <alignment horizontal="right" vertical="center" wrapText="1" readingOrder="2"/>
    </xf>
    <xf numFmtId="0" fontId="53" fillId="0" borderId="0" xfId="8" applyFont="1" applyAlignment="1">
      <alignment vertical="center" wrapText="1" readingOrder="2"/>
    </xf>
    <xf numFmtId="0" fontId="73" fillId="2" borderId="0" xfId="8" applyFont="1" applyFill="1" applyAlignment="1">
      <alignment horizontal="right" vertical="center" wrapText="1" readingOrder="2"/>
    </xf>
    <xf numFmtId="0" fontId="53" fillId="2" borderId="0" xfId="8" applyFont="1" applyFill="1" applyAlignment="1">
      <alignment horizontal="right" vertical="center" wrapText="1" readingOrder="2"/>
    </xf>
    <xf numFmtId="0" fontId="73" fillId="0" borderId="0" xfId="8" applyFont="1" applyAlignment="1">
      <alignment horizontal="right" vertical="center" shrinkToFit="1" readingOrder="2"/>
    </xf>
    <xf numFmtId="0" fontId="49" fillId="0" borderId="0" xfId="8" applyFont="1" applyAlignment="1">
      <alignment horizontal="right" vertical="center" shrinkToFit="1" readingOrder="2"/>
    </xf>
    <xf numFmtId="0" fontId="53" fillId="0" borderId="0" xfId="8" applyFont="1" applyAlignment="1">
      <alignment horizontal="right" shrinkToFit="1" readingOrder="2"/>
    </xf>
    <xf numFmtId="49" fontId="73" fillId="0" borderId="0" xfId="8" applyNumberFormat="1" applyFont="1" applyAlignment="1">
      <alignment horizontal="center" vertical="center" shrinkToFit="1" readingOrder="2"/>
    </xf>
    <xf numFmtId="165" fontId="35" fillId="0" borderId="0" xfId="0" applyNumberFormat="1" applyFont="1" applyAlignment="1">
      <alignment horizontal="center" vertical="center" readingOrder="2"/>
    </xf>
    <xf numFmtId="0" fontId="34" fillId="2" borderId="0" xfId="0" applyFont="1" applyFill="1" applyAlignment="1">
      <alignment horizontal="right" vertical="center" readingOrder="2"/>
    </xf>
    <xf numFmtId="0" fontId="34" fillId="2" borderId="0" xfId="4" applyNumberFormat="1" applyFont="1" applyFill="1" applyAlignment="1">
      <alignment horizontal="center" vertical="center" readingOrder="2"/>
    </xf>
    <xf numFmtId="165" fontId="34" fillId="2" borderId="0" xfId="4" applyNumberFormat="1" applyFont="1" applyFill="1" applyAlignment="1">
      <alignment horizontal="center" vertical="center" readingOrder="2"/>
    </xf>
    <xf numFmtId="49" fontId="34" fillId="0" borderId="0" xfId="0" applyNumberFormat="1" applyFont="1" applyAlignment="1">
      <alignment horizontal="right" vertical="center" readingOrder="2"/>
    </xf>
    <xf numFmtId="49" fontId="34" fillId="2" borderId="0" xfId="0" applyNumberFormat="1" applyFont="1" applyFill="1" applyAlignment="1">
      <alignment horizontal="right" vertical="center" readingOrder="2"/>
    </xf>
    <xf numFmtId="165" fontId="34" fillId="2" borderId="0" xfId="0" applyNumberFormat="1" applyFont="1" applyFill="1" applyAlignment="1">
      <alignment horizontal="right" vertical="center" wrapText="1" readingOrder="2"/>
    </xf>
    <xf numFmtId="165" fontId="34" fillId="0" borderId="0" xfId="0" applyNumberFormat="1" applyFont="1" applyAlignment="1">
      <alignment horizontal="center" vertical="center" readingOrder="2"/>
    </xf>
    <xf numFmtId="165" fontId="40" fillId="0" borderId="7" xfId="1" applyNumberFormat="1" applyFont="1" applyFill="1" applyBorder="1" applyAlignment="1">
      <alignment horizontal="center" vertical="center" readingOrder="2"/>
    </xf>
    <xf numFmtId="0" fontId="34" fillId="2" borderId="1" xfId="0" applyFont="1" applyFill="1" applyBorder="1" applyAlignment="1">
      <alignment horizontal="center" vertical="center" wrapText="1" readingOrder="2"/>
    </xf>
    <xf numFmtId="0" fontId="42" fillId="2" borderId="0" xfId="0" applyFont="1" applyFill="1" applyAlignment="1">
      <alignment horizontal="right" vertical="center" readingOrder="2"/>
    </xf>
    <xf numFmtId="165" fontId="35" fillId="2" borderId="0" xfId="0" applyNumberFormat="1" applyFont="1" applyFill="1" applyAlignment="1">
      <alignment horizontal="right" vertical="center" wrapText="1" readingOrder="2"/>
    </xf>
    <xf numFmtId="0" fontId="99" fillId="2" borderId="0" xfId="4" applyNumberFormat="1" applyFont="1" applyFill="1" applyAlignment="1">
      <alignment horizontal="center" vertical="center" readingOrder="2"/>
    </xf>
    <xf numFmtId="0" fontId="34" fillId="2" borderId="1" xfId="0" applyFont="1" applyFill="1" applyBorder="1" applyAlignment="1">
      <alignment horizontal="center" wrapText="1" readingOrder="2"/>
    </xf>
    <xf numFmtId="0" fontId="6" fillId="2" borderId="1" xfId="0" applyFont="1" applyFill="1" applyBorder="1" applyAlignment="1">
      <alignment horizontal="center" vertical="center" wrapText="1" readingOrder="2"/>
    </xf>
    <xf numFmtId="0" fontId="6" fillId="2" borderId="2" xfId="0" applyFont="1" applyFill="1" applyBorder="1" applyAlignment="1">
      <alignment horizontal="center" vertical="center" wrapText="1" readingOrder="2"/>
    </xf>
    <xf numFmtId="0" fontId="13" fillId="2" borderId="0" xfId="4" applyNumberFormat="1" applyFont="1" applyFill="1" applyAlignment="1">
      <alignment horizontal="center" vertical="center" readingOrder="2"/>
    </xf>
    <xf numFmtId="165" fontId="13" fillId="2" borderId="0" xfId="4" applyNumberFormat="1" applyFont="1" applyFill="1" applyAlignment="1">
      <alignment horizontal="center" vertical="center" readingOrder="2"/>
    </xf>
    <xf numFmtId="165" fontId="8" fillId="0" borderId="0" xfId="0" applyNumberFormat="1" applyFont="1" applyAlignment="1">
      <alignment horizontal="center" vertical="center" readingOrder="2"/>
    </xf>
    <xf numFmtId="165" fontId="8" fillId="0" borderId="0" xfId="0" applyNumberFormat="1" applyFont="1" applyAlignment="1">
      <alignment horizontal="right" vertical="top" wrapText="1" readingOrder="2"/>
    </xf>
    <xf numFmtId="165" fontId="6" fillId="2" borderId="0" xfId="0" applyNumberFormat="1" applyFont="1" applyFill="1" applyAlignment="1">
      <alignment horizontal="center" readingOrder="2"/>
    </xf>
    <xf numFmtId="165" fontId="6" fillId="2" borderId="1" xfId="0" applyNumberFormat="1" applyFont="1" applyFill="1" applyBorder="1" applyAlignment="1">
      <alignment horizontal="center" readingOrder="2"/>
    </xf>
    <xf numFmtId="0" fontId="6" fillId="2" borderId="0" xfId="0" applyFont="1" applyFill="1" applyAlignment="1">
      <alignment horizontal="center" vertical="center" wrapText="1" readingOrder="2"/>
    </xf>
    <xf numFmtId="49" fontId="6" fillId="0" borderId="0" xfId="0" applyNumberFormat="1" applyFont="1" applyAlignment="1">
      <alignment horizontal="right" wrapText="1" readingOrder="2"/>
    </xf>
    <xf numFmtId="49" fontId="6" fillId="0" borderId="0" xfId="0" applyNumberFormat="1" applyFont="1" applyAlignment="1">
      <alignment horizontal="right" readingOrder="2"/>
    </xf>
    <xf numFmtId="165" fontId="44" fillId="0" borderId="0" xfId="0" applyNumberFormat="1" applyFont="1" applyAlignment="1">
      <alignment horizontal="center" vertical="center" readingOrder="2"/>
    </xf>
    <xf numFmtId="0" fontId="81" fillId="0" borderId="52" xfId="0" applyFont="1" applyBorder="1" applyAlignment="1">
      <alignment horizontal="center" vertical="center"/>
    </xf>
    <xf numFmtId="0" fontId="81" fillId="0" borderId="42" xfId="0" applyFont="1" applyBorder="1" applyAlignment="1">
      <alignment horizontal="center" vertical="center"/>
    </xf>
    <xf numFmtId="0" fontId="81" fillId="0" borderId="10" xfId="0" applyFont="1" applyBorder="1" applyAlignment="1">
      <alignment horizontal="center" vertical="center"/>
    </xf>
    <xf numFmtId="0" fontId="81" fillId="0" borderId="19" xfId="0" applyFont="1" applyBorder="1" applyAlignment="1">
      <alignment horizontal="center" vertical="center"/>
    </xf>
    <xf numFmtId="0" fontId="81" fillId="0" borderId="20" xfId="0" applyFont="1" applyBorder="1" applyAlignment="1">
      <alignment horizontal="center" vertical="center"/>
    </xf>
    <xf numFmtId="0" fontId="81" fillId="0" borderId="9" xfId="0" applyFont="1" applyBorder="1" applyAlignment="1">
      <alignment horizontal="center" vertical="center"/>
    </xf>
    <xf numFmtId="0" fontId="81" fillId="0" borderId="19" xfId="0" applyFont="1" applyBorder="1" applyAlignment="1">
      <alignment horizontal="center" vertical="center" wrapText="1"/>
    </xf>
    <xf numFmtId="0" fontId="81" fillId="0" borderId="20" xfId="0" applyFont="1" applyBorder="1" applyAlignment="1">
      <alignment horizontal="center" vertical="center" wrapText="1"/>
    </xf>
    <xf numFmtId="0" fontId="81" fillId="0" borderId="9" xfId="0" applyFont="1" applyBorder="1" applyAlignment="1">
      <alignment horizontal="center" vertical="center" wrapText="1"/>
    </xf>
    <xf numFmtId="165" fontId="34" fillId="2" borderId="0" xfId="0" applyNumberFormat="1" applyFont="1" applyFill="1" applyAlignment="1">
      <alignment horizontal="center" wrapText="1" readingOrder="2"/>
    </xf>
    <xf numFmtId="0" fontId="76" fillId="0" borderId="10" xfId="0" applyFont="1" applyBorder="1" applyAlignment="1">
      <alignment horizontal="center" vertical="center"/>
    </xf>
    <xf numFmtId="0" fontId="76" fillId="0" borderId="9" xfId="0" applyFont="1" applyBorder="1" applyAlignment="1">
      <alignment horizontal="center" vertical="center"/>
    </xf>
    <xf numFmtId="0" fontId="76" fillId="0" borderId="43" xfId="0" applyFont="1" applyBorder="1" applyAlignment="1">
      <alignment horizontal="center" vertical="center"/>
    </xf>
    <xf numFmtId="165" fontId="43" fillId="0" borderId="0" xfId="1" applyNumberFormat="1" applyFont="1" applyFill="1" applyBorder="1" applyAlignment="1">
      <alignment horizontal="center" vertical="center" readingOrder="2"/>
    </xf>
    <xf numFmtId="165" fontId="99" fillId="2" borderId="0" xfId="4" applyNumberFormat="1" applyFont="1" applyFill="1" applyAlignment="1">
      <alignment horizontal="center" vertical="center" readingOrder="2"/>
    </xf>
    <xf numFmtId="0" fontId="33" fillId="2" borderId="0" xfId="4" applyNumberFormat="1" applyFont="1" applyFill="1" applyAlignment="1">
      <alignment horizontal="center" vertical="center" readingOrder="2"/>
    </xf>
    <xf numFmtId="0" fontId="44" fillId="2" borderId="1" xfId="0" applyFont="1" applyFill="1" applyBorder="1" applyAlignment="1">
      <alignment horizontal="center" vertical="center" wrapText="1" readingOrder="2"/>
    </xf>
    <xf numFmtId="0" fontId="102" fillId="2" borderId="0" xfId="4" applyNumberFormat="1" applyFont="1" applyFill="1" applyAlignment="1">
      <alignment horizontal="center" vertical="center" readingOrder="2"/>
    </xf>
    <xf numFmtId="165" fontId="102" fillId="2" borderId="0" xfId="4" applyNumberFormat="1" applyFont="1" applyFill="1" applyAlignment="1">
      <alignment horizontal="center" vertical="center" readingOrder="2"/>
    </xf>
    <xf numFmtId="165" fontId="44" fillId="0" borderId="0" xfId="0" applyNumberFormat="1" applyFont="1" applyAlignment="1">
      <alignment horizontal="right" vertical="center" readingOrder="2"/>
    </xf>
    <xf numFmtId="165" fontId="44" fillId="0" borderId="0" xfId="0" applyNumberFormat="1" applyFont="1" applyAlignment="1">
      <alignment horizontal="right" vertical="top" wrapText="1" readingOrder="2"/>
    </xf>
    <xf numFmtId="0" fontId="103" fillId="2" borderId="0" xfId="4" applyNumberFormat="1" applyFont="1" applyFill="1" applyAlignment="1">
      <alignment horizontal="center" vertical="center" readingOrder="2"/>
    </xf>
    <xf numFmtId="49" fontId="37" fillId="0" borderId="0" xfId="0" applyNumberFormat="1" applyFont="1" applyAlignment="1">
      <alignment horizontal="center" vertical="center" readingOrder="2"/>
    </xf>
    <xf numFmtId="165" fontId="19" fillId="2" borderId="0" xfId="0" applyNumberFormat="1" applyFont="1" applyFill="1" applyAlignment="1">
      <alignment horizontal="right" vertical="center" readingOrder="2"/>
    </xf>
    <xf numFmtId="165" fontId="37" fillId="2" borderId="0" xfId="0" applyNumberFormat="1" applyFont="1" applyFill="1" applyAlignment="1">
      <alignment horizontal="right" vertical="center" readingOrder="2"/>
    </xf>
    <xf numFmtId="165" fontId="19" fillId="2" borderId="0" xfId="0" applyNumberFormat="1" applyFont="1" applyFill="1" applyAlignment="1">
      <alignment horizontal="right" vertical="center" wrapText="1" readingOrder="2"/>
    </xf>
    <xf numFmtId="165" fontId="37" fillId="2" borderId="0" xfId="0" applyNumberFormat="1" applyFont="1" applyFill="1" applyAlignment="1">
      <alignment horizontal="right" vertical="center" wrapText="1" readingOrder="2"/>
    </xf>
    <xf numFmtId="165" fontId="19" fillId="0" borderId="0" xfId="0" applyNumberFormat="1" applyFont="1" applyAlignment="1">
      <alignment horizontal="right" vertical="center" wrapText="1" readingOrder="2"/>
    </xf>
    <xf numFmtId="165" fontId="37" fillId="0" borderId="0" xfId="0" applyNumberFormat="1" applyFont="1" applyAlignment="1">
      <alignment horizontal="right" vertical="center" wrapText="1" readingOrder="2"/>
    </xf>
    <xf numFmtId="165" fontId="19" fillId="0" borderId="0" xfId="0" applyNumberFormat="1" applyFont="1" applyAlignment="1">
      <alignment vertical="center" readingOrder="2"/>
    </xf>
    <xf numFmtId="165" fontId="37" fillId="0" borderId="0" xfId="0" applyNumberFormat="1" applyFont="1" applyAlignment="1">
      <alignment vertical="center" readingOrder="2"/>
    </xf>
    <xf numFmtId="165" fontId="20" fillId="0" borderId="0" xfId="0" applyNumberFormat="1" applyFont="1" applyAlignment="1">
      <alignment horizontal="center" vertical="center" readingOrder="2"/>
    </xf>
    <xf numFmtId="0" fontId="23" fillId="2" borderId="0" xfId="4" applyNumberFormat="1" applyFont="1" applyFill="1" applyAlignment="1">
      <alignment horizontal="center" vertical="center" readingOrder="2"/>
    </xf>
    <xf numFmtId="165" fontId="23" fillId="2" borderId="0" xfId="4" applyNumberFormat="1" applyFont="1" applyFill="1" applyAlignment="1">
      <alignment horizontal="center" vertical="center" readingOrder="2"/>
    </xf>
    <xf numFmtId="0" fontId="20" fillId="0" borderId="0" xfId="0" applyFont="1" applyAlignment="1">
      <alignment horizontal="center" vertical="center" readingOrder="2"/>
    </xf>
    <xf numFmtId="3" fontId="20" fillId="2" borderId="1" xfId="0" applyNumberFormat="1" applyFont="1" applyFill="1" applyBorder="1" applyAlignment="1">
      <alignment horizontal="center" vertical="center" readingOrder="2"/>
    </xf>
    <xf numFmtId="49" fontId="34" fillId="0" borderId="0" xfId="0" applyNumberFormat="1" applyFont="1" applyAlignment="1">
      <alignment horizontal="center" vertical="center" readingOrder="2"/>
    </xf>
    <xf numFmtId="165" fontId="9" fillId="0" borderId="0" xfId="0" applyNumberFormat="1" applyFont="1" applyAlignment="1">
      <alignment horizontal="right" vertical="top" wrapText="1"/>
    </xf>
    <xf numFmtId="49" fontId="53" fillId="0" borderId="0" xfId="0" applyNumberFormat="1" applyFont="1" applyAlignment="1">
      <alignment horizontal="right" vertical="center" shrinkToFit="1" readingOrder="2"/>
    </xf>
    <xf numFmtId="49" fontId="53" fillId="0" borderId="0" xfId="0" applyNumberFormat="1" applyFont="1" applyAlignment="1">
      <alignment horizontal="right" vertical="center" wrapText="1" readingOrder="2"/>
    </xf>
    <xf numFmtId="49" fontId="48" fillId="0" borderId="0" xfId="0" applyNumberFormat="1" applyFont="1" applyAlignment="1">
      <alignment horizontal="center" vertical="center" readingOrder="2"/>
    </xf>
    <xf numFmtId="0" fontId="48" fillId="0" borderId="0" xfId="0" applyFont="1" applyAlignment="1">
      <alignment horizontal="right" vertical="center" readingOrder="2"/>
    </xf>
    <xf numFmtId="165" fontId="51" fillId="2" borderId="0" xfId="0" applyNumberFormat="1" applyFont="1" applyFill="1" applyAlignment="1">
      <alignment horizontal="right" vertical="center" readingOrder="2"/>
    </xf>
    <xf numFmtId="0" fontId="64" fillId="2" borderId="0" xfId="4" applyNumberFormat="1" applyFont="1" applyFill="1" applyAlignment="1">
      <alignment horizontal="center" vertical="center" readingOrder="2"/>
    </xf>
    <xf numFmtId="165" fontId="64" fillId="2" borderId="0" xfId="4" applyNumberFormat="1" applyFont="1" applyFill="1" applyAlignment="1">
      <alignment horizontal="center" vertical="center" readingOrder="2"/>
    </xf>
    <xf numFmtId="49" fontId="8" fillId="0" borderId="0" xfId="0" applyNumberFormat="1" applyFont="1" applyAlignment="1">
      <alignment horizontal="right" vertical="center" wrapText="1" readingOrder="2"/>
    </xf>
    <xf numFmtId="49" fontId="8" fillId="0" borderId="0" xfId="0" applyNumberFormat="1" applyFont="1" applyAlignment="1">
      <alignment horizontal="right" vertical="center" shrinkToFit="1" readingOrder="2"/>
    </xf>
    <xf numFmtId="3" fontId="81" fillId="2" borderId="0" xfId="10" applyNumberFormat="1" applyFont="1" applyFill="1" applyAlignment="1">
      <alignment horizontal="right" vertical="top" wrapText="1" readingOrder="2"/>
    </xf>
    <xf numFmtId="165" fontId="20" fillId="0" borderId="0" xfId="9" applyNumberFormat="1" applyFont="1" applyAlignment="1">
      <alignment horizontal="right" vertical="center" readingOrder="2"/>
    </xf>
    <xf numFmtId="165" fontId="27" fillId="0" borderId="0" xfId="9" applyNumberFormat="1" applyFont="1" applyAlignment="1">
      <alignment horizontal="center" vertical="center" readingOrder="2"/>
    </xf>
    <xf numFmtId="165" fontId="20" fillId="0" borderId="0" xfId="9" applyNumberFormat="1" applyFont="1" applyAlignment="1">
      <alignment horizontal="right" vertical="center" wrapText="1" readingOrder="2"/>
    </xf>
    <xf numFmtId="0" fontId="20" fillId="2" borderId="0" xfId="4" applyNumberFormat="1" applyFont="1" applyFill="1" applyAlignment="1">
      <alignment horizontal="center" vertical="center" readingOrder="2"/>
    </xf>
    <xf numFmtId="165" fontId="20" fillId="2" borderId="0" xfId="4" applyNumberFormat="1" applyFont="1" applyFill="1" applyAlignment="1">
      <alignment horizontal="center" vertical="center" readingOrder="2"/>
    </xf>
    <xf numFmtId="3" fontId="20" fillId="2" borderId="0" xfId="9" applyNumberFormat="1" applyFont="1" applyFill="1" applyAlignment="1">
      <alignment horizontal="center" vertical="center" readingOrder="2"/>
    </xf>
    <xf numFmtId="0" fontId="20" fillId="0" borderId="0" xfId="9" applyFont="1" applyAlignment="1">
      <alignment horizontal="right" vertical="center" wrapText="1" readingOrder="2"/>
    </xf>
    <xf numFmtId="174" fontId="42" fillId="0" borderId="0" xfId="1" applyNumberFormat="1" applyFont="1" applyFill="1" applyAlignment="1">
      <alignment horizontal="center" vertical="center" readingOrder="2"/>
    </xf>
    <xf numFmtId="174" fontId="20" fillId="2" borderId="0" xfId="1" applyNumberFormat="1" applyFont="1" applyFill="1" applyAlignment="1">
      <alignment horizontal="center" vertical="center" readingOrder="2"/>
    </xf>
    <xf numFmtId="174" fontId="42" fillId="2" borderId="0" xfId="1" applyNumberFormat="1" applyFont="1" applyFill="1" applyAlignment="1">
      <alignment horizontal="center" vertical="center" readingOrder="2"/>
    </xf>
    <xf numFmtId="0" fontId="42" fillId="0" borderId="0" xfId="9" applyFont="1" applyAlignment="1">
      <alignment horizontal="right" vertical="center" wrapText="1" readingOrder="2"/>
    </xf>
    <xf numFmtId="0" fontId="48" fillId="0" borderId="0" xfId="0" applyFont="1" applyAlignment="1">
      <alignment horizontal="center" vertical="center" readingOrder="2"/>
    </xf>
    <xf numFmtId="169" fontId="35" fillId="2" borderId="0" xfId="0" applyNumberFormat="1" applyFont="1" applyFill="1" applyAlignment="1">
      <alignment horizontal="right" vertical="top" wrapText="1" readingOrder="2"/>
    </xf>
    <xf numFmtId="169" fontId="35" fillId="0" borderId="0" xfId="0" applyNumberFormat="1" applyFont="1" applyAlignment="1">
      <alignment horizontal="right" vertical="top" wrapText="1" readingOrder="2"/>
    </xf>
    <xf numFmtId="169" fontId="64" fillId="2" borderId="0" xfId="4" applyNumberFormat="1" applyFont="1" applyFill="1" applyAlignment="1">
      <alignment horizontal="center" vertical="center" readingOrder="2"/>
    </xf>
    <xf numFmtId="169" fontId="35" fillId="0" borderId="0" xfId="0" applyNumberFormat="1" applyFont="1" applyAlignment="1">
      <alignment horizontal="right" wrapText="1" readingOrder="2"/>
    </xf>
    <xf numFmtId="49" fontId="57" fillId="0" borderId="0" xfId="0" applyNumberFormat="1" applyFont="1" applyAlignment="1">
      <alignment horizontal="center" vertical="center" readingOrder="2"/>
    </xf>
    <xf numFmtId="169" fontId="57" fillId="0" borderId="0" xfId="0" applyNumberFormat="1" applyFont="1" applyAlignment="1">
      <alignment horizontal="right" vertical="center" readingOrder="2"/>
    </xf>
    <xf numFmtId="49" fontId="57" fillId="0" borderId="0" xfId="0" applyNumberFormat="1" applyFont="1" applyAlignment="1">
      <alignment horizontal="center" vertical="top" readingOrder="2"/>
    </xf>
    <xf numFmtId="169" fontId="57" fillId="2" borderId="0" xfId="0" applyNumberFormat="1" applyFont="1" applyFill="1" applyAlignment="1">
      <alignment horizontal="center" vertical="center" readingOrder="2"/>
    </xf>
    <xf numFmtId="169" fontId="20" fillId="0" borderId="0" xfId="0" applyNumberFormat="1" applyFont="1" applyAlignment="1">
      <alignment horizontal="right" vertical="top" wrapText="1" readingOrder="2"/>
    </xf>
    <xf numFmtId="169" fontId="42" fillId="0" borderId="0" xfId="0" applyNumberFormat="1" applyFont="1" applyAlignment="1">
      <alignment horizontal="right" vertical="top" wrapText="1" readingOrder="2"/>
    </xf>
    <xf numFmtId="165" fontId="34" fillId="0" borderId="0" xfId="0" applyNumberFormat="1" applyFont="1" applyAlignment="1">
      <alignment horizontal="center" readingOrder="2"/>
    </xf>
    <xf numFmtId="0" fontId="104" fillId="2" borderId="0" xfId="4" applyNumberFormat="1" applyFont="1" applyFill="1" applyAlignment="1">
      <alignment horizontal="center" vertical="center" readingOrder="2"/>
    </xf>
    <xf numFmtId="165" fontId="104" fillId="2" borderId="0" xfId="4" applyNumberFormat="1" applyFont="1" applyFill="1" applyAlignment="1">
      <alignment horizontal="center" vertical="center" readingOrder="2"/>
    </xf>
    <xf numFmtId="165" fontId="34" fillId="0" borderId="0" xfId="0" applyNumberFormat="1" applyFont="1" applyAlignment="1">
      <alignment horizontal="right" readingOrder="2"/>
    </xf>
    <xf numFmtId="165" fontId="34" fillId="0" borderId="0" xfId="0" applyNumberFormat="1" applyFont="1" applyAlignment="1">
      <alignment horizontal="right" vertical="center" readingOrder="2"/>
    </xf>
    <xf numFmtId="165" fontId="34" fillId="0" borderId="0" xfId="0" applyNumberFormat="1" applyFont="1" applyAlignment="1">
      <alignment horizontal="right" vertical="center" wrapText="1" readingOrder="2"/>
    </xf>
    <xf numFmtId="0" fontId="34" fillId="0" borderId="0" xfId="0" applyFont="1" applyAlignment="1">
      <alignment horizontal="center" readingOrder="2"/>
    </xf>
    <xf numFmtId="0" fontId="57" fillId="2" borderId="0" xfId="0" applyFont="1" applyFill="1" applyAlignment="1">
      <alignment horizontal="center" vertical="center" readingOrder="2"/>
    </xf>
    <xf numFmtId="165" fontId="57" fillId="2" borderId="0" xfId="0" applyNumberFormat="1" applyFont="1" applyFill="1" applyAlignment="1">
      <alignment horizontal="center" vertical="center" readingOrder="2"/>
    </xf>
    <xf numFmtId="165" fontId="18" fillId="2" borderId="0" xfId="0" applyNumberFormat="1" applyFont="1" applyFill="1" applyAlignment="1">
      <alignment horizontal="center" vertical="center" readingOrder="2"/>
    </xf>
    <xf numFmtId="49" fontId="61" fillId="0" borderId="0" xfId="0" applyNumberFormat="1" applyFont="1" applyAlignment="1">
      <alignment horizontal="center" readingOrder="2"/>
    </xf>
    <xf numFmtId="0" fontId="57" fillId="0" borderId="0" xfId="0" applyFont="1" applyAlignment="1">
      <alignment readingOrder="2"/>
    </xf>
    <xf numFmtId="0" fontId="61" fillId="0" borderId="0" xfId="0" applyFont="1" applyAlignment="1">
      <alignment readingOrder="2"/>
    </xf>
    <xf numFmtId="0" fontId="61" fillId="0" borderId="0" xfId="0" applyFont="1" applyAlignment="1">
      <alignment horizontal="right" readingOrder="2"/>
    </xf>
    <xf numFmtId="0" fontId="34" fillId="2" borderId="0" xfId="0" applyFont="1" applyFill="1" applyAlignment="1">
      <alignment horizontal="center" vertical="center" readingOrder="2"/>
    </xf>
    <xf numFmtId="165" fontId="34" fillId="2" borderId="0" xfId="0" applyNumberFormat="1" applyFont="1" applyFill="1" applyAlignment="1">
      <alignment horizontal="center" vertical="center" readingOrder="2"/>
    </xf>
    <xf numFmtId="0" fontId="34" fillId="0" borderId="0" xfId="0" applyFont="1" applyAlignment="1">
      <alignment horizontal="right" vertical="top" readingOrder="2"/>
    </xf>
    <xf numFmtId="49" fontId="35" fillId="2" borderId="0" xfId="0" applyNumberFormat="1" applyFont="1" applyFill="1" applyAlignment="1">
      <alignment vertical="top" readingOrder="2"/>
    </xf>
    <xf numFmtId="49" fontId="35" fillId="0" borderId="0" xfId="0" applyNumberFormat="1" applyFont="1" applyAlignment="1">
      <alignment horizontal="right" vertical="top" wrapText="1" readingOrder="2"/>
    </xf>
    <xf numFmtId="49" fontId="34" fillId="0" borderId="0" xfId="0" applyNumberFormat="1" applyFont="1" applyAlignment="1">
      <alignment horizontal="right" vertical="top" wrapText="1" readingOrder="2"/>
    </xf>
    <xf numFmtId="49" fontId="34" fillId="2" borderId="0" xfId="0" applyNumberFormat="1" applyFont="1" applyFill="1" applyAlignment="1">
      <alignment horizontal="center" vertical="center" readingOrder="2"/>
    </xf>
    <xf numFmtId="0" fontId="34" fillId="0" borderId="0" xfId="0" applyFont="1" applyAlignment="1">
      <alignment horizontal="right" vertical="center" readingOrder="2"/>
    </xf>
    <xf numFmtId="165" fontId="35" fillId="0" borderId="0" xfId="0" applyNumberFormat="1" applyFont="1" applyAlignment="1">
      <alignment horizontal="right" vertical="center" wrapText="1" readingOrder="2"/>
    </xf>
    <xf numFmtId="38" fontId="8" fillId="2" borderId="0" xfId="0" applyNumberFormat="1" applyFont="1" applyFill="1" applyAlignment="1">
      <alignment horizontal="right" vertical="center" wrapText="1" readingOrder="2"/>
    </xf>
    <xf numFmtId="165" fontId="61" fillId="0" borderId="0" xfId="0" applyNumberFormat="1" applyFont="1" applyAlignment="1">
      <alignment horizontal="center" vertical="center" readingOrder="2"/>
    </xf>
    <xf numFmtId="0" fontId="101" fillId="2" borderId="0" xfId="4" applyNumberFormat="1" applyFont="1" applyFill="1" applyAlignment="1">
      <alignment horizontal="center" vertical="center" readingOrder="2"/>
    </xf>
    <xf numFmtId="165" fontId="101" fillId="2" borderId="0" xfId="4" applyNumberFormat="1" applyFont="1" applyFill="1" applyAlignment="1">
      <alignment horizontal="center" vertical="center" readingOrder="2"/>
    </xf>
    <xf numFmtId="0" fontId="61" fillId="2" borderId="1" xfId="0" applyFont="1" applyFill="1" applyBorder="1" applyAlignment="1">
      <alignment horizontal="center" vertical="center" readingOrder="2"/>
    </xf>
    <xf numFmtId="0" fontId="61" fillId="2" borderId="0" xfId="0" applyFont="1" applyFill="1" applyAlignment="1">
      <alignment horizontal="center" vertical="center" readingOrder="2"/>
    </xf>
    <xf numFmtId="165" fontId="61" fillId="0" borderId="0" xfId="0" applyNumberFormat="1" applyFont="1" applyAlignment="1">
      <alignment horizontal="right" vertical="center" wrapText="1" readingOrder="2"/>
    </xf>
    <xf numFmtId="165" fontId="61" fillId="0" borderId="0" xfId="0" applyNumberFormat="1" applyFont="1" applyAlignment="1">
      <alignment horizontal="center" vertical="center" wrapText="1" readingOrder="2"/>
    </xf>
    <xf numFmtId="165" fontId="6" fillId="0" borderId="0" xfId="0" applyNumberFormat="1" applyFont="1" applyAlignment="1">
      <alignment horizontal="center" vertical="center" readingOrder="2"/>
    </xf>
    <xf numFmtId="0" fontId="34" fillId="2" borderId="1" xfId="0" applyFont="1" applyFill="1" applyBorder="1" applyAlignment="1">
      <alignment horizontal="center" vertical="center" readingOrder="2"/>
    </xf>
    <xf numFmtId="38" fontId="35" fillId="2" borderId="0" xfId="0" applyNumberFormat="1" applyFont="1" applyFill="1" applyAlignment="1">
      <alignment horizontal="right" vertical="center" wrapText="1" readingOrder="2"/>
    </xf>
    <xf numFmtId="49" fontId="61" fillId="0" borderId="0" xfId="0" applyNumberFormat="1" applyFont="1" applyAlignment="1">
      <alignment horizontal="center" vertical="center" readingOrder="2"/>
    </xf>
    <xf numFmtId="0" fontId="18" fillId="0" borderId="0" xfId="5" applyFont="1" applyAlignment="1">
      <alignment horizontal="right" vertical="center" readingOrder="2"/>
    </xf>
    <xf numFmtId="0" fontId="57" fillId="0" borderId="0" xfId="5" applyFont="1" applyAlignment="1">
      <alignment horizontal="right" vertical="center" readingOrder="2"/>
    </xf>
    <xf numFmtId="0" fontId="57" fillId="0" borderId="0" xfId="0" applyFont="1" applyAlignment="1">
      <alignment horizontal="right" vertical="center" readingOrder="2"/>
    </xf>
    <xf numFmtId="0" fontId="57" fillId="2" borderId="0" xfId="0" applyFont="1" applyFill="1" applyAlignment="1">
      <alignment horizontal="right" vertical="center" readingOrder="2"/>
    </xf>
    <xf numFmtId="165" fontId="67" fillId="0" borderId="0" xfId="3" applyNumberFormat="1" applyFont="1" applyAlignment="1">
      <alignment horizontal="right" vertical="center"/>
    </xf>
    <xf numFmtId="0" fontId="67" fillId="0" borderId="0" xfId="3" applyFont="1" applyAlignment="1">
      <alignment vertical="center" wrapText="1"/>
    </xf>
    <xf numFmtId="165" fontId="67" fillId="0" borderId="0" xfId="3" applyNumberFormat="1" applyFont="1" applyAlignment="1">
      <alignment vertical="center"/>
    </xf>
    <xf numFmtId="0" fontId="61" fillId="0" borderId="0" xfId="0" applyFont="1" applyAlignment="1">
      <alignment horizontal="right" vertical="center" wrapText="1" readingOrder="2"/>
    </xf>
    <xf numFmtId="0" fontId="61" fillId="2" borderId="0" xfId="0" applyFont="1" applyFill="1" applyAlignment="1">
      <alignment horizontal="right" vertical="center" wrapText="1" readingOrder="2"/>
    </xf>
    <xf numFmtId="0" fontId="61" fillId="0" borderId="0" xfId="0" applyFont="1" applyAlignment="1">
      <alignment horizontal="right" vertical="center" readingOrder="2"/>
    </xf>
    <xf numFmtId="0" fontId="61" fillId="2" borderId="0" xfId="0" applyFont="1" applyFill="1" applyAlignment="1">
      <alignment horizontal="right" vertical="center" readingOrder="2"/>
    </xf>
    <xf numFmtId="0" fontId="61" fillId="2" borderId="0" xfId="0" applyFont="1" applyFill="1" applyAlignment="1">
      <alignment horizontal="right" vertical="top" wrapText="1" readingOrder="2"/>
    </xf>
    <xf numFmtId="0" fontId="57" fillId="0" borderId="1" xfId="0" applyFont="1" applyBorder="1" applyAlignment="1">
      <alignment horizontal="center" vertical="center" readingOrder="2"/>
    </xf>
    <xf numFmtId="0" fontId="8" fillId="2" borderId="0" xfId="4" applyNumberFormat="1" applyFont="1" applyFill="1" applyAlignment="1">
      <alignment horizontal="center" vertical="center" readingOrder="2"/>
    </xf>
    <xf numFmtId="165" fontId="8" fillId="2" borderId="0" xfId="4" applyNumberFormat="1" applyFont="1" applyFill="1" applyAlignment="1">
      <alignment horizontal="center" vertical="center" readingOrder="2"/>
    </xf>
    <xf numFmtId="49" fontId="35" fillId="0" borderId="0" xfId="0" applyNumberFormat="1" applyFont="1" applyAlignment="1">
      <alignment horizontal="center" vertical="center" readingOrder="2"/>
    </xf>
    <xf numFmtId="0" fontId="35" fillId="0" borderId="0" xfId="0" applyFont="1" applyAlignment="1">
      <alignment horizontal="right" vertical="center" shrinkToFit="1" readingOrder="2"/>
    </xf>
    <xf numFmtId="0" fontId="6" fillId="2" borderId="0" xfId="4" applyNumberFormat="1" applyFont="1" applyFill="1" applyAlignment="1">
      <alignment horizontal="center" vertical="center" readingOrder="2"/>
    </xf>
    <xf numFmtId="165" fontId="6" fillId="2" borderId="0" xfId="4" applyNumberFormat="1" applyFont="1" applyFill="1" applyAlignment="1">
      <alignment horizontal="center" vertical="center" readingOrder="2"/>
    </xf>
    <xf numFmtId="0" fontId="61" fillId="0" borderId="0" xfId="0" applyFont="1" applyAlignment="1">
      <alignment horizontal="center" vertical="center" shrinkToFit="1" readingOrder="2"/>
    </xf>
    <xf numFmtId="0" fontId="61" fillId="0" borderId="0" xfId="0" applyFont="1" applyAlignment="1">
      <alignment horizontal="right" vertical="center" shrinkToFit="1" readingOrder="2"/>
    </xf>
    <xf numFmtId="0" fontId="18" fillId="2" borderId="1" xfId="0" applyFont="1" applyFill="1" applyBorder="1" applyAlignment="1">
      <alignment horizontal="center" vertical="center" wrapText="1" readingOrder="2"/>
    </xf>
    <xf numFmtId="0" fontId="18" fillId="2" borderId="0" xfId="0" applyFont="1" applyFill="1" applyAlignment="1">
      <alignment horizontal="center" vertical="center" wrapText="1" readingOrder="2"/>
    </xf>
    <xf numFmtId="0" fontId="105" fillId="2" borderId="0" xfId="4" applyNumberFormat="1" applyFont="1" applyFill="1" applyAlignment="1">
      <alignment horizontal="center" vertical="center" readingOrder="2"/>
    </xf>
    <xf numFmtId="165" fontId="105" fillId="2" borderId="0" xfId="4" applyNumberFormat="1" applyFont="1" applyFill="1" applyAlignment="1">
      <alignment horizontal="center" vertical="center" readingOrder="2"/>
    </xf>
    <xf numFmtId="164" fontId="6" fillId="2" borderId="0" xfId="1" applyFont="1" applyFill="1" applyAlignment="1">
      <alignment horizontal="right" vertical="center" wrapText="1" readingOrder="2"/>
    </xf>
    <xf numFmtId="164" fontId="73" fillId="2" borderId="0" xfId="1" applyFont="1" applyFill="1" applyAlignment="1">
      <alignment horizontal="right" vertical="center" wrapText="1" readingOrder="2"/>
    </xf>
    <xf numFmtId="49" fontId="25" fillId="0" borderId="0" xfId="3" applyNumberFormat="1" applyFont="1" applyAlignment="1">
      <alignment horizontal="center" vertical="center"/>
    </xf>
    <xf numFmtId="0" fontId="25" fillId="0" borderId="0" xfId="3" applyFont="1" applyAlignment="1">
      <alignment horizontal="center" vertical="center"/>
    </xf>
    <xf numFmtId="165" fontId="25" fillId="0" borderId="0" xfId="3" applyNumberFormat="1" applyFont="1" applyAlignment="1">
      <alignment horizontal="center" vertical="center"/>
    </xf>
    <xf numFmtId="3" fontId="25" fillId="0" borderId="0" xfId="3" applyNumberFormat="1" applyFont="1" applyAlignment="1">
      <alignment horizontal="right" vertical="top" wrapText="1" readingOrder="2"/>
    </xf>
    <xf numFmtId="0" fontId="22" fillId="0" borderId="0" xfId="3" applyFont="1" applyAlignment="1">
      <alignment horizontal="right" vertical="center"/>
    </xf>
    <xf numFmtId="0" fontId="25" fillId="0" borderId="1" xfId="3" applyFont="1" applyBorder="1" applyAlignment="1">
      <alignment horizontal="center" vertical="center"/>
    </xf>
    <xf numFmtId="0" fontId="26" fillId="0" borderId="0" xfId="4" applyFont="1" applyAlignment="1">
      <alignment horizontal="center"/>
    </xf>
    <xf numFmtId="0" fontId="26" fillId="0" borderId="0" xfId="4" applyFont="1" applyAlignment="1">
      <alignment horizontal="center" wrapText="1"/>
    </xf>
    <xf numFmtId="0" fontId="22" fillId="0" borderId="1" xfId="3" applyFont="1" applyBorder="1" applyAlignment="1">
      <alignment horizontal="center" vertical="center"/>
    </xf>
    <xf numFmtId="0" fontId="22" fillId="0" borderId="4" xfId="3" applyFont="1" applyBorder="1" applyAlignment="1">
      <alignment horizontal="center" vertical="center"/>
    </xf>
    <xf numFmtId="0" fontId="22" fillId="0" borderId="0" xfId="3" applyFont="1" applyAlignment="1">
      <alignment horizontal="center" vertical="center"/>
    </xf>
    <xf numFmtId="174" fontId="25" fillId="0" borderId="0" xfId="3" applyNumberFormat="1" applyFont="1" applyAlignment="1">
      <alignment horizontal="center" vertical="center"/>
    </xf>
    <xf numFmtId="2" fontId="25" fillId="0" borderId="0" xfId="3" applyNumberFormat="1" applyFont="1" applyAlignment="1">
      <alignment horizontal="center" vertical="center"/>
    </xf>
    <xf numFmtId="0" fontId="25" fillId="0" borderId="0" xfId="3" applyFont="1" applyAlignment="1">
      <alignment horizontal="right"/>
    </xf>
    <xf numFmtId="3" fontId="25" fillId="0" borderId="0" xfId="10" applyNumberFormat="1" applyFont="1" applyAlignment="1">
      <alignment horizontal="right" vertical="top" wrapText="1" readingOrder="2"/>
    </xf>
    <xf numFmtId="3" fontId="66" fillId="0" borderId="0" xfId="10" applyNumberFormat="1" applyFont="1" applyAlignment="1">
      <alignment horizontal="right" vertical="top" wrapText="1" readingOrder="2"/>
    </xf>
    <xf numFmtId="0" fontId="66" fillId="0" borderId="0" xfId="10" applyFont="1" applyAlignment="1">
      <alignment horizontal="center" vertical="center"/>
    </xf>
    <xf numFmtId="0" fontId="59" fillId="0" borderId="0" xfId="10" applyFont="1" applyAlignment="1">
      <alignment horizontal="center" vertical="center"/>
    </xf>
    <xf numFmtId="0" fontId="66" fillId="0" borderId="0" xfId="10" applyFont="1" applyAlignment="1">
      <alignment horizontal="right"/>
    </xf>
    <xf numFmtId="2" fontId="25" fillId="0" borderId="0" xfId="10" applyNumberFormat="1" applyFont="1" applyAlignment="1">
      <alignment horizontal="center" vertical="center"/>
    </xf>
    <xf numFmtId="2" fontId="66" fillId="0" borderId="0" xfId="10" applyNumberFormat="1" applyFont="1" applyAlignment="1">
      <alignment horizontal="center" vertical="center"/>
    </xf>
    <xf numFmtId="165" fontId="25" fillId="0" borderId="0" xfId="10" applyNumberFormat="1" applyFont="1" applyAlignment="1">
      <alignment horizontal="center" vertical="center"/>
    </xf>
    <xf numFmtId="165" fontId="66" fillId="0" borderId="0" xfId="10" applyNumberFormat="1" applyFont="1" applyAlignment="1">
      <alignment horizontal="center" vertical="center"/>
    </xf>
    <xf numFmtId="0" fontId="103" fillId="0" borderId="0" xfId="4" applyFont="1" applyAlignment="1">
      <alignment horizontal="center"/>
    </xf>
    <xf numFmtId="174" fontId="66" fillId="0" borderId="0" xfId="10" applyNumberFormat="1" applyFont="1" applyAlignment="1">
      <alignment horizontal="center" vertical="center"/>
    </xf>
    <xf numFmtId="0" fontId="59" fillId="0" borderId="0" xfId="10" applyFont="1" applyAlignment="1">
      <alignment horizontal="right" vertical="center"/>
    </xf>
    <xf numFmtId="0" fontId="59" fillId="0" borderId="1" xfId="10" applyFont="1" applyBorder="1" applyAlignment="1">
      <alignment horizontal="center" vertical="center"/>
    </xf>
    <xf numFmtId="0" fontId="59" fillId="0" borderId="4" xfId="10" applyFont="1" applyBorder="1" applyAlignment="1">
      <alignment horizontal="center" vertical="center"/>
    </xf>
    <xf numFmtId="165" fontId="73" fillId="0" borderId="0" xfId="0" applyNumberFormat="1" applyFont="1" applyAlignment="1">
      <alignment horizontal="center" vertical="center" readingOrder="2"/>
    </xf>
    <xf numFmtId="0" fontId="6" fillId="0" borderId="0" xfId="0" applyFont="1" applyAlignment="1">
      <alignment horizontal="right" vertical="center" readingOrder="2"/>
    </xf>
    <xf numFmtId="0" fontId="39" fillId="0" borderId="0" xfId="3" applyFont="1" applyAlignment="1">
      <alignment horizontal="center" vertical="center"/>
    </xf>
    <xf numFmtId="0" fontId="105" fillId="0" borderId="0" xfId="4" applyFont="1" applyAlignment="1">
      <alignment horizontal="center"/>
    </xf>
    <xf numFmtId="0" fontId="78" fillId="0" borderId="0" xfId="3" applyFont="1" applyAlignment="1">
      <alignment horizontal="right" vertical="center" wrapText="1" readingOrder="2"/>
    </xf>
    <xf numFmtId="0" fontId="39" fillId="0" borderId="0" xfId="3" applyFont="1" applyAlignment="1">
      <alignment horizontal="right" vertical="center" readingOrder="2"/>
    </xf>
    <xf numFmtId="0" fontId="39" fillId="0" borderId="0" xfId="3" applyFont="1" applyAlignment="1">
      <alignment horizontal="right" vertical="center"/>
    </xf>
    <xf numFmtId="180" fontId="35" fillId="2" borderId="0" xfId="1" applyNumberFormat="1" applyFont="1" applyFill="1" applyAlignment="1">
      <alignment horizontal="right" vertical="center" wrapText="1" shrinkToFit="1" readingOrder="2"/>
    </xf>
    <xf numFmtId="0" fontId="75" fillId="0" borderId="0" xfId="3" applyFont="1" applyAlignment="1">
      <alignment horizontal="center" vertical="center"/>
    </xf>
    <xf numFmtId="0" fontId="74" fillId="0" borderId="0" xfId="4" applyFont="1" applyAlignment="1">
      <alignment horizontal="center"/>
    </xf>
    <xf numFmtId="0" fontId="8" fillId="0" borderId="0" xfId="4" applyFont="1" applyAlignment="1">
      <alignment horizontal="center" vertical="center"/>
    </xf>
    <xf numFmtId="0" fontId="50" fillId="0" borderId="0" xfId="4" applyFont="1" applyAlignment="1">
      <alignment horizontal="center" vertical="center"/>
    </xf>
    <xf numFmtId="0" fontId="39" fillId="0" borderId="0" xfId="3" applyFont="1" applyAlignment="1">
      <alignment horizontal="right" vertical="top" wrapText="1" readingOrder="2"/>
    </xf>
    <xf numFmtId="0" fontId="75" fillId="0" borderId="0" xfId="3" applyFont="1" applyAlignment="1">
      <alignment horizontal="center"/>
    </xf>
    <xf numFmtId="0" fontId="36" fillId="0" borderId="0" xfId="3" applyFont="1" applyAlignment="1">
      <alignment horizontal="right" vertical="top" wrapText="1" readingOrder="2"/>
    </xf>
    <xf numFmtId="0" fontId="36" fillId="2" borderId="0" xfId="3" applyFont="1" applyFill="1" applyAlignment="1">
      <alignment horizontal="right" vertical="top" wrapText="1" readingOrder="2"/>
    </xf>
    <xf numFmtId="0" fontId="97" fillId="0" borderId="0" xfId="10" applyFont="1" applyAlignment="1">
      <alignment horizontal="right" vertical="center" wrapText="1" readingOrder="2"/>
    </xf>
    <xf numFmtId="0" fontId="97" fillId="0" borderId="1" xfId="10" applyFont="1" applyBorder="1" applyAlignment="1">
      <alignment horizontal="center" vertical="center" wrapText="1" readingOrder="2"/>
    </xf>
    <xf numFmtId="0" fontId="100" fillId="0" borderId="0" xfId="4" applyFont="1" applyAlignment="1">
      <alignment horizontal="center" vertical="center"/>
    </xf>
    <xf numFmtId="0" fontId="97" fillId="0" borderId="0" xfId="0" applyFont="1" applyAlignment="1">
      <alignment horizontal="center"/>
    </xf>
    <xf numFmtId="0" fontId="80" fillId="3" borderId="2" xfId="3" applyFont="1" applyFill="1" applyBorder="1" applyAlignment="1">
      <alignment horizontal="right" vertical="center"/>
    </xf>
    <xf numFmtId="0" fontId="81" fillId="0" borderId="0" xfId="3" applyFont="1" applyAlignment="1">
      <alignment horizontal="right" vertical="center" wrapText="1" readingOrder="2"/>
    </xf>
    <xf numFmtId="0" fontId="80" fillId="0" borderId="0" xfId="3" applyFont="1" applyAlignment="1">
      <alignment horizontal="right" vertical="center" wrapText="1" readingOrder="2"/>
    </xf>
    <xf numFmtId="0" fontId="72" fillId="0" borderId="0" xfId="3" applyFont="1" applyAlignment="1">
      <alignment horizontal="right" vertical="center" wrapText="1" readingOrder="2"/>
    </xf>
    <xf numFmtId="0" fontId="64" fillId="0" borderId="0" xfId="4" applyFont="1" applyAlignment="1">
      <alignment horizontal="center" vertical="center"/>
    </xf>
    <xf numFmtId="0" fontId="75" fillId="0" borderId="0" xfId="3" applyFont="1" applyAlignment="1">
      <alignment horizontal="right" vertical="center" wrapText="1" readingOrder="2"/>
    </xf>
    <xf numFmtId="165" fontId="72" fillId="0" borderId="45" xfId="3" applyNumberFormat="1" applyFont="1" applyBorder="1" applyAlignment="1">
      <alignment horizontal="center" vertical="center" wrapText="1"/>
    </xf>
    <xf numFmtId="165" fontId="72" fillId="0" borderId="4" xfId="3" applyNumberFormat="1" applyFont="1" applyBorder="1" applyAlignment="1">
      <alignment horizontal="center" vertical="center" wrapText="1"/>
    </xf>
    <xf numFmtId="165" fontId="72" fillId="0" borderId="18" xfId="3" applyNumberFormat="1" applyFont="1" applyBorder="1" applyAlignment="1">
      <alignment horizontal="center" vertical="center" wrapText="1"/>
    </xf>
    <xf numFmtId="167" fontId="69" fillId="0" borderId="39" xfId="0" applyNumberFormat="1" applyFont="1" applyBorder="1" applyAlignment="1">
      <alignment horizontal="center" vertical="center" shrinkToFit="1"/>
    </xf>
    <xf numFmtId="167" fontId="69" fillId="0" borderId="22" xfId="0" applyNumberFormat="1" applyFont="1" applyBorder="1" applyAlignment="1">
      <alignment horizontal="center" vertical="center" shrinkToFit="1"/>
    </xf>
    <xf numFmtId="0" fontId="69" fillId="0" borderId="19" xfId="10" applyFont="1" applyBorder="1" applyAlignment="1">
      <alignment horizontal="center" vertical="center" wrapText="1"/>
    </xf>
    <xf numFmtId="0" fontId="69" fillId="0" borderId="20" xfId="10" applyFont="1" applyBorder="1" applyAlignment="1">
      <alignment horizontal="center" vertical="center" wrapText="1"/>
    </xf>
    <xf numFmtId="0" fontId="69" fillId="0" borderId="9" xfId="10" applyFont="1" applyBorder="1" applyAlignment="1">
      <alignment horizontal="center" vertical="center" wrapText="1"/>
    </xf>
    <xf numFmtId="165" fontId="69" fillId="0" borderId="52" xfId="10" applyNumberFormat="1" applyFont="1" applyBorder="1" applyAlignment="1">
      <alignment horizontal="center" vertical="center" wrapText="1"/>
    </xf>
    <xf numFmtId="165" fontId="69" fillId="0" borderId="42" xfId="10" applyNumberFormat="1" applyFont="1" applyBorder="1" applyAlignment="1">
      <alignment horizontal="center" vertical="center" wrapText="1"/>
    </xf>
    <xf numFmtId="165" fontId="69" fillId="0" borderId="17" xfId="10" applyNumberFormat="1" applyFont="1" applyBorder="1" applyAlignment="1">
      <alignment horizontal="center" vertical="center" wrapText="1"/>
    </xf>
    <xf numFmtId="0" fontId="82" fillId="0" borderId="0" xfId="10" applyFont="1" applyAlignment="1">
      <alignment horizontal="center" vertical="center"/>
    </xf>
    <xf numFmtId="165" fontId="69" fillId="0" borderId="47" xfId="10" applyNumberFormat="1" applyFont="1" applyBorder="1" applyAlignment="1">
      <alignment horizontal="center" vertical="center" wrapText="1"/>
    </xf>
    <xf numFmtId="165" fontId="69" fillId="0" borderId="14" xfId="10" applyNumberFormat="1" applyFont="1" applyBorder="1" applyAlignment="1">
      <alignment horizontal="center" vertical="center" wrapText="1"/>
    </xf>
    <xf numFmtId="165" fontId="69" fillId="0" borderId="63" xfId="10" applyNumberFormat="1" applyFont="1" applyBorder="1" applyAlignment="1">
      <alignment horizontal="center" vertical="center" wrapText="1"/>
    </xf>
    <xf numFmtId="165" fontId="69" fillId="0" borderId="28" xfId="10" applyNumberFormat="1" applyFont="1" applyBorder="1" applyAlignment="1">
      <alignment horizontal="center" vertical="center" wrapText="1"/>
    </xf>
    <xf numFmtId="165" fontId="69" fillId="0" borderId="26" xfId="10" applyNumberFormat="1" applyFont="1" applyBorder="1" applyAlignment="1">
      <alignment horizontal="center" vertical="center" wrapText="1"/>
    </xf>
    <xf numFmtId="165" fontId="69" fillId="0" borderId="27" xfId="10" applyNumberFormat="1" applyFont="1" applyBorder="1" applyAlignment="1">
      <alignment horizontal="center" vertical="center" wrapText="1"/>
    </xf>
    <xf numFmtId="0" fontId="69" fillId="0" borderId="0" xfId="10" applyFont="1" applyAlignment="1">
      <alignment horizontal="right" vertical="center" wrapText="1" readingOrder="2"/>
    </xf>
    <xf numFmtId="0" fontId="69" fillId="0" borderId="0" xfId="10" applyFont="1" applyAlignment="1">
      <alignment horizontal="right" vertical="top" wrapText="1" readingOrder="2"/>
    </xf>
    <xf numFmtId="0" fontId="69" fillId="0" borderId="0" xfId="10" applyFont="1" applyAlignment="1">
      <alignment horizontal="center" vertical="center"/>
    </xf>
    <xf numFmtId="165" fontId="69" fillId="0" borderId="0" xfId="10" applyNumberFormat="1" applyFont="1" applyAlignment="1">
      <alignment horizontal="right" vertical="center" wrapText="1" readingOrder="2"/>
    </xf>
    <xf numFmtId="0" fontId="69" fillId="0" borderId="33" xfId="10" applyFont="1" applyBorder="1" applyAlignment="1">
      <alignment horizontal="center" vertical="center" wrapText="1"/>
    </xf>
    <xf numFmtId="0" fontId="69" fillId="0" borderId="34" xfId="10" applyFont="1" applyBorder="1" applyAlignment="1">
      <alignment horizontal="center" vertical="center" wrapText="1"/>
    </xf>
    <xf numFmtId="0" fontId="69" fillId="0" borderId="35" xfId="10" applyFont="1" applyBorder="1" applyAlignment="1">
      <alignment horizontal="center" vertical="center" wrapText="1"/>
    </xf>
    <xf numFmtId="0" fontId="69" fillId="0" borderId="22" xfId="10" applyFont="1" applyBorder="1" applyAlignment="1">
      <alignment horizontal="center" vertical="center" wrapText="1"/>
    </xf>
    <xf numFmtId="0" fontId="69" fillId="0" borderId="31" xfId="10" applyFont="1" applyBorder="1" applyAlignment="1">
      <alignment horizontal="center" vertical="center" wrapText="1"/>
    </xf>
    <xf numFmtId="0" fontId="69" fillId="0" borderId="29" xfId="10" applyFont="1" applyBorder="1" applyAlignment="1">
      <alignment horizontal="center" vertical="center" wrapText="1"/>
    </xf>
    <xf numFmtId="0" fontId="69" fillId="0" borderId="51" xfId="10" applyFont="1" applyBorder="1" applyAlignment="1">
      <alignment horizontal="center" vertical="center" wrapText="1"/>
    </xf>
    <xf numFmtId="0" fontId="69" fillId="0" borderId="54" xfId="10" applyFont="1" applyBorder="1" applyAlignment="1">
      <alignment horizontal="center" vertical="center" wrapText="1"/>
    </xf>
    <xf numFmtId="0" fontId="69" fillId="0" borderId="43" xfId="10" applyFont="1" applyBorder="1" applyAlignment="1">
      <alignment horizontal="center" vertical="center" wrapText="1"/>
    </xf>
    <xf numFmtId="0" fontId="69" fillId="0" borderId="39" xfId="10" applyFont="1" applyBorder="1" applyAlignment="1">
      <alignment horizontal="center" vertical="center" wrapText="1"/>
    </xf>
    <xf numFmtId="0" fontId="69" fillId="0" borderId="21" xfId="10" applyFont="1" applyBorder="1" applyAlignment="1">
      <alignment horizontal="center" vertical="center" wrapText="1"/>
    </xf>
    <xf numFmtId="0" fontId="69" fillId="0" borderId="24" xfId="10" applyFont="1" applyBorder="1" applyAlignment="1">
      <alignment horizontal="center" vertical="center" wrapText="1"/>
    </xf>
    <xf numFmtId="0" fontId="69" fillId="0" borderId="25" xfId="10" applyFont="1" applyBorder="1" applyAlignment="1">
      <alignment horizontal="center" vertical="center" wrapText="1"/>
    </xf>
    <xf numFmtId="0" fontId="69" fillId="0" borderId="55" xfId="10" applyFont="1" applyBorder="1" applyAlignment="1">
      <alignment horizontal="center" vertical="center" wrapText="1"/>
    </xf>
    <xf numFmtId="0" fontId="69" fillId="0" borderId="0" xfId="3" applyFont="1" applyAlignment="1">
      <alignment horizontal="right" vertical="center" wrapText="1" readingOrder="2"/>
    </xf>
    <xf numFmtId="165" fontId="69" fillId="0" borderId="44" xfId="3" applyNumberFormat="1" applyFont="1" applyBorder="1" applyAlignment="1">
      <alignment horizontal="center" vertical="center" wrapText="1"/>
    </xf>
    <xf numFmtId="165" fontId="69" fillId="0" borderId="4" xfId="3" applyNumberFormat="1" applyFont="1" applyBorder="1" applyAlignment="1">
      <alignment horizontal="center" vertical="center" wrapText="1"/>
    </xf>
    <xf numFmtId="165" fontId="69" fillId="0" borderId="18" xfId="3" applyNumberFormat="1" applyFont="1" applyBorder="1" applyAlignment="1">
      <alignment horizontal="center" vertical="center" wrapText="1"/>
    </xf>
    <xf numFmtId="165" fontId="69" fillId="0" borderId="12" xfId="10" applyNumberFormat="1" applyFont="1" applyBorder="1" applyAlignment="1">
      <alignment horizontal="center" vertical="center" wrapText="1"/>
    </xf>
    <xf numFmtId="165" fontId="69" fillId="0" borderId="20" xfId="10" applyNumberFormat="1" applyFont="1" applyBorder="1" applyAlignment="1">
      <alignment horizontal="center" vertical="center" wrapText="1"/>
    </xf>
    <xf numFmtId="165" fontId="69" fillId="0" borderId="16" xfId="10" applyNumberFormat="1" applyFont="1" applyBorder="1" applyAlignment="1">
      <alignment horizontal="center" vertical="center" wrapText="1"/>
    </xf>
    <xf numFmtId="0" fontId="36" fillId="0" borderId="0" xfId="3" applyFont="1" applyAlignment="1">
      <alignment horizontal="center" vertical="center" wrapText="1" readingOrder="2"/>
    </xf>
    <xf numFmtId="0" fontId="16" fillId="0" borderId="0" xfId="3" applyFont="1" applyAlignment="1">
      <alignment horizontal="center" vertical="center" wrapText="1" readingOrder="2"/>
    </xf>
    <xf numFmtId="0" fontId="76" fillId="0" borderId="0" xfId="3" applyFont="1" applyAlignment="1">
      <alignment horizontal="right" vertical="center" wrapText="1" readingOrder="2"/>
    </xf>
    <xf numFmtId="0" fontId="36" fillId="0" borderId="0" xfId="3" applyFont="1" applyAlignment="1">
      <alignment horizontal="right" wrapText="1" readingOrder="2"/>
    </xf>
    <xf numFmtId="165" fontId="16" fillId="0" borderId="0" xfId="3" applyNumberFormat="1" applyFont="1" applyAlignment="1">
      <alignment horizontal="right" vertical="center" wrapText="1" readingOrder="2"/>
    </xf>
    <xf numFmtId="0" fontId="16" fillId="0" borderId="0" xfId="3" applyFont="1" applyAlignment="1">
      <alignment horizontal="right" vertical="center" wrapText="1" readingOrder="2"/>
    </xf>
    <xf numFmtId="0" fontId="16" fillId="0" borderId="0" xfId="10" applyFont="1" applyAlignment="1">
      <alignment horizontal="right" vertical="top" wrapText="1" readingOrder="2"/>
    </xf>
    <xf numFmtId="0" fontId="35" fillId="0" borderId="0" xfId="10" applyFont="1" applyAlignment="1">
      <alignment horizontal="right" vertical="center" wrapText="1" readingOrder="2"/>
    </xf>
    <xf numFmtId="0" fontId="36" fillId="0" borderId="0" xfId="3" applyFont="1" applyAlignment="1">
      <alignment horizontal="right" vertical="center" wrapText="1"/>
    </xf>
    <xf numFmtId="0" fontId="16" fillId="0" borderId="0" xfId="10" applyFont="1" applyAlignment="1">
      <alignment horizontal="center" vertical="top" wrapText="1" readingOrder="2"/>
    </xf>
    <xf numFmtId="0" fontId="36" fillId="0" borderId="0" xfId="10" applyFont="1" applyAlignment="1">
      <alignment horizontal="right" vertical="center" wrapText="1" readingOrder="2"/>
    </xf>
    <xf numFmtId="0" fontId="30" fillId="0" borderId="0" xfId="10" applyFont="1" applyAlignment="1">
      <alignment horizontal="center" vertical="center"/>
    </xf>
    <xf numFmtId="0" fontId="29" fillId="0" borderId="0" xfId="10" applyFont="1" applyAlignment="1">
      <alignment horizontal="center"/>
    </xf>
    <xf numFmtId="0" fontId="30" fillId="0" borderId="0" xfId="10" applyFont="1" applyAlignment="1">
      <alignment horizontal="right" vertical="center" wrapText="1" readingOrder="2"/>
    </xf>
    <xf numFmtId="0" fontId="32" fillId="0" borderId="0" xfId="10" applyFont="1" applyAlignment="1">
      <alignment horizontal="right" vertical="center" wrapText="1" readingOrder="2"/>
    </xf>
    <xf numFmtId="0" fontId="31" fillId="0" borderId="0" xfId="10" applyFont="1" applyAlignment="1">
      <alignment horizontal="right" vertical="center" wrapText="1" readingOrder="2"/>
    </xf>
    <xf numFmtId="0" fontId="29" fillId="0" borderId="1" xfId="10" applyFont="1" applyBorder="1" applyAlignment="1">
      <alignment horizontal="center" vertical="center"/>
    </xf>
    <xf numFmtId="165" fontId="62" fillId="0" borderId="0" xfId="0" applyNumberFormat="1" applyFont="1" applyAlignment="1">
      <alignment readingOrder="2"/>
    </xf>
    <xf numFmtId="0" fontId="107" fillId="9" borderId="0" xfId="14" applyAlignment="1">
      <alignment horizontal="right" vertical="center" readingOrder="2"/>
    </xf>
    <xf numFmtId="165" fontId="70" fillId="0" borderId="0" xfId="0" applyNumberFormat="1" applyFont="1" applyAlignment="1">
      <alignment horizontal="right" vertical="center" readingOrder="2"/>
    </xf>
    <xf numFmtId="165" fontId="107" fillId="9" borderId="0" xfId="14" applyNumberFormat="1" applyAlignment="1">
      <alignment vertical="center" readingOrder="2"/>
    </xf>
    <xf numFmtId="165" fontId="107" fillId="9" borderId="0" xfId="14" applyNumberFormat="1" applyAlignment="1">
      <alignment horizontal="right" vertical="center" readingOrder="2"/>
    </xf>
    <xf numFmtId="165" fontId="108" fillId="10" borderId="0" xfId="15" applyNumberFormat="1" applyAlignment="1">
      <alignment vertical="center" readingOrder="2"/>
    </xf>
    <xf numFmtId="165" fontId="107" fillId="9" borderId="0" xfId="14" applyNumberFormat="1" applyAlignment="1">
      <alignment horizontal="center" vertical="center"/>
    </xf>
    <xf numFmtId="0" fontId="107" fillId="9" borderId="0" xfId="14" applyAlignment="1">
      <alignment horizontal="center" vertical="center" wrapText="1"/>
    </xf>
  </cellXfs>
  <cellStyles count="16">
    <cellStyle name="Bad" xfId="14" builtinId="27"/>
    <cellStyle name="Comma" xfId="1" builtinId="3"/>
    <cellStyle name="Comma 2" xfId="11" xr:uid="{00000000-0005-0000-0000-000001000000}"/>
    <cellStyle name="Comma 2 4" xfId="6" xr:uid="{00000000-0005-0000-0000-000002000000}"/>
    <cellStyle name="Hyperlink" xfId="4" builtinId="8"/>
    <cellStyle name="Neutral" xfId="15" builtinId="28"/>
    <cellStyle name="Normal" xfId="0" builtinId="0"/>
    <cellStyle name="Normal 2" xfId="3" xr:uid="{00000000-0005-0000-0000-000005000000}"/>
    <cellStyle name="Normal 2 2" xfId="2" xr:uid="{00000000-0005-0000-0000-000006000000}"/>
    <cellStyle name="Normal 2 3" xfId="7" xr:uid="{00000000-0005-0000-0000-000007000000}"/>
    <cellStyle name="Normal 2 4" xfId="9" xr:uid="{00000000-0005-0000-0000-000008000000}"/>
    <cellStyle name="Normal 2 5" xfId="10" xr:uid="{00000000-0005-0000-0000-000009000000}"/>
    <cellStyle name="Normal 2 5 2" xfId="13" xr:uid="{00000000-0005-0000-0000-00000A000000}"/>
    <cellStyle name="Normal 3" xfId="5" xr:uid="{00000000-0005-0000-0000-00000B000000}"/>
    <cellStyle name="Normal 6" xfId="8" xr:uid="{00000000-0005-0000-0000-00000C000000}"/>
    <cellStyle name="Percent" xfId="12" builtinId="5"/>
  </cellStyles>
  <dxfs count="157">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M.Sam\&#1570;&#1602;&#1575;&#1740;%20&#1582;&#1740;&#1585;&#1740;\New%20folder%20(2)\&#1589;&#1608;&#1585;&#1578;%20&#1605;&#1575;&#1604;&#1740;%20%201400&#1587;&#1575;&#1604;00%20140107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ansari\&#1589;&#1608;&#1585;&#1578;%20&#1605;&#1575;&#1604;&#1740;%201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ص امضا"/>
      <sheetName val="سودوزيان"/>
      <sheetName val="وضعيت مالي"/>
      <sheetName val="حقوق مالكانه "/>
      <sheetName val="جريان هاي نقدي"/>
      <sheetName val="تاريخچه"/>
      <sheetName val="6 اهم رويه ها"/>
      <sheetName val="7ادامه"/>
      <sheetName val="5"/>
      <sheetName val="5-3"/>
      <sheetName val="6"/>
      <sheetName val="6-1"/>
      <sheetName val="7"/>
      <sheetName val="8.9.10.11"/>
      <sheetName val="12"/>
      <sheetName val="12-1"/>
      <sheetName val="12-2"/>
      <sheetName val="12-3"/>
      <sheetName val="13-14"/>
      <sheetName val="15"/>
      <sheetName val="15-16"/>
      <sheetName val="17"/>
      <sheetName val="17-1"/>
      <sheetName val="17-2"/>
      <sheetName val="17-3"/>
      <sheetName val="18"/>
      <sheetName val="19-20-21"/>
      <sheetName val="22"/>
      <sheetName val="22-1"/>
      <sheetName val="22-2"/>
      <sheetName val="22-3"/>
      <sheetName val="23-24"/>
      <sheetName val="25"/>
      <sheetName val="25-1"/>
      <sheetName val="26-27"/>
      <sheetName val="28"/>
      <sheetName val="29"/>
      <sheetName val="30"/>
      <sheetName val="31"/>
      <sheetName val="31-32"/>
      <sheetName val="33-34"/>
    </sheetNames>
    <sheetDataSet>
      <sheetData sheetId="0"/>
      <sheetData sheetId="1">
        <row r="18">
          <cell r="F18">
            <v>138638113295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A2" t="str">
            <v>یادداشتهای توضیحی صورت های مالی</v>
          </cell>
          <cell r="B2">
            <v>0</v>
          </cell>
          <cell r="C2">
            <v>0</v>
          </cell>
          <cell r="D2">
            <v>0</v>
          </cell>
          <cell r="E2">
            <v>0</v>
          </cell>
          <cell r="F2">
            <v>0</v>
          </cell>
          <cell r="G2">
            <v>0</v>
          </cell>
          <cell r="H2">
            <v>0</v>
          </cell>
          <cell r="I2">
            <v>0</v>
          </cell>
          <cell r="J2">
            <v>0</v>
          </cell>
          <cell r="K2">
            <v>0</v>
          </cell>
          <cell r="L2">
            <v>0</v>
          </cell>
          <cell r="M2">
            <v>0</v>
          </cell>
          <cell r="N2">
            <v>0</v>
          </cell>
        </row>
      </sheetData>
      <sheetData sheetId="39"/>
      <sheetData sheetId="40">
        <row r="1">
          <cell r="A1" t="str">
            <v>شرکت داروسازی خوارزمی (سهامی خاص)</v>
          </cell>
          <cell r="B1">
            <v>0</v>
          </cell>
          <cell r="C1">
            <v>0</v>
          </cell>
          <cell r="D1">
            <v>0</v>
          </cell>
          <cell r="E1">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ص امضا"/>
      <sheetName val="سودوزيان"/>
      <sheetName val="وضعيت مالي"/>
      <sheetName val="حقوق مالكانه "/>
      <sheetName val="جريان هاي نقدي"/>
      <sheetName val="تاريخچه"/>
      <sheetName val="6 اهم رويه ها"/>
      <sheetName val="7ادامه"/>
      <sheetName val="5"/>
      <sheetName val="5-3"/>
      <sheetName val="6"/>
      <sheetName val="6-1"/>
      <sheetName val="7"/>
      <sheetName val="8.9.10.11"/>
      <sheetName val="12"/>
      <sheetName val="12 اصلی"/>
      <sheetName val="12-1"/>
      <sheetName val="12-2"/>
      <sheetName val="12-3"/>
      <sheetName val="13-14"/>
      <sheetName val="15"/>
      <sheetName val="15-16"/>
      <sheetName val="17"/>
      <sheetName val="17-1"/>
      <sheetName val="17-2"/>
      <sheetName val="17-3"/>
      <sheetName val="18"/>
      <sheetName val="19-20-21"/>
      <sheetName val="22"/>
      <sheetName val="22-1"/>
      <sheetName val="22-2"/>
      <sheetName val="22-3"/>
      <sheetName val="23-24"/>
      <sheetName val="Sheet1"/>
      <sheetName val="25"/>
      <sheetName val="25-1"/>
      <sheetName val="26-27"/>
      <sheetName val="28-29"/>
      <sheetName val="30"/>
      <sheetName val="30-1"/>
      <sheetName val="31"/>
      <sheetName val="31-32"/>
      <sheetName val="33-34"/>
      <sheetName val="3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A2" t="str">
            <v>یادداشتهای توضیحی صورت های مالی</v>
          </cell>
          <cell r="B2">
            <v>0</v>
          </cell>
          <cell r="C2">
            <v>0</v>
          </cell>
          <cell r="D2">
            <v>0</v>
          </cell>
          <cell r="E2">
            <v>0</v>
          </cell>
          <cell r="F2">
            <v>0</v>
          </cell>
          <cell r="G2">
            <v>0</v>
          </cell>
        </row>
      </sheetData>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rinterSettings" Target="../printerSettings/printerSettings3.bin"/><Relationship Id="rId7" Type="http://schemas.openxmlformats.org/officeDocument/2006/relationships/hyperlink" Target="../AppData/Roaming/Microsoft/Downloads/&#1606;&#1607;&#1575;&#1740;&#1740;&#1740;%20%20&#1589;&#1608;&#1585;&#1578;%20&#1605;&#1575;&#1604;&#1740;%20&#1587;&#1575;&#1604;%201400.xlsx"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hyperlink" Target="../AppData/Roaming/Microsoft/Downloads/&#1606;&#1607;&#1575;&#1740;&#1740;&#1740;%20%20&#1589;&#1608;&#1585;&#1578;%20&#1605;&#1575;&#1604;&#1740;%20&#1587;&#1575;&#1604;%201400.xlsx" TargetMode="External"/><Relationship Id="rId5" Type="http://schemas.openxmlformats.org/officeDocument/2006/relationships/hyperlink" Target="../AppData/Roaming/Microsoft/Downloads/&#1606;&#1607;&#1575;&#1740;&#1740;&#1740;%20%20&#1589;&#1608;&#1585;&#1578;%20&#1605;&#1575;&#1604;&#1740;%20&#1587;&#1575;&#1604;%201400.xlsx" TargetMode="External"/><Relationship Id="rId4" Type="http://schemas.openxmlformats.org/officeDocument/2006/relationships/hyperlink" Target="http://modiriatmali.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printerSettings" Target="../printerSettings/printerSettings8.bin"/><Relationship Id="rId4" Type="http://schemas.openxmlformats.org/officeDocument/2006/relationships/hyperlink" Target="http://modiriatmali.co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printerSettings" Target="../printerSettings/printerSettings16.bin"/><Relationship Id="rId4" Type="http://schemas.openxmlformats.org/officeDocument/2006/relationships/hyperlink" Target="http://modiriatmali.com/"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4.bin"/><Relationship Id="rId4" Type="http://schemas.openxmlformats.org/officeDocument/2006/relationships/hyperlink" Target="http://modiriatmali.com/"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5" Type="http://schemas.openxmlformats.org/officeDocument/2006/relationships/printerSettings" Target="../printerSettings/printerSettings36.bin"/><Relationship Id="rId4" Type="http://schemas.openxmlformats.org/officeDocument/2006/relationships/hyperlink" Target="http://modiriatmali.com/"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5" Type="http://schemas.openxmlformats.org/officeDocument/2006/relationships/printerSettings" Target="../printerSettings/printerSettings40.bin"/><Relationship Id="rId4" Type="http://schemas.openxmlformats.org/officeDocument/2006/relationships/hyperlink" Target="http://modiriatmali.com/"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3.bin"/><Relationship Id="rId7" Type="http://schemas.openxmlformats.org/officeDocument/2006/relationships/comments" Target="../comments1.x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6" Type="http://schemas.openxmlformats.org/officeDocument/2006/relationships/vmlDrawing" Target="../drawings/vmlDrawing1.vml"/><Relationship Id="rId5" Type="http://schemas.openxmlformats.org/officeDocument/2006/relationships/printerSettings" Target="../printerSettings/printerSettings44.bin"/><Relationship Id="rId4" Type="http://schemas.openxmlformats.org/officeDocument/2006/relationships/hyperlink" Target="http://modiriatmali.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modiriatmali.com/"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8.bin"/><Relationship Id="rId7" Type="http://schemas.openxmlformats.org/officeDocument/2006/relationships/comments" Target="../comments2.xml"/><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vmlDrawing" Target="../drawings/vmlDrawing2.vml"/><Relationship Id="rId5" Type="http://schemas.openxmlformats.org/officeDocument/2006/relationships/printerSettings" Target="../printerSettings/printerSettings49.bin"/><Relationship Id="rId4" Type="http://schemas.openxmlformats.org/officeDocument/2006/relationships/hyperlink" Target="http://modiriatmali.com/"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53.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5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6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2.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5.bin"/><Relationship Id="rId7" Type="http://schemas.openxmlformats.org/officeDocument/2006/relationships/comments" Target="../comments7.xml"/><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6" Type="http://schemas.openxmlformats.org/officeDocument/2006/relationships/vmlDrawing" Target="../drawings/vmlDrawing7.vml"/><Relationship Id="rId5" Type="http://schemas.openxmlformats.org/officeDocument/2006/relationships/printerSettings" Target="../printerSettings/printerSettings66.bin"/><Relationship Id="rId4" Type="http://schemas.openxmlformats.org/officeDocument/2006/relationships/hyperlink" Target="http://modiriatmali.com/"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 Id="rId5" Type="http://schemas.openxmlformats.org/officeDocument/2006/relationships/printerSettings" Target="../printerSettings/printerSettings70.bin"/><Relationship Id="rId4" Type="http://schemas.openxmlformats.org/officeDocument/2006/relationships/hyperlink" Target="http://modiriatmali.com/"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4" Type="http://schemas.openxmlformats.org/officeDocument/2006/relationships/printerSettings" Target="../printerSettings/printerSettings74.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7.bin"/><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 Id="rId5" Type="http://schemas.openxmlformats.org/officeDocument/2006/relationships/printerSettings" Target="../printerSettings/printerSettings78.bin"/><Relationship Id="rId4" Type="http://schemas.openxmlformats.org/officeDocument/2006/relationships/hyperlink" Target="http://modiriatmali.com/"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 Id="rId4" Type="http://schemas.openxmlformats.org/officeDocument/2006/relationships/printerSettings" Target="../printerSettings/printerSettings8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5.bin"/><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 Id="rId4" Type="http://schemas.openxmlformats.org/officeDocument/2006/relationships/printerSettings" Target="../printerSettings/printerSettings86.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9.bin"/><Relationship Id="rId7" Type="http://schemas.openxmlformats.org/officeDocument/2006/relationships/comments" Target="../comments8.xml"/><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 Id="rId6" Type="http://schemas.openxmlformats.org/officeDocument/2006/relationships/vmlDrawing" Target="../drawings/vmlDrawing8.vml"/><Relationship Id="rId5" Type="http://schemas.openxmlformats.org/officeDocument/2006/relationships/printerSettings" Target="../printerSettings/printerSettings90.bin"/><Relationship Id="rId4" Type="http://schemas.openxmlformats.org/officeDocument/2006/relationships/hyperlink" Target="http://modiriatmali.com/"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3.bin"/><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 Id="rId5" Type="http://schemas.openxmlformats.org/officeDocument/2006/relationships/printerSettings" Target="../printerSettings/printerSettings94.bin"/><Relationship Id="rId4" Type="http://schemas.openxmlformats.org/officeDocument/2006/relationships/hyperlink" Target="http://modiriatmali.com/"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7.bin"/><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 Id="rId5" Type="http://schemas.openxmlformats.org/officeDocument/2006/relationships/printerSettings" Target="../printerSettings/printerSettings98.bin"/><Relationship Id="rId4" Type="http://schemas.openxmlformats.org/officeDocument/2006/relationships/hyperlink" Target="http://modiriatmali.com/"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1.bin"/><Relationship Id="rId7" Type="http://schemas.openxmlformats.org/officeDocument/2006/relationships/comments" Target="../comments9.xml"/><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 Id="rId6" Type="http://schemas.openxmlformats.org/officeDocument/2006/relationships/vmlDrawing" Target="../drawings/vmlDrawing9.vml"/><Relationship Id="rId5" Type="http://schemas.openxmlformats.org/officeDocument/2006/relationships/printerSettings" Target="../printerSettings/printerSettings102.bin"/><Relationship Id="rId4" Type="http://schemas.openxmlformats.org/officeDocument/2006/relationships/hyperlink" Target="http://modiriatmali.com/"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5.bin"/><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5" Type="http://schemas.openxmlformats.org/officeDocument/2006/relationships/printerSettings" Target="../printerSettings/printerSettings106.bin"/><Relationship Id="rId4" Type="http://schemas.openxmlformats.org/officeDocument/2006/relationships/hyperlink" Target="http://modiriatmali.com/"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9.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5" Type="http://schemas.openxmlformats.org/officeDocument/2006/relationships/printerSettings" Target="../printerSettings/printerSettings110.bin"/><Relationship Id="rId4" Type="http://schemas.openxmlformats.org/officeDocument/2006/relationships/hyperlink" Target="http://modiriatmali.com/"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3.bin"/><Relationship Id="rId7" Type="http://schemas.openxmlformats.org/officeDocument/2006/relationships/comments" Target="../comments10.xm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vmlDrawing" Target="../drawings/vmlDrawing10.vml"/><Relationship Id="rId5" Type="http://schemas.openxmlformats.org/officeDocument/2006/relationships/printerSettings" Target="../printerSettings/printerSettings114.bin"/><Relationship Id="rId4" Type="http://schemas.openxmlformats.org/officeDocument/2006/relationships/hyperlink" Target="http://modiriatmali.com/"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5" Type="http://schemas.openxmlformats.org/officeDocument/2006/relationships/printerSettings" Target="../printerSettings/printerSettings118.bin"/><Relationship Id="rId4" Type="http://schemas.openxmlformats.org/officeDocument/2006/relationships/hyperlink" Target="http://modiriatmali.com/"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21.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 Id="rId5" Type="http://schemas.openxmlformats.org/officeDocument/2006/relationships/printerSettings" Target="../printerSettings/printerSettings122.bin"/><Relationship Id="rId4" Type="http://schemas.openxmlformats.org/officeDocument/2006/relationships/hyperlink" Target="http://modiriatmali.com/"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 Id="rId5" Type="http://schemas.openxmlformats.org/officeDocument/2006/relationships/printerSettings" Target="../printerSettings/printerSettings126.bin"/><Relationship Id="rId4" Type="http://schemas.openxmlformats.org/officeDocument/2006/relationships/hyperlink" Target="http://modiriatmali.com/"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29.bin"/><Relationship Id="rId7" Type="http://schemas.openxmlformats.org/officeDocument/2006/relationships/comments" Target="../comments11.xml"/><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 Id="rId6" Type="http://schemas.openxmlformats.org/officeDocument/2006/relationships/vmlDrawing" Target="../drawings/vmlDrawing11.vml"/><Relationship Id="rId5" Type="http://schemas.openxmlformats.org/officeDocument/2006/relationships/printerSettings" Target="../printerSettings/printerSettings130.bin"/><Relationship Id="rId4" Type="http://schemas.openxmlformats.org/officeDocument/2006/relationships/hyperlink" Target="http://modiriatmali.com/"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33.bin"/><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printerSettings" Target="../printerSettings/printerSettings134.bin"/></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137.bin"/><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 Id="rId4" Type="http://schemas.openxmlformats.org/officeDocument/2006/relationships/printerSettings" Target="../printerSettings/printerSettings138.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41.bin"/><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 Id="rId4" Type="http://schemas.openxmlformats.org/officeDocument/2006/relationships/printerSettings" Target="../printerSettings/printerSettings142.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45.bin"/><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 Id="rId5" Type="http://schemas.openxmlformats.org/officeDocument/2006/relationships/printerSettings" Target="../printerSettings/printerSettings146.bin"/><Relationship Id="rId4" Type="http://schemas.openxmlformats.org/officeDocument/2006/relationships/hyperlink" Target="http://modiriatmali.com/"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49.bin"/><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 Id="rId5" Type="http://schemas.openxmlformats.org/officeDocument/2006/relationships/printerSettings" Target="../printerSettings/printerSettings150.bin"/><Relationship Id="rId4" Type="http://schemas.openxmlformats.org/officeDocument/2006/relationships/hyperlink" Target="http://modiriatmali.com/"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54.bin"/><Relationship Id="rId2" Type="http://schemas.openxmlformats.org/officeDocument/2006/relationships/printerSettings" Target="../printerSettings/printerSettings153.bin"/><Relationship Id="rId1" Type="http://schemas.openxmlformats.org/officeDocument/2006/relationships/printerSettings" Target="../printerSettings/printerSettings152.bin"/><Relationship Id="rId5" Type="http://schemas.openxmlformats.org/officeDocument/2006/relationships/printerSettings" Target="../printerSettings/printerSettings155.bin"/><Relationship Id="rId4" Type="http://schemas.openxmlformats.org/officeDocument/2006/relationships/hyperlink" Target="http://modiriatmali.com/"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hyperlink" Target="http://modiriatmali.com/"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59.bin"/><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 Id="rId4" Type="http://schemas.openxmlformats.org/officeDocument/2006/relationships/printerSettings" Target="../printerSettings/printerSettings160.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63.bin"/><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 Id="rId4" Type="http://schemas.openxmlformats.org/officeDocument/2006/relationships/printerSettings" Target="../printerSettings/printerSettings1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N33"/>
  <sheetViews>
    <sheetView rightToLeft="1" view="pageBreakPreview" zoomScale="80" zoomScaleNormal="100" zoomScaleSheetLayoutView="80" workbookViewId="0">
      <selection activeCell="W3" sqref="W3"/>
    </sheetView>
  </sheetViews>
  <sheetFormatPr defaultColWidth="9" defaultRowHeight="30" customHeight="1" x14ac:dyDescent="0.25"/>
  <cols>
    <col min="1" max="1" width="2.140625" style="462" customWidth="1"/>
    <col min="2" max="2" width="5.7109375" style="462" customWidth="1"/>
    <col min="3" max="3" width="18.7109375" style="462" customWidth="1"/>
    <col min="4" max="4" width="4" style="462" customWidth="1"/>
    <col min="5" max="5" width="0.5703125" style="462" customWidth="1"/>
    <col min="6" max="6" width="11.5703125" style="462" customWidth="1"/>
    <col min="7" max="7" width="0.42578125" style="462" customWidth="1"/>
    <col min="8" max="9" width="11.5703125" style="462" customWidth="1"/>
    <col min="10" max="10" width="0.42578125" style="462" customWidth="1"/>
    <col min="11" max="13" width="9" style="462"/>
    <col min="14" max="14" width="10.140625" style="462" customWidth="1"/>
    <col min="15" max="16384" width="9" style="462"/>
  </cols>
  <sheetData>
    <row r="1" spans="1:14" ht="30" customHeight="1" x14ac:dyDescent="0.25">
      <c r="A1" s="1344" t="s">
        <v>244</v>
      </c>
      <c r="B1" s="1344"/>
      <c r="C1" s="1344"/>
      <c r="D1" s="1344"/>
      <c r="E1" s="1344"/>
      <c r="F1" s="1344"/>
      <c r="G1" s="1344"/>
      <c r="H1" s="1344"/>
      <c r="I1" s="1344"/>
      <c r="J1" s="1344"/>
      <c r="K1" s="1344"/>
      <c r="L1" s="1344"/>
      <c r="M1" s="1344"/>
      <c r="N1" s="1344"/>
    </row>
    <row r="2" spans="1:14" ht="30" customHeight="1" x14ac:dyDescent="0.25">
      <c r="A2" s="1344" t="s">
        <v>241</v>
      </c>
      <c r="B2" s="1344"/>
      <c r="C2" s="1344"/>
      <c r="D2" s="1344"/>
      <c r="E2" s="1344"/>
      <c r="F2" s="1344"/>
      <c r="G2" s="1344"/>
      <c r="H2" s="1344"/>
      <c r="I2" s="1344"/>
      <c r="J2" s="1344"/>
      <c r="K2" s="1344"/>
      <c r="L2" s="1344"/>
      <c r="M2" s="1344"/>
      <c r="N2" s="1344"/>
    </row>
    <row r="3" spans="1:14" ht="30" customHeight="1" x14ac:dyDescent="0.25">
      <c r="A3" s="1344" t="s">
        <v>1089</v>
      </c>
      <c r="B3" s="1344"/>
      <c r="C3" s="1344"/>
      <c r="D3" s="1344"/>
      <c r="E3" s="1344"/>
      <c r="F3" s="1344"/>
      <c r="G3" s="1344"/>
      <c r="H3" s="1344"/>
      <c r="I3" s="1344"/>
      <c r="J3" s="1344"/>
      <c r="K3" s="1344"/>
      <c r="L3" s="1344"/>
      <c r="M3" s="1344"/>
      <c r="N3" s="1344"/>
    </row>
    <row r="4" spans="1:14" ht="21.75" customHeight="1" x14ac:dyDescent="0.25">
      <c r="A4" s="946"/>
      <c r="B4" s="946"/>
      <c r="C4" s="946"/>
      <c r="D4" s="946"/>
      <c r="E4" s="946"/>
      <c r="F4" s="946"/>
      <c r="G4" s="946"/>
      <c r="H4" s="946"/>
      <c r="I4" s="946"/>
      <c r="J4" s="946"/>
      <c r="K4" s="946"/>
      <c r="L4" s="946"/>
      <c r="M4" s="946"/>
      <c r="N4" s="946"/>
    </row>
    <row r="5" spans="1:14" ht="1.5" customHeight="1" x14ac:dyDescent="0.25">
      <c r="A5" s="946"/>
      <c r="B5" s="946"/>
      <c r="C5" s="946"/>
      <c r="D5" s="946"/>
      <c r="E5" s="946"/>
      <c r="F5" s="946"/>
      <c r="G5" s="946"/>
      <c r="H5" s="946"/>
      <c r="I5" s="946"/>
      <c r="J5" s="946"/>
      <c r="K5" s="946"/>
      <c r="L5" s="946"/>
      <c r="M5" s="946"/>
      <c r="N5" s="946"/>
    </row>
    <row r="7" spans="1:14" ht="30" customHeight="1" x14ac:dyDescent="0.25">
      <c r="A7" s="1345" t="s">
        <v>711</v>
      </c>
      <c r="B7" s="1345"/>
      <c r="C7" s="1345"/>
      <c r="D7" s="1345"/>
      <c r="E7" s="1345"/>
      <c r="F7" s="1345"/>
      <c r="G7" s="1345"/>
      <c r="H7" s="1345"/>
      <c r="I7" s="1345"/>
      <c r="J7" s="1345"/>
      <c r="K7" s="1345"/>
      <c r="L7" s="1345"/>
      <c r="M7" s="1345"/>
      <c r="N7" s="1345"/>
    </row>
    <row r="8" spans="1:14" ht="30" customHeight="1" x14ac:dyDescent="0.25">
      <c r="A8" s="1346" t="s">
        <v>0</v>
      </c>
      <c r="B8" s="1346"/>
      <c r="C8" s="1346"/>
      <c r="D8" s="1346"/>
      <c r="E8" s="1346"/>
      <c r="F8" s="1346"/>
      <c r="G8" s="1346"/>
      <c r="H8" s="1346"/>
      <c r="I8" s="1346"/>
      <c r="J8" s="1346"/>
      <c r="K8" s="1346"/>
      <c r="L8" s="1346"/>
      <c r="M8" s="1346"/>
      <c r="N8" s="1346"/>
    </row>
    <row r="9" spans="1:14" ht="30" customHeight="1" x14ac:dyDescent="0.25">
      <c r="A9" s="1343" t="s">
        <v>1291</v>
      </c>
      <c r="B9" s="1343"/>
      <c r="C9" s="1343"/>
      <c r="D9" s="1343"/>
      <c r="E9" s="1343"/>
      <c r="F9" s="1343"/>
      <c r="G9" s="1343"/>
      <c r="H9" s="1343"/>
      <c r="I9" s="1343"/>
      <c r="J9" s="1343"/>
      <c r="K9" s="1343"/>
      <c r="L9" s="1343"/>
      <c r="M9" s="1343"/>
      <c r="N9" s="1343"/>
    </row>
    <row r="10" spans="1:14" ht="30" customHeight="1" x14ac:dyDescent="0.25">
      <c r="A10" s="1343"/>
      <c r="B10" s="1343"/>
      <c r="C10" s="1343"/>
      <c r="D10" s="1343"/>
      <c r="E10" s="1343"/>
      <c r="F10" s="1343"/>
      <c r="G10" s="1343"/>
      <c r="H10" s="1343"/>
      <c r="I10" s="1343"/>
      <c r="J10" s="1343"/>
      <c r="K10" s="1343"/>
      <c r="L10" s="1343"/>
      <c r="M10" s="1343"/>
      <c r="N10" s="1343"/>
    </row>
    <row r="12" spans="1:14" ht="30" customHeight="1" x14ac:dyDescent="0.25">
      <c r="L12" s="1342" t="s">
        <v>6</v>
      </c>
      <c r="M12" s="1342"/>
      <c r="N12" s="1342"/>
    </row>
    <row r="13" spans="1:14" ht="30" customHeight="1" x14ac:dyDescent="0.6">
      <c r="A13" s="947" t="s">
        <v>5</v>
      </c>
      <c r="B13" s="1347" t="s">
        <v>1</v>
      </c>
      <c r="C13" s="1347"/>
      <c r="D13" s="1347"/>
      <c r="E13" s="1347"/>
      <c r="L13" s="1348">
        <v>2</v>
      </c>
      <c r="M13" s="1348"/>
      <c r="N13" s="1348"/>
    </row>
    <row r="14" spans="1:14" ht="30" customHeight="1" x14ac:dyDescent="0.6">
      <c r="A14" s="947" t="s">
        <v>5</v>
      </c>
      <c r="B14" s="1347" t="s">
        <v>2</v>
      </c>
      <c r="C14" s="1347"/>
      <c r="D14" s="1347"/>
      <c r="E14" s="1347"/>
      <c r="L14" s="1349" t="s">
        <v>423</v>
      </c>
      <c r="M14" s="1349"/>
      <c r="N14" s="1349"/>
    </row>
    <row r="15" spans="1:14" ht="30" customHeight="1" x14ac:dyDescent="0.6">
      <c r="A15" s="947" t="s">
        <v>5</v>
      </c>
      <c r="B15" s="948" t="s">
        <v>3</v>
      </c>
      <c r="C15" s="948"/>
      <c r="D15" s="948"/>
      <c r="E15" s="948"/>
      <c r="L15" s="1349" t="s">
        <v>424</v>
      </c>
      <c r="M15" s="1349"/>
      <c r="N15" s="1349"/>
    </row>
    <row r="16" spans="1:14" ht="30" customHeight="1" x14ac:dyDescent="0.6">
      <c r="A16" s="947" t="s">
        <v>5</v>
      </c>
      <c r="B16" s="1347" t="s">
        <v>4</v>
      </c>
      <c r="C16" s="1347"/>
      <c r="D16" s="1347"/>
      <c r="E16" s="1347"/>
      <c r="L16" s="1349" t="s">
        <v>425</v>
      </c>
      <c r="M16" s="1349"/>
      <c r="N16" s="1349"/>
    </row>
    <row r="17" spans="1:14" ht="30" customHeight="1" x14ac:dyDescent="0.6">
      <c r="A17" s="947" t="s">
        <v>5</v>
      </c>
      <c r="B17" s="1347" t="s">
        <v>715</v>
      </c>
      <c r="C17" s="1347"/>
      <c r="D17" s="1347"/>
      <c r="E17" s="1347"/>
      <c r="L17" s="1349" t="s">
        <v>1022</v>
      </c>
      <c r="M17" s="1349"/>
      <c r="N17" s="1349"/>
    </row>
    <row r="18" spans="1:14" ht="18" customHeight="1" x14ac:dyDescent="0.25"/>
    <row r="19" spans="1:14" ht="30" customHeight="1" x14ac:dyDescent="0.25">
      <c r="A19" s="1343" t="s">
        <v>1307</v>
      </c>
      <c r="B19" s="1343"/>
      <c r="C19" s="1343"/>
      <c r="D19" s="1343"/>
      <c r="E19" s="1343"/>
      <c r="F19" s="1343"/>
      <c r="G19" s="1343"/>
      <c r="H19" s="1343"/>
      <c r="I19" s="1343"/>
      <c r="J19" s="1343"/>
      <c r="K19" s="1343"/>
      <c r="L19" s="1343"/>
      <c r="M19" s="1343"/>
      <c r="N19" s="1343"/>
    </row>
    <row r="20" spans="1:14" ht="30" customHeight="1" x14ac:dyDescent="0.25">
      <c r="A20" s="1343"/>
      <c r="B20" s="1343"/>
      <c r="C20" s="1343"/>
      <c r="D20" s="1343"/>
      <c r="E20" s="1343"/>
      <c r="F20" s="1343"/>
      <c r="G20" s="1343"/>
      <c r="H20" s="1343"/>
      <c r="I20" s="1343"/>
      <c r="J20" s="1343"/>
      <c r="K20" s="1343"/>
      <c r="L20" s="1343"/>
      <c r="M20" s="1343"/>
      <c r="N20" s="1343"/>
    </row>
    <row r="21" spans="1:14" ht="7.5" customHeight="1" x14ac:dyDescent="0.25">
      <c r="A21" s="948"/>
      <c r="B21" s="948"/>
      <c r="C21" s="948"/>
      <c r="D21" s="948"/>
      <c r="E21" s="948"/>
      <c r="F21" s="948"/>
      <c r="G21" s="948"/>
      <c r="H21" s="948"/>
      <c r="I21" s="948"/>
      <c r="J21" s="948"/>
      <c r="K21" s="948"/>
      <c r="L21" s="948"/>
      <c r="M21" s="948"/>
      <c r="N21" s="948"/>
    </row>
    <row r="22" spans="1:14" ht="30" customHeight="1" x14ac:dyDescent="0.25">
      <c r="A22" s="1351" t="s">
        <v>1043</v>
      </c>
      <c r="B22" s="1351"/>
      <c r="C22" s="1351"/>
      <c r="D22" s="1351"/>
      <c r="E22" s="942"/>
      <c r="F22" s="1350" t="s">
        <v>7</v>
      </c>
      <c r="G22" s="1350"/>
      <c r="H22" s="1350"/>
      <c r="I22" s="1350"/>
      <c r="K22" s="1350" t="s">
        <v>8</v>
      </c>
      <c r="L22" s="1350"/>
      <c r="M22" s="1350"/>
      <c r="N22" s="1350"/>
    </row>
    <row r="23" spans="1:14" ht="18" customHeight="1" x14ac:dyDescent="0.25">
      <c r="A23" s="999"/>
      <c r="B23" s="999"/>
      <c r="C23" s="999"/>
      <c r="D23" s="942"/>
      <c r="E23" s="942"/>
      <c r="F23" s="942"/>
      <c r="G23" s="942"/>
      <c r="H23" s="942"/>
      <c r="I23" s="942"/>
      <c r="J23" s="942"/>
      <c r="K23" s="942"/>
      <c r="L23" s="942"/>
    </row>
    <row r="24" spans="1:14" ht="45.75" customHeight="1" x14ac:dyDescent="0.25">
      <c r="A24" s="1352" t="s">
        <v>245</v>
      </c>
      <c r="B24" s="1352"/>
      <c r="C24" s="1352"/>
      <c r="D24" s="1352"/>
      <c r="F24" s="1352" t="s">
        <v>1198</v>
      </c>
      <c r="G24" s="1352"/>
      <c r="H24" s="1352"/>
      <c r="I24" s="1352"/>
      <c r="J24"/>
      <c r="K24" s="949"/>
    </row>
    <row r="25" spans="1:14" s="1169" customFormat="1" ht="45.75" customHeight="1" x14ac:dyDescent="0.25">
      <c r="A25" s="1168"/>
      <c r="B25" s="1168"/>
      <c r="C25" s="1168"/>
      <c r="D25" s="1168"/>
      <c r="F25" s="1168"/>
      <c r="G25" s="1168"/>
      <c r="H25" s="1168"/>
      <c r="I25" s="1168"/>
      <c r="J25"/>
      <c r="K25" s="1168"/>
    </row>
    <row r="26" spans="1:14" ht="45.75" customHeight="1" x14ac:dyDescent="0.25">
      <c r="A26" s="1352" t="s">
        <v>246</v>
      </c>
      <c r="B26" s="1352"/>
      <c r="C26" s="1352"/>
      <c r="D26" s="1352"/>
      <c r="F26" s="1352" t="s">
        <v>1023</v>
      </c>
      <c r="G26" s="1352"/>
      <c r="H26" s="1352"/>
      <c r="I26" s="1352"/>
      <c r="K26" s="949"/>
    </row>
    <row r="27" spans="1:14" ht="59.25" customHeight="1" x14ac:dyDescent="0.25">
      <c r="A27" s="949"/>
      <c r="B27" s="949"/>
      <c r="C27" s="949"/>
      <c r="D27" s="949"/>
      <c r="F27" s="949"/>
      <c r="G27" s="949"/>
      <c r="H27" s="949"/>
      <c r="K27" s="949"/>
    </row>
    <row r="28" spans="1:14" ht="45.75" customHeight="1" x14ac:dyDescent="0.25">
      <c r="A28" s="1352" t="s">
        <v>1199</v>
      </c>
      <c r="B28" s="1352"/>
      <c r="C28" s="1352"/>
      <c r="D28" s="1352"/>
      <c r="F28" s="1352" t="s">
        <v>1200</v>
      </c>
      <c r="G28" s="1352"/>
      <c r="H28" s="1352"/>
      <c r="I28" s="1352"/>
      <c r="K28" s="949"/>
    </row>
    <row r="29" spans="1:14" ht="59.25" customHeight="1" x14ac:dyDescent="0.25">
      <c r="A29" s="980"/>
      <c r="B29" s="980"/>
      <c r="C29" s="980"/>
      <c r="D29" s="949"/>
      <c r="F29" s="949"/>
      <c r="G29" s="949"/>
      <c r="H29" s="949"/>
      <c r="K29" s="949"/>
    </row>
    <row r="30" spans="1:14" ht="30" customHeight="1" x14ac:dyDescent="0.25">
      <c r="A30" s="949"/>
      <c r="B30" s="949"/>
      <c r="C30" s="949"/>
      <c r="D30" s="949"/>
      <c r="E30" s="949"/>
      <c r="F30" s="949"/>
      <c r="G30" s="949"/>
      <c r="H30" s="949"/>
      <c r="K30" s="949"/>
    </row>
    <row r="31" spans="1:14" ht="75.75" customHeight="1" x14ac:dyDescent="0.25">
      <c r="A31" s="949"/>
      <c r="B31" s="949"/>
      <c r="C31" s="949"/>
      <c r="D31" s="949"/>
      <c r="E31" s="949"/>
      <c r="F31" s="949"/>
      <c r="G31" s="949"/>
      <c r="H31" s="949"/>
      <c r="K31" s="949"/>
    </row>
    <row r="32" spans="1:14" ht="30" customHeight="1" x14ac:dyDescent="0.25">
      <c r="A32" s="949"/>
      <c r="B32" s="949"/>
      <c r="C32" s="949"/>
      <c r="D32" s="949"/>
      <c r="E32" s="949"/>
      <c r="F32" s="949"/>
      <c r="G32" s="949"/>
      <c r="H32" s="949"/>
      <c r="K32" s="949"/>
    </row>
    <row r="33" spans="1:14" ht="30" customHeight="1" x14ac:dyDescent="0.25">
      <c r="A33" s="1341">
        <v>1</v>
      </c>
      <c r="B33" s="1341"/>
      <c r="C33" s="1341"/>
      <c r="D33" s="1341"/>
      <c r="E33" s="1341"/>
      <c r="F33" s="1341"/>
      <c r="G33" s="1341"/>
      <c r="H33" s="1341"/>
      <c r="I33" s="1341"/>
      <c r="J33" s="1341"/>
      <c r="K33" s="1341"/>
      <c r="L33" s="1341"/>
      <c r="M33" s="1341"/>
      <c r="N33" s="1341"/>
    </row>
  </sheetData>
  <customSheetViews>
    <customSheetView guid="{39716EAB-185B-4ADF-90CF-1B1041867F58}" scale="70" showPageBreaks="1" printArea="1" view="pageBreakPreview">
      <selection activeCell="A3" sqref="A3:N3"/>
      <pageMargins left="0.39370078740157483" right="0.78740157480314965" top="0.39370078740157483" bottom="0.39370078740157483" header="0.31496062992125984" footer="0.31496062992125984"/>
      <pageSetup paperSize="5" scale="70" orientation="portrait" useFirstPageNumber="1" r:id="rId1"/>
    </customSheetView>
    <customSheetView guid="{5CB8382F-C212-4512-9396-17792C62978E}" scale="70" showPageBreaks="1" printArea="1" view="pageBreakPreview">
      <selection activeCell="A3" sqref="A3:N3"/>
      <pageMargins left="0.39370078740157483" right="0.78740157480314965" top="0.39370078740157483" bottom="0.39370078740157483" header="0.31496062992125984" footer="0.31496062992125984"/>
      <pageSetup paperSize="5" scale="70" orientation="portrait" useFirstPageNumber="1" r:id="rId2"/>
    </customSheetView>
    <customSheetView guid="{184BCED3-EADB-44CF-BFDA-DA8D3E7206C0}" scale="70" showPageBreaks="1" printArea="1" view="pageBreakPreview">
      <selection activeCell="A3" sqref="A3:N3"/>
      <pageMargins left="0.39370078740157483" right="0.78740157480314965" top="0.39370078740157483" bottom="0.39370078740157483" header="0.31496062992125984" footer="0.31496062992125984"/>
      <pageSetup paperSize="5" scale="70" orientation="portrait" useFirstPageNumber="1" r:id="rId3"/>
    </customSheetView>
  </customSheetViews>
  <mergeCells count="27">
    <mergeCell ref="F24:I24"/>
    <mergeCell ref="F28:I28"/>
    <mergeCell ref="F26:I26"/>
    <mergeCell ref="A26:D26"/>
    <mergeCell ref="A28:D28"/>
    <mergeCell ref="A24:D24"/>
    <mergeCell ref="A22:D22"/>
    <mergeCell ref="A19:N20"/>
    <mergeCell ref="B17:E17"/>
    <mergeCell ref="L17:N17"/>
    <mergeCell ref="K22:N22"/>
    <mergeCell ref="A33:N33"/>
    <mergeCell ref="L12:N12"/>
    <mergeCell ref="A9:N10"/>
    <mergeCell ref="A1:N1"/>
    <mergeCell ref="A2:N2"/>
    <mergeCell ref="A3:N3"/>
    <mergeCell ref="A7:N7"/>
    <mergeCell ref="A8:N8"/>
    <mergeCell ref="B13:E13"/>
    <mergeCell ref="B14:E14"/>
    <mergeCell ref="L13:N13"/>
    <mergeCell ref="L14:N14"/>
    <mergeCell ref="L15:N15"/>
    <mergeCell ref="B16:E16"/>
    <mergeCell ref="L16:N16"/>
    <mergeCell ref="F22:I22"/>
  </mergeCells>
  <hyperlinks>
    <hyperlink ref="A1:N3" r:id="rId4" display="http://modiriatmali.com/" xr:uid="{00000000-0004-0000-0000-000000000000}"/>
    <hyperlink ref="A3:N3" r:id="rId5" display="سال منتهی به 29 اسفند1400" xr:uid="{00000000-0004-0000-0000-000001000000}"/>
    <hyperlink ref="A2:N2" r:id="rId6" display="صورتهاي مالي" xr:uid="{00000000-0004-0000-0000-000002000000}"/>
    <hyperlink ref="A1:N1" r:id="rId7" display="شرکت داروسازی خوارزمی (سهامی خاص)" xr:uid="{00000000-0004-0000-0000-000003000000}"/>
  </hyperlinks>
  <printOptions horizontalCentered="1"/>
  <pageMargins left="0.39370078740157483" right="0.39370078740157483" top="0.39370078740157483" bottom="0.39370078740157483" header="0.31496062992125984" footer="0.31496062992125984"/>
  <pageSetup paperSize="5" scale="85" orientation="portrait" useFirstPageNumber="1"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XFC40"/>
  <sheetViews>
    <sheetView rightToLeft="1" view="pageBreakPreview" zoomScale="106" zoomScaleNormal="100" zoomScaleSheetLayoutView="106" workbookViewId="0">
      <selection activeCell="F9" sqref="F9"/>
    </sheetView>
  </sheetViews>
  <sheetFormatPr defaultRowHeight="18" x14ac:dyDescent="0.45"/>
  <cols>
    <col min="1" max="1" width="2.140625" style="718" customWidth="1"/>
    <col min="2" max="2" width="36.140625" style="718" customWidth="1"/>
    <col min="3" max="3" width="1.28515625" style="718" customWidth="1"/>
    <col min="4" max="4" width="7.5703125" style="718" customWidth="1"/>
    <col min="5" max="5" width="1.28515625" style="718" customWidth="1"/>
    <col min="6" max="6" width="22.85546875" style="345" bestFit="1" customWidth="1"/>
    <col min="7" max="7" width="1.28515625" style="719" customWidth="1"/>
    <col min="8" max="8" width="22.7109375" style="345" bestFit="1" customWidth="1"/>
    <col min="9" max="9" width="1.28515625" style="345" customWidth="1"/>
    <col min="10" max="10" width="23.42578125" style="720" bestFit="1" customWidth="1"/>
    <col min="11" max="11" width="20" style="718" bestFit="1" customWidth="1"/>
    <col min="12" max="12" width="25.28515625" style="718" bestFit="1" customWidth="1"/>
    <col min="13" max="13" width="20.7109375" style="718" bestFit="1" customWidth="1"/>
    <col min="14" max="14" width="11.85546875" style="718" bestFit="1" customWidth="1"/>
    <col min="15" max="252" width="9" style="718"/>
    <col min="253" max="253" width="2.140625" style="718" customWidth="1"/>
    <col min="254" max="254" width="36.140625" style="718" customWidth="1"/>
    <col min="255" max="255" width="1.140625" style="718" customWidth="1"/>
    <col min="256" max="256" width="5.7109375" style="718" customWidth="1"/>
    <col min="257" max="257" width="2.140625" style="718" customWidth="1"/>
    <col min="258" max="258" width="14" style="718" customWidth="1"/>
    <col min="259" max="259" width="1.7109375" style="718" customWidth="1"/>
    <col min="260" max="260" width="14" style="718" customWidth="1"/>
    <col min="261" max="261" width="10.42578125" style="718" customWidth="1"/>
    <col min="262" max="262" width="14.5703125" style="718" customWidth="1"/>
    <col min="263" max="263" width="0.7109375" style="718" customWidth="1"/>
    <col min="264" max="264" width="6.85546875" style="718" customWidth="1"/>
    <col min="265" max="265" width="11.42578125" style="718" customWidth="1"/>
    <col min="266" max="266" width="10.5703125" style="718" bestFit="1" customWidth="1"/>
    <col min="267" max="267" width="9" style="718"/>
    <col min="268" max="268" width="9.85546875" style="718" bestFit="1" customWidth="1"/>
    <col min="269" max="269" width="15.85546875" style="718" bestFit="1" customWidth="1"/>
    <col min="270" max="508" width="9" style="718"/>
    <col min="509" max="509" width="2.140625" style="718" customWidth="1"/>
    <col min="510" max="510" width="36.140625" style="718" customWidth="1"/>
    <col min="511" max="511" width="1.140625" style="718" customWidth="1"/>
    <col min="512" max="512" width="5.7109375" style="718" customWidth="1"/>
    <col min="513" max="513" width="2.140625" style="718" customWidth="1"/>
    <col min="514" max="514" width="14" style="718" customWidth="1"/>
    <col min="515" max="515" width="1.7109375" style="718" customWidth="1"/>
    <col min="516" max="516" width="14" style="718" customWidth="1"/>
    <col min="517" max="517" width="10.42578125" style="718" customWidth="1"/>
    <col min="518" max="518" width="14.5703125" style="718" customWidth="1"/>
    <col min="519" max="519" width="0.7109375" style="718" customWidth="1"/>
    <col min="520" max="520" width="6.85546875" style="718" customWidth="1"/>
    <col min="521" max="521" width="11.42578125" style="718" customWidth="1"/>
    <col min="522" max="522" width="10.5703125" style="718" bestFit="1" customWidth="1"/>
    <col min="523" max="523" width="9" style="718"/>
    <col min="524" max="524" width="9.85546875" style="718" bestFit="1" customWidth="1"/>
    <col min="525" max="525" width="15.85546875" style="718" bestFit="1" customWidth="1"/>
    <col min="526" max="764" width="9" style="718"/>
    <col min="765" max="765" width="2.140625" style="718" customWidth="1"/>
    <col min="766" max="766" width="36.140625" style="718" customWidth="1"/>
    <col min="767" max="767" width="1.140625" style="718" customWidth="1"/>
    <col min="768" max="768" width="5.7109375" style="718" customWidth="1"/>
    <col min="769" max="769" width="2.140625" style="718" customWidth="1"/>
    <col min="770" max="770" width="14" style="718" customWidth="1"/>
    <col min="771" max="771" width="1.7109375" style="718" customWidth="1"/>
    <col min="772" max="772" width="14" style="718" customWidth="1"/>
    <col min="773" max="773" width="10.42578125" style="718" customWidth="1"/>
    <col min="774" max="774" width="14.5703125" style="718" customWidth="1"/>
    <col min="775" max="775" width="0.7109375" style="718" customWidth="1"/>
    <col min="776" max="776" width="6.85546875" style="718" customWidth="1"/>
    <col min="777" max="777" width="11.42578125" style="718" customWidth="1"/>
    <col min="778" max="778" width="10.5703125" style="718" bestFit="1" customWidth="1"/>
    <col min="779" max="779" width="9" style="718"/>
    <col min="780" max="780" width="9.85546875" style="718" bestFit="1" customWidth="1"/>
    <col min="781" max="781" width="15.85546875" style="718" bestFit="1" customWidth="1"/>
    <col min="782" max="1020" width="9" style="718"/>
    <col min="1021" max="1021" width="2.140625" style="718" customWidth="1"/>
    <col min="1022" max="1022" width="36.140625" style="718" customWidth="1"/>
    <col min="1023" max="1023" width="1.140625" style="718" customWidth="1"/>
    <col min="1024" max="1024" width="5.7109375" style="718" customWidth="1"/>
    <col min="1025" max="1025" width="2.140625" style="718" customWidth="1"/>
    <col min="1026" max="1026" width="14" style="718" customWidth="1"/>
    <col min="1027" max="1027" width="1.7109375" style="718" customWidth="1"/>
    <col min="1028" max="1028" width="14" style="718" customWidth="1"/>
    <col min="1029" max="1029" width="10.42578125" style="718" customWidth="1"/>
    <col min="1030" max="1030" width="14.5703125" style="718" customWidth="1"/>
    <col min="1031" max="1031" width="0.7109375" style="718" customWidth="1"/>
    <col min="1032" max="1032" width="6.85546875" style="718" customWidth="1"/>
    <col min="1033" max="1033" width="11.42578125" style="718" customWidth="1"/>
    <col min="1034" max="1034" width="10.5703125" style="718" bestFit="1" customWidth="1"/>
    <col min="1035" max="1035" width="9" style="718"/>
    <col min="1036" max="1036" width="9.85546875" style="718" bestFit="1" customWidth="1"/>
    <col min="1037" max="1037" width="15.85546875" style="718" bestFit="1" customWidth="1"/>
    <col min="1038" max="1276" width="9" style="718"/>
    <col min="1277" max="1277" width="2.140625" style="718" customWidth="1"/>
    <col min="1278" max="1278" width="36.140625" style="718" customWidth="1"/>
    <col min="1279" max="1279" width="1.140625" style="718" customWidth="1"/>
    <col min="1280" max="1280" width="5.7109375" style="718" customWidth="1"/>
    <col min="1281" max="1281" width="2.140625" style="718" customWidth="1"/>
    <col min="1282" max="1282" width="14" style="718" customWidth="1"/>
    <col min="1283" max="1283" width="1.7109375" style="718" customWidth="1"/>
    <col min="1284" max="1284" width="14" style="718" customWidth="1"/>
    <col min="1285" max="1285" width="10.42578125" style="718" customWidth="1"/>
    <col min="1286" max="1286" width="14.5703125" style="718" customWidth="1"/>
    <col min="1287" max="1287" width="0.7109375" style="718" customWidth="1"/>
    <col min="1288" max="1288" width="6.85546875" style="718" customWidth="1"/>
    <col min="1289" max="1289" width="11.42578125" style="718" customWidth="1"/>
    <col min="1290" max="1290" width="10.5703125" style="718" bestFit="1" customWidth="1"/>
    <col min="1291" max="1291" width="9" style="718"/>
    <col min="1292" max="1292" width="9.85546875" style="718" bestFit="1" customWidth="1"/>
    <col min="1293" max="1293" width="15.85546875" style="718" bestFit="1" customWidth="1"/>
    <col min="1294" max="1532" width="9" style="718"/>
    <col min="1533" max="1533" width="2.140625" style="718" customWidth="1"/>
    <col min="1534" max="1534" width="36.140625" style="718" customWidth="1"/>
    <col min="1535" max="1535" width="1.140625" style="718" customWidth="1"/>
    <col min="1536" max="1536" width="5.7109375" style="718" customWidth="1"/>
    <col min="1537" max="1537" width="2.140625" style="718" customWidth="1"/>
    <col min="1538" max="1538" width="14" style="718" customWidth="1"/>
    <col min="1539" max="1539" width="1.7109375" style="718" customWidth="1"/>
    <col min="1540" max="1540" width="14" style="718" customWidth="1"/>
    <col min="1541" max="1541" width="10.42578125" style="718" customWidth="1"/>
    <col min="1542" max="1542" width="14.5703125" style="718" customWidth="1"/>
    <col min="1543" max="1543" width="0.7109375" style="718" customWidth="1"/>
    <col min="1544" max="1544" width="6.85546875" style="718" customWidth="1"/>
    <col min="1545" max="1545" width="11.42578125" style="718" customWidth="1"/>
    <col min="1546" max="1546" width="10.5703125" style="718" bestFit="1" customWidth="1"/>
    <col min="1547" max="1547" width="9" style="718"/>
    <col min="1548" max="1548" width="9.85546875" style="718" bestFit="1" customWidth="1"/>
    <col min="1549" max="1549" width="15.85546875" style="718" bestFit="1" customWidth="1"/>
    <col min="1550" max="1788" width="9" style="718"/>
    <col min="1789" max="1789" width="2.140625" style="718" customWidth="1"/>
    <col min="1790" max="1790" width="36.140625" style="718" customWidth="1"/>
    <col min="1791" max="1791" width="1.140625" style="718" customWidth="1"/>
    <col min="1792" max="1792" width="5.7109375" style="718" customWidth="1"/>
    <col min="1793" max="1793" width="2.140625" style="718" customWidth="1"/>
    <col min="1794" max="1794" width="14" style="718" customWidth="1"/>
    <col min="1795" max="1795" width="1.7109375" style="718" customWidth="1"/>
    <col min="1796" max="1796" width="14" style="718" customWidth="1"/>
    <col min="1797" max="1797" width="10.42578125" style="718" customWidth="1"/>
    <col min="1798" max="1798" width="14.5703125" style="718" customWidth="1"/>
    <col min="1799" max="1799" width="0.7109375" style="718" customWidth="1"/>
    <col min="1800" max="1800" width="6.85546875" style="718" customWidth="1"/>
    <col min="1801" max="1801" width="11.42578125" style="718" customWidth="1"/>
    <col min="1802" max="1802" width="10.5703125" style="718" bestFit="1" customWidth="1"/>
    <col min="1803" max="1803" width="9" style="718"/>
    <col min="1804" max="1804" width="9.85546875" style="718" bestFit="1" customWidth="1"/>
    <col min="1805" max="1805" width="15.85546875" style="718" bestFit="1" customWidth="1"/>
    <col min="1806" max="2044" width="9" style="718"/>
    <col min="2045" max="2045" width="2.140625" style="718" customWidth="1"/>
    <col min="2046" max="2046" width="36.140625" style="718" customWidth="1"/>
    <col min="2047" max="2047" width="1.140625" style="718" customWidth="1"/>
    <col min="2048" max="2048" width="5.7109375" style="718" customWidth="1"/>
    <col min="2049" max="2049" width="2.140625" style="718" customWidth="1"/>
    <col min="2050" max="2050" width="14" style="718" customWidth="1"/>
    <col min="2051" max="2051" width="1.7109375" style="718" customWidth="1"/>
    <col min="2052" max="2052" width="14" style="718" customWidth="1"/>
    <col min="2053" max="2053" width="10.42578125" style="718" customWidth="1"/>
    <col min="2054" max="2054" width="14.5703125" style="718" customWidth="1"/>
    <col min="2055" max="2055" width="0.7109375" style="718" customWidth="1"/>
    <col min="2056" max="2056" width="6.85546875" style="718" customWidth="1"/>
    <col min="2057" max="2057" width="11.42578125" style="718" customWidth="1"/>
    <col min="2058" max="2058" width="10.5703125" style="718" bestFit="1" customWidth="1"/>
    <col min="2059" max="2059" width="9" style="718"/>
    <col min="2060" max="2060" width="9.85546875" style="718" bestFit="1" customWidth="1"/>
    <col min="2061" max="2061" width="15.85546875" style="718" bestFit="1" customWidth="1"/>
    <col min="2062" max="2300" width="9" style="718"/>
    <col min="2301" max="2301" width="2.140625" style="718" customWidth="1"/>
    <col min="2302" max="2302" width="36.140625" style="718" customWidth="1"/>
    <col min="2303" max="2303" width="1.140625" style="718" customWidth="1"/>
    <col min="2304" max="2304" width="5.7109375" style="718" customWidth="1"/>
    <col min="2305" max="2305" width="2.140625" style="718" customWidth="1"/>
    <col min="2306" max="2306" width="14" style="718" customWidth="1"/>
    <col min="2307" max="2307" width="1.7109375" style="718" customWidth="1"/>
    <col min="2308" max="2308" width="14" style="718" customWidth="1"/>
    <col min="2309" max="2309" width="10.42578125" style="718" customWidth="1"/>
    <col min="2310" max="2310" width="14.5703125" style="718" customWidth="1"/>
    <col min="2311" max="2311" width="0.7109375" style="718" customWidth="1"/>
    <col min="2312" max="2312" width="6.85546875" style="718" customWidth="1"/>
    <col min="2313" max="2313" width="11.42578125" style="718" customWidth="1"/>
    <col min="2314" max="2314" width="10.5703125" style="718" bestFit="1" customWidth="1"/>
    <col min="2315" max="2315" width="9" style="718"/>
    <col min="2316" max="2316" width="9.85546875" style="718" bestFit="1" customWidth="1"/>
    <col min="2317" max="2317" width="15.85546875" style="718" bestFit="1" customWidth="1"/>
    <col min="2318" max="2556" width="9" style="718"/>
    <col min="2557" max="2557" width="2.140625" style="718" customWidth="1"/>
    <col min="2558" max="2558" width="36.140625" style="718" customWidth="1"/>
    <col min="2559" max="2559" width="1.140625" style="718" customWidth="1"/>
    <col min="2560" max="2560" width="5.7109375" style="718" customWidth="1"/>
    <col min="2561" max="2561" width="2.140625" style="718" customWidth="1"/>
    <col min="2562" max="2562" width="14" style="718" customWidth="1"/>
    <col min="2563" max="2563" width="1.7109375" style="718" customWidth="1"/>
    <col min="2564" max="2564" width="14" style="718" customWidth="1"/>
    <col min="2565" max="2565" width="10.42578125" style="718" customWidth="1"/>
    <col min="2566" max="2566" width="14.5703125" style="718" customWidth="1"/>
    <col min="2567" max="2567" width="0.7109375" style="718" customWidth="1"/>
    <col min="2568" max="2568" width="6.85546875" style="718" customWidth="1"/>
    <col min="2569" max="2569" width="11.42578125" style="718" customWidth="1"/>
    <col min="2570" max="2570" width="10.5703125" style="718" bestFit="1" customWidth="1"/>
    <col min="2571" max="2571" width="9" style="718"/>
    <col min="2572" max="2572" width="9.85546875" style="718" bestFit="1" customWidth="1"/>
    <col min="2573" max="2573" width="15.85546875" style="718" bestFit="1" customWidth="1"/>
    <col min="2574" max="2812" width="9" style="718"/>
    <col min="2813" max="2813" width="2.140625" style="718" customWidth="1"/>
    <col min="2814" max="2814" width="36.140625" style="718" customWidth="1"/>
    <col min="2815" max="2815" width="1.140625" style="718" customWidth="1"/>
    <col min="2816" max="2816" width="5.7109375" style="718" customWidth="1"/>
    <col min="2817" max="2817" width="2.140625" style="718" customWidth="1"/>
    <col min="2818" max="2818" width="14" style="718" customWidth="1"/>
    <col min="2819" max="2819" width="1.7109375" style="718" customWidth="1"/>
    <col min="2820" max="2820" width="14" style="718" customWidth="1"/>
    <col min="2821" max="2821" width="10.42578125" style="718" customWidth="1"/>
    <col min="2822" max="2822" width="14.5703125" style="718" customWidth="1"/>
    <col min="2823" max="2823" width="0.7109375" style="718" customWidth="1"/>
    <col min="2824" max="2824" width="6.85546875" style="718" customWidth="1"/>
    <col min="2825" max="2825" width="11.42578125" style="718" customWidth="1"/>
    <col min="2826" max="2826" width="10.5703125" style="718" bestFit="1" customWidth="1"/>
    <col min="2827" max="2827" width="9" style="718"/>
    <col min="2828" max="2828" width="9.85546875" style="718" bestFit="1" customWidth="1"/>
    <col min="2829" max="2829" width="15.85546875" style="718" bestFit="1" customWidth="1"/>
    <col min="2830" max="3068" width="9" style="718"/>
    <col min="3069" max="3069" width="2.140625" style="718" customWidth="1"/>
    <col min="3070" max="3070" width="36.140625" style="718" customWidth="1"/>
    <col min="3071" max="3071" width="1.140625" style="718" customWidth="1"/>
    <col min="3072" max="3072" width="5.7109375" style="718" customWidth="1"/>
    <col min="3073" max="3073" width="2.140625" style="718" customWidth="1"/>
    <col min="3074" max="3074" width="14" style="718" customWidth="1"/>
    <col min="3075" max="3075" width="1.7109375" style="718" customWidth="1"/>
    <col min="3076" max="3076" width="14" style="718" customWidth="1"/>
    <col min="3077" max="3077" width="10.42578125" style="718" customWidth="1"/>
    <col min="3078" max="3078" width="14.5703125" style="718" customWidth="1"/>
    <col min="3079" max="3079" width="0.7109375" style="718" customWidth="1"/>
    <col min="3080" max="3080" width="6.85546875" style="718" customWidth="1"/>
    <col min="3081" max="3081" width="11.42578125" style="718" customWidth="1"/>
    <col min="3082" max="3082" width="10.5703125" style="718" bestFit="1" customWidth="1"/>
    <col min="3083" max="3083" width="9" style="718"/>
    <col min="3084" max="3084" width="9.85546875" style="718" bestFit="1" customWidth="1"/>
    <col min="3085" max="3085" width="15.85546875" style="718" bestFit="1" customWidth="1"/>
    <col min="3086" max="3324" width="9" style="718"/>
    <col min="3325" max="3325" width="2.140625" style="718" customWidth="1"/>
    <col min="3326" max="3326" width="36.140625" style="718" customWidth="1"/>
    <col min="3327" max="3327" width="1.140625" style="718" customWidth="1"/>
    <col min="3328" max="3328" width="5.7109375" style="718" customWidth="1"/>
    <col min="3329" max="3329" width="2.140625" style="718" customWidth="1"/>
    <col min="3330" max="3330" width="14" style="718" customWidth="1"/>
    <col min="3331" max="3331" width="1.7109375" style="718" customWidth="1"/>
    <col min="3332" max="3332" width="14" style="718" customWidth="1"/>
    <col min="3333" max="3333" width="10.42578125" style="718" customWidth="1"/>
    <col min="3334" max="3334" width="14.5703125" style="718" customWidth="1"/>
    <col min="3335" max="3335" width="0.7109375" style="718" customWidth="1"/>
    <col min="3336" max="3336" width="6.85546875" style="718" customWidth="1"/>
    <col min="3337" max="3337" width="11.42578125" style="718" customWidth="1"/>
    <col min="3338" max="3338" width="10.5703125" style="718" bestFit="1" customWidth="1"/>
    <col min="3339" max="3339" width="9" style="718"/>
    <col min="3340" max="3340" width="9.85546875" style="718" bestFit="1" customWidth="1"/>
    <col min="3341" max="3341" width="15.85546875" style="718" bestFit="1" customWidth="1"/>
    <col min="3342" max="3580" width="9" style="718"/>
    <col min="3581" max="3581" width="2.140625" style="718" customWidth="1"/>
    <col min="3582" max="3582" width="36.140625" style="718" customWidth="1"/>
    <col min="3583" max="3583" width="1.140625" style="718" customWidth="1"/>
    <col min="3584" max="3584" width="5.7109375" style="718" customWidth="1"/>
    <col min="3585" max="3585" width="2.140625" style="718" customWidth="1"/>
    <col min="3586" max="3586" width="14" style="718" customWidth="1"/>
    <col min="3587" max="3587" width="1.7109375" style="718" customWidth="1"/>
    <col min="3588" max="3588" width="14" style="718" customWidth="1"/>
    <col min="3589" max="3589" width="10.42578125" style="718" customWidth="1"/>
    <col min="3590" max="3590" width="14.5703125" style="718" customWidth="1"/>
    <col min="3591" max="3591" width="0.7109375" style="718" customWidth="1"/>
    <col min="3592" max="3592" width="6.85546875" style="718" customWidth="1"/>
    <col min="3593" max="3593" width="11.42578125" style="718" customWidth="1"/>
    <col min="3594" max="3594" width="10.5703125" style="718" bestFit="1" customWidth="1"/>
    <col min="3595" max="3595" width="9" style="718"/>
    <col min="3596" max="3596" width="9.85546875" style="718" bestFit="1" customWidth="1"/>
    <col min="3597" max="3597" width="15.85546875" style="718" bestFit="1" customWidth="1"/>
    <col min="3598" max="3836" width="9" style="718"/>
    <col min="3837" max="3837" width="2.140625" style="718" customWidth="1"/>
    <col min="3838" max="3838" width="36.140625" style="718" customWidth="1"/>
    <col min="3839" max="3839" width="1.140625" style="718" customWidth="1"/>
    <col min="3840" max="3840" width="5.7109375" style="718" customWidth="1"/>
    <col min="3841" max="3841" width="2.140625" style="718" customWidth="1"/>
    <col min="3842" max="3842" width="14" style="718" customWidth="1"/>
    <col min="3843" max="3843" width="1.7109375" style="718" customWidth="1"/>
    <col min="3844" max="3844" width="14" style="718" customWidth="1"/>
    <col min="3845" max="3845" width="10.42578125" style="718" customWidth="1"/>
    <col min="3846" max="3846" width="14.5703125" style="718" customWidth="1"/>
    <col min="3847" max="3847" width="0.7109375" style="718" customWidth="1"/>
    <col min="3848" max="3848" width="6.85546875" style="718" customWidth="1"/>
    <col min="3849" max="3849" width="11.42578125" style="718" customWidth="1"/>
    <col min="3850" max="3850" width="10.5703125" style="718" bestFit="1" customWidth="1"/>
    <col min="3851" max="3851" width="9" style="718"/>
    <col min="3852" max="3852" width="9.85546875" style="718" bestFit="1" customWidth="1"/>
    <col min="3853" max="3853" width="15.85546875" style="718" bestFit="1" customWidth="1"/>
    <col min="3854" max="4092" width="9" style="718"/>
    <col min="4093" max="4093" width="2.140625" style="718" customWidth="1"/>
    <col min="4094" max="4094" width="36.140625" style="718" customWidth="1"/>
    <col min="4095" max="4095" width="1.140625" style="718" customWidth="1"/>
    <col min="4096" max="4096" width="5.7109375" style="718" customWidth="1"/>
    <col min="4097" max="4097" width="2.140625" style="718" customWidth="1"/>
    <col min="4098" max="4098" width="14" style="718" customWidth="1"/>
    <col min="4099" max="4099" width="1.7109375" style="718" customWidth="1"/>
    <col min="4100" max="4100" width="14" style="718" customWidth="1"/>
    <col min="4101" max="4101" width="10.42578125" style="718" customWidth="1"/>
    <col min="4102" max="4102" width="14.5703125" style="718" customWidth="1"/>
    <col min="4103" max="4103" width="0.7109375" style="718" customWidth="1"/>
    <col min="4104" max="4104" width="6.85546875" style="718" customWidth="1"/>
    <col min="4105" max="4105" width="11.42578125" style="718" customWidth="1"/>
    <col min="4106" max="4106" width="10.5703125" style="718" bestFit="1" customWidth="1"/>
    <col min="4107" max="4107" width="9" style="718"/>
    <col min="4108" max="4108" width="9.85546875" style="718" bestFit="1" customWidth="1"/>
    <col min="4109" max="4109" width="15.85546875" style="718" bestFit="1" customWidth="1"/>
    <col min="4110" max="4348" width="9" style="718"/>
    <col min="4349" max="4349" width="2.140625" style="718" customWidth="1"/>
    <col min="4350" max="4350" width="36.140625" style="718" customWidth="1"/>
    <col min="4351" max="4351" width="1.140625" style="718" customWidth="1"/>
    <col min="4352" max="4352" width="5.7109375" style="718" customWidth="1"/>
    <col min="4353" max="4353" width="2.140625" style="718" customWidth="1"/>
    <col min="4354" max="4354" width="14" style="718" customWidth="1"/>
    <col min="4355" max="4355" width="1.7109375" style="718" customWidth="1"/>
    <col min="4356" max="4356" width="14" style="718" customWidth="1"/>
    <col min="4357" max="4357" width="10.42578125" style="718" customWidth="1"/>
    <col min="4358" max="4358" width="14.5703125" style="718" customWidth="1"/>
    <col min="4359" max="4359" width="0.7109375" style="718" customWidth="1"/>
    <col min="4360" max="4360" width="6.85546875" style="718" customWidth="1"/>
    <col min="4361" max="4361" width="11.42578125" style="718" customWidth="1"/>
    <col min="4362" max="4362" width="10.5703125" style="718" bestFit="1" customWidth="1"/>
    <col min="4363" max="4363" width="9" style="718"/>
    <col min="4364" max="4364" width="9.85546875" style="718" bestFit="1" customWidth="1"/>
    <col min="4365" max="4365" width="15.85546875" style="718" bestFit="1" customWidth="1"/>
    <col min="4366" max="4604" width="9" style="718"/>
    <col min="4605" max="4605" width="2.140625" style="718" customWidth="1"/>
    <col min="4606" max="4606" width="36.140625" style="718" customWidth="1"/>
    <col min="4607" max="4607" width="1.140625" style="718" customWidth="1"/>
    <col min="4608" max="4608" width="5.7109375" style="718" customWidth="1"/>
    <col min="4609" max="4609" width="2.140625" style="718" customWidth="1"/>
    <col min="4610" max="4610" width="14" style="718" customWidth="1"/>
    <col min="4611" max="4611" width="1.7109375" style="718" customWidth="1"/>
    <col min="4612" max="4612" width="14" style="718" customWidth="1"/>
    <col min="4613" max="4613" width="10.42578125" style="718" customWidth="1"/>
    <col min="4614" max="4614" width="14.5703125" style="718" customWidth="1"/>
    <col min="4615" max="4615" width="0.7109375" style="718" customWidth="1"/>
    <col min="4616" max="4616" width="6.85546875" style="718" customWidth="1"/>
    <col min="4617" max="4617" width="11.42578125" style="718" customWidth="1"/>
    <col min="4618" max="4618" width="10.5703125" style="718" bestFit="1" customWidth="1"/>
    <col min="4619" max="4619" width="9" style="718"/>
    <col min="4620" max="4620" width="9.85546875" style="718" bestFit="1" customWidth="1"/>
    <col min="4621" max="4621" width="15.85546875" style="718" bestFit="1" customWidth="1"/>
    <col min="4622" max="4860" width="9" style="718"/>
    <col min="4861" max="4861" width="2.140625" style="718" customWidth="1"/>
    <col min="4862" max="4862" width="36.140625" style="718" customWidth="1"/>
    <col min="4863" max="4863" width="1.140625" style="718" customWidth="1"/>
    <col min="4864" max="4864" width="5.7109375" style="718" customWidth="1"/>
    <col min="4865" max="4865" width="2.140625" style="718" customWidth="1"/>
    <col min="4866" max="4866" width="14" style="718" customWidth="1"/>
    <col min="4867" max="4867" width="1.7109375" style="718" customWidth="1"/>
    <col min="4868" max="4868" width="14" style="718" customWidth="1"/>
    <col min="4869" max="4869" width="10.42578125" style="718" customWidth="1"/>
    <col min="4870" max="4870" width="14.5703125" style="718" customWidth="1"/>
    <col min="4871" max="4871" width="0.7109375" style="718" customWidth="1"/>
    <col min="4872" max="4872" width="6.85546875" style="718" customWidth="1"/>
    <col min="4873" max="4873" width="11.42578125" style="718" customWidth="1"/>
    <col min="4874" max="4874" width="10.5703125" style="718" bestFit="1" customWidth="1"/>
    <col min="4875" max="4875" width="9" style="718"/>
    <col min="4876" max="4876" width="9.85546875" style="718" bestFit="1" customWidth="1"/>
    <col min="4877" max="4877" width="15.85546875" style="718" bestFit="1" customWidth="1"/>
    <col min="4878" max="5116" width="9" style="718"/>
    <col min="5117" max="5117" width="2.140625" style="718" customWidth="1"/>
    <col min="5118" max="5118" width="36.140625" style="718" customWidth="1"/>
    <col min="5119" max="5119" width="1.140625" style="718" customWidth="1"/>
    <col min="5120" max="5120" width="5.7109375" style="718" customWidth="1"/>
    <col min="5121" max="5121" width="2.140625" style="718" customWidth="1"/>
    <col min="5122" max="5122" width="14" style="718" customWidth="1"/>
    <col min="5123" max="5123" width="1.7109375" style="718" customWidth="1"/>
    <col min="5124" max="5124" width="14" style="718" customWidth="1"/>
    <col min="5125" max="5125" width="10.42578125" style="718" customWidth="1"/>
    <col min="5126" max="5126" width="14.5703125" style="718" customWidth="1"/>
    <col min="5127" max="5127" width="0.7109375" style="718" customWidth="1"/>
    <col min="5128" max="5128" width="6.85546875" style="718" customWidth="1"/>
    <col min="5129" max="5129" width="11.42578125" style="718" customWidth="1"/>
    <col min="5130" max="5130" width="10.5703125" style="718" bestFit="1" customWidth="1"/>
    <col min="5131" max="5131" width="9" style="718"/>
    <col min="5132" max="5132" width="9.85546875" style="718" bestFit="1" customWidth="1"/>
    <col min="5133" max="5133" width="15.85546875" style="718" bestFit="1" customWidth="1"/>
    <col min="5134" max="5372" width="9" style="718"/>
    <col min="5373" max="5373" width="2.140625" style="718" customWidth="1"/>
    <col min="5374" max="5374" width="36.140625" style="718" customWidth="1"/>
    <col min="5375" max="5375" width="1.140625" style="718" customWidth="1"/>
    <col min="5376" max="5376" width="5.7109375" style="718" customWidth="1"/>
    <col min="5377" max="5377" width="2.140625" style="718" customWidth="1"/>
    <col min="5378" max="5378" width="14" style="718" customWidth="1"/>
    <col min="5379" max="5379" width="1.7109375" style="718" customWidth="1"/>
    <col min="5380" max="5380" width="14" style="718" customWidth="1"/>
    <col min="5381" max="5381" width="10.42578125" style="718" customWidth="1"/>
    <col min="5382" max="5382" width="14.5703125" style="718" customWidth="1"/>
    <col min="5383" max="5383" width="0.7109375" style="718" customWidth="1"/>
    <col min="5384" max="5384" width="6.85546875" style="718" customWidth="1"/>
    <col min="5385" max="5385" width="11.42578125" style="718" customWidth="1"/>
    <col min="5386" max="5386" width="10.5703125" style="718" bestFit="1" customWidth="1"/>
    <col min="5387" max="5387" width="9" style="718"/>
    <col min="5388" max="5388" width="9.85546875" style="718" bestFit="1" customWidth="1"/>
    <col min="5389" max="5389" width="15.85546875" style="718" bestFit="1" customWidth="1"/>
    <col min="5390" max="5628" width="9" style="718"/>
    <col min="5629" max="5629" width="2.140625" style="718" customWidth="1"/>
    <col min="5630" max="5630" width="36.140625" style="718" customWidth="1"/>
    <col min="5631" max="5631" width="1.140625" style="718" customWidth="1"/>
    <col min="5632" max="5632" width="5.7109375" style="718" customWidth="1"/>
    <col min="5633" max="5633" width="2.140625" style="718" customWidth="1"/>
    <col min="5634" max="5634" width="14" style="718" customWidth="1"/>
    <col min="5635" max="5635" width="1.7109375" style="718" customWidth="1"/>
    <col min="5636" max="5636" width="14" style="718" customWidth="1"/>
    <col min="5637" max="5637" width="10.42578125" style="718" customWidth="1"/>
    <col min="5638" max="5638" width="14.5703125" style="718" customWidth="1"/>
    <col min="5639" max="5639" width="0.7109375" style="718" customWidth="1"/>
    <col min="5640" max="5640" width="6.85546875" style="718" customWidth="1"/>
    <col min="5641" max="5641" width="11.42578125" style="718" customWidth="1"/>
    <col min="5642" max="5642" width="10.5703125" style="718" bestFit="1" customWidth="1"/>
    <col min="5643" max="5643" width="9" style="718"/>
    <col min="5644" max="5644" width="9.85546875" style="718" bestFit="1" customWidth="1"/>
    <col min="5645" max="5645" width="15.85546875" style="718" bestFit="1" customWidth="1"/>
    <col min="5646" max="5884" width="9" style="718"/>
    <col min="5885" max="5885" width="2.140625" style="718" customWidth="1"/>
    <col min="5886" max="5886" width="36.140625" style="718" customWidth="1"/>
    <col min="5887" max="5887" width="1.140625" style="718" customWidth="1"/>
    <col min="5888" max="5888" width="5.7109375" style="718" customWidth="1"/>
    <col min="5889" max="5889" width="2.140625" style="718" customWidth="1"/>
    <col min="5890" max="5890" width="14" style="718" customWidth="1"/>
    <col min="5891" max="5891" width="1.7109375" style="718" customWidth="1"/>
    <col min="5892" max="5892" width="14" style="718" customWidth="1"/>
    <col min="5893" max="5893" width="10.42578125" style="718" customWidth="1"/>
    <col min="5894" max="5894" width="14.5703125" style="718" customWidth="1"/>
    <col min="5895" max="5895" width="0.7109375" style="718" customWidth="1"/>
    <col min="5896" max="5896" width="6.85546875" style="718" customWidth="1"/>
    <col min="5897" max="5897" width="11.42578125" style="718" customWidth="1"/>
    <col min="5898" max="5898" width="10.5703125" style="718" bestFit="1" customWidth="1"/>
    <col min="5899" max="5899" width="9" style="718"/>
    <col min="5900" max="5900" width="9.85546875" style="718" bestFit="1" customWidth="1"/>
    <col min="5901" max="5901" width="15.85546875" style="718" bestFit="1" customWidth="1"/>
    <col min="5902" max="6140" width="9" style="718"/>
    <col min="6141" max="6141" width="2.140625" style="718" customWidth="1"/>
    <col min="6142" max="6142" width="36.140625" style="718" customWidth="1"/>
    <col min="6143" max="6143" width="1.140625" style="718" customWidth="1"/>
    <col min="6144" max="6144" width="5.7109375" style="718" customWidth="1"/>
    <col min="6145" max="6145" width="2.140625" style="718" customWidth="1"/>
    <col min="6146" max="6146" width="14" style="718" customWidth="1"/>
    <col min="6147" max="6147" width="1.7109375" style="718" customWidth="1"/>
    <col min="6148" max="6148" width="14" style="718" customWidth="1"/>
    <col min="6149" max="6149" width="10.42578125" style="718" customWidth="1"/>
    <col min="6150" max="6150" width="14.5703125" style="718" customWidth="1"/>
    <col min="6151" max="6151" width="0.7109375" style="718" customWidth="1"/>
    <col min="6152" max="6152" width="6.85546875" style="718" customWidth="1"/>
    <col min="6153" max="6153" width="11.42578125" style="718" customWidth="1"/>
    <col min="6154" max="6154" width="10.5703125" style="718" bestFit="1" customWidth="1"/>
    <col min="6155" max="6155" width="9" style="718"/>
    <col min="6156" max="6156" width="9.85546875" style="718" bestFit="1" customWidth="1"/>
    <col min="6157" max="6157" width="15.85546875" style="718" bestFit="1" customWidth="1"/>
    <col min="6158" max="6396" width="9" style="718"/>
    <col min="6397" max="6397" width="2.140625" style="718" customWidth="1"/>
    <col min="6398" max="6398" width="36.140625" style="718" customWidth="1"/>
    <col min="6399" max="6399" width="1.140625" style="718" customWidth="1"/>
    <col min="6400" max="6400" width="5.7109375" style="718" customWidth="1"/>
    <col min="6401" max="6401" width="2.140625" style="718" customWidth="1"/>
    <col min="6402" max="6402" width="14" style="718" customWidth="1"/>
    <col min="6403" max="6403" width="1.7109375" style="718" customWidth="1"/>
    <col min="6404" max="6404" width="14" style="718" customWidth="1"/>
    <col min="6405" max="6405" width="10.42578125" style="718" customWidth="1"/>
    <col min="6406" max="6406" width="14.5703125" style="718" customWidth="1"/>
    <col min="6407" max="6407" width="0.7109375" style="718" customWidth="1"/>
    <col min="6408" max="6408" width="6.85546875" style="718" customWidth="1"/>
    <col min="6409" max="6409" width="11.42578125" style="718" customWidth="1"/>
    <col min="6410" max="6410" width="10.5703125" style="718" bestFit="1" customWidth="1"/>
    <col min="6411" max="6411" width="9" style="718"/>
    <col min="6412" max="6412" width="9.85546875" style="718" bestFit="1" customWidth="1"/>
    <col min="6413" max="6413" width="15.85546875" style="718" bestFit="1" customWidth="1"/>
    <col min="6414" max="6652" width="9" style="718"/>
    <col min="6653" max="6653" width="2.140625" style="718" customWidth="1"/>
    <col min="6654" max="6654" width="36.140625" style="718" customWidth="1"/>
    <col min="6655" max="6655" width="1.140625" style="718" customWidth="1"/>
    <col min="6656" max="6656" width="5.7109375" style="718" customWidth="1"/>
    <col min="6657" max="6657" width="2.140625" style="718" customWidth="1"/>
    <col min="6658" max="6658" width="14" style="718" customWidth="1"/>
    <col min="6659" max="6659" width="1.7109375" style="718" customWidth="1"/>
    <col min="6660" max="6660" width="14" style="718" customWidth="1"/>
    <col min="6661" max="6661" width="10.42578125" style="718" customWidth="1"/>
    <col min="6662" max="6662" width="14.5703125" style="718" customWidth="1"/>
    <col min="6663" max="6663" width="0.7109375" style="718" customWidth="1"/>
    <col min="6664" max="6664" width="6.85546875" style="718" customWidth="1"/>
    <col min="6665" max="6665" width="11.42578125" style="718" customWidth="1"/>
    <col min="6666" max="6666" width="10.5703125" style="718" bestFit="1" customWidth="1"/>
    <col min="6667" max="6667" width="9" style="718"/>
    <col min="6668" max="6668" width="9.85546875" style="718" bestFit="1" customWidth="1"/>
    <col min="6669" max="6669" width="15.85546875" style="718" bestFit="1" customWidth="1"/>
    <col min="6670" max="6908" width="9" style="718"/>
    <col min="6909" max="6909" width="2.140625" style="718" customWidth="1"/>
    <col min="6910" max="6910" width="36.140625" style="718" customWidth="1"/>
    <col min="6911" max="6911" width="1.140625" style="718" customWidth="1"/>
    <col min="6912" max="6912" width="5.7109375" style="718" customWidth="1"/>
    <col min="6913" max="6913" width="2.140625" style="718" customWidth="1"/>
    <col min="6914" max="6914" width="14" style="718" customWidth="1"/>
    <col min="6915" max="6915" width="1.7109375" style="718" customWidth="1"/>
    <col min="6916" max="6916" width="14" style="718" customWidth="1"/>
    <col min="6917" max="6917" width="10.42578125" style="718" customWidth="1"/>
    <col min="6918" max="6918" width="14.5703125" style="718" customWidth="1"/>
    <col min="6919" max="6919" width="0.7109375" style="718" customWidth="1"/>
    <col min="6920" max="6920" width="6.85546875" style="718" customWidth="1"/>
    <col min="6921" max="6921" width="11.42578125" style="718" customWidth="1"/>
    <col min="6922" max="6922" width="10.5703125" style="718" bestFit="1" customWidth="1"/>
    <col min="6923" max="6923" width="9" style="718"/>
    <col min="6924" max="6924" width="9.85546875" style="718" bestFit="1" customWidth="1"/>
    <col min="6925" max="6925" width="15.85546875" style="718" bestFit="1" customWidth="1"/>
    <col min="6926" max="7164" width="9" style="718"/>
    <col min="7165" max="7165" width="2.140625" style="718" customWidth="1"/>
    <col min="7166" max="7166" width="36.140625" style="718" customWidth="1"/>
    <col min="7167" max="7167" width="1.140625" style="718" customWidth="1"/>
    <col min="7168" max="7168" width="5.7109375" style="718" customWidth="1"/>
    <col min="7169" max="7169" width="2.140625" style="718" customWidth="1"/>
    <col min="7170" max="7170" width="14" style="718" customWidth="1"/>
    <col min="7171" max="7171" width="1.7109375" style="718" customWidth="1"/>
    <col min="7172" max="7172" width="14" style="718" customWidth="1"/>
    <col min="7173" max="7173" width="10.42578125" style="718" customWidth="1"/>
    <col min="7174" max="7174" width="14.5703125" style="718" customWidth="1"/>
    <col min="7175" max="7175" width="0.7109375" style="718" customWidth="1"/>
    <col min="7176" max="7176" width="6.85546875" style="718" customWidth="1"/>
    <col min="7177" max="7177" width="11.42578125" style="718" customWidth="1"/>
    <col min="7178" max="7178" width="10.5703125" style="718" bestFit="1" customWidth="1"/>
    <col min="7179" max="7179" width="9" style="718"/>
    <col min="7180" max="7180" width="9.85546875" style="718" bestFit="1" customWidth="1"/>
    <col min="7181" max="7181" width="15.85546875" style="718" bestFit="1" customWidth="1"/>
    <col min="7182" max="7420" width="9" style="718"/>
    <col min="7421" max="7421" width="2.140625" style="718" customWidth="1"/>
    <col min="7422" max="7422" width="36.140625" style="718" customWidth="1"/>
    <col min="7423" max="7423" width="1.140625" style="718" customWidth="1"/>
    <col min="7424" max="7424" width="5.7109375" style="718" customWidth="1"/>
    <col min="7425" max="7425" width="2.140625" style="718" customWidth="1"/>
    <col min="7426" max="7426" width="14" style="718" customWidth="1"/>
    <col min="7427" max="7427" width="1.7109375" style="718" customWidth="1"/>
    <col min="7428" max="7428" width="14" style="718" customWidth="1"/>
    <col min="7429" max="7429" width="10.42578125" style="718" customWidth="1"/>
    <col min="7430" max="7430" width="14.5703125" style="718" customWidth="1"/>
    <col min="7431" max="7431" width="0.7109375" style="718" customWidth="1"/>
    <col min="7432" max="7432" width="6.85546875" style="718" customWidth="1"/>
    <col min="7433" max="7433" width="11.42578125" style="718" customWidth="1"/>
    <col min="7434" max="7434" width="10.5703125" style="718" bestFit="1" customWidth="1"/>
    <col min="7435" max="7435" width="9" style="718"/>
    <col min="7436" max="7436" width="9.85546875" style="718" bestFit="1" customWidth="1"/>
    <col min="7437" max="7437" width="15.85546875" style="718" bestFit="1" customWidth="1"/>
    <col min="7438" max="7676" width="9" style="718"/>
    <col min="7677" max="7677" width="2.140625" style="718" customWidth="1"/>
    <col min="7678" max="7678" width="36.140625" style="718" customWidth="1"/>
    <col min="7679" max="7679" width="1.140625" style="718" customWidth="1"/>
    <col min="7680" max="7680" width="5.7109375" style="718" customWidth="1"/>
    <col min="7681" max="7681" width="2.140625" style="718" customWidth="1"/>
    <col min="7682" max="7682" width="14" style="718" customWidth="1"/>
    <col min="7683" max="7683" width="1.7109375" style="718" customWidth="1"/>
    <col min="7684" max="7684" width="14" style="718" customWidth="1"/>
    <col min="7685" max="7685" width="10.42578125" style="718" customWidth="1"/>
    <col min="7686" max="7686" width="14.5703125" style="718" customWidth="1"/>
    <col min="7687" max="7687" width="0.7109375" style="718" customWidth="1"/>
    <col min="7688" max="7688" width="6.85546875" style="718" customWidth="1"/>
    <col min="7689" max="7689" width="11.42578125" style="718" customWidth="1"/>
    <col min="7690" max="7690" width="10.5703125" style="718" bestFit="1" customWidth="1"/>
    <col min="7691" max="7691" width="9" style="718"/>
    <col min="7692" max="7692" width="9.85546875" style="718" bestFit="1" customWidth="1"/>
    <col min="7693" max="7693" width="15.85546875" style="718" bestFit="1" customWidth="1"/>
    <col min="7694" max="7932" width="9" style="718"/>
    <col min="7933" max="7933" width="2.140625" style="718" customWidth="1"/>
    <col min="7934" max="7934" width="36.140625" style="718" customWidth="1"/>
    <col min="7935" max="7935" width="1.140625" style="718" customWidth="1"/>
    <col min="7936" max="7936" width="5.7109375" style="718" customWidth="1"/>
    <col min="7937" max="7937" width="2.140625" style="718" customWidth="1"/>
    <col min="7938" max="7938" width="14" style="718" customWidth="1"/>
    <col min="7939" max="7939" width="1.7109375" style="718" customWidth="1"/>
    <col min="7940" max="7940" width="14" style="718" customWidth="1"/>
    <col min="7941" max="7941" width="10.42578125" style="718" customWidth="1"/>
    <col min="7942" max="7942" width="14.5703125" style="718" customWidth="1"/>
    <col min="7943" max="7943" width="0.7109375" style="718" customWidth="1"/>
    <col min="7944" max="7944" width="6.85546875" style="718" customWidth="1"/>
    <col min="7945" max="7945" width="11.42578125" style="718" customWidth="1"/>
    <col min="7946" max="7946" width="10.5703125" style="718" bestFit="1" customWidth="1"/>
    <col min="7947" max="7947" width="9" style="718"/>
    <col min="7948" max="7948" width="9.85546875" style="718" bestFit="1" customWidth="1"/>
    <col min="7949" max="7949" width="15.85546875" style="718" bestFit="1" customWidth="1"/>
    <col min="7950" max="8188" width="9" style="718"/>
    <col min="8189" max="8189" width="2.140625" style="718" customWidth="1"/>
    <col min="8190" max="8190" width="36.140625" style="718" customWidth="1"/>
    <col min="8191" max="8191" width="1.140625" style="718" customWidth="1"/>
    <col min="8192" max="8192" width="5.7109375" style="718" customWidth="1"/>
    <col min="8193" max="8193" width="2.140625" style="718" customWidth="1"/>
    <col min="8194" max="8194" width="14" style="718" customWidth="1"/>
    <col min="8195" max="8195" width="1.7109375" style="718" customWidth="1"/>
    <col min="8196" max="8196" width="14" style="718" customWidth="1"/>
    <col min="8197" max="8197" width="10.42578125" style="718" customWidth="1"/>
    <col min="8198" max="8198" width="14.5703125" style="718" customWidth="1"/>
    <col min="8199" max="8199" width="0.7109375" style="718" customWidth="1"/>
    <col min="8200" max="8200" width="6.85546875" style="718" customWidth="1"/>
    <col min="8201" max="8201" width="11.42578125" style="718" customWidth="1"/>
    <col min="8202" max="8202" width="10.5703125" style="718" bestFit="1" customWidth="1"/>
    <col min="8203" max="8203" width="9" style="718"/>
    <col min="8204" max="8204" width="9.85546875" style="718" bestFit="1" customWidth="1"/>
    <col min="8205" max="8205" width="15.85546875" style="718" bestFit="1" customWidth="1"/>
    <col min="8206" max="8444" width="9" style="718"/>
    <col min="8445" max="8445" width="2.140625" style="718" customWidth="1"/>
    <col min="8446" max="8446" width="36.140625" style="718" customWidth="1"/>
    <col min="8447" max="8447" width="1.140625" style="718" customWidth="1"/>
    <col min="8448" max="8448" width="5.7109375" style="718" customWidth="1"/>
    <col min="8449" max="8449" width="2.140625" style="718" customWidth="1"/>
    <col min="8450" max="8450" width="14" style="718" customWidth="1"/>
    <col min="8451" max="8451" width="1.7109375" style="718" customWidth="1"/>
    <col min="8452" max="8452" width="14" style="718" customWidth="1"/>
    <col min="8453" max="8453" width="10.42578125" style="718" customWidth="1"/>
    <col min="8454" max="8454" width="14.5703125" style="718" customWidth="1"/>
    <col min="8455" max="8455" width="0.7109375" style="718" customWidth="1"/>
    <col min="8456" max="8456" width="6.85546875" style="718" customWidth="1"/>
    <col min="8457" max="8457" width="11.42578125" style="718" customWidth="1"/>
    <col min="8458" max="8458" width="10.5703125" style="718" bestFit="1" customWidth="1"/>
    <col min="8459" max="8459" width="9" style="718"/>
    <col min="8460" max="8460" width="9.85546875" style="718" bestFit="1" customWidth="1"/>
    <col min="8461" max="8461" width="15.85546875" style="718" bestFit="1" customWidth="1"/>
    <col min="8462" max="8700" width="9" style="718"/>
    <col min="8701" max="8701" width="2.140625" style="718" customWidth="1"/>
    <col min="8702" max="8702" width="36.140625" style="718" customWidth="1"/>
    <col min="8703" max="8703" width="1.140625" style="718" customWidth="1"/>
    <col min="8704" max="8704" width="5.7109375" style="718" customWidth="1"/>
    <col min="8705" max="8705" width="2.140625" style="718" customWidth="1"/>
    <col min="8706" max="8706" width="14" style="718" customWidth="1"/>
    <col min="8707" max="8707" width="1.7109375" style="718" customWidth="1"/>
    <col min="8708" max="8708" width="14" style="718" customWidth="1"/>
    <col min="8709" max="8709" width="10.42578125" style="718" customWidth="1"/>
    <col min="8710" max="8710" width="14.5703125" style="718" customWidth="1"/>
    <col min="8711" max="8711" width="0.7109375" style="718" customWidth="1"/>
    <col min="8712" max="8712" width="6.85546875" style="718" customWidth="1"/>
    <col min="8713" max="8713" width="11.42578125" style="718" customWidth="1"/>
    <col min="8714" max="8714" width="10.5703125" style="718" bestFit="1" customWidth="1"/>
    <col min="8715" max="8715" width="9" style="718"/>
    <col min="8716" max="8716" width="9.85546875" style="718" bestFit="1" customWidth="1"/>
    <col min="8717" max="8717" width="15.85546875" style="718" bestFit="1" customWidth="1"/>
    <col min="8718" max="8956" width="9" style="718"/>
    <col min="8957" max="8957" width="2.140625" style="718" customWidth="1"/>
    <col min="8958" max="8958" width="36.140625" style="718" customWidth="1"/>
    <col min="8959" max="8959" width="1.140625" style="718" customWidth="1"/>
    <col min="8960" max="8960" width="5.7109375" style="718" customWidth="1"/>
    <col min="8961" max="8961" width="2.140625" style="718" customWidth="1"/>
    <col min="8962" max="8962" width="14" style="718" customWidth="1"/>
    <col min="8963" max="8963" width="1.7109375" style="718" customWidth="1"/>
    <col min="8964" max="8964" width="14" style="718" customWidth="1"/>
    <col min="8965" max="8965" width="10.42578125" style="718" customWidth="1"/>
    <col min="8966" max="8966" width="14.5703125" style="718" customWidth="1"/>
    <col min="8967" max="8967" width="0.7109375" style="718" customWidth="1"/>
    <col min="8968" max="8968" width="6.85546875" style="718" customWidth="1"/>
    <col min="8969" max="8969" width="11.42578125" style="718" customWidth="1"/>
    <col min="8970" max="8970" width="10.5703125" style="718" bestFit="1" customWidth="1"/>
    <col min="8971" max="8971" width="9" style="718"/>
    <col min="8972" max="8972" width="9.85546875" style="718" bestFit="1" customWidth="1"/>
    <col min="8973" max="8973" width="15.85546875" style="718" bestFit="1" customWidth="1"/>
    <col min="8974" max="9212" width="9" style="718"/>
    <col min="9213" max="9213" width="2.140625" style="718" customWidth="1"/>
    <col min="9214" max="9214" width="36.140625" style="718" customWidth="1"/>
    <col min="9215" max="9215" width="1.140625" style="718" customWidth="1"/>
    <col min="9216" max="9216" width="5.7109375" style="718" customWidth="1"/>
    <col min="9217" max="9217" width="2.140625" style="718" customWidth="1"/>
    <col min="9218" max="9218" width="14" style="718" customWidth="1"/>
    <col min="9219" max="9219" width="1.7109375" style="718" customWidth="1"/>
    <col min="9220" max="9220" width="14" style="718" customWidth="1"/>
    <col min="9221" max="9221" width="10.42578125" style="718" customWidth="1"/>
    <col min="9222" max="9222" width="14.5703125" style="718" customWidth="1"/>
    <col min="9223" max="9223" width="0.7109375" style="718" customWidth="1"/>
    <col min="9224" max="9224" width="6.85546875" style="718" customWidth="1"/>
    <col min="9225" max="9225" width="11.42578125" style="718" customWidth="1"/>
    <col min="9226" max="9226" width="10.5703125" style="718" bestFit="1" customWidth="1"/>
    <col min="9227" max="9227" width="9" style="718"/>
    <col min="9228" max="9228" width="9.85546875" style="718" bestFit="1" customWidth="1"/>
    <col min="9229" max="9229" width="15.85546875" style="718" bestFit="1" customWidth="1"/>
    <col min="9230" max="9468" width="9" style="718"/>
    <col min="9469" max="9469" width="2.140625" style="718" customWidth="1"/>
    <col min="9470" max="9470" width="36.140625" style="718" customWidth="1"/>
    <col min="9471" max="9471" width="1.140625" style="718" customWidth="1"/>
    <col min="9472" max="9472" width="5.7109375" style="718" customWidth="1"/>
    <col min="9473" max="9473" width="2.140625" style="718" customWidth="1"/>
    <col min="9474" max="9474" width="14" style="718" customWidth="1"/>
    <col min="9475" max="9475" width="1.7109375" style="718" customWidth="1"/>
    <col min="9476" max="9476" width="14" style="718" customWidth="1"/>
    <col min="9477" max="9477" width="10.42578125" style="718" customWidth="1"/>
    <col min="9478" max="9478" width="14.5703125" style="718" customWidth="1"/>
    <col min="9479" max="9479" width="0.7109375" style="718" customWidth="1"/>
    <col min="9480" max="9480" width="6.85546875" style="718" customWidth="1"/>
    <col min="9481" max="9481" width="11.42578125" style="718" customWidth="1"/>
    <col min="9482" max="9482" width="10.5703125" style="718" bestFit="1" customWidth="1"/>
    <col min="9483" max="9483" width="9" style="718"/>
    <col min="9484" max="9484" width="9.85546875" style="718" bestFit="1" customWidth="1"/>
    <col min="9485" max="9485" width="15.85546875" style="718" bestFit="1" customWidth="1"/>
    <col min="9486" max="9724" width="9" style="718"/>
    <col min="9725" max="9725" width="2.140625" style="718" customWidth="1"/>
    <col min="9726" max="9726" width="36.140625" style="718" customWidth="1"/>
    <col min="9727" max="9727" width="1.140625" style="718" customWidth="1"/>
    <col min="9728" max="9728" width="5.7109375" style="718" customWidth="1"/>
    <col min="9729" max="9729" width="2.140625" style="718" customWidth="1"/>
    <col min="9730" max="9730" width="14" style="718" customWidth="1"/>
    <col min="9731" max="9731" width="1.7109375" style="718" customWidth="1"/>
    <col min="9732" max="9732" width="14" style="718" customWidth="1"/>
    <col min="9733" max="9733" width="10.42578125" style="718" customWidth="1"/>
    <col min="9734" max="9734" width="14.5703125" style="718" customWidth="1"/>
    <col min="9735" max="9735" width="0.7109375" style="718" customWidth="1"/>
    <col min="9736" max="9736" width="6.85546875" style="718" customWidth="1"/>
    <col min="9737" max="9737" width="11.42578125" style="718" customWidth="1"/>
    <col min="9738" max="9738" width="10.5703125" style="718" bestFit="1" customWidth="1"/>
    <col min="9739" max="9739" width="9" style="718"/>
    <col min="9740" max="9740" width="9.85546875" style="718" bestFit="1" customWidth="1"/>
    <col min="9741" max="9741" width="15.85546875" style="718" bestFit="1" customWidth="1"/>
    <col min="9742" max="9980" width="9" style="718"/>
    <col min="9981" max="9981" width="2.140625" style="718" customWidth="1"/>
    <col min="9982" max="9982" width="36.140625" style="718" customWidth="1"/>
    <col min="9983" max="9983" width="1.140625" style="718" customWidth="1"/>
    <col min="9984" max="9984" width="5.7109375" style="718" customWidth="1"/>
    <col min="9985" max="9985" width="2.140625" style="718" customWidth="1"/>
    <col min="9986" max="9986" width="14" style="718" customWidth="1"/>
    <col min="9987" max="9987" width="1.7109375" style="718" customWidth="1"/>
    <col min="9988" max="9988" width="14" style="718" customWidth="1"/>
    <col min="9989" max="9989" width="10.42578125" style="718" customWidth="1"/>
    <col min="9990" max="9990" width="14.5703125" style="718" customWidth="1"/>
    <col min="9991" max="9991" width="0.7109375" style="718" customWidth="1"/>
    <col min="9992" max="9992" width="6.85546875" style="718" customWidth="1"/>
    <col min="9993" max="9993" width="11.42578125" style="718" customWidth="1"/>
    <col min="9994" max="9994" width="10.5703125" style="718" bestFit="1" customWidth="1"/>
    <col min="9995" max="9995" width="9" style="718"/>
    <col min="9996" max="9996" width="9.85546875" style="718" bestFit="1" customWidth="1"/>
    <col min="9997" max="9997" width="15.85546875" style="718" bestFit="1" customWidth="1"/>
    <col min="9998" max="10236" width="9" style="718"/>
    <col min="10237" max="10237" width="2.140625" style="718" customWidth="1"/>
    <col min="10238" max="10238" width="36.140625" style="718" customWidth="1"/>
    <col min="10239" max="10239" width="1.140625" style="718" customWidth="1"/>
    <col min="10240" max="10240" width="5.7109375" style="718" customWidth="1"/>
    <col min="10241" max="10241" width="2.140625" style="718" customWidth="1"/>
    <col min="10242" max="10242" width="14" style="718" customWidth="1"/>
    <col min="10243" max="10243" width="1.7109375" style="718" customWidth="1"/>
    <col min="10244" max="10244" width="14" style="718" customWidth="1"/>
    <col min="10245" max="10245" width="10.42578125" style="718" customWidth="1"/>
    <col min="10246" max="10246" width="14.5703125" style="718" customWidth="1"/>
    <col min="10247" max="10247" width="0.7109375" style="718" customWidth="1"/>
    <col min="10248" max="10248" width="6.85546875" style="718" customWidth="1"/>
    <col min="10249" max="10249" width="11.42578125" style="718" customWidth="1"/>
    <col min="10250" max="10250" width="10.5703125" style="718" bestFit="1" customWidth="1"/>
    <col min="10251" max="10251" width="9" style="718"/>
    <col min="10252" max="10252" width="9.85546875" style="718" bestFit="1" customWidth="1"/>
    <col min="10253" max="10253" width="15.85546875" style="718" bestFit="1" customWidth="1"/>
    <col min="10254" max="10492" width="9" style="718"/>
    <col min="10493" max="10493" width="2.140625" style="718" customWidth="1"/>
    <col min="10494" max="10494" width="36.140625" style="718" customWidth="1"/>
    <col min="10495" max="10495" width="1.140625" style="718" customWidth="1"/>
    <col min="10496" max="10496" width="5.7109375" style="718" customWidth="1"/>
    <col min="10497" max="10497" width="2.140625" style="718" customWidth="1"/>
    <col min="10498" max="10498" width="14" style="718" customWidth="1"/>
    <col min="10499" max="10499" width="1.7109375" style="718" customWidth="1"/>
    <col min="10500" max="10500" width="14" style="718" customWidth="1"/>
    <col min="10501" max="10501" width="10.42578125" style="718" customWidth="1"/>
    <col min="10502" max="10502" width="14.5703125" style="718" customWidth="1"/>
    <col min="10503" max="10503" width="0.7109375" style="718" customWidth="1"/>
    <col min="10504" max="10504" width="6.85546875" style="718" customWidth="1"/>
    <col min="10505" max="10505" width="11.42578125" style="718" customWidth="1"/>
    <col min="10506" max="10506" width="10.5703125" style="718" bestFit="1" customWidth="1"/>
    <col min="10507" max="10507" width="9" style="718"/>
    <col min="10508" max="10508" width="9.85546875" style="718" bestFit="1" customWidth="1"/>
    <col min="10509" max="10509" width="15.85546875" style="718" bestFit="1" customWidth="1"/>
    <col min="10510" max="10748" width="9" style="718"/>
    <col min="10749" max="10749" width="2.140625" style="718" customWidth="1"/>
    <col min="10750" max="10750" width="36.140625" style="718" customWidth="1"/>
    <col min="10751" max="10751" width="1.140625" style="718" customWidth="1"/>
    <col min="10752" max="10752" width="5.7109375" style="718" customWidth="1"/>
    <col min="10753" max="10753" width="2.140625" style="718" customWidth="1"/>
    <col min="10754" max="10754" width="14" style="718" customWidth="1"/>
    <col min="10755" max="10755" width="1.7109375" style="718" customWidth="1"/>
    <col min="10756" max="10756" width="14" style="718" customWidth="1"/>
    <col min="10757" max="10757" width="10.42578125" style="718" customWidth="1"/>
    <col min="10758" max="10758" width="14.5703125" style="718" customWidth="1"/>
    <col min="10759" max="10759" width="0.7109375" style="718" customWidth="1"/>
    <col min="10760" max="10760" width="6.85546875" style="718" customWidth="1"/>
    <col min="10761" max="10761" width="11.42578125" style="718" customWidth="1"/>
    <col min="10762" max="10762" width="10.5703125" style="718" bestFit="1" customWidth="1"/>
    <col min="10763" max="10763" width="9" style="718"/>
    <col min="10764" max="10764" width="9.85546875" style="718" bestFit="1" customWidth="1"/>
    <col min="10765" max="10765" width="15.85546875" style="718" bestFit="1" customWidth="1"/>
    <col min="10766" max="11004" width="9" style="718"/>
    <col min="11005" max="11005" width="2.140625" style="718" customWidth="1"/>
    <col min="11006" max="11006" width="36.140625" style="718" customWidth="1"/>
    <col min="11007" max="11007" width="1.140625" style="718" customWidth="1"/>
    <col min="11008" max="11008" width="5.7109375" style="718" customWidth="1"/>
    <col min="11009" max="11009" width="2.140625" style="718" customWidth="1"/>
    <col min="11010" max="11010" width="14" style="718" customWidth="1"/>
    <col min="11011" max="11011" width="1.7109375" style="718" customWidth="1"/>
    <col min="11012" max="11012" width="14" style="718" customWidth="1"/>
    <col min="11013" max="11013" width="10.42578125" style="718" customWidth="1"/>
    <col min="11014" max="11014" width="14.5703125" style="718" customWidth="1"/>
    <col min="11015" max="11015" width="0.7109375" style="718" customWidth="1"/>
    <col min="11016" max="11016" width="6.85546875" style="718" customWidth="1"/>
    <col min="11017" max="11017" width="11.42578125" style="718" customWidth="1"/>
    <col min="11018" max="11018" width="10.5703125" style="718" bestFit="1" customWidth="1"/>
    <col min="11019" max="11019" width="9" style="718"/>
    <col min="11020" max="11020" width="9.85546875" style="718" bestFit="1" customWidth="1"/>
    <col min="11021" max="11021" width="15.85546875" style="718" bestFit="1" customWidth="1"/>
    <col min="11022" max="11260" width="9" style="718"/>
    <col min="11261" max="11261" width="2.140625" style="718" customWidth="1"/>
    <col min="11262" max="11262" width="36.140625" style="718" customWidth="1"/>
    <col min="11263" max="11263" width="1.140625" style="718" customWidth="1"/>
    <col min="11264" max="11264" width="5.7109375" style="718" customWidth="1"/>
    <col min="11265" max="11265" width="2.140625" style="718" customWidth="1"/>
    <col min="11266" max="11266" width="14" style="718" customWidth="1"/>
    <col min="11267" max="11267" width="1.7109375" style="718" customWidth="1"/>
    <col min="11268" max="11268" width="14" style="718" customWidth="1"/>
    <col min="11269" max="11269" width="10.42578125" style="718" customWidth="1"/>
    <col min="11270" max="11270" width="14.5703125" style="718" customWidth="1"/>
    <col min="11271" max="11271" width="0.7109375" style="718" customWidth="1"/>
    <col min="11272" max="11272" width="6.85546875" style="718" customWidth="1"/>
    <col min="11273" max="11273" width="11.42578125" style="718" customWidth="1"/>
    <col min="11274" max="11274" width="10.5703125" style="718" bestFit="1" customWidth="1"/>
    <col min="11275" max="11275" width="9" style="718"/>
    <col min="11276" max="11276" width="9.85546875" style="718" bestFit="1" customWidth="1"/>
    <col min="11277" max="11277" width="15.85546875" style="718" bestFit="1" customWidth="1"/>
    <col min="11278" max="11516" width="9" style="718"/>
    <col min="11517" max="11517" width="2.140625" style="718" customWidth="1"/>
    <col min="11518" max="11518" width="36.140625" style="718" customWidth="1"/>
    <col min="11519" max="11519" width="1.140625" style="718" customWidth="1"/>
    <col min="11520" max="11520" width="5.7109375" style="718" customWidth="1"/>
    <col min="11521" max="11521" width="2.140625" style="718" customWidth="1"/>
    <col min="11522" max="11522" width="14" style="718" customWidth="1"/>
    <col min="11523" max="11523" width="1.7109375" style="718" customWidth="1"/>
    <col min="11524" max="11524" width="14" style="718" customWidth="1"/>
    <col min="11525" max="11525" width="10.42578125" style="718" customWidth="1"/>
    <col min="11526" max="11526" width="14.5703125" style="718" customWidth="1"/>
    <col min="11527" max="11527" width="0.7109375" style="718" customWidth="1"/>
    <col min="11528" max="11528" width="6.85546875" style="718" customWidth="1"/>
    <col min="11529" max="11529" width="11.42578125" style="718" customWidth="1"/>
    <col min="11530" max="11530" width="10.5703125" style="718" bestFit="1" customWidth="1"/>
    <col min="11531" max="11531" width="9" style="718"/>
    <col min="11532" max="11532" width="9.85546875" style="718" bestFit="1" customWidth="1"/>
    <col min="11533" max="11533" width="15.85546875" style="718" bestFit="1" customWidth="1"/>
    <col min="11534" max="11772" width="9" style="718"/>
    <col min="11773" max="11773" width="2.140625" style="718" customWidth="1"/>
    <col min="11774" max="11774" width="36.140625" style="718" customWidth="1"/>
    <col min="11775" max="11775" width="1.140625" style="718" customWidth="1"/>
    <col min="11776" max="11776" width="5.7109375" style="718" customWidth="1"/>
    <col min="11777" max="11777" width="2.140625" style="718" customWidth="1"/>
    <col min="11778" max="11778" width="14" style="718" customWidth="1"/>
    <col min="11779" max="11779" width="1.7109375" style="718" customWidth="1"/>
    <col min="11780" max="11780" width="14" style="718" customWidth="1"/>
    <col min="11781" max="11781" width="10.42578125" style="718" customWidth="1"/>
    <col min="11782" max="11782" width="14.5703125" style="718" customWidth="1"/>
    <col min="11783" max="11783" width="0.7109375" style="718" customWidth="1"/>
    <col min="11784" max="11784" width="6.85546875" style="718" customWidth="1"/>
    <col min="11785" max="11785" width="11.42578125" style="718" customWidth="1"/>
    <col min="11786" max="11786" width="10.5703125" style="718" bestFit="1" customWidth="1"/>
    <col min="11787" max="11787" width="9" style="718"/>
    <col min="11788" max="11788" width="9.85546875" style="718" bestFit="1" customWidth="1"/>
    <col min="11789" max="11789" width="15.85546875" style="718" bestFit="1" customWidth="1"/>
    <col min="11790" max="12028" width="9" style="718"/>
    <col min="12029" max="12029" width="2.140625" style="718" customWidth="1"/>
    <col min="12030" max="12030" width="36.140625" style="718" customWidth="1"/>
    <col min="12031" max="12031" width="1.140625" style="718" customWidth="1"/>
    <col min="12032" max="12032" width="5.7109375" style="718" customWidth="1"/>
    <col min="12033" max="12033" width="2.140625" style="718" customWidth="1"/>
    <col min="12034" max="12034" width="14" style="718" customWidth="1"/>
    <col min="12035" max="12035" width="1.7109375" style="718" customWidth="1"/>
    <col min="12036" max="12036" width="14" style="718" customWidth="1"/>
    <col min="12037" max="12037" width="10.42578125" style="718" customWidth="1"/>
    <col min="12038" max="12038" width="14.5703125" style="718" customWidth="1"/>
    <col min="12039" max="12039" width="0.7109375" style="718" customWidth="1"/>
    <col min="12040" max="12040" width="6.85546875" style="718" customWidth="1"/>
    <col min="12041" max="12041" width="11.42578125" style="718" customWidth="1"/>
    <col min="12042" max="12042" width="10.5703125" style="718" bestFit="1" customWidth="1"/>
    <col min="12043" max="12043" width="9" style="718"/>
    <col min="12044" max="12044" width="9.85546875" style="718" bestFit="1" customWidth="1"/>
    <col min="12045" max="12045" width="15.85546875" style="718" bestFit="1" customWidth="1"/>
    <col min="12046" max="12284" width="9" style="718"/>
    <col min="12285" max="12285" width="2.140625" style="718" customWidth="1"/>
    <col min="12286" max="12286" width="36.140625" style="718" customWidth="1"/>
    <col min="12287" max="12287" width="1.140625" style="718" customWidth="1"/>
    <col min="12288" max="12288" width="5.7109375" style="718" customWidth="1"/>
    <col min="12289" max="12289" width="2.140625" style="718" customWidth="1"/>
    <col min="12290" max="12290" width="14" style="718" customWidth="1"/>
    <col min="12291" max="12291" width="1.7109375" style="718" customWidth="1"/>
    <col min="12292" max="12292" width="14" style="718" customWidth="1"/>
    <col min="12293" max="12293" width="10.42578125" style="718" customWidth="1"/>
    <col min="12294" max="12294" width="14.5703125" style="718" customWidth="1"/>
    <col min="12295" max="12295" width="0.7109375" style="718" customWidth="1"/>
    <col min="12296" max="12296" width="6.85546875" style="718" customWidth="1"/>
    <col min="12297" max="12297" width="11.42578125" style="718" customWidth="1"/>
    <col min="12298" max="12298" width="10.5703125" style="718" bestFit="1" customWidth="1"/>
    <col min="12299" max="12299" width="9" style="718"/>
    <col min="12300" max="12300" width="9.85546875" style="718" bestFit="1" customWidth="1"/>
    <col min="12301" max="12301" width="15.85546875" style="718" bestFit="1" customWidth="1"/>
    <col min="12302" max="12540" width="9" style="718"/>
    <col min="12541" max="12541" width="2.140625" style="718" customWidth="1"/>
    <col min="12542" max="12542" width="36.140625" style="718" customWidth="1"/>
    <col min="12543" max="12543" width="1.140625" style="718" customWidth="1"/>
    <col min="12544" max="12544" width="5.7109375" style="718" customWidth="1"/>
    <col min="12545" max="12545" width="2.140625" style="718" customWidth="1"/>
    <col min="12546" max="12546" width="14" style="718" customWidth="1"/>
    <col min="12547" max="12547" width="1.7109375" style="718" customWidth="1"/>
    <col min="12548" max="12548" width="14" style="718" customWidth="1"/>
    <col min="12549" max="12549" width="10.42578125" style="718" customWidth="1"/>
    <col min="12550" max="12550" width="14.5703125" style="718" customWidth="1"/>
    <col min="12551" max="12551" width="0.7109375" style="718" customWidth="1"/>
    <col min="12552" max="12552" width="6.85546875" style="718" customWidth="1"/>
    <col min="12553" max="12553" width="11.42578125" style="718" customWidth="1"/>
    <col min="12554" max="12554" width="10.5703125" style="718" bestFit="1" customWidth="1"/>
    <col min="12555" max="12555" width="9" style="718"/>
    <col min="12556" max="12556" width="9.85546875" style="718" bestFit="1" customWidth="1"/>
    <col min="12557" max="12557" width="15.85546875" style="718" bestFit="1" customWidth="1"/>
    <col min="12558" max="12796" width="9" style="718"/>
    <col min="12797" max="12797" width="2.140625" style="718" customWidth="1"/>
    <col min="12798" max="12798" width="36.140625" style="718" customWidth="1"/>
    <col min="12799" max="12799" width="1.140625" style="718" customWidth="1"/>
    <col min="12800" max="12800" width="5.7109375" style="718" customWidth="1"/>
    <col min="12801" max="12801" width="2.140625" style="718" customWidth="1"/>
    <col min="12802" max="12802" width="14" style="718" customWidth="1"/>
    <col min="12803" max="12803" width="1.7109375" style="718" customWidth="1"/>
    <col min="12804" max="12804" width="14" style="718" customWidth="1"/>
    <col min="12805" max="12805" width="10.42578125" style="718" customWidth="1"/>
    <col min="12806" max="12806" width="14.5703125" style="718" customWidth="1"/>
    <col min="12807" max="12807" width="0.7109375" style="718" customWidth="1"/>
    <col min="12808" max="12808" width="6.85546875" style="718" customWidth="1"/>
    <col min="12809" max="12809" width="11.42578125" style="718" customWidth="1"/>
    <col min="12810" max="12810" width="10.5703125" style="718" bestFit="1" customWidth="1"/>
    <col min="12811" max="12811" width="9" style="718"/>
    <col min="12812" max="12812" width="9.85546875" style="718" bestFit="1" customWidth="1"/>
    <col min="12813" max="12813" width="15.85546875" style="718" bestFit="1" customWidth="1"/>
    <col min="12814" max="13052" width="9" style="718"/>
    <col min="13053" max="13053" width="2.140625" style="718" customWidth="1"/>
    <col min="13054" max="13054" width="36.140625" style="718" customWidth="1"/>
    <col min="13055" max="13055" width="1.140625" style="718" customWidth="1"/>
    <col min="13056" max="13056" width="5.7109375" style="718" customWidth="1"/>
    <col min="13057" max="13057" width="2.140625" style="718" customWidth="1"/>
    <col min="13058" max="13058" width="14" style="718" customWidth="1"/>
    <col min="13059" max="13059" width="1.7109375" style="718" customWidth="1"/>
    <col min="13060" max="13060" width="14" style="718" customWidth="1"/>
    <col min="13061" max="13061" width="10.42578125" style="718" customWidth="1"/>
    <col min="13062" max="13062" width="14.5703125" style="718" customWidth="1"/>
    <col min="13063" max="13063" width="0.7109375" style="718" customWidth="1"/>
    <col min="13064" max="13064" width="6.85546875" style="718" customWidth="1"/>
    <col min="13065" max="13065" width="11.42578125" style="718" customWidth="1"/>
    <col min="13066" max="13066" width="10.5703125" style="718" bestFit="1" customWidth="1"/>
    <col min="13067" max="13067" width="9" style="718"/>
    <col min="13068" max="13068" width="9.85546875" style="718" bestFit="1" customWidth="1"/>
    <col min="13069" max="13069" width="15.85546875" style="718" bestFit="1" customWidth="1"/>
    <col min="13070" max="13308" width="9" style="718"/>
    <col min="13309" max="13309" width="2.140625" style="718" customWidth="1"/>
    <col min="13310" max="13310" width="36.140625" style="718" customWidth="1"/>
    <col min="13311" max="13311" width="1.140625" style="718" customWidth="1"/>
    <col min="13312" max="13312" width="5.7109375" style="718" customWidth="1"/>
    <col min="13313" max="13313" width="2.140625" style="718" customWidth="1"/>
    <col min="13314" max="13314" width="14" style="718" customWidth="1"/>
    <col min="13315" max="13315" width="1.7109375" style="718" customWidth="1"/>
    <col min="13316" max="13316" width="14" style="718" customWidth="1"/>
    <col min="13317" max="13317" width="10.42578125" style="718" customWidth="1"/>
    <col min="13318" max="13318" width="14.5703125" style="718" customWidth="1"/>
    <col min="13319" max="13319" width="0.7109375" style="718" customWidth="1"/>
    <col min="13320" max="13320" width="6.85546875" style="718" customWidth="1"/>
    <col min="13321" max="13321" width="11.42578125" style="718" customWidth="1"/>
    <col min="13322" max="13322" width="10.5703125" style="718" bestFit="1" customWidth="1"/>
    <col min="13323" max="13323" width="9" style="718"/>
    <col min="13324" max="13324" width="9.85546875" style="718" bestFit="1" customWidth="1"/>
    <col min="13325" max="13325" width="15.85546875" style="718" bestFit="1" customWidth="1"/>
    <col min="13326" max="13564" width="9" style="718"/>
    <col min="13565" max="13565" width="2.140625" style="718" customWidth="1"/>
    <col min="13566" max="13566" width="36.140625" style="718" customWidth="1"/>
    <col min="13567" max="13567" width="1.140625" style="718" customWidth="1"/>
    <col min="13568" max="13568" width="5.7109375" style="718" customWidth="1"/>
    <col min="13569" max="13569" width="2.140625" style="718" customWidth="1"/>
    <col min="13570" max="13570" width="14" style="718" customWidth="1"/>
    <col min="13571" max="13571" width="1.7109375" style="718" customWidth="1"/>
    <col min="13572" max="13572" width="14" style="718" customWidth="1"/>
    <col min="13573" max="13573" width="10.42578125" style="718" customWidth="1"/>
    <col min="13574" max="13574" width="14.5703125" style="718" customWidth="1"/>
    <col min="13575" max="13575" width="0.7109375" style="718" customWidth="1"/>
    <col min="13576" max="13576" width="6.85546875" style="718" customWidth="1"/>
    <col min="13577" max="13577" width="11.42578125" style="718" customWidth="1"/>
    <col min="13578" max="13578" width="10.5703125" style="718" bestFit="1" customWidth="1"/>
    <col min="13579" max="13579" width="9" style="718"/>
    <col min="13580" max="13580" width="9.85546875" style="718" bestFit="1" customWidth="1"/>
    <col min="13581" max="13581" width="15.85546875" style="718" bestFit="1" customWidth="1"/>
    <col min="13582" max="13820" width="9" style="718"/>
    <col min="13821" max="13821" width="2.140625" style="718" customWidth="1"/>
    <col min="13822" max="13822" width="36.140625" style="718" customWidth="1"/>
    <col min="13823" max="13823" width="1.140625" style="718" customWidth="1"/>
    <col min="13824" max="13824" width="5.7109375" style="718" customWidth="1"/>
    <col min="13825" max="13825" width="2.140625" style="718" customWidth="1"/>
    <col min="13826" max="13826" width="14" style="718" customWidth="1"/>
    <col min="13827" max="13827" width="1.7109375" style="718" customWidth="1"/>
    <col min="13828" max="13828" width="14" style="718" customWidth="1"/>
    <col min="13829" max="13829" width="10.42578125" style="718" customWidth="1"/>
    <col min="13830" max="13830" width="14.5703125" style="718" customWidth="1"/>
    <col min="13831" max="13831" width="0.7109375" style="718" customWidth="1"/>
    <col min="13832" max="13832" width="6.85546875" style="718" customWidth="1"/>
    <col min="13833" max="13833" width="11.42578125" style="718" customWidth="1"/>
    <col min="13834" max="13834" width="10.5703125" style="718" bestFit="1" customWidth="1"/>
    <col min="13835" max="13835" width="9" style="718"/>
    <col min="13836" max="13836" width="9.85546875" style="718" bestFit="1" customWidth="1"/>
    <col min="13837" max="13837" width="15.85546875" style="718" bestFit="1" customWidth="1"/>
    <col min="13838" max="14076" width="9" style="718"/>
    <col min="14077" max="14077" width="2.140625" style="718" customWidth="1"/>
    <col min="14078" max="14078" width="36.140625" style="718" customWidth="1"/>
    <col min="14079" max="14079" width="1.140625" style="718" customWidth="1"/>
    <col min="14080" max="14080" width="5.7109375" style="718" customWidth="1"/>
    <col min="14081" max="14081" width="2.140625" style="718" customWidth="1"/>
    <col min="14082" max="14082" width="14" style="718" customWidth="1"/>
    <col min="14083" max="14083" width="1.7109375" style="718" customWidth="1"/>
    <col min="14084" max="14084" width="14" style="718" customWidth="1"/>
    <col min="14085" max="14085" width="10.42578125" style="718" customWidth="1"/>
    <col min="14086" max="14086" width="14.5703125" style="718" customWidth="1"/>
    <col min="14087" max="14087" width="0.7109375" style="718" customWidth="1"/>
    <col min="14088" max="14088" width="6.85546875" style="718" customWidth="1"/>
    <col min="14089" max="14089" width="11.42578125" style="718" customWidth="1"/>
    <col min="14090" max="14090" width="10.5703125" style="718" bestFit="1" customWidth="1"/>
    <col min="14091" max="14091" width="9" style="718"/>
    <col min="14092" max="14092" width="9.85546875" style="718" bestFit="1" customWidth="1"/>
    <col min="14093" max="14093" width="15.85546875" style="718" bestFit="1" customWidth="1"/>
    <col min="14094" max="14332" width="9" style="718"/>
    <col min="14333" max="14333" width="2.140625" style="718" customWidth="1"/>
    <col min="14334" max="14334" width="36.140625" style="718" customWidth="1"/>
    <col min="14335" max="14335" width="1.140625" style="718" customWidth="1"/>
    <col min="14336" max="14336" width="5.7109375" style="718" customWidth="1"/>
    <col min="14337" max="14337" width="2.140625" style="718" customWidth="1"/>
    <col min="14338" max="14338" width="14" style="718" customWidth="1"/>
    <col min="14339" max="14339" width="1.7109375" style="718" customWidth="1"/>
    <col min="14340" max="14340" width="14" style="718" customWidth="1"/>
    <col min="14341" max="14341" width="10.42578125" style="718" customWidth="1"/>
    <col min="14342" max="14342" width="14.5703125" style="718" customWidth="1"/>
    <col min="14343" max="14343" width="0.7109375" style="718" customWidth="1"/>
    <col min="14344" max="14344" width="6.85546875" style="718" customWidth="1"/>
    <col min="14345" max="14345" width="11.42578125" style="718" customWidth="1"/>
    <col min="14346" max="14346" width="10.5703125" style="718" bestFit="1" customWidth="1"/>
    <col min="14347" max="14347" width="9" style="718"/>
    <col min="14348" max="14348" width="9.85546875" style="718" bestFit="1" customWidth="1"/>
    <col min="14349" max="14349" width="15.85546875" style="718" bestFit="1" customWidth="1"/>
    <col min="14350" max="14588" width="9" style="718"/>
    <col min="14589" max="14589" width="2.140625" style="718" customWidth="1"/>
    <col min="14590" max="14590" width="36.140625" style="718" customWidth="1"/>
    <col min="14591" max="14591" width="1.140625" style="718" customWidth="1"/>
    <col min="14592" max="14592" width="5.7109375" style="718" customWidth="1"/>
    <col min="14593" max="14593" width="2.140625" style="718" customWidth="1"/>
    <col min="14594" max="14594" width="14" style="718" customWidth="1"/>
    <col min="14595" max="14595" width="1.7109375" style="718" customWidth="1"/>
    <col min="14596" max="14596" width="14" style="718" customWidth="1"/>
    <col min="14597" max="14597" width="10.42578125" style="718" customWidth="1"/>
    <col min="14598" max="14598" width="14.5703125" style="718" customWidth="1"/>
    <col min="14599" max="14599" width="0.7109375" style="718" customWidth="1"/>
    <col min="14600" max="14600" width="6.85546875" style="718" customWidth="1"/>
    <col min="14601" max="14601" width="11.42578125" style="718" customWidth="1"/>
    <col min="14602" max="14602" width="10.5703125" style="718" bestFit="1" customWidth="1"/>
    <col min="14603" max="14603" width="9" style="718"/>
    <col min="14604" max="14604" width="9.85546875" style="718" bestFit="1" customWidth="1"/>
    <col min="14605" max="14605" width="15.85546875" style="718" bestFit="1" customWidth="1"/>
    <col min="14606" max="14844" width="9" style="718"/>
    <col min="14845" max="14845" width="2.140625" style="718" customWidth="1"/>
    <col min="14846" max="14846" width="36.140625" style="718" customWidth="1"/>
    <col min="14847" max="14847" width="1.140625" style="718" customWidth="1"/>
    <col min="14848" max="14848" width="5.7109375" style="718" customWidth="1"/>
    <col min="14849" max="14849" width="2.140625" style="718" customWidth="1"/>
    <col min="14850" max="14850" width="14" style="718" customWidth="1"/>
    <col min="14851" max="14851" width="1.7109375" style="718" customWidth="1"/>
    <col min="14852" max="14852" width="14" style="718" customWidth="1"/>
    <col min="14853" max="14853" width="10.42578125" style="718" customWidth="1"/>
    <col min="14854" max="14854" width="14.5703125" style="718" customWidth="1"/>
    <col min="14855" max="14855" width="0.7109375" style="718" customWidth="1"/>
    <col min="14856" max="14856" width="6.85546875" style="718" customWidth="1"/>
    <col min="14857" max="14857" width="11.42578125" style="718" customWidth="1"/>
    <col min="14858" max="14858" width="10.5703125" style="718" bestFit="1" customWidth="1"/>
    <col min="14859" max="14859" width="9" style="718"/>
    <col min="14860" max="14860" width="9.85546875" style="718" bestFit="1" customWidth="1"/>
    <col min="14861" max="14861" width="15.85546875" style="718" bestFit="1" customWidth="1"/>
    <col min="14862" max="15100" width="9" style="718"/>
    <col min="15101" max="15101" width="2.140625" style="718" customWidth="1"/>
    <col min="15102" max="15102" width="36.140625" style="718" customWidth="1"/>
    <col min="15103" max="15103" width="1.140625" style="718" customWidth="1"/>
    <col min="15104" max="15104" width="5.7109375" style="718" customWidth="1"/>
    <col min="15105" max="15105" width="2.140625" style="718" customWidth="1"/>
    <col min="15106" max="15106" width="14" style="718" customWidth="1"/>
    <col min="15107" max="15107" width="1.7109375" style="718" customWidth="1"/>
    <col min="15108" max="15108" width="14" style="718" customWidth="1"/>
    <col min="15109" max="15109" width="10.42578125" style="718" customWidth="1"/>
    <col min="15110" max="15110" width="14.5703125" style="718" customWidth="1"/>
    <col min="15111" max="15111" width="0.7109375" style="718" customWidth="1"/>
    <col min="15112" max="15112" width="6.85546875" style="718" customWidth="1"/>
    <col min="15113" max="15113" width="11.42578125" style="718" customWidth="1"/>
    <col min="15114" max="15114" width="10.5703125" style="718" bestFit="1" customWidth="1"/>
    <col min="15115" max="15115" width="9" style="718"/>
    <col min="15116" max="15116" width="9.85546875" style="718" bestFit="1" customWidth="1"/>
    <col min="15117" max="15117" width="15.85546875" style="718" bestFit="1" customWidth="1"/>
    <col min="15118" max="15356" width="9" style="718"/>
    <col min="15357" max="15357" width="2.140625" style="718" customWidth="1"/>
    <col min="15358" max="15358" width="36.140625" style="718" customWidth="1"/>
    <col min="15359" max="15359" width="1.140625" style="718" customWidth="1"/>
    <col min="15360" max="15360" width="5.7109375" style="718" customWidth="1"/>
    <col min="15361" max="15361" width="2.140625" style="718" customWidth="1"/>
    <col min="15362" max="15362" width="14" style="718" customWidth="1"/>
    <col min="15363" max="15363" width="1.7109375" style="718" customWidth="1"/>
    <col min="15364" max="15364" width="14" style="718" customWidth="1"/>
    <col min="15365" max="15365" width="10.42578125" style="718" customWidth="1"/>
    <col min="15366" max="15366" width="14.5703125" style="718" customWidth="1"/>
    <col min="15367" max="15367" width="0.7109375" style="718" customWidth="1"/>
    <col min="15368" max="15368" width="6.85546875" style="718" customWidth="1"/>
    <col min="15369" max="15369" width="11.42578125" style="718" customWidth="1"/>
    <col min="15370" max="15370" width="10.5703125" style="718" bestFit="1" customWidth="1"/>
    <col min="15371" max="15371" width="9" style="718"/>
    <col min="15372" max="15372" width="9.85546875" style="718" bestFit="1" customWidth="1"/>
    <col min="15373" max="15373" width="15.85546875" style="718" bestFit="1" customWidth="1"/>
    <col min="15374" max="15612" width="9" style="718"/>
    <col min="15613" max="15613" width="2.140625" style="718" customWidth="1"/>
    <col min="15614" max="15614" width="36.140625" style="718" customWidth="1"/>
    <col min="15615" max="15615" width="1.140625" style="718" customWidth="1"/>
    <col min="15616" max="15616" width="5.7109375" style="718" customWidth="1"/>
    <col min="15617" max="15617" width="2.140625" style="718" customWidth="1"/>
    <col min="15618" max="15618" width="14" style="718" customWidth="1"/>
    <col min="15619" max="15619" width="1.7109375" style="718" customWidth="1"/>
    <col min="15620" max="15620" width="14" style="718" customWidth="1"/>
    <col min="15621" max="15621" width="10.42578125" style="718" customWidth="1"/>
    <col min="15622" max="15622" width="14.5703125" style="718" customWidth="1"/>
    <col min="15623" max="15623" width="0.7109375" style="718" customWidth="1"/>
    <col min="15624" max="15624" width="6.85546875" style="718" customWidth="1"/>
    <col min="15625" max="15625" width="11.42578125" style="718" customWidth="1"/>
    <col min="15626" max="15626" width="10.5703125" style="718" bestFit="1" customWidth="1"/>
    <col min="15627" max="15627" width="9" style="718"/>
    <col min="15628" max="15628" width="9.85546875" style="718" bestFit="1" customWidth="1"/>
    <col min="15629" max="15629" width="15.85546875" style="718" bestFit="1" customWidth="1"/>
    <col min="15630" max="15868" width="9" style="718"/>
    <col min="15869" max="15869" width="2.140625" style="718" customWidth="1"/>
    <col min="15870" max="15870" width="36.140625" style="718" customWidth="1"/>
    <col min="15871" max="15871" width="1.140625" style="718" customWidth="1"/>
    <col min="15872" max="15872" width="5.7109375" style="718" customWidth="1"/>
    <col min="15873" max="15873" width="2.140625" style="718" customWidth="1"/>
    <col min="15874" max="15874" width="14" style="718" customWidth="1"/>
    <col min="15875" max="15875" width="1.7109375" style="718" customWidth="1"/>
    <col min="15876" max="15876" width="14" style="718" customWidth="1"/>
    <col min="15877" max="15877" width="10.42578125" style="718" customWidth="1"/>
    <col min="15878" max="15878" width="14.5703125" style="718" customWidth="1"/>
    <col min="15879" max="15879" width="0.7109375" style="718" customWidth="1"/>
    <col min="15880" max="15880" width="6.85546875" style="718" customWidth="1"/>
    <col min="15881" max="15881" width="11.42578125" style="718" customWidth="1"/>
    <col min="15882" max="15882" width="10.5703125" style="718" bestFit="1" customWidth="1"/>
    <col min="15883" max="15883" width="9" style="718"/>
    <col min="15884" max="15884" width="9.85546875" style="718" bestFit="1" customWidth="1"/>
    <col min="15885" max="15885" width="15.85546875" style="718" bestFit="1" customWidth="1"/>
    <col min="15886" max="16124" width="9" style="718"/>
    <col min="16125" max="16125" width="2.140625" style="718" customWidth="1"/>
    <col min="16126" max="16126" width="36.140625" style="718" customWidth="1"/>
    <col min="16127" max="16127" width="1.140625" style="718" customWidth="1"/>
    <col min="16128" max="16128" width="5.7109375" style="718" customWidth="1"/>
    <col min="16129" max="16129" width="2.140625" style="718" customWidth="1"/>
    <col min="16130" max="16130" width="14" style="718" customWidth="1"/>
    <col min="16131" max="16131" width="1.7109375" style="718" customWidth="1"/>
    <col min="16132" max="16132" width="14" style="718" customWidth="1"/>
    <col min="16133" max="16133" width="10.42578125" style="718" customWidth="1"/>
    <col min="16134" max="16134" width="14.5703125" style="718" customWidth="1"/>
    <col min="16135" max="16135" width="0.7109375" style="718" customWidth="1"/>
    <col min="16136" max="16136" width="6.85546875" style="718" customWidth="1"/>
    <col min="16137" max="16137" width="11.42578125" style="718" customWidth="1"/>
    <col min="16138" max="16138" width="10.5703125" style="718" bestFit="1" customWidth="1"/>
    <col min="16139" max="16139" width="9" style="718"/>
    <col min="16140" max="16140" width="9.85546875" style="718" bestFit="1" customWidth="1"/>
    <col min="16141" max="16141" width="15.85546875" style="718" bestFit="1" customWidth="1"/>
    <col min="16142" max="16383" width="9" style="718"/>
    <col min="16384" max="16384" width="9" style="718" customWidth="1"/>
  </cols>
  <sheetData>
    <row r="1" spans="1:14" s="691" customFormat="1" ht="21" x14ac:dyDescent="0.45">
      <c r="A1" s="1353" t="s">
        <v>244</v>
      </c>
      <c r="B1" s="1353"/>
      <c r="C1" s="1353"/>
      <c r="D1" s="1353"/>
      <c r="E1" s="1353"/>
      <c r="F1" s="1353"/>
      <c r="G1" s="1353"/>
      <c r="H1" s="1353"/>
      <c r="I1" s="1353"/>
      <c r="J1" s="689"/>
      <c r="K1" s="690"/>
      <c r="L1" s="690"/>
    </row>
    <row r="2" spans="1:14" s="691" customFormat="1" ht="21" x14ac:dyDescent="0.45">
      <c r="A2" s="1353" t="s">
        <v>242</v>
      </c>
      <c r="B2" s="1353"/>
      <c r="C2" s="1353"/>
      <c r="D2" s="1353"/>
      <c r="E2" s="1353"/>
      <c r="F2" s="1353"/>
      <c r="G2" s="1353"/>
      <c r="H2" s="1353"/>
      <c r="I2" s="1353"/>
      <c r="J2" s="689"/>
      <c r="K2" s="690"/>
      <c r="L2" s="690"/>
    </row>
    <row r="3" spans="1:14" s="691" customFormat="1" ht="21" x14ac:dyDescent="0.45">
      <c r="A3" s="1353" t="s">
        <v>1089</v>
      </c>
      <c r="B3" s="1353"/>
      <c r="C3" s="1353"/>
      <c r="D3" s="1353"/>
      <c r="E3" s="1353"/>
      <c r="F3" s="1353"/>
      <c r="G3" s="1353"/>
      <c r="H3" s="1353"/>
      <c r="I3" s="1353"/>
      <c r="J3" s="689"/>
      <c r="K3" s="690"/>
      <c r="L3" s="690"/>
    </row>
    <row r="4" spans="1:14" s="691" customFormat="1" ht="18.75" x14ac:dyDescent="0.45">
      <c r="A4" s="692"/>
      <c r="B4" s="692"/>
      <c r="C4" s="692"/>
      <c r="D4" s="692"/>
      <c r="E4" s="692"/>
      <c r="F4" s="693"/>
      <c r="G4" s="694"/>
      <c r="H4" s="693"/>
      <c r="I4" s="693"/>
      <c r="J4" s="695"/>
    </row>
    <row r="5" spans="1:14" s="691" customFormat="1" ht="15.75" customHeight="1" x14ac:dyDescent="0.45">
      <c r="A5" s="692"/>
      <c r="B5" s="692"/>
      <c r="C5" s="692"/>
      <c r="D5" s="692"/>
      <c r="E5" s="692"/>
      <c r="F5" s="1358"/>
      <c r="G5" s="1358"/>
      <c r="H5" s="693"/>
      <c r="I5" s="693"/>
      <c r="J5" s="695"/>
    </row>
    <row r="6" spans="1:14" s="691" customFormat="1" ht="21.75" customHeight="1" x14ac:dyDescent="0.55000000000000004">
      <c r="A6" s="692"/>
      <c r="B6" s="692"/>
      <c r="C6" s="692"/>
      <c r="D6" s="696" t="s">
        <v>10</v>
      </c>
      <c r="E6" s="697"/>
      <c r="F6" s="1067" t="s">
        <v>1090</v>
      </c>
      <c r="G6" s="699"/>
      <c r="H6" s="1068" t="s">
        <v>996</v>
      </c>
      <c r="I6" s="693"/>
      <c r="J6" s="695"/>
    </row>
    <row r="7" spans="1:14" s="691" customFormat="1" ht="21.75" customHeight="1" x14ac:dyDescent="0.45">
      <c r="A7" s="692"/>
      <c r="B7" s="692"/>
      <c r="C7" s="692"/>
      <c r="D7" s="697"/>
      <c r="E7" s="697"/>
      <c r="F7" s="700" t="s">
        <v>702</v>
      </c>
      <c r="G7" s="700"/>
      <c r="H7" s="700" t="s">
        <v>702</v>
      </c>
      <c r="I7" s="693"/>
      <c r="J7" s="695"/>
    </row>
    <row r="8" spans="1:14" s="691" customFormat="1" ht="21.75" customHeight="1" x14ac:dyDescent="0.45">
      <c r="A8" s="692"/>
      <c r="B8" s="701" t="s">
        <v>156</v>
      </c>
      <c r="C8" s="692"/>
      <c r="D8" s="697"/>
      <c r="E8" s="697"/>
      <c r="F8" s="693"/>
      <c r="G8" s="693"/>
      <c r="H8" s="693"/>
      <c r="I8" s="693"/>
      <c r="J8" s="695"/>
    </row>
    <row r="9" spans="1:14" s="691" customFormat="1" ht="21.75" customHeight="1" x14ac:dyDescent="0.45">
      <c r="A9" s="694" t="s">
        <v>490</v>
      </c>
      <c r="B9" s="702" t="s">
        <v>157</v>
      </c>
      <c r="C9" s="694"/>
      <c r="D9" s="693">
        <v>5</v>
      </c>
      <c r="E9" s="693"/>
      <c r="F9" s="1248">
        <f>'5'!H17</f>
        <v>7780216810175.3535</v>
      </c>
      <c r="G9" s="1249"/>
      <c r="H9" s="1248">
        <f>'5'!L17</f>
        <v>7918324178970</v>
      </c>
      <c r="I9" s="693"/>
      <c r="J9" s="695"/>
      <c r="K9" s="703"/>
      <c r="L9" s="704"/>
    </row>
    <row r="10" spans="1:14" s="691" customFormat="1" ht="21.75" customHeight="1" x14ac:dyDescent="0.45">
      <c r="A10" s="694"/>
      <c r="B10" s="705" t="s">
        <v>158</v>
      </c>
      <c r="C10" s="694"/>
      <c r="D10" s="693">
        <v>6</v>
      </c>
      <c r="E10" s="693"/>
      <c r="F10" s="1253">
        <f>-'6-1'!I34</f>
        <v>-5666818827105</v>
      </c>
      <c r="G10" s="1249"/>
      <c r="H10" s="1254">
        <f>-'6-1'!K34</f>
        <v>-4842614015552.835</v>
      </c>
      <c r="I10" s="569"/>
      <c r="J10" s="695"/>
      <c r="K10" s="703">
        <v>187798078958</v>
      </c>
    </row>
    <row r="11" spans="1:14" s="691" customFormat="1" ht="21.75" customHeight="1" x14ac:dyDescent="0.45">
      <c r="A11" s="694"/>
      <c r="B11" s="705" t="s">
        <v>11</v>
      </c>
      <c r="C11" s="973"/>
      <c r="D11" s="969"/>
      <c r="E11" s="693"/>
      <c r="F11" s="1249">
        <f>SUM(F9:F10)</f>
        <v>2113397983070.3535</v>
      </c>
      <c r="G11" s="1248"/>
      <c r="H11" s="1249">
        <f>SUM(H9:H10)</f>
        <v>3075710163417.165</v>
      </c>
      <c r="I11" s="969"/>
      <c r="J11" s="1015"/>
      <c r="K11" s="703">
        <v>10157515249</v>
      </c>
      <c r="M11" s="706"/>
    </row>
    <row r="12" spans="1:14" s="691" customFormat="1" ht="21.75" customHeight="1" x14ac:dyDescent="0.45">
      <c r="A12" s="694"/>
      <c r="B12" s="705" t="s">
        <v>12</v>
      </c>
      <c r="C12" s="694"/>
      <c r="D12" s="693">
        <v>7</v>
      </c>
      <c r="E12" s="693"/>
      <c r="F12" s="1255">
        <f>'6-2'!E53*-1</f>
        <v>-565711325389</v>
      </c>
      <c r="G12" s="1249"/>
      <c r="H12" s="1255">
        <f>-'6-2'!G53</f>
        <v>-480354446372.66473</v>
      </c>
      <c r="I12" s="569"/>
      <c r="J12" s="695"/>
      <c r="K12" s="703"/>
      <c r="L12" s="704"/>
      <c r="M12" s="704">
        <v>214534974846</v>
      </c>
      <c r="N12" s="707"/>
    </row>
    <row r="13" spans="1:14" s="691" customFormat="1" ht="21.75" customHeight="1" x14ac:dyDescent="0.45">
      <c r="A13" s="694"/>
      <c r="B13" s="705" t="s">
        <v>159</v>
      </c>
      <c r="C13" s="694"/>
      <c r="D13" s="693">
        <v>8</v>
      </c>
      <c r="E13" s="693"/>
      <c r="F13" s="1249">
        <f>'8.9.10.11'!G12</f>
        <v>24102840311</v>
      </c>
      <c r="G13" s="1249"/>
      <c r="H13" s="1249">
        <f>'8.9.10.11'!I12</f>
        <v>40297561007</v>
      </c>
      <c r="I13" s="569"/>
      <c r="J13" s="695"/>
      <c r="K13" s="703"/>
      <c r="L13" s="695"/>
      <c r="M13" s="704"/>
    </row>
    <row r="14" spans="1:14" s="691" customFormat="1" ht="21.75" customHeight="1" x14ac:dyDescent="0.45">
      <c r="A14" s="694"/>
      <c r="B14" s="705" t="s">
        <v>160</v>
      </c>
      <c r="C14" s="694"/>
      <c r="D14" s="693">
        <v>9</v>
      </c>
      <c r="E14" s="693"/>
      <c r="F14" s="1254">
        <f>-'8.9.10.11'!G24</f>
        <v>-33007588412</v>
      </c>
      <c r="G14" s="1249"/>
      <c r="H14" s="1250">
        <f>-'8.9.10.11'!I24</f>
        <v>0</v>
      </c>
      <c r="I14" s="569"/>
      <c r="J14" s="695"/>
      <c r="K14" s="703"/>
      <c r="L14" s="704"/>
      <c r="M14" s="704"/>
      <c r="N14" s="707"/>
    </row>
    <row r="15" spans="1:14" s="691" customFormat="1" ht="21.75" customHeight="1" x14ac:dyDescent="0.45">
      <c r="A15" s="694"/>
      <c r="B15" s="705" t="s">
        <v>13</v>
      </c>
      <c r="C15" s="694"/>
      <c r="D15" s="693"/>
      <c r="E15" s="693"/>
      <c r="F15" s="1251">
        <f>F11+F12+F13+F14</f>
        <v>1538781909580.3535</v>
      </c>
      <c r="G15" s="1248"/>
      <c r="H15" s="1251">
        <f>SUM(H11:H14)</f>
        <v>2635653278051.5005</v>
      </c>
      <c r="I15" s="708"/>
      <c r="J15" s="708"/>
      <c r="K15" s="703"/>
      <c r="L15" s="695"/>
      <c r="M15" s="704"/>
    </row>
    <row r="16" spans="1:14" s="691" customFormat="1" ht="21.75" customHeight="1" x14ac:dyDescent="0.45">
      <c r="A16" s="694"/>
      <c r="B16" s="705" t="s">
        <v>14</v>
      </c>
      <c r="C16" s="694"/>
      <c r="D16" s="693">
        <v>10</v>
      </c>
      <c r="E16" s="693"/>
      <c r="F16" s="1255">
        <f>-'8.9.10.11'!G33</f>
        <v>-350456102062</v>
      </c>
      <c r="G16" s="1249"/>
      <c r="H16" s="1255">
        <f>-'8.9.10.11'!I33</f>
        <v>-368228749228</v>
      </c>
      <c r="I16" s="569"/>
      <c r="J16" s="695"/>
      <c r="K16" s="703"/>
      <c r="L16" s="695"/>
      <c r="M16" s="704"/>
    </row>
    <row r="17" spans="1:16383" s="691" customFormat="1" ht="21.75" customHeight="1" x14ac:dyDescent="0.45">
      <c r="A17" s="694"/>
      <c r="B17" s="705" t="s">
        <v>15</v>
      </c>
      <c r="C17" s="694"/>
      <c r="D17" s="693">
        <v>11</v>
      </c>
      <c r="E17" s="693"/>
      <c r="F17" s="1250">
        <f>'8.9.10.11'!G43</f>
        <v>43486146002</v>
      </c>
      <c r="G17" s="1249"/>
      <c r="H17" s="1250">
        <f>'8.9.10.11'!I43</f>
        <v>13919596124</v>
      </c>
      <c r="I17" s="569"/>
      <c r="J17" s="695"/>
      <c r="L17" s="695"/>
      <c r="N17" s="704"/>
    </row>
    <row r="18" spans="1:16383" s="691" customFormat="1" ht="21.75" customHeight="1" x14ac:dyDescent="0.45">
      <c r="A18" s="694"/>
      <c r="B18" s="705" t="s">
        <v>9</v>
      </c>
      <c r="C18" s="694"/>
      <c r="D18" s="693"/>
      <c r="E18" s="693"/>
      <c r="F18" s="1251">
        <f>F15+F16+F17-1</f>
        <v>1231811953519.3535</v>
      </c>
      <c r="G18" s="1251"/>
      <c r="H18" s="1251">
        <f>SUM(H15:H17)</f>
        <v>2281344124947.5005</v>
      </c>
      <c r="I18" s="708"/>
      <c r="J18" s="695"/>
      <c r="K18" s="704"/>
      <c r="L18" s="709">
        <f>F18*0.25</f>
        <v>307952988379.83838</v>
      </c>
    </row>
    <row r="19" spans="1:16383" s="691" customFormat="1" ht="21.75" customHeight="1" x14ac:dyDescent="0.45">
      <c r="A19" s="694"/>
      <c r="B19" s="705"/>
      <c r="C19" s="694"/>
      <c r="D19" s="693"/>
      <c r="E19" s="693"/>
      <c r="F19" s="1251"/>
      <c r="G19" s="1251"/>
      <c r="H19" s="1251"/>
      <c r="I19" s="708"/>
      <c r="J19" s="695"/>
      <c r="K19" s="704"/>
      <c r="L19" s="710"/>
    </row>
    <row r="20" spans="1:16383" s="691" customFormat="1" ht="21.75" customHeight="1" x14ac:dyDescent="0.45">
      <c r="A20" s="694"/>
      <c r="B20" s="705" t="s">
        <v>161</v>
      </c>
      <c r="C20" s="694"/>
      <c r="D20" s="693"/>
      <c r="E20" s="693"/>
      <c r="F20" s="1251"/>
      <c r="G20" s="1249"/>
      <c r="H20" s="1249"/>
      <c r="I20" s="569"/>
      <c r="J20" s="695"/>
      <c r="K20" s="704">
        <f>F18-22837331920-23353106087</f>
        <v>1185621515512.3535</v>
      </c>
      <c r="L20" s="709">
        <f>F18-'5-10'!F21-'8.9.10.11'!G41</f>
        <v>1138648203045.3535</v>
      </c>
      <c r="M20" s="711"/>
    </row>
    <row r="21" spans="1:16383" s="691" customFormat="1" ht="21.75" customHeight="1" x14ac:dyDescent="0.45">
      <c r="A21" s="694"/>
      <c r="B21" s="702" t="s">
        <v>16</v>
      </c>
      <c r="C21" s="694"/>
      <c r="D21" s="693">
        <v>23</v>
      </c>
      <c r="E21" s="693"/>
      <c r="F21" s="1255">
        <f>-(F18-'8.9.10.11'!G38-'8.9.10.11'!G41-'8.9.10.11'!G9)*20%</f>
        <v>-237124303102.4707</v>
      </c>
      <c r="G21" s="1249"/>
      <c r="H21" s="1255">
        <f>-568744101571</f>
        <v>-568744101571</v>
      </c>
      <c r="I21" s="569"/>
      <c r="J21" s="709"/>
      <c r="K21" s="704"/>
      <c r="L21" s="710"/>
      <c r="M21" s="704"/>
      <c r="N21" s="711"/>
    </row>
    <row r="22" spans="1:16383" s="691" customFormat="1" ht="21.75" customHeight="1" thickBot="1" x14ac:dyDescent="0.5">
      <c r="A22" s="694"/>
      <c r="B22" s="705" t="s">
        <v>18</v>
      </c>
      <c r="C22" s="694"/>
      <c r="D22" s="693"/>
      <c r="E22" s="693"/>
      <c r="F22" s="1252">
        <f>SUM(F18:F21)</f>
        <v>994687650416.88281</v>
      </c>
      <c r="G22" s="1251"/>
      <c r="H22" s="1252">
        <f>SUM(H18:H21)-1</f>
        <v>1712600023375.5005</v>
      </c>
      <c r="I22" s="708"/>
      <c r="J22" s="695"/>
      <c r="K22" s="712">
        <f>K20*20%</f>
        <v>237124303102.4707</v>
      </c>
      <c r="L22" s="712">
        <f>L20*0.15</f>
        <v>170797230456.80301</v>
      </c>
      <c r="M22" s="711"/>
    </row>
    <row r="23" spans="1:16383" s="691" customFormat="1" ht="46.5" customHeight="1" thickTop="1" x14ac:dyDescent="0.55000000000000004">
      <c r="A23" s="694"/>
      <c r="B23" s="713"/>
      <c r="C23" s="694"/>
      <c r="D23" s="693"/>
      <c r="E23" s="693"/>
      <c r="F23" s="569"/>
      <c r="G23" s="714"/>
      <c r="H23" s="569"/>
      <c r="I23" s="569"/>
      <c r="J23" s="695"/>
      <c r="K23" s="715"/>
      <c r="L23" s="715"/>
      <c r="M23" s="695"/>
    </row>
    <row r="24" spans="1:16383" s="691" customFormat="1" ht="6.75" customHeight="1" x14ac:dyDescent="0.55000000000000004">
      <c r="A24" s="694"/>
      <c r="B24" s="713"/>
      <c r="C24" s="694"/>
      <c r="D24" s="693"/>
      <c r="E24" s="693"/>
      <c r="F24" s="569"/>
      <c r="G24" s="714"/>
      <c r="H24" s="569"/>
      <c r="I24" s="569"/>
      <c r="J24" s="695"/>
      <c r="K24" s="715"/>
      <c r="L24" s="715"/>
      <c r="M24" s="695"/>
    </row>
    <row r="25" spans="1:16383" s="691" customFormat="1" ht="21.75" customHeight="1" x14ac:dyDescent="0.55000000000000004">
      <c r="A25" s="694"/>
      <c r="B25" s="713"/>
      <c r="C25" s="694"/>
      <c r="D25" s="693"/>
      <c r="E25" s="693"/>
      <c r="F25" s="569"/>
      <c r="G25" s="714"/>
      <c r="H25" s="569"/>
      <c r="I25" s="569"/>
      <c r="J25" s="695"/>
      <c r="K25" s="704">
        <f>F18-'8.9.10.11'!G38-'8.9.10.11'!G9</f>
        <v>1185621515512.3535</v>
      </c>
      <c r="M25" s="695"/>
    </row>
    <row r="26" spans="1:16383" s="716" customFormat="1" ht="21.75" customHeight="1" x14ac:dyDescent="0.45">
      <c r="A26" s="1359" t="s">
        <v>1292</v>
      </c>
      <c r="B26" s="1359"/>
      <c r="C26" s="1359"/>
      <c r="D26" s="1359"/>
      <c r="E26" s="1359"/>
      <c r="F26" s="1359"/>
      <c r="G26" s="1359"/>
      <c r="H26" s="1359"/>
      <c r="I26" s="1359"/>
      <c r="J26" s="1360"/>
      <c r="K26" s="1360"/>
      <c r="L26" s="1360"/>
      <c r="M26" s="1360"/>
      <c r="N26" s="1360"/>
      <c r="O26" s="1360"/>
      <c r="P26" s="1360"/>
      <c r="Q26" s="1360"/>
      <c r="R26" s="1360"/>
      <c r="S26" s="1360"/>
      <c r="T26" s="1360"/>
      <c r="U26" s="1360"/>
      <c r="V26" s="1360"/>
      <c r="W26" s="1360"/>
      <c r="X26" s="1360"/>
      <c r="Y26" s="1360"/>
      <c r="Z26" s="1360"/>
      <c r="AA26" s="1360"/>
      <c r="AB26" s="1360"/>
      <c r="AC26" s="1360"/>
      <c r="AD26" s="1360"/>
      <c r="AE26" s="1360"/>
      <c r="AF26" s="1360"/>
      <c r="AG26" s="1360"/>
      <c r="AH26" s="1360"/>
      <c r="AI26" s="1360"/>
      <c r="AJ26" s="1360"/>
      <c r="AK26" s="1360"/>
      <c r="AL26" s="1360"/>
      <c r="AM26" s="1360"/>
      <c r="AN26" s="1360"/>
      <c r="AO26" s="1360"/>
      <c r="AP26" s="1360"/>
      <c r="AQ26" s="1360"/>
      <c r="AR26" s="1360"/>
      <c r="AS26" s="1360"/>
      <c r="AT26" s="1360"/>
      <c r="AU26" s="1360"/>
      <c r="AV26" s="1360"/>
      <c r="AW26" s="1360"/>
      <c r="AX26" s="1360"/>
      <c r="AY26" s="1360"/>
      <c r="AZ26" s="1360"/>
      <c r="BA26" s="1360"/>
      <c r="BB26" s="1360"/>
      <c r="BC26" s="1360"/>
      <c r="BD26" s="1360"/>
      <c r="BE26" s="1360"/>
      <c r="BF26" s="1360"/>
      <c r="BG26" s="1360"/>
      <c r="BH26" s="1360"/>
      <c r="BI26" s="1360"/>
      <c r="BJ26" s="1360"/>
      <c r="BK26" s="1360"/>
      <c r="BL26" s="1360"/>
      <c r="BM26" s="1360"/>
      <c r="BN26" s="1360"/>
      <c r="BO26" s="1360"/>
      <c r="BP26" s="1360"/>
      <c r="BQ26" s="1360"/>
      <c r="BR26" s="1360"/>
      <c r="BS26" s="1360"/>
      <c r="BT26" s="1360"/>
      <c r="BU26" s="1360"/>
      <c r="BV26" s="1360"/>
      <c r="BW26" s="1360"/>
      <c r="BX26" s="1360"/>
      <c r="BY26" s="1360"/>
      <c r="BZ26" s="1360"/>
      <c r="CA26" s="1360"/>
      <c r="CB26" s="1360"/>
      <c r="CC26" s="1360"/>
      <c r="CD26" s="1360"/>
      <c r="CE26" s="1360"/>
      <c r="CF26" s="1360"/>
      <c r="CG26" s="1360"/>
      <c r="CH26" s="1360"/>
      <c r="CI26" s="1360"/>
      <c r="CJ26" s="1360"/>
      <c r="CK26" s="1360"/>
      <c r="CL26" s="1360"/>
      <c r="CM26" s="1360"/>
      <c r="CN26" s="1360"/>
      <c r="CO26" s="1360"/>
      <c r="CP26" s="1360"/>
      <c r="CQ26" s="1360"/>
      <c r="CR26" s="1360"/>
      <c r="CS26" s="1360"/>
      <c r="CT26" s="1360"/>
      <c r="CU26" s="1360"/>
      <c r="CV26" s="1360"/>
      <c r="CW26" s="1360"/>
      <c r="CX26" s="1360"/>
      <c r="CY26" s="1360"/>
      <c r="CZ26" s="1360"/>
      <c r="DA26" s="1360"/>
      <c r="DB26" s="1360"/>
      <c r="DC26" s="1360"/>
      <c r="DD26" s="1360"/>
      <c r="DE26" s="1360"/>
      <c r="DF26" s="1360"/>
      <c r="DG26" s="1360"/>
      <c r="DH26" s="1360"/>
      <c r="DI26" s="1360"/>
      <c r="DJ26" s="1360"/>
      <c r="DK26" s="1360"/>
      <c r="DL26" s="1360"/>
      <c r="DM26" s="1360"/>
      <c r="DN26" s="1360"/>
      <c r="DO26" s="1360"/>
      <c r="DP26" s="1360"/>
      <c r="DQ26" s="1360"/>
      <c r="DR26" s="1360"/>
      <c r="DS26" s="1360"/>
      <c r="DT26" s="1360"/>
      <c r="DU26" s="1360"/>
      <c r="DV26" s="1360"/>
      <c r="DW26" s="1360"/>
      <c r="DX26" s="1360"/>
      <c r="DY26" s="1360"/>
      <c r="DZ26" s="1360"/>
      <c r="EA26" s="1360"/>
      <c r="EB26" s="1360"/>
      <c r="EC26" s="1360"/>
      <c r="ED26" s="1360"/>
      <c r="EE26" s="1360"/>
      <c r="EF26" s="1360"/>
      <c r="EG26" s="1360"/>
      <c r="EH26" s="1360"/>
      <c r="EI26" s="1360"/>
      <c r="EJ26" s="1360"/>
      <c r="EK26" s="1360"/>
      <c r="EL26" s="1360"/>
      <c r="EM26" s="1360"/>
      <c r="EN26" s="1360"/>
      <c r="EO26" s="1360"/>
      <c r="EP26" s="1360"/>
      <c r="EQ26" s="1360"/>
      <c r="ER26" s="1360"/>
      <c r="ES26" s="1360"/>
      <c r="ET26" s="1360"/>
      <c r="EU26" s="1360"/>
      <c r="EV26" s="1360"/>
      <c r="EW26" s="1360"/>
      <c r="EX26" s="1360"/>
      <c r="EY26" s="1360"/>
      <c r="EZ26" s="1360"/>
      <c r="FA26" s="1360"/>
      <c r="FB26" s="1360"/>
      <c r="FC26" s="1360"/>
      <c r="FD26" s="1360"/>
      <c r="FE26" s="1360"/>
      <c r="FF26" s="1360"/>
      <c r="FG26" s="1360"/>
      <c r="FH26" s="1360"/>
      <c r="FI26" s="1360"/>
      <c r="FJ26" s="1360"/>
      <c r="FK26" s="1360"/>
      <c r="FL26" s="1360"/>
      <c r="FM26" s="1360"/>
      <c r="FN26" s="1360"/>
      <c r="FO26" s="1360"/>
      <c r="FP26" s="1360"/>
      <c r="FQ26" s="1360"/>
      <c r="FR26" s="1360"/>
      <c r="FS26" s="1360"/>
      <c r="FT26" s="1360"/>
      <c r="FU26" s="1360"/>
      <c r="FV26" s="1360"/>
      <c r="FW26" s="1360"/>
      <c r="FX26" s="1360"/>
      <c r="FY26" s="1360"/>
      <c r="FZ26" s="1360"/>
      <c r="GA26" s="1360"/>
      <c r="GB26" s="1360"/>
      <c r="GC26" s="1360"/>
      <c r="GD26" s="1360"/>
      <c r="GE26" s="1360"/>
      <c r="GF26" s="1360"/>
      <c r="GG26" s="1360"/>
      <c r="GH26" s="1360"/>
      <c r="GI26" s="1360"/>
      <c r="GJ26" s="1360"/>
      <c r="GK26" s="1360"/>
      <c r="GL26" s="1360"/>
      <c r="GM26" s="1360"/>
      <c r="GN26" s="1360"/>
      <c r="GO26" s="1360"/>
      <c r="GP26" s="1360"/>
      <c r="GQ26" s="1360"/>
      <c r="GR26" s="1360"/>
      <c r="GS26" s="1360"/>
      <c r="GT26" s="1360"/>
      <c r="GU26" s="1360"/>
      <c r="GV26" s="1360"/>
      <c r="GW26" s="1360"/>
      <c r="GX26" s="1360"/>
      <c r="GY26" s="1360"/>
      <c r="GZ26" s="1360"/>
      <c r="HA26" s="1360"/>
      <c r="HB26" s="1360"/>
      <c r="HC26" s="1360"/>
      <c r="HD26" s="1360"/>
      <c r="HE26" s="1360"/>
      <c r="HF26" s="1360"/>
      <c r="HG26" s="1360"/>
      <c r="HH26" s="1360"/>
      <c r="HI26" s="1360"/>
      <c r="HJ26" s="1360"/>
      <c r="HK26" s="1360"/>
      <c r="HL26" s="1360"/>
      <c r="HM26" s="1360"/>
      <c r="HN26" s="1360"/>
      <c r="HO26" s="1360"/>
      <c r="HP26" s="1360"/>
      <c r="HQ26" s="1360"/>
      <c r="HR26" s="1360"/>
      <c r="HS26" s="1360"/>
      <c r="HT26" s="1360"/>
      <c r="HU26" s="1360"/>
      <c r="HV26" s="1360"/>
      <c r="HW26" s="1360"/>
      <c r="HX26" s="1360"/>
      <c r="HY26" s="1360"/>
      <c r="HZ26" s="1360"/>
      <c r="IA26" s="1360"/>
      <c r="IB26" s="1360"/>
      <c r="IC26" s="1360"/>
      <c r="ID26" s="1360"/>
      <c r="IE26" s="1360"/>
      <c r="IF26" s="1360"/>
      <c r="IG26" s="1360"/>
      <c r="IH26" s="1360"/>
      <c r="II26" s="1360"/>
      <c r="IJ26" s="1360"/>
      <c r="IK26" s="1360"/>
      <c r="IL26" s="1360"/>
      <c r="IM26" s="1360"/>
      <c r="IN26" s="1360"/>
      <c r="IO26" s="1360"/>
      <c r="IP26" s="1360"/>
      <c r="IQ26" s="1360"/>
      <c r="IR26" s="1360"/>
      <c r="IS26" s="1360"/>
      <c r="IT26" s="1360"/>
      <c r="IU26" s="1360"/>
      <c r="IV26" s="1360"/>
      <c r="IW26" s="1360"/>
      <c r="IX26" s="1360"/>
      <c r="IY26" s="1360"/>
      <c r="IZ26" s="1360"/>
      <c r="JA26" s="1360"/>
      <c r="JB26" s="1360"/>
      <c r="JC26" s="1360"/>
      <c r="JD26" s="1360"/>
      <c r="JE26" s="1360"/>
      <c r="JF26" s="1360"/>
      <c r="JG26" s="1360"/>
      <c r="JH26" s="1360"/>
      <c r="JI26" s="1360"/>
      <c r="JJ26" s="1360"/>
      <c r="JK26" s="1360"/>
      <c r="JL26" s="1360"/>
      <c r="JM26" s="1360"/>
      <c r="JN26" s="1360"/>
      <c r="JO26" s="1360"/>
      <c r="JP26" s="1360"/>
      <c r="JQ26" s="1360"/>
      <c r="JR26" s="1360"/>
      <c r="JS26" s="1360"/>
      <c r="JT26" s="1360"/>
      <c r="JU26" s="1360"/>
      <c r="JV26" s="1360"/>
      <c r="JW26" s="1360"/>
      <c r="JX26" s="1360"/>
      <c r="JY26" s="1360"/>
      <c r="JZ26" s="1360"/>
      <c r="KA26" s="1360"/>
      <c r="KB26" s="1360"/>
      <c r="KC26" s="1360"/>
      <c r="KD26" s="1360"/>
      <c r="KE26" s="1360"/>
      <c r="KF26" s="1360"/>
      <c r="KG26" s="1360"/>
      <c r="KH26" s="1360"/>
      <c r="KI26" s="1360"/>
      <c r="KJ26" s="1360"/>
      <c r="KK26" s="1360"/>
      <c r="KL26" s="1360"/>
      <c r="KM26" s="1360"/>
      <c r="KN26" s="1360"/>
      <c r="KO26" s="1360"/>
      <c r="KP26" s="1360"/>
      <c r="KQ26" s="1360"/>
      <c r="KR26" s="1360"/>
      <c r="KS26" s="1360"/>
      <c r="KT26" s="1360"/>
      <c r="KU26" s="1360"/>
      <c r="KV26" s="1360"/>
      <c r="KW26" s="1360"/>
      <c r="KX26" s="1360"/>
      <c r="KY26" s="1360"/>
      <c r="KZ26" s="1360"/>
      <c r="LA26" s="1360"/>
      <c r="LB26" s="1360"/>
      <c r="LC26" s="1360"/>
      <c r="LD26" s="1360"/>
      <c r="LE26" s="1360"/>
      <c r="LF26" s="1360"/>
      <c r="LG26" s="1360"/>
      <c r="LH26" s="1360"/>
      <c r="LI26" s="1360"/>
      <c r="LJ26" s="1360"/>
      <c r="LK26" s="1360"/>
      <c r="LL26" s="1360"/>
      <c r="LM26" s="1360"/>
      <c r="LN26" s="1360"/>
      <c r="LO26" s="1360"/>
      <c r="LP26" s="1360"/>
      <c r="LQ26" s="1360"/>
      <c r="LR26" s="1360"/>
      <c r="LS26" s="1360"/>
      <c r="LT26" s="1360"/>
      <c r="LU26" s="1360"/>
      <c r="LV26" s="1360"/>
      <c r="LW26" s="1360"/>
      <c r="LX26" s="1360"/>
      <c r="LY26" s="1360"/>
      <c r="LZ26" s="1360"/>
      <c r="MA26" s="1360"/>
      <c r="MB26" s="1360"/>
      <c r="MC26" s="1360"/>
      <c r="MD26" s="1360"/>
      <c r="ME26" s="1360"/>
      <c r="MF26" s="1360"/>
      <c r="MG26" s="1360"/>
      <c r="MH26" s="1360"/>
      <c r="MI26" s="1360"/>
      <c r="MJ26" s="1360"/>
      <c r="MK26" s="1360"/>
      <c r="ML26" s="1360"/>
      <c r="MM26" s="1360"/>
      <c r="MN26" s="1360"/>
      <c r="MO26" s="1360"/>
      <c r="MP26" s="1360"/>
      <c r="MQ26" s="1360"/>
      <c r="MR26" s="1360"/>
      <c r="MS26" s="1360"/>
      <c r="MT26" s="1360"/>
      <c r="MU26" s="1360"/>
      <c r="MV26" s="1360"/>
      <c r="MW26" s="1360"/>
      <c r="MX26" s="1360"/>
      <c r="MY26" s="1360"/>
      <c r="MZ26" s="1360"/>
      <c r="NA26" s="1360"/>
      <c r="NB26" s="1360"/>
      <c r="NC26" s="1360"/>
      <c r="ND26" s="1360"/>
      <c r="NE26" s="1360"/>
      <c r="NF26" s="1360"/>
      <c r="NG26" s="1360"/>
      <c r="NH26" s="1360"/>
      <c r="NI26" s="1360"/>
      <c r="NJ26" s="1360"/>
      <c r="NK26" s="1360"/>
      <c r="NL26" s="1360"/>
      <c r="NM26" s="1360"/>
      <c r="NN26" s="1360"/>
      <c r="NO26" s="1360"/>
      <c r="NP26" s="1360"/>
      <c r="NQ26" s="1360"/>
      <c r="NR26" s="1360"/>
      <c r="NS26" s="1360"/>
      <c r="NT26" s="1360"/>
      <c r="NU26" s="1360"/>
      <c r="NV26" s="1360"/>
      <c r="NW26" s="1360"/>
      <c r="NX26" s="1360"/>
      <c r="NY26" s="1360"/>
      <c r="NZ26" s="1360"/>
      <c r="OA26" s="1360"/>
      <c r="OB26" s="1360"/>
      <c r="OC26" s="1360"/>
      <c r="OD26" s="1360"/>
      <c r="OE26" s="1360"/>
      <c r="OF26" s="1360"/>
      <c r="OG26" s="1360"/>
      <c r="OH26" s="1360"/>
      <c r="OI26" s="1360"/>
      <c r="OJ26" s="1360"/>
      <c r="OK26" s="1360"/>
      <c r="OL26" s="1360"/>
      <c r="OM26" s="1360"/>
      <c r="ON26" s="1360"/>
      <c r="OO26" s="1360"/>
      <c r="OP26" s="1360"/>
      <c r="OQ26" s="1360"/>
      <c r="OR26" s="1360"/>
      <c r="OS26" s="1360"/>
      <c r="OT26" s="1360"/>
      <c r="OU26" s="1360"/>
      <c r="OV26" s="1360"/>
      <c r="OW26" s="1360"/>
      <c r="OX26" s="1360"/>
      <c r="OY26" s="1360"/>
      <c r="OZ26" s="1360"/>
      <c r="PA26" s="1360"/>
      <c r="PB26" s="1360"/>
      <c r="PC26" s="1360"/>
      <c r="PD26" s="1360"/>
      <c r="PE26" s="1360"/>
      <c r="PF26" s="1360"/>
      <c r="PG26" s="1360"/>
      <c r="PH26" s="1360"/>
      <c r="PI26" s="1360"/>
      <c r="PJ26" s="1360"/>
      <c r="PK26" s="1360"/>
      <c r="PL26" s="1360"/>
      <c r="PM26" s="1360"/>
      <c r="PN26" s="1360"/>
      <c r="PO26" s="1360"/>
      <c r="PP26" s="1360"/>
      <c r="PQ26" s="1360"/>
      <c r="PR26" s="1360"/>
      <c r="PS26" s="1360"/>
      <c r="PT26" s="1360"/>
      <c r="PU26" s="1360"/>
      <c r="PV26" s="1360"/>
      <c r="PW26" s="1360"/>
      <c r="PX26" s="1360"/>
      <c r="PY26" s="1360"/>
      <c r="PZ26" s="1360"/>
      <c r="QA26" s="1360"/>
      <c r="QB26" s="1360"/>
      <c r="QC26" s="1360"/>
      <c r="QD26" s="1360"/>
      <c r="QE26" s="1360"/>
      <c r="QF26" s="1360"/>
      <c r="QG26" s="1360"/>
      <c r="QH26" s="1360"/>
      <c r="QI26" s="1360"/>
      <c r="QJ26" s="1360"/>
      <c r="QK26" s="1360"/>
      <c r="QL26" s="1360"/>
      <c r="QM26" s="1360"/>
      <c r="QN26" s="1360"/>
      <c r="QO26" s="1360"/>
      <c r="QP26" s="1360"/>
      <c r="QQ26" s="1360"/>
      <c r="QR26" s="1360"/>
      <c r="QS26" s="1360"/>
      <c r="QT26" s="1360"/>
      <c r="QU26" s="1360"/>
      <c r="QV26" s="1360"/>
      <c r="QW26" s="1360"/>
      <c r="QX26" s="1360"/>
      <c r="QY26" s="1360"/>
      <c r="QZ26" s="1360"/>
      <c r="RA26" s="1360"/>
      <c r="RB26" s="1360"/>
      <c r="RC26" s="1360"/>
      <c r="RD26" s="1360"/>
      <c r="RE26" s="1360"/>
      <c r="RF26" s="1360"/>
      <c r="RG26" s="1360"/>
      <c r="RH26" s="1360"/>
      <c r="RI26" s="1360"/>
      <c r="RJ26" s="1360"/>
      <c r="RK26" s="1360"/>
      <c r="RL26" s="1360"/>
      <c r="RM26" s="1360"/>
      <c r="RN26" s="1360"/>
      <c r="RO26" s="1360"/>
      <c r="RP26" s="1360"/>
      <c r="RQ26" s="1360"/>
      <c r="RR26" s="1360"/>
      <c r="RS26" s="1360"/>
      <c r="RT26" s="1360"/>
      <c r="RU26" s="1360"/>
      <c r="RV26" s="1360"/>
      <c r="RW26" s="1360"/>
      <c r="RX26" s="1360"/>
      <c r="RY26" s="1360"/>
      <c r="RZ26" s="1360"/>
      <c r="SA26" s="1360"/>
      <c r="SB26" s="1360"/>
      <c r="SC26" s="1360"/>
      <c r="SD26" s="1360"/>
      <c r="SE26" s="1360"/>
      <c r="SF26" s="1360"/>
      <c r="SG26" s="1360"/>
      <c r="SH26" s="1360"/>
      <c r="SI26" s="1360"/>
      <c r="SJ26" s="1360"/>
      <c r="SK26" s="1360"/>
      <c r="SL26" s="1360"/>
      <c r="SM26" s="1360"/>
      <c r="SN26" s="1360"/>
      <c r="SO26" s="1360"/>
      <c r="SP26" s="1360"/>
      <c r="SQ26" s="1360"/>
      <c r="SR26" s="1360"/>
      <c r="SS26" s="1360"/>
      <c r="ST26" s="1360"/>
      <c r="SU26" s="1360"/>
      <c r="SV26" s="1360"/>
      <c r="SW26" s="1360"/>
      <c r="SX26" s="1360"/>
      <c r="SY26" s="1360"/>
      <c r="SZ26" s="1360"/>
      <c r="TA26" s="1360"/>
      <c r="TB26" s="1360"/>
      <c r="TC26" s="1360"/>
      <c r="TD26" s="1360"/>
      <c r="TE26" s="1360"/>
      <c r="TF26" s="1360"/>
      <c r="TG26" s="1360"/>
      <c r="TH26" s="1360"/>
      <c r="TI26" s="1360"/>
      <c r="TJ26" s="1360"/>
      <c r="TK26" s="1360"/>
      <c r="TL26" s="1360"/>
      <c r="TM26" s="1360"/>
      <c r="TN26" s="1360"/>
      <c r="TO26" s="1360"/>
      <c r="TP26" s="1360"/>
      <c r="TQ26" s="1360"/>
      <c r="TR26" s="1360"/>
      <c r="TS26" s="1360"/>
      <c r="TT26" s="1360"/>
      <c r="TU26" s="1360"/>
      <c r="TV26" s="1360"/>
      <c r="TW26" s="1360"/>
      <c r="TX26" s="1360"/>
      <c r="TY26" s="1360"/>
      <c r="TZ26" s="1360"/>
      <c r="UA26" s="1360"/>
      <c r="UB26" s="1360"/>
      <c r="UC26" s="1360"/>
      <c r="UD26" s="1360"/>
      <c r="UE26" s="1360"/>
      <c r="UF26" s="1360"/>
      <c r="UG26" s="1360"/>
      <c r="UH26" s="1360"/>
      <c r="UI26" s="1360"/>
      <c r="UJ26" s="1360"/>
      <c r="UK26" s="1360"/>
      <c r="UL26" s="1360"/>
      <c r="UM26" s="1360"/>
      <c r="UN26" s="1360"/>
      <c r="UO26" s="1360"/>
      <c r="UP26" s="1360"/>
      <c r="UQ26" s="1360"/>
      <c r="UR26" s="1360"/>
      <c r="US26" s="1360"/>
      <c r="UT26" s="1360"/>
      <c r="UU26" s="1360"/>
      <c r="UV26" s="1360"/>
      <c r="UW26" s="1360"/>
      <c r="UX26" s="1360"/>
      <c r="UY26" s="1360"/>
      <c r="UZ26" s="1360"/>
      <c r="VA26" s="1360"/>
      <c r="VB26" s="1360"/>
      <c r="VC26" s="1360"/>
      <c r="VD26" s="1360"/>
      <c r="VE26" s="1360"/>
      <c r="VF26" s="1360"/>
      <c r="VG26" s="1360"/>
      <c r="VH26" s="1360"/>
      <c r="VI26" s="1360"/>
      <c r="VJ26" s="1360"/>
      <c r="VK26" s="1360"/>
      <c r="VL26" s="1360"/>
      <c r="VM26" s="1360"/>
      <c r="VN26" s="1360"/>
      <c r="VO26" s="1360"/>
      <c r="VP26" s="1360"/>
      <c r="VQ26" s="1360"/>
      <c r="VR26" s="1360"/>
      <c r="VS26" s="1360"/>
      <c r="VT26" s="1360"/>
      <c r="VU26" s="1360"/>
      <c r="VV26" s="1360"/>
      <c r="VW26" s="1360"/>
      <c r="VX26" s="1360"/>
      <c r="VY26" s="1360"/>
      <c r="VZ26" s="1360"/>
      <c r="WA26" s="1360"/>
      <c r="WB26" s="1360"/>
      <c r="WC26" s="1360"/>
      <c r="WD26" s="1360"/>
      <c r="WE26" s="1360"/>
      <c r="WF26" s="1360"/>
      <c r="WG26" s="1360"/>
      <c r="WH26" s="1360"/>
      <c r="WI26" s="1360"/>
      <c r="WJ26" s="1360"/>
      <c r="WK26" s="1360"/>
      <c r="WL26" s="1360"/>
      <c r="WM26" s="1360"/>
      <c r="WN26" s="1360"/>
      <c r="WO26" s="1360"/>
      <c r="WP26" s="1360"/>
      <c r="WQ26" s="1360"/>
      <c r="WR26" s="1360"/>
      <c r="WS26" s="1360"/>
      <c r="WT26" s="1360"/>
      <c r="WU26" s="1360"/>
      <c r="WV26" s="1360"/>
      <c r="WW26" s="1360"/>
      <c r="WX26" s="1360"/>
      <c r="WY26" s="1360"/>
      <c r="WZ26" s="1360"/>
      <c r="XA26" s="1360"/>
      <c r="XB26" s="1360"/>
      <c r="XC26" s="1360"/>
      <c r="XD26" s="1360"/>
      <c r="XE26" s="1360"/>
      <c r="XF26" s="1360"/>
      <c r="XG26" s="1360"/>
      <c r="XH26" s="1360"/>
      <c r="XI26" s="1360"/>
      <c r="XJ26" s="1360"/>
      <c r="XK26" s="1360"/>
      <c r="XL26" s="1360"/>
      <c r="XM26" s="1360"/>
      <c r="XN26" s="1360"/>
      <c r="XO26" s="1360"/>
      <c r="XP26" s="1360"/>
      <c r="XQ26" s="1360"/>
      <c r="XR26" s="1360"/>
      <c r="XS26" s="1360"/>
      <c r="XT26" s="1360"/>
      <c r="XU26" s="1360"/>
      <c r="XV26" s="1360"/>
      <c r="XW26" s="1360"/>
      <c r="XX26" s="1360"/>
      <c r="XY26" s="1360"/>
      <c r="XZ26" s="1360"/>
      <c r="YA26" s="1360"/>
      <c r="YB26" s="1360"/>
      <c r="YC26" s="1360"/>
      <c r="YD26" s="1360"/>
      <c r="YE26" s="1360"/>
      <c r="YF26" s="1360"/>
      <c r="YG26" s="1360"/>
      <c r="YH26" s="1360"/>
      <c r="YI26" s="1360"/>
      <c r="YJ26" s="1360"/>
      <c r="YK26" s="1360"/>
      <c r="YL26" s="1360"/>
      <c r="YM26" s="1360"/>
      <c r="YN26" s="1360"/>
      <c r="YO26" s="1360"/>
      <c r="YP26" s="1360"/>
      <c r="YQ26" s="1360"/>
      <c r="YR26" s="1360"/>
      <c r="YS26" s="1360"/>
      <c r="YT26" s="1360"/>
      <c r="YU26" s="1360"/>
      <c r="YV26" s="1360"/>
      <c r="YW26" s="1360"/>
      <c r="YX26" s="1360"/>
      <c r="YY26" s="1360"/>
      <c r="YZ26" s="1360"/>
      <c r="ZA26" s="1360"/>
      <c r="ZB26" s="1360"/>
      <c r="ZC26" s="1360"/>
      <c r="ZD26" s="1360"/>
      <c r="ZE26" s="1360"/>
      <c r="ZF26" s="1360"/>
      <c r="ZG26" s="1360"/>
      <c r="ZH26" s="1360"/>
      <c r="ZI26" s="1360"/>
      <c r="ZJ26" s="1360"/>
      <c r="ZK26" s="1360"/>
      <c r="ZL26" s="1360"/>
      <c r="ZM26" s="1360"/>
      <c r="ZN26" s="1360"/>
      <c r="ZO26" s="1360"/>
      <c r="ZP26" s="1360"/>
      <c r="ZQ26" s="1360"/>
      <c r="ZR26" s="1360"/>
      <c r="ZS26" s="1360"/>
      <c r="ZT26" s="1360"/>
      <c r="ZU26" s="1360"/>
      <c r="ZV26" s="1360"/>
      <c r="ZW26" s="1360"/>
      <c r="ZX26" s="1360"/>
      <c r="ZY26" s="1360"/>
      <c r="ZZ26" s="1360"/>
      <c r="AAA26" s="1360"/>
      <c r="AAB26" s="1360"/>
      <c r="AAC26" s="1360"/>
      <c r="AAD26" s="1360"/>
      <c r="AAE26" s="1360"/>
      <c r="AAF26" s="1360"/>
      <c r="AAG26" s="1360"/>
      <c r="AAH26" s="1360"/>
      <c r="AAI26" s="1360"/>
      <c r="AAJ26" s="1360"/>
      <c r="AAK26" s="1360"/>
      <c r="AAL26" s="1360"/>
      <c r="AAM26" s="1360"/>
      <c r="AAN26" s="1360"/>
      <c r="AAO26" s="1360"/>
      <c r="AAP26" s="1360"/>
      <c r="AAQ26" s="1360"/>
      <c r="AAR26" s="1360"/>
      <c r="AAS26" s="1360"/>
      <c r="AAT26" s="1360"/>
      <c r="AAU26" s="1360"/>
      <c r="AAV26" s="1360"/>
      <c r="AAW26" s="1360"/>
      <c r="AAX26" s="1360"/>
      <c r="AAY26" s="1360"/>
      <c r="AAZ26" s="1360"/>
      <c r="ABA26" s="1360"/>
      <c r="ABB26" s="1360"/>
      <c r="ABC26" s="1360"/>
      <c r="ABD26" s="1360"/>
      <c r="ABE26" s="1360"/>
      <c r="ABF26" s="1360"/>
      <c r="ABG26" s="1360"/>
      <c r="ABH26" s="1360"/>
      <c r="ABI26" s="1360"/>
      <c r="ABJ26" s="1360"/>
      <c r="ABK26" s="1360"/>
      <c r="ABL26" s="1360"/>
      <c r="ABM26" s="1360"/>
      <c r="ABN26" s="1360"/>
      <c r="ABO26" s="1360"/>
      <c r="ABP26" s="1360"/>
      <c r="ABQ26" s="1360"/>
      <c r="ABR26" s="1360"/>
      <c r="ABS26" s="1360"/>
      <c r="ABT26" s="1360"/>
      <c r="ABU26" s="1360"/>
      <c r="ABV26" s="1360"/>
      <c r="ABW26" s="1360"/>
      <c r="ABX26" s="1360"/>
      <c r="ABY26" s="1360"/>
      <c r="ABZ26" s="1360"/>
      <c r="ACA26" s="1360"/>
      <c r="ACB26" s="1360"/>
      <c r="ACC26" s="1360"/>
      <c r="ACD26" s="1360"/>
      <c r="ACE26" s="1360"/>
      <c r="ACF26" s="1360"/>
      <c r="ACG26" s="1360"/>
      <c r="ACH26" s="1360"/>
      <c r="ACI26" s="1360"/>
      <c r="ACJ26" s="1360"/>
      <c r="ACK26" s="1360"/>
      <c r="ACL26" s="1360"/>
      <c r="ACM26" s="1360"/>
      <c r="ACN26" s="1360"/>
      <c r="ACO26" s="1360"/>
      <c r="ACP26" s="1360"/>
      <c r="ACQ26" s="1360"/>
      <c r="ACR26" s="1360"/>
      <c r="ACS26" s="1360"/>
      <c r="ACT26" s="1360"/>
      <c r="ACU26" s="1360"/>
      <c r="ACV26" s="1360"/>
      <c r="ACW26" s="1360"/>
      <c r="ACX26" s="1360"/>
      <c r="ACY26" s="1360"/>
      <c r="ACZ26" s="1360"/>
      <c r="ADA26" s="1360"/>
      <c r="ADB26" s="1360"/>
      <c r="ADC26" s="1360"/>
      <c r="ADD26" s="1360"/>
      <c r="ADE26" s="1360"/>
      <c r="ADF26" s="1360"/>
      <c r="ADG26" s="1360"/>
      <c r="ADH26" s="1360"/>
      <c r="ADI26" s="1360"/>
      <c r="ADJ26" s="1360"/>
      <c r="ADK26" s="1360"/>
      <c r="ADL26" s="1360"/>
      <c r="ADM26" s="1360"/>
      <c r="ADN26" s="1360"/>
      <c r="ADO26" s="1360"/>
      <c r="ADP26" s="1360"/>
      <c r="ADQ26" s="1360"/>
      <c r="ADR26" s="1360"/>
      <c r="ADS26" s="1360"/>
      <c r="ADT26" s="1360"/>
      <c r="ADU26" s="1360"/>
      <c r="ADV26" s="1360"/>
      <c r="ADW26" s="1360"/>
      <c r="ADX26" s="1360"/>
      <c r="ADY26" s="1360"/>
      <c r="ADZ26" s="1360"/>
      <c r="AEA26" s="1360"/>
      <c r="AEB26" s="1360"/>
      <c r="AEC26" s="1360"/>
      <c r="AED26" s="1360"/>
      <c r="AEE26" s="1360"/>
      <c r="AEF26" s="1360"/>
      <c r="AEG26" s="1360"/>
      <c r="AEH26" s="1360"/>
      <c r="AEI26" s="1360"/>
      <c r="AEJ26" s="1360"/>
      <c r="AEK26" s="1360"/>
      <c r="AEL26" s="1360"/>
      <c r="AEM26" s="1360"/>
      <c r="AEN26" s="1360"/>
      <c r="AEO26" s="1360"/>
      <c r="AEP26" s="1360"/>
      <c r="AEQ26" s="1360"/>
      <c r="AER26" s="1360"/>
      <c r="AES26" s="1360"/>
      <c r="AET26" s="1360"/>
      <c r="AEU26" s="1360"/>
      <c r="AEV26" s="1360"/>
      <c r="AEW26" s="1360"/>
      <c r="AEX26" s="1360"/>
      <c r="AEY26" s="1360"/>
      <c r="AEZ26" s="1360"/>
      <c r="AFA26" s="1360"/>
      <c r="AFB26" s="1360"/>
      <c r="AFC26" s="1360"/>
      <c r="AFD26" s="1360"/>
      <c r="AFE26" s="1360"/>
      <c r="AFF26" s="1360"/>
      <c r="AFG26" s="1360"/>
      <c r="AFH26" s="1360"/>
      <c r="AFI26" s="1360"/>
      <c r="AFJ26" s="1360"/>
      <c r="AFK26" s="1360"/>
      <c r="AFL26" s="1360"/>
      <c r="AFM26" s="1360"/>
      <c r="AFN26" s="1360"/>
      <c r="AFO26" s="1360"/>
      <c r="AFP26" s="1360"/>
      <c r="AFQ26" s="1360"/>
      <c r="AFR26" s="1360"/>
      <c r="AFS26" s="1360"/>
      <c r="AFT26" s="1360"/>
      <c r="AFU26" s="1360"/>
      <c r="AFV26" s="1360"/>
      <c r="AFW26" s="1360"/>
      <c r="AFX26" s="1360"/>
      <c r="AFY26" s="1360"/>
      <c r="AFZ26" s="1360"/>
      <c r="AGA26" s="1360"/>
      <c r="AGB26" s="1360"/>
      <c r="AGC26" s="1360"/>
      <c r="AGD26" s="1360"/>
      <c r="AGE26" s="1360"/>
      <c r="AGF26" s="1360"/>
      <c r="AGG26" s="1360"/>
      <c r="AGH26" s="1360"/>
      <c r="AGI26" s="1360"/>
      <c r="AGJ26" s="1360"/>
      <c r="AGK26" s="1360"/>
      <c r="AGL26" s="1360"/>
      <c r="AGM26" s="1360"/>
      <c r="AGN26" s="1360"/>
      <c r="AGO26" s="1360"/>
      <c r="AGP26" s="1360"/>
      <c r="AGQ26" s="1360"/>
      <c r="AGR26" s="1360"/>
      <c r="AGS26" s="1360"/>
      <c r="AGT26" s="1360"/>
      <c r="AGU26" s="1360"/>
      <c r="AGV26" s="1360"/>
      <c r="AGW26" s="1360"/>
      <c r="AGX26" s="1360"/>
      <c r="AGY26" s="1360"/>
      <c r="AGZ26" s="1360"/>
      <c r="AHA26" s="1360"/>
      <c r="AHB26" s="1360"/>
      <c r="AHC26" s="1360"/>
      <c r="AHD26" s="1360"/>
      <c r="AHE26" s="1360"/>
      <c r="AHF26" s="1360"/>
      <c r="AHG26" s="1360"/>
      <c r="AHH26" s="1360"/>
      <c r="AHI26" s="1360"/>
      <c r="AHJ26" s="1360"/>
      <c r="AHK26" s="1360"/>
      <c r="AHL26" s="1360"/>
      <c r="AHM26" s="1360"/>
      <c r="AHN26" s="1360"/>
      <c r="AHO26" s="1360"/>
      <c r="AHP26" s="1360"/>
      <c r="AHQ26" s="1360"/>
      <c r="AHR26" s="1360"/>
      <c r="AHS26" s="1360"/>
      <c r="AHT26" s="1360"/>
      <c r="AHU26" s="1360"/>
      <c r="AHV26" s="1360"/>
      <c r="AHW26" s="1360"/>
      <c r="AHX26" s="1360"/>
      <c r="AHY26" s="1360"/>
      <c r="AHZ26" s="1360"/>
      <c r="AIA26" s="1360"/>
      <c r="AIB26" s="1360"/>
      <c r="AIC26" s="1360"/>
      <c r="AID26" s="1360"/>
      <c r="AIE26" s="1360"/>
      <c r="AIF26" s="1360"/>
      <c r="AIG26" s="1360"/>
      <c r="AIH26" s="1360"/>
      <c r="AII26" s="1360"/>
      <c r="AIJ26" s="1360"/>
      <c r="AIK26" s="1360"/>
      <c r="AIL26" s="1360"/>
      <c r="AIM26" s="1360"/>
      <c r="AIN26" s="1360"/>
      <c r="AIO26" s="1360"/>
      <c r="AIP26" s="1360"/>
      <c r="AIQ26" s="1360"/>
      <c r="AIR26" s="1360"/>
      <c r="AIS26" s="1360"/>
      <c r="AIT26" s="1360"/>
      <c r="AIU26" s="1360"/>
      <c r="AIV26" s="1360"/>
      <c r="AIW26" s="1360"/>
      <c r="AIX26" s="1360"/>
      <c r="AIY26" s="1360"/>
      <c r="AIZ26" s="1360"/>
      <c r="AJA26" s="1360"/>
      <c r="AJB26" s="1360"/>
      <c r="AJC26" s="1360"/>
      <c r="AJD26" s="1360"/>
      <c r="AJE26" s="1360"/>
      <c r="AJF26" s="1360"/>
      <c r="AJG26" s="1360"/>
      <c r="AJH26" s="1360"/>
      <c r="AJI26" s="1360"/>
      <c r="AJJ26" s="1360"/>
      <c r="AJK26" s="1360"/>
      <c r="AJL26" s="1360"/>
      <c r="AJM26" s="1360"/>
      <c r="AJN26" s="1360"/>
      <c r="AJO26" s="1360"/>
      <c r="AJP26" s="1360"/>
      <c r="AJQ26" s="1360"/>
      <c r="AJR26" s="1360"/>
      <c r="AJS26" s="1360"/>
      <c r="AJT26" s="1360"/>
      <c r="AJU26" s="1360"/>
      <c r="AJV26" s="1360"/>
      <c r="AJW26" s="1360"/>
      <c r="AJX26" s="1360"/>
      <c r="AJY26" s="1360"/>
      <c r="AJZ26" s="1360"/>
      <c r="AKA26" s="1360"/>
      <c r="AKB26" s="1360"/>
      <c r="AKC26" s="1360"/>
      <c r="AKD26" s="1360"/>
      <c r="AKE26" s="1360"/>
      <c r="AKF26" s="1360"/>
      <c r="AKG26" s="1360"/>
      <c r="AKH26" s="1360"/>
      <c r="AKI26" s="1360"/>
      <c r="AKJ26" s="1360"/>
      <c r="AKK26" s="1360"/>
      <c r="AKL26" s="1360"/>
      <c r="AKM26" s="1360"/>
      <c r="AKN26" s="1360"/>
      <c r="AKO26" s="1360"/>
      <c r="AKP26" s="1360"/>
      <c r="AKQ26" s="1360"/>
      <c r="AKR26" s="1360"/>
      <c r="AKS26" s="1360"/>
      <c r="AKT26" s="1360"/>
      <c r="AKU26" s="1360"/>
      <c r="AKV26" s="1360"/>
      <c r="AKW26" s="1360"/>
      <c r="AKX26" s="1360"/>
      <c r="AKY26" s="1360"/>
      <c r="AKZ26" s="1360"/>
      <c r="ALA26" s="1360"/>
      <c r="ALB26" s="1360"/>
      <c r="ALC26" s="1360"/>
      <c r="ALD26" s="1360"/>
      <c r="ALE26" s="1360"/>
      <c r="ALF26" s="1360"/>
      <c r="ALG26" s="1360"/>
      <c r="ALH26" s="1360"/>
      <c r="ALI26" s="1360"/>
      <c r="ALJ26" s="1360"/>
      <c r="ALK26" s="1360"/>
      <c r="ALL26" s="1360"/>
      <c r="ALM26" s="1360"/>
      <c r="ALN26" s="1360"/>
      <c r="ALO26" s="1360"/>
      <c r="ALP26" s="1360"/>
      <c r="ALQ26" s="1360"/>
      <c r="ALR26" s="1360"/>
      <c r="ALS26" s="1360"/>
      <c r="ALT26" s="1360"/>
      <c r="ALU26" s="1360"/>
      <c r="ALV26" s="1360"/>
      <c r="ALW26" s="1360"/>
      <c r="ALX26" s="1360"/>
      <c r="ALY26" s="1360"/>
      <c r="ALZ26" s="1360"/>
      <c r="AMA26" s="1360"/>
      <c r="AMB26" s="1360"/>
      <c r="AMC26" s="1360"/>
      <c r="AMD26" s="1360"/>
      <c r="AME26" s="1360"/>
      <c r="AMF26" s="1360"/>
      <c r="AMG26" s="1360"/>
      <c r="AMH26" s="1360"/>
      <c r="AMI26" s="1360"/>
      <c r="AMJ26" s="1360"/>
      <c r="AMK26" s="1360"/>
      <c r="AML26" s="1360"/>
      <c r="AMM26" s="1360"/>
      <c r="AMN26" s="1360"/>
      <c r="AMO26" s="1360"/>
      <c r="AMP26" s="1360"/>
      <c r="AMQ26" s="1360"/>
      <c r="AMR26" s="1360"/>
      <c r="AMS26" s="1360"/>
      <c r="AMT26" s="1360"/>
      <c r="AMU26" s="1360"/>
      <c r="AMV26" s="1360"/>
      <c r="AMW26" s="1360"/>
      <c r="AMX26" s="1360"/>
      <c r="AMY26" s="1360"/>
      <c r="AMZ26" s="1360"/>
      <c r="ANA26" s="1360"/>
      <c r="ANB26" s="1360"/>
      <c r="ANC26" s="1360"/>
      <c r="AND26" s="1360"/>
      <c r="ANE26" s="1360"/>
      <c r="ANF26" s="1360"/>
      <c r="ANG26" s="1360"/>
      <c r="ANH26" s="1360"/>
      <c r="ANI26" s="1360"/>
      <c r="ANJ26" s="1360"/>
      <c r="ANK26" s="1360"/>
      <c r="ANL26" s="1360"/>
      <c r="ANM26" s="1360"/>
      <c r="ANN26" s="1360"/>
      <c r="ANO26" s="1360"/>
      <c r="ANP26" s="1360"/>
      <c r="ANQ26" s="1360"/>
      <c r="ANR26" s="1360"/>
      <c r="ANS26" s="1360"/>
      <c r="ANT26" s="1360"/>
      <c r="ANU26" s="1360"/>
      <c r="ANV26" s="1360"/>
      <c r="ANW26" s="1360"/>
      <c r="ANX26" s="1360"/>
      <c r="ANY26" s="1360"/>
      <c r="ANZ26" s="1360"/>
      <c r="AOA26" s="1360"/>
      <c r="AOB26" s="1360"/>
      <c r="AOC26" s="1360"/>
      <c r="AOD26" s="1360"/>
      <c r="AOE26" s="1360"/>
      <c r="AOF26" s="1360"/>
      <c r="AOG26" s="1360"/>
      <c r="AOH26" s="1360"/>
      <c r="AOI26" s="1360"/>
      <c r="AOJ26" s="1360"/>
      <c r="AOK26" s="1360"/>
      <c r="AOL26" s="1360"/>
      <c r="AOM26" s="1360"/>
      <c r="AON26" s="1360"/>
      <c r="AOO26" s="1360"/>
      <c r="AOP26" s="1360"/>
      <c r="AOQ26" s="1360"/>
      <c r="AOR26" s="1360"/>
      <c r="AOS26" s="1360"/>
      <c r="AOT26" s="1360"/>
      <c r="AOU26" s="1360"/>
      <c r="AOV26" s="1360"/>
      <c r="AOW26" s="1360"/>
      <c r="AOX26" s="1360"/>
      <c r="AOY26" s="1360"/>
      <c r="AOZ26" s="1360"/>
      <c r="APA26" s="1360"/>
      <c r="APB26" s="1360"/>
      <c r="APC26" s="1360"/>
      <c r="APD26" s="1360"/>
      <c r="APE26" s="1360"/>
      <c r="APF26" s="1360"/>
      <c r="APG26" s="1360"/>
      <c r="APH26" s="1360"/>
      <c r="API26" s="1360"/>
      <c r="APJ26" s="1360"/>
      <c r="APK26" s="1360"/>
      <c r="APL26" s="1360"/>
      <c r="APM26" s="1360"/>
      <c r="APN26" s="1360"/>
      <c r="APO26" s="1360"/>
      <c r="APP26" s="1360"/>
      <c r="APQ26" s="1360"/>
      <c r="APR26" s="1360"/>
      <c r="APS26" s="1360"/>
      <c r="APT26" s="1360"/>
      <c r="APU26" s="1360"/>
      <c r="APV26" s="1360"/>
      <c r="APW26" s="1360"/>
      <c r="APX26" s="1360"/>
      <c r="APY26" s="1360"/>
      <c r="APZ26" s="1360"/>
      <c r="AQA26" s="1360"/>
      <c r="AQB26" s="1360"/>
      <c r="AQC26" s="1360"/>
      <c r="AQD26" s="1360"/>
      <c r="AQE26" s="1360"/>
      <c r="AQF26" s="1360"/>
      <c r="AQG26" s="1360"/>
      <c r="AQH26" s="1360"/>
      <c r="AQI26" s="1360"/>
      <c r="AQJ26" s="1360"/>
      <c r="AQK26" s="1360"/>
      <c r="AQL26" s="1360"/>
      <c r="AQM26" s="1360"/>
      <c r="AQN26" s="1360"/>
      <c r="AQO26" s="1360"/>
      <c r="AQP26" s="1360"/>
      <c r="AQQ26" s="1360"/>
      <c r="AQR26" s="1360"/>
      <c r="AQS26" s="1360"/>
      <c r="AQT26" s="1360"/>
      <c r="AQU26" s="1360"/>
      <c r="AQV26" s="1360"/>
      <c r="AQW26" s="1360"/>
      <c r="AQX26" s="1360"/>
      <c r="AQY26" s="1360"/>
      <c r="AQZ26" s="1360"/>
      <c r="ARA26" s="1360"/>
      <c r="ARB26" s="1360"/>
      <c r="ARC26" s="1360"/>
      <c r="ARD26" s="1360"/>
      <c r="ARE26" s="1360"/>
      <c r="ARF26" s="1360"/>
      <c r="ARG26" s="1360"/>
      <c r="ARH26" s="1360"/>
      <c r="ARI26" s="1360"/>
      <c r="ARJ26" s="1360"/>
      <c r="ARK26" s="1360"/>
      <c r="ARL26" s="1360"/>
      <c r="ARM26" s="1360"/>
      <c r="ARN26" s="1360"/>
      <c r="ARO26" s="1360"/>
      <c r="ARP26" s="1360"/>
      <c r="ARQ26" s="1360"/>
      <c r="ARR26" s="1360"/>
      <c r="ARS26" s="1360"/>
      <c r="ART26" s="1360"/>
      <c r="ARU26" s="1360"/>
      <c r="ARV26" s="1360"/>
      <c r="ARW26" s="1360"/>
      <c r="ARX26" s="1360"/>
      <c r="ARY26" s="1360"/>
      <c r="ARZ26" s="1360"/>
      <c r="ASA26" s="1360"/>
      <c r="ASB26" s="1360"/>
      <c r="ASC26" s="1360"/>
      <c r="ASD26" s="1360"/>
      <c r="ASE26" s="1360"/>
      <c r="ASF26" s="1360"/>
      <c r="ASG26" s="1360"/>
      <c r="ASH26" s="1360"/>
      <c r="ASI26" s="1360"/>
      <c r="ASJ26" s="1360"/>
      <c r="ASK26" s="1360"/>
      <c r="ASL26" s="1360"/>
      <c r="ASM26" s="1360"/>
      <c r="ASN26" s="1360"/>
      <c r="ASO26" s="1360"/>
      <c r="ASP26" s="1360"/>
      <c r="ASQ26" s="1360"/>
      <c r="ASR26" s="1360"/>
      <c r="ASS26" s="1360"/>
      <c r="AST26" s="1360"/>
      <c r="ASU26" s="1360"/>
      <c r="ASV26" s="1360"/>
      <c r="ASW26" s="1360"/>
      <c r="ASX26" s="1360"/>
      <c r="ASY26" s="1360"/>
      <c r="ASZ26" s="1360"/>
      <c r="ATA26" s="1360"/>
      <c r="ATB26" s="1360"/>
      <c r="ATC26" s="1360"/>
      <c r="ATD26" s="1360"/>
      <c r="ATE26" s="1360"/>
      <c r="ATF26" s="1360"/>
      <c r="ATG26" s="1360"/>
      <c r="ATH26" s="1360"/>
      <c r="ATI26" s="1360"/>
      <c r="ATJ26" s="1360"/>
      <c r="ATK26" s="1360"/>
      <c r="ATL26" s="1360"/>
      <c r="ATM26" s="1360"/>
      <c r="ATN26" s="1360"/>
      <c r="ATO26" s="1360"/>
      <c r="ATP26" s="1360"/>
      <c r="ATQ26" s="1360"/>
      <c r="ATR26" s="1360"/>
      <c r="ATS26" s="1360"/>
      <c r="ATT26" s="1360"/>
      <c r="ATU26" s="1360"/>
      <c r="ATV26" s="1360"/>
      <c r="ATW26" s="1360"/>
      <c r="ATX26" s="1360"/>
      <c r="ATY26" s="1360"/>
      <c r="ATZ26" s="1360"/>
      <c r="AUA26" s="1360"/>
      <c r="AUB26" s="1360"/>
      <c r="AUC26" s="1360"/>
      <c r="AUD26" s="1360"/>
      <c r="AUE26" s="1360"/>
      <c r="AUF26" s="1360"/>
      <c r="AUG26" s="1360"/>
      <c r="AUH26" s="1360"/>
      <c r="AUI26" s="1360"/>
      <c r="AUJ26" s="1360"/>
      <c r="AUK26" s="1360"/>
      <c r="AUL26" s="1360"/>
      <c r="AUM26" s="1360"/>
      <c r="AUN26" s="1360"/>
      <c r="AUO26" s="1360"/>
      <c r="AUP26" s="1360"/>
      <c r="AUQ26" s="1360"/>
      <c r="AUR26" s="1360"/>
      <c r="AUS26" s="1360"/>
      <c r="AUT26" s="1360"/>
      <c r="AUU26" s="1360"/>
      <c r="AUV26" s="1360"/>
      <c r="AUW26" s="1360"/>
      <c r="AUX26" s="1360"/>
      <c r="AUY26" s="1360"/>
      <c r="AUZ26" s="1360"/>
      <c r="AVA26" s="1360"/>
      <c r="AVB26" s="1360"/>
      <c r="AVC26" s="1360"/>
      <c r="AVD26" s="1360"/>
      <c r="AVE26" s="1360"/>
      <c r="AVF26" s="1360"/>
      <c r="AVG26" s="1360"/>
      <c r="AVH26" s="1360"/>
      <c r="AVI26" s="1360"/>
      <c r="AVJ26" s="1360"/>
      <c r="AVK26" s="1360"/>
      <c r="AVL26" s="1360"/>
      <c r="AVM26" s="1360"/>
      <c r="AVN26" s="1360"/>
      <c r="AVO26" s="1360"/>
      <c r="AVP26" s="1360"/>
      <c r="AVQ26" s="1360"/>
      <c r="AVR26" s="1360"/>
      <c r="AVS26" s="1360"/>
      <c r="AVT26" s="1360"/>
      <c r="AVU26" s="1360"/>
      <c r="AVV26" s="1360"/>
      <c r="AVW26" s="1360"/>
      <c r="AVX26" s="1360"/>
      <c r="AVY26" s="1360"/>
      <c r="AVZ26" s="1360"/>
      <c r="AWA26" s="1360"/>
      <c r="AWB26" s="1360"/>
      <c r="AWC26" s="1360"/>
      <c r="AWD26" s="1360"/>
      <c r="AWE26" s="1360"/>
      <c r="AWF26" s="1360"/>
      <c r="AWG26" s="1360"/>
      <c r="AWH26" s="1360"/>
      <c r="AWI26" s="1360"/>
      <c r="AWJ26" s="1360"/>
      <c r="AWK26" s="1360"/>
      <c r="AWL26" s="1360"/>
      <c r="AWM26" s="1360"/>
      <c r="AWN26" s="1360"/>
      <c r="AWO26" s="1360"/>
      <c r="AWP26" s="1360"/>
      <c r="AWQ26" s="1360"/>
      <c r="AWR26" s="1360"/>
      <c r="AWS26" s="1360"/>
      <c r="AWT26" s="1360"/>
      <c r="AWU26" s="1360"/>
      <c r="AWV26" s="1360"/>
      <c r="AWW26" s="1360"/>
      <c r="AWX26" s="1360"/>
      <c r="AWY26" s="1360"/>
      <c r="AWZ26" s="1360"/>
      <c r="AXA26" s="1360"/>
      <c r="AXB26" s="1360"/>
      <c r="AXC26" s="1360"/>
      <c r="AXD26" s="1360"/>
      <c r="AXE26" s="1360"/>
      <c r="AXF26" s="1360"/>
      <c r="AXG26" s="1360"/>
      <c r="AXH26" s="1360"/>
      <c r="AXI26" s="1360"/>
      <c r="AXJ26" s="1360"/>
      <c r="AXK26" s="1360"/>
      <c r="AXL26" s="1360"/>
      <c r="AXM26" s="1360"/>
      <c r="AXN26" s="1360"/>
      <c r="AXO26" s="1360"/>
      <c r="AXP26" s="1360"/>
      <c r="AXQ26" s="1360"/>
      <c r="AXR26" s="1360"/>
      <c r="AXS26" s="1360"/>
      <c r="AXT26" s="1360"/>
      <c r="AXU26" s="1360"/>
      <c r="AXV26" s="1360"/>
      <c r="AXW26" s="1360"/>
      <c r="AXX26" s="1360"/>
      <c r="AXY26" s="1360"/>
      <c r="AXZ26" s="1360"/>
      <c r="AYA26" s="1360"/>
      <c r="AYB26" s="1360"/>
      <c r="AYC26" s="1360"/>
      <c r="AYD26" s="1360"/>
      <c r="AYE26" s="1360"/>
      <c r="AYF26" s="1360"/>
      <c r="AYG26" s="1360"/>
      <c r="AYH26" s="1360"/>
      <c r="AYI26" s="1360"/>
      <c r="AYJ26" s="1360"/>
      <c r="AYK26" s="1360"/>
      <c r="AYL26" s="1360"/>
      <c r="AYM26" s="1360"/>
      <c r="AYN26" s="1360"/>
      <c r="AYO26" s="1360"/>
      <c r="AYP26" s="1360"/>
      <c r="AYQ26" s="1360"/>
      <c r="AYR26" s="1360"/>
      <c r="AYS26" s="1360"/>
      <c r="AYT26" s="1360"/>
      <c r="AYU26" s="1360"/>
      <c r="AYV26" s="1360"/>
      <c r="AYW26" s="1360"/>
      <c r="AYX26" s="1360"/>
      <c r="AYY26" s="1360"/>
      <c r="AYZ26" s="1360"/>
      <c r="AZA26" s="1360"/>
      <c r="AZB26" s="1360"/>
      <c r="AZC26" s="1360"/>
      <c r="AZD26" s="1360"/>
      <c r="AZE26" s="1360"/>
      <c r="AZF26" s="1360"/>
      <c r="AZG26" s="1360"/>
      <c r="AZH26" s="1360"/>
      <c r="AZI26" s="1360"/>
      <c r="AZJ26" s="1360"/>
      <c r="AZK26" s="1360"/>
      <c r="AZL26" s="1360"/>
      <c r="AZM26" s="1360"/>
      <c r="AZN26" s="1360"/>
      <c r="AZO26" s="1360"/>
      <c r="AZP26" s="1360"/>
      <c r="AZQ26" s="1360"/>
      <c r="AZR26" s="1360"/>
      <c r="AZS26" s="1360"/>
      <c r="AZT26" s="1360"/>
      <c r="AZU26" s="1360"/>
      <c r="AZV26" s="1360"/>
      <c r="AZW26" s="1360"/>
      <c r="AZX26" s="1360"/>
      <c r="AZY26" s="1360"/>
      <c r="AZZ26" s="1360"/>
      <c r="BAA26" s="1360"/>
      <c r="BAB26" s="1360"/>
      <c r="BAC26" s="1360"/>
      <c r="BAD26" s="1360"/>
      <c r="BAE26" s="1360"/>
      <c r="BAF26" s="1360"/>
      <c r="BAG26" s="1360"/>
      <c r="BAH26" s="1360"/>
      <c r="BAI26" s="1360"/>
      <c r="BAJ26" s="1360"/>
      <c r="BAK26" s="1360"/>
      <c r="BAL26" s="1360"/>
      <c r="BAM26" s="1360"/>
      <c r="BAN26" s="1360"/>
      <c r="BAO26" s="1360"/>
      <c r="BAP26" s="1360"/>
      <c r="BAQ26" s="1360"/>
      <c r="BAR26" s="1360"/>
      <c r="BAS26" s="1360"/>
      <c r="BAT26" s="1360"/>
      <c r="BAU26" s="1360"/>
      <c r="BAV26" s="1360"/>
      <c r="BAW26" s="1360"/>
      <c r="BAX26" s="1360"/>
      <c r="BAY26" s="1360"/>
      <c r="BAZ26" s="1360"/>
      <c r="BBA26" s="1360"/>
      <c r="BBB26" s="1360"/>
      <c r="BBC26" s="1360"/>
      <c r="BBD26" s="1360"/>
      <c r="BBE26" s="1360"/>
      <c r="BBF26" s="1360"/>
      <c r="BBG26" s="1360"/>
      <c r="BBH26" s="1360"/>
      <c r="BBI26" s="1360"/>
      <c r="BBJ26" s="1360"/>
      <c r="BBK26" s="1360"/>
      <c r="BBL26" s="1360"/>
      <c r="BBM26" s="1360"/>
      <c r="BBN26" s="1360"/>
      <c r="BBO26" s="1360"/>
      <c r="BBP26" s="1360"/>
      <c r="BBQ26" s="1360"/>
      <c r="BBR26" s="1360"/>
      <c r="BBS26" s="1360"/>
      <c r="BBT26" s="1360"/>
      <c r="BBU26" s="1360"/>
      <c r="BBV26" s="1360"/>
      <c r="BBW26" s="1360"/>
      <c r="BBX26" s="1360"/>
      <c r="BBY26" s="1360"/>
      <c r="BBZ26" s="1360"/>
      <c r="BCA26" s="1360"/>
      <c r="BCB26" s="1360"/>
      <c r="BCC26" s="1360"/>
      <c r="BCD26" s="1360"/>
      <c r="BCE26" s="1360"/>
      <c r="BCF26" s="1360"/>
      <c r="BCG26" s="1360"/>
      <c r="BCH26" s="1360"/>
      <c r="BCI26" s="1360"/>
      <c r="BCJ26" s="1360"/>
      <c r="BCK26" s="1360"/>
      <c r="BCL26" s="1360"/>
      <c r="BCM26" s="1360"/>
      <c r="BCN26" s="1360"/>
      <c r="BCO26" s="1360"/>
      <c r="BCP26" s="1360"/>
      <c r="BCQ26" s="1360"/>
      <c r="BCR26" s="1360"/>
      <c r="BCS26" s="1360"/>
      <c r="BCT26" s="1360"/>
      <c r="BCU26" s="1360"/>
      <c r="BCV26" s="1360"/>
      <c r="BCW26" s="1360"/>
      <c r="BCX26" s="1360"/>
      <c r="BCY26" s="1360"/>
      <c r="BCZ26" s="1360"/>
      <c r="BDA26" s="1360"/>
      <c r="BDB26" s="1360"/>
      <c r="BDC26" s="1360"/>
      <c r="BDD26" s="1360"/>
      <c r="BDE26" s="1360"/>
      <c r="BDF26" s="1360"/>
      <c r="BDG26" s="1360"/>
      <c r="BDH26" s="1360"/>
      <c r="BDI26" s="1360"/>
      <c r="BDJ26" s="1360"/>
      <c r="BDK26" s="1360"/>
      <c r="BDL26" s="1360"/>
      <c r="BDM26" s="1360"/>
      <c r="BDN26" s="1360"/>
      <c r="BDO26" s="1360"/>
      <c r="BDP26" s="1360"/>
      <c r="BDQ26" s="1360"/>
      <c r="BDR26" s="1360"/>
      <c r="BDS26" s="1360"/>
      <c r="BDT26" s="1360"/>
      <c r="BDU26" s="1360"/>
      <c r="BDV26" s="1360"/>
      <c r="BDW26" s="1360"/>
      <c r="BDX26" s="1360"/>
      <c r="BDY26" s="1360"/>
      <c r="BDZ26" s="1360"/>
      <c r="BEA26" s="1360"/>
      <c r="BEB26" s="1360"/>
      <c r="BEC26" s="1360"/>
      <c r="BED26" s="1360"/>
      <c r="BEE26" s="1360"/>
      <c r="BEF26" s="1360"/>
      <c r="BEG26" s="1360"/>
      <c r="BEH26" s="1360"/>
      <c r="BEI26" s="1360"/>
      <c r="BEJ26" s="1360"/>
      <c r="BEK26" s="1360"/>
      <c r="BEL26" s="1360"/>
      <c r="BEM26" s="1360"/>
      <c r="BEN26" s="1360"/>
      <c r="BEO26" s="1360"/>
      <c r="BEP26" s="1360"/>
      <c r="BEQ26" s="1360"/>
      <c r="BER26" s="1360"/>
      <c r="BES26" s="1360"/>
      <c r="BET26" s="1360"/>
      <c r="BEU26" s="1360"/>
      <c r="BEV26" s="1360"/>
      <c r="BEW26" s="1360"/>
      <c r="BEX26" s="1360"/>
      <c r="BEY26" s="1360"/>
      <c r="BEZ26" s="1360"/>
      <c r="BFA26" s="1360"/>
      <c r="BFB26" s="1360"/>
      <c r="BFC26" s="1360"/>
      <c r="BFD26" s="1360"/>
      <c r="BFE26" s="1360"/>
      <c r="BFF26" s="1360"/>
      <c r="BFG26" s="1360"/>
      <c r="BFH26" s="1360"/>
      <c r="BFI26" s="1360"/>
      <c r="BFJ26" s="1360"/>
      <c r="BFK26" s="1360"/>
      <c r="BFL26" s="1360"/>
      <c r="BFM26" s="1360"/>
      <c r="BFN26" s="1360"/>
      <c r="BFO26" s="1360"/>
      <c r="BFP26" s="1360"/>
      <c r="BFQ26" s="1360"/>
      <c r="BFR26" s="1360"/>
      <c r="BFS26" s="1360"/>
      <c r="BFT26" s="1360"/>
      <c r="BFU26" s="1360"/>
      <c r="BFV26" s="1360"/>
      <c r="BFW26" s="1360"/>
      <c r="BFX26" s="1360"/>
      <c r="BFY26" s="1360"/>
      <c r="BFZ26" s="1360"/>
      <c r="BGA26" s="1360"/>
      <c r="BGB26" s="1360"/>
      <c r="BGC26" s="1360"/>
      <c r="BGD26" s="1360"/>
      <c r="BGE26" s="1360"/>
      <c r="BGF26" s="1360"/>
      <c r="BGG26" s="1360"/>
      <c r="BGH26" s="1360"/>
      <c r="BGI26" s="1360"/>
      <c r="BGJ26" s="1360"/>
      <c r="BGK26" s="1360"/>
      <c r="BGL26" s="1360"/>
      <c r="BGM26" s="1360"/>
      <c r="BGN26" s="1360"/>
      <c r="BGO26" s="1360"/>
      <c r="BGP26" s="1360"/>
      <c r="BGQ26" s="1360"/>
      <c r="BGR26" s="1360"/>
      <c r="BGS26" s="1360"/>
      <c r="BGT26" s="1360"/>
      <c r="BGU26" s="1360"/>
      <c r="BGV26" s="1360"/>
      <c r="BGW26" s="1360"/>
      <c r="BGX26" s="1360"/>
      <c r="BGY26" s="1360"/>
      <c r="BGZ26" s="1360"/>
      <c r="BHA26" s="1360"/>
      <c r="BHB26" s="1360"/>
      <c r="BHC26" s="1360"/>
      <c r="BHD26" s="1360"/>
      <c r="BHE26" s="1360"/>
      <c r="BHF26" s="1360"/>
      <c r="BHG26" s="1360"/>
      <c r="BHH26" s="1360"/>
      <c r="BHI26" s="1360"/>
      <c r="BHJ26" s="1360"/>
      <c r="BHK26" s="1360"/>
      <c r="BHL26" s="1360"/>
      <c r="BHM26" s="1360"/>
      <c r="BHN26" s="1360"/>
      <c r="BHO26" s="1360"/>
      <c r="BHP26" s="1360"/>
      <c r="BHQ26" s="1360"/>
      <c r="BHR26" s="1360"/>
      <c r="BHS26" s="1360"/>
      <c r="BHT26" s="1360"/>
      <c r="BHU26" s="1360"/>
      <c r="BHV26" s="1360"/>
      <c r="BHW26" s="1360"/>
      <c r="BHX26" s="1360"/>
      <c r="BHY26" s="1360"/>
      <c r="BHZ26" s="1360"/>
      <c r="BIA26" s="1360"/>
      <c r="BIB26" s="1360"/>
      <c r="BIC26" s="1360"/>
      <c r="BID26" s="1360"/>
      <c r="BIE26" s="1360"/>
      <c r="BIF26" s="1360"/>
      <c r="BIG26" s="1360"/>
      <c r="BIH26" s="1360"/>
      <c r="BII26" s="1360"/>
      <c r="BIJ26" s="1360"/>
      <c r="BIK26" s="1360"/>
      <c r="BIL26" s="1360"/>
      <c r="BIM26" s="1360"/>
      <c r="BIN26" s="1360"/>
      <c r="BIO26" s="1360"/>
      <c r="BIP26" s="1360"/>
      <c r="BIQ26" s="1360"/>
      <c r="BIR26" s="1360"/>
      <c r="BIS26" s="1360"/>
      <c r="BIT26" s="1360"/>
      <c r="BIU26" s="1360"/>
      <c r="BIV26" s="1360"/>
      <c r="BIW26" s="1360"/>
      <c r="BIX26" s="1360"/>
      <c r="BIY26" s="1360"/>
      <c r="BIZ26" s="1360"/>
      <c r="BJA26" s="1360"/>
      <c r="BJB26" s="1360"/>
      <c r="BJC26" s="1360"/>
      <c r="BJD26" s="1360"/>
      <c r="BJE26" s="1360"/>
      <c r="BJF26" s="1360"/>
      <c r="BJG26" s="1360"/>
      <c r="BJH26" s="1360"/>
      <c r="BJI26" s="1360"/>
      <c r="BJJ26" s="1360"/>
      <c r="BJK26" s="1360"/>
      <c r="BJL26" s="1360"/>
      <c r="BJM26" s="1360"/>
      <c r="BJN26" s="1360"/>
      <c r="BJO26" s="1360"/>
      <c r="BJP26" s="1360"/>
      <c r="BJQ26" s="1360"/>
      <c r="BJR26" s="1360"/>
      <c r="BJS26" s="1360"/>
      <c r="BJT26" s="1360"/>
      <c r="BJU26" s="1360"/>
      <c r="BJV26" s="1360"/>
      <c r="BJW26" s="1360"/>
      <c r="BJX26" s="1360"/>
      <c r="BJY26" s="1360"/>
      <c r="BJZ26" s="1360"/>
      <c r="BKA26" s="1360"/>
      <c r="BKB26" s="1360"/>
      <c r="BKC26" s="1360"/>
      <c r="BKD26" s="1360"/>
      <c r="BKE26" s="1360"/>
      <c r="BKF26" s="1360"/>
      <c r="BKG26" s="1360"/>
      <c r="BKH26" s="1360"/>
      <c r="BKI26" s="1360"/>
      <c r="BKJ26" s="1360"/>
      <c r="BKK26" s="1360"/>
      <c r="BKL26" s="1360"/>
      <c r="BKM26" s="1360"/>
      <c r="BKN26" s="1360"/>
      <c r="BKO26" s="1360"/>
      <c r="BKP26" s="1360"/>
      <c r="BKQ26" s="1360"/>
      <c r="BKR26" s="1360"/>
      <c r="BKS26" s="1360"/>
      <c r="BKT26" s="1360"/>
      <c r="BKU26" s="1360"/>
      <c r="BKV26" s="1360"/>
      <c r="BKW26" s="1360"/>
      <c r="BKX26" s="1360"/>
      <c r="BKY26" s="1360"/>
      <c r="BKZ26" s="1360"/>
      <c r="BLA26" s="1360"/>
      <c r="BLB26" s="1360"/>
      <c r="BLC26" s="1360"/>
      <c r="BLD26" s="1360"/>
      <c r="BLE26" s="1360"/>
      <c r="BLF26" s="1360"/>
      <c r="BLG26" s="1360"/>
      <c r="BLH26" s="1360"/>
      <c r="BLI26" s="1360"/>
      <c r="BLJ26" s="1360"/>
      <c r="BLK26" s="1360"/>
      <c r="BLL26" s="1360"/>
      <c r="BLM26" s="1360"/>
      <c r="BLN26" s="1360"/>
      <c r="BLO26" s="1360"/>
      <c r="BLP26" s="1360"/>
      <c r="BLQ26" s="1360"/>
      <c r="BLR26" s="1360"/>
      <c r="BLS26" s="1360"/>
      <c r="BLT26" s="1360"/>
      <c r="BLU26" s="1360"/>
      <c r="BLV26" s="1360"/>
      <c r="BLW26" s="1360"/>
      <c r="BLX26" s="1360"/>
      <c r="BLY26" s="1360"/>
      <c r="BLZ26" s="1360"/>
      <c r="BMA26" s="1360"/>
      <c r="BMB26" s="1360"/>
      <c r="BMC26" s="1360"/>
      <c r="BMD26" s="1360"/>
      <c r="BME26" s="1360"/>
      <c r="BMF26" s="1360"/>
      <c r="BMG26" s="1360"/>
      <c r="BMH26" s="1360"/>
      <c r="BMI26" s="1360"/>
      <c r="BMJ26" s="1360"/>
      <c r="BMK26" s="1360"/>
      <c r="BML26" s="1360"/>
      <c r="BMM26" s="1360"/>
      <c r="BMN26" s="1360"/>
      <c r="BMO26" s="1360"/>
      <c r="BMP26" s="1360"/>
      <c r="BMQ26" s="1360"/>
      <c r="BMR26" s="1360"/>
      <c r="BMS26" s="1360"/>
      <c r="BMT26" s="1360"/>
      <c r="BMU26" s="1360"/>
      <c r="BMV26" s="1360"/>
      <c r="BMW26" s="1360"/>
      <c r="BMX26" s="1360"/>
      <c r="BMY26" s="1360"/>
      <c r="BMZ26" s="1360"/>
      <c r="BNA26" s="1360"/>
      <c r="BNB26" s="1360"/>
      <c r="BNC26" s="1360"/>
      <c r="BND26" s="1360"/>
      <c r="BNE26" s="1360"/>
      <c r="BNF26" s="1360"/>
      <c r="BNG26" s="1360"/>
      <c r="BNH26" s="1360"/>
      <c r="BNI26" s="1360"/>
      <c r="BNJ26" s="1360"/>
      <c r="BNK26" s="1360"/>
      <c r="BNL26" s="1360"/>
      <c r="BNM26" s="1360"/>
      <c r="BNN26" s="1360"/>
      <c r="BNO26" s="1360"/>
      <c r="BNP26" s="1360"/>
      <c r="BNQ26" s="1360"/>
      <c r="BNR26" s="1360"/>
      <c r="BNS26" s="1360"/>
      <c r="BNT26" s="1360"/>
      <c r="BNU26" s="1360"/>
      <c r="BNV26" s="1360"/>
      <c r="BNW26" s="1360"/>
      <c r="BNX26" s="1360"/>
      <c r="BNY26" s="1360"/>
      <c r="BNZ26" s="1360"/>
      <c r="BOA26" s="1360"/>
      <c r="BOB26" s="1360"/>
      <c r="BOC26" s="1360"/>
      <c r="BOD26" s="1360"/>
      <c r="BOE26" s="1360"/>
      <c r="BOF26" s="1360"/>
      <c r="BOG26" s="1360"/>
      <c r="BOH26" s="1360"/>
      <c r="BOI26" s="1360"/>
      <c r="BOJ26" s="1360"/>
      <c r="BOK26" s="1360"/>
      <c r="BOL26" s="1360"/>
      <c r="BOM26" s="1360"/>
      <c r="BON26" s="1360"/>
      <c r="BOO26" s="1360"/>
      <c r="BOP26" s="1360"/>
      <c r="BOQ26" s="1360"/>
      <c r="BOR26" s="1360"/>
      <c r="BOS26" s="1360"/>
      <c r="BOT26" s="1360"/>
      <c r="BOU26" s="1360"/>
      <c r="BOV26" s="1360"/>
      <c r="BOW26" s="1360"/>
      <c r="BOX26" s="1360"/>
      <c r="BOY26" s="1360"/>
      <c r="BOZ26" s="1360"/>
      <c r="BPA26" s="1360"/>
      <c r="BPB26" s="1360"/>
      <c r="BPC26" s="1360"/>
      <c r="BPD26" s="1360"/>
      <c r="BPE26" s="1360"/>
      <c r="BPF26" s="1360"/>
      <c r="BPG26" s="1360"/>
      <c r="BPH26" s="1360"/>
      <c r="BPI26" s="1360"/>
      <c r="BPJ26" s="1360"/>
      <c r="BPK26" s="1360"/>
      <c r="BPL26" s="1360"/>
      <c r="BPM26" s="1360"/>
      <c r="BPN26" s="1360"/>
      <c r="BPO26" s="1360"/>
      <c r="BPP26" s="1360"/>
      <c r="BPQ26" s="1360"/>
      <c r="BPR26" s="1360"/>
      <c r="BPS26" s="1360"/>
      <c r="BPT26" s="1360"/>
      <c r="BPU26" s="1360"/>
      <c r="BPV26" s="1360"/>
      <c r="BPW26" s="1360"/>
      <c r="BPX26" s="1360"/>
      <c r="BPY26" s="1360"/>
      <c r="BPZ26" s="1360"/>
      <c r="BQA26" s="1360"/>
      <c r="BQB26" s="1360"/>
      <c r="BQC26" s="1360"/>
      <c r="BQD26" s="1360"/>
      <c r="BQE26" s="1360"/>
      <c r="BQF26" s="1360"/>
      <c r="BQG26" s="1360"/>
      <c r="BQH26" s="1360"/>
      <c r="BQI26" s="1360"/>
      <c r="BQJ26" s="1360"/>
      <c r="BQK26" s="1360"/>
      <c r="BQL26" s="1360"/>
      <c r="BQM26" s="1360"/>
      <c r="BQN26" s="1360"/>
      <c r="BQO26" s="1360"/>
      <c r="BQP26" s="1360"/>
      <c r="BQQ26" s="1360"/>
      <c r="BQR26" s="1360"/>
      <c r="BQS26" s="1360"/>
      <c r="BQT26" s="1360"/>
      <c r="BQU26" s="1360"/>
      <c r="BQV26" s="1360"/>
      <c r="BQW26" s="1360"/>
      <c r="BQX26" s="1360"/>
      <c r="BQY26" s="1360"/>
      <c r="BQZ26" s="1360"/>
      <c r="BRA26" s="1360"/>
      <c r="BRB26" s="1360"/>
      <c r="BRC26" s="1360"/>
      <c r="BRD26" s="1360"/>
      <c r="BRE26" s="1360"/>
      <c r="BRF26" s="1360"/>
      <c r="BRG26" s="1360"/>
      <c r="BRH26" s="1360"/>
      <c r="BRI26" s="1360"/>
      <c r="BRJ26" s="1360"/>
      <c r="BRK26" s="1360"/>
      <c r="BRL26" s="1360"/>
      <c r="BRM26" s="1360"/>
      <c r="BRN26" s="1360"/>
      <c r="BRO26" s="1360"/>
      <c r="BRP26" s="1360"/>
      <c r="BRQ26" s="1360"/>
      <c r="BRR26" s="1360"/>
      <c r="BRS26" s="1360"/>
      <c r="BRT26" s="1360"/>
      <c r="BRU26" s="1360"/>
      <c r="BRV26" s="1360"/>
      <c r="BRW26" s="1360"/>
      <c r="BRX26" s="1360"/>
      <c r="BRY26" s="1360"/>
      <c r="BRZ26" s="1360"/>
      <c r="BSA26" s="1360"/>
      <c r="BSB26" s="1360"/>
      <c r="BSC26" s="1360"/>
      <c r="BSD26" s="1360"/>
      <c r="BSE26" s="1360"/>
      <c r="BSF26" s="1360"/>
      <c r="BSG26" s="1360"/>
      <c r="BSH26" s="1360"/>
      <c r="BSI26" s="1360"/>
      <c r="BSJ26" s="1360"/>
      <c r="BSK26" s="1360"/>
      <c r="BSL26" s="1360"/>
      <c r="BSM26" s="1360"/>
      <c r="BSN26" s="1360"/>
      <c r="BSO26" s="1360"/>
      <c r="BSP26" s="1360"/>
      <c r="BSQ26" s="1360"/>
      <c r="BSR26" s="1360"/>
      <c r="BSS26" s="1360"/>
      <c r="BST26" s="1360"/>
      <c r="BSU26" s="1360"/>
      <c r="BSV26" s="1360"/>
      <c r="BSW26" s="1360"/>
      <c r="BSX26" s="1360"/>
      <c r="BSY26" s="1360"/>
      <c r="BSZ26" s="1360"/>
      <c r="BTA26" s="1360"/>
      <c r="BTB26" s="1360"/>
      <c r="BTC26" s="1360"/>
      <c r="BTD26" s="1360"/>
      <c r="BTE26" s="1360"/>
      <c r="BTF26" s="1360"/>
      <c r="BTG26" s="1360"/>
      <c r="BTH26" s="1360"/>
      <c r="BTI26" s="1360"/>
      <c r="BTJ26" s="1360"/>
      <c r="BTK26" s="1360"/>
      <c r="BTL26" s="1360"/>
      <c r="BTM26" s="1360"/>
      <c r="BTN26" s="1360"/>
      <c r="BTO26" s="1360"/>
      <c r="BTP26" s="1360"/>
      <c r="BTQ26" s="1360"/>
      <c r="BTR26" s="1360"/>
      <c r="BTS26" s="1360"/>
      <c r="BTT26" s="1360"/>
      <c r="BTU26" s="1360"/>
      <c r="BTV26" s="1360"/>
      <c r="BTW26" s="1360"/>
      <c r="BTX26" s="1360"/>
      <c r="BTY26" s="1360"/>
      <c r="BTZ26" s="1360"/>
      <c r="BUA26" s="1360"/>
      <c r="BUB26" s="1360"/>
      <c r="BUC26" s="1360"/>
      <c r="BUD26" s="1360"/>
      <c r="BUE26" s="1360"/>
      <c r="BUF26" s="1360"/>
      <c r="BUG26" s="1360"/>
      <c r="BUH26" s="1360"/>
      <c r="BUI26" s="1360"/>
      <c r="BUJ26" s="1360"/>
      <c r="BUK26" s="1360"/>
      <c r="BUL26" s="1360"/>
      <c r="BUM26" s="1360"/>
      <c r="BUN26" s="1360"/>
      <c r="BUO26" s="1360"/>
      <c r="BUP26" s="1360"/>
      <c r="BUQ26" s="1360"/>
      <c r="BUR26" s="1360"/>
      <c r="BUS26" s="1360"/>
      <c r="BUT26" s="1360"/>
      <c r="BUU26" s="1360"/>
      <c r="BUV26" s="1360"/>
      <c r="BUW26" s="1360"/>
      <c r="BUX26" s="1360"/>
      <c r="BUY26" s="1360"/>
      <c r="BUZ26" s="1360"/>
      <c r="BVA26" s="1360"/>
      <c r="BVB26" s="1360"/>
      <c r="BVC26" s="1360"/>
      <c r="BVD26" s="1360"/>
      <c r="BVE26" s="1360"/>
      <c r="BVF26" s="1360"/>
      <c r="BVG26" s="1360"/>
      <c r="BVH26" s="1360"/>
      <c r="BVI26" s="1360"/>
      <c r="BVJ26" s="1360"/>
      <c r="BVK26" s="1360"/>
      <c r="BVL26" s="1360"/>
      <c r="BVM26" s="1360"/>
      <c r="BVN26" s="1360"/>
      <c r="BVO26" s="1360"/>
      <c r="BVP26" s="1360"/>
      <c r="BVQ26" s="1360"/>
      <c r="BVR26" s="1360"/>
      <c r="BVS26" s="1360"/>
      <c r="BVT26" s="1360"/>
      <c r="BVU26" s="1360"/>
      <c r="BVV26" s="1360"/>
      <c r="BVW26" s="1360"/>
      <c r="BVX26" s="1360"/>
      <c r="BVY26" s="1360"/>
      <c r="BVZ26" s="1360"/>
      <c r="BWA26" s="1360"/>
      <c r="BWB26" s="1360"/>
      <c r="BWC26" s="1360"/>
      <c r="BWD26" s="1360"/>
      <c r="BWE26" s="1360"/>
      <c r="BWF26" s="1360"/>
      <c r="BWG26" s="1360"/>
      <c r="BWH26" s="1360"/>
      <c r="BWI26" s="1360"/>
      <c r="BWJ26" s="1360"/>
      <c r="BWK26" s="1360"/>
      <c r="BWL26" s="1360"/>
      <c r="BWM26" s="1360"/>
      <c r="BWN26" s="1360"/>
      <c r="BWO26" s="1360"/>
      <c r="BWP26" s="1360"/>
      <c r="BWQ26" s="1360"/>
      <c r="BWR26" s="1360"/>
      <c r="BWS26" s="1360"/>
      <c r="BWT26" s="1360"/>
      <c r="BWU26" s="1360"/>
      <c r="BWV26" s="1360"/>
      <c r="BWW26" s="1360"/>
      <c r="BWX26" s="1360"/>
      <c r="BWY26" s="1360"/>
      <c r="BWZ26" s="1360"/>
      <c r="BXA26" s="1360"/>
      <c r="BXB26" s="1360"/>
      <c r="BXC26" s="1360"/>
      <c r="BXD26" s="1360"/>
      <c r="BXE26" s="1360"/>
      <c r="BXF26" s="1360"/>
      <c r="BXG26" s="1360"/>
      <c r="BXH26" s="1360"/>
      <c r="BXI26" s="1360"/>
      <c r="BXJ26" s="1360"/>
      <c r="BXK26" s="1360"/>
      <c r="BXL26" s="1360"/>
      <c r="BXM26" s="1360"/>
      <c r="BXN26" s="1360"/>
      <c r="BXO26" s="1360"/>
      <c r="BXP26" s="1360"/>
      <c r="BXQ26" s="1360"/>
      <c r="BXR26" s="1360"/>
      <c r="BXS26" s="1360"/>
      <c r="BXT26" s="1360"/>
      <c r="BXU26" s="1360"/>
      <c r="BXV26" s="1360"/>
      <c r="BXW26" s="1360"/>
      <c r="BXX26" s="1360"/>
      <c r="BXY26" s="1360"/>
      <c r="BXZ26" s="1360"/>
      <c r="BYA26" s="1360"/>
      <c r="BYB26" s="1360"/>
      <c r="BYC26" s="1360"/>
      <c r="BYD26" s="1360"/>
      <c r="BYE26" s="1360"/>
      <c r="BYF26" s="1360"/>
      <c r="BYG26" s="1360"/>
      <c r="BYH26" s="1360"/>
      <c r="BYI26" s="1360"/>
      <c r="BYJ26" s="1360"/>
      <c r="BYK26" s="1360"/>
      <c r="BYL26" s="1360"/>
      <c r="BYM26" s="1360"/>
      <c r="BYN26" s="1360"/>
      <c r="BYO26" s="1360"/>
      <c r="BYP26" s="1360"/>
      <c r="BYQ26" s="1360"/>
      <c r="BYR26" s="1360"/>
      <c r="BYS26" s="1360"/>
      <c r="BYT26" s="1360"/>
      <c r="BYU26" s="1360"/>
      <c r="BYV26" s="1360"/>
      <c r="BYW26" s="1360"/>
      <c r="BYX26" s="1360"/>
      <c r="BYY26" s="1360"/>
      <c r="BYZ26" s="1360"/>
      <c r="BZA26" s="1360"/>
      <c r="BZB26" s="1360"/>
      <c r="BZC26" s="1360"/>
      <c r="BZD26" s="1360"/>
      <c r="BZE26" s="1360"/>
      <c r="BZF26" s="1360"/>
      <c r="BZG26" s="1360"/>
      <c r="BZH26" s="1360"/>
      <c r="BZI26" s="1360"/>
      <c r="BZJ26" s="1360"/>
      <c r="BZK26" s="1360"/>
      <c r="BZL26" s="1360"/>
      <c r="BZM26" s="1360"/>
      <c r="BZN26" s="1360"/>
      <c r="BZO26" s="1360"/>
      <c r="BZP26" s="1360"/>
      <c r="BZQ26" s="1360"/>
      <c r="BZR26" s="1360"/>
      <c r="BZS26" s="1360"/>
      <c r="BZT26" s="1360"/>
      <c r="BZU26" s="1360"/>
      <c r="BZV26" s="1360"/>
      <c r="BZW26" s="1360"/>
      <c r="BZX26" s="1360"/>
      <c r="BZY26" s="1360"/>
      <c r="BZZ26" s="1360"/>
      <c r="CAA26" s="1360"/>
      <c r="CAB26" s="1360"/>
      <c r="CAC26" s="1360"/>
      <c r="CAD26" s="1360"/>
      <c r="CAE26" s="1360"/>
      <c r="CAF26" s="1360"/>
      <c r="CAG26" s="1360"/>
      <c r="CAH26" s="1360"/>
      <c r="CAI26" s="1360"/>
      <c r="CAJ26" s="1360"/>
      <c r="CAK26" s="1360"/>
      <c r="CAL26" s="1360"/>
      <c r="CAM26" s="1360"/>
      <c r="CAN26" s="1360"/>
      <c r="CAO26" s="1360"/>
      <c r="CAP26" s="1360"/>
      <c r="CAQ26" s="1360"/>
      <c r="CAR26" s="1360"/>
      <c r="CAS26" s="1360"/>
      <c r="CAT26" s="1360"/>
      <c r="CAU26" s="1360"/>
      <c r="CAV26" s="1360"/>
      <c r="CAW26" s="1360"/>
      <c r="CAX26" s="1360"/>
      <c r="CAY26" s="1360"/>
      <c r="CAZ26" s="1360"/>
      <c r="CBA26" s="1360"/>
      <c r="CBB26" s="1360"/>
      <c r="CBC26" s="1360"/>
      <c r="CBD26" s="1360"/>
      <c r="CBE26" s="1360"/>
      <c r="CBF26" s="1360"/>
      <c r="CBG26" s="1360"/>
      <c r="CBH26" s="1360"/>
      <c r="CBI26" s="1360"/>
      <c r="CBJ26" s="1360"/>
      <c r="CBK26" s="1360"/>
      <c r="CBL26" s="1360"/>
      <c r="CBM26" s="1360"/>
      <c r="CBN26" s="1360"/>
      <c r="CBO26" s="1360"/>
      <c r="CBP26" s="1360"/>
      <c r="CBQ26" s="1360"/>
      <c r="CBR26" s="1360"/>
      <c r="CBS26" s="1360"/>
      <c r="CBT26" s="1360"/>
      <c r="CBU26" s="1360"/>
      <c r="CBV26" s="1360"/>
      <c r="CBW26" s="1360"/>
      <c r="CBX26" s="1360"/>
      <c r="CBY26" s="1360"/>
      <c r="CBZ26" s="1360"/>
      <c r="CCA26" s="1360"/>
      <c r="CCB26" s="1360"/>
      <c r="CCC26" s="1360"/>
      <c r="CCD26" s="1360"/>
      <c r="CCE26" s="1360"/>
      <c r="CCF26" s="1360"/>
      <c r="CCG26" s="1360"/>
      <c r="CCH26" s="1360"/>
      <c r="CCI26" s="1360"/>
      <c r="CCJ26" s="1360"/>
      <c r="CCK26" s="1360"/>
      <c r="CCL26" s="1360"/>
      <c r="CCM26" s="1360"/>
      <c r="CCN26" s="1360"/>
      <c r="CCO26" s="1360"/>
      <c r="CCP26" s="1360"/>
      <c r="CCQ26" s="1360"/>
      <c r="CCR26" s="1360"/>
      <c r="CCS26" s="1360"/>
      <c r="CCT26" s="1360"/>
      <c r="CCU26" s="1360"/>
      <c r="CCV26" s="1360"/>
      <c r="CCW26" s="1360"/>
      <c r="CCX26" s="1360"/>
      <c r="CCY26" s="1360"/>
      <c r="CCZ26" s="1360"/>
      <c r="CDA26" s="1360"/>
      <c r="CDB26" s="1360"/>
      <c r="CDC26" s="1360"/>
      <c r="CDD26" s="1360"/>
      <c r="CDE26" s="1360"/>
      <c r="CDF26" s="1360"/>
      <c r="CDG26" s="1360"/>
      <c r="CDH26" s="1360"/>
      <c r="CDI26" s="1360"/>
      <c r="CDJ26" s="1360"/>
      <c r="CDK26" s="1360"/>
      <c r="CDL26" s="1360"/>
      <c r="CDM26" s="1360"/>
      <c r="CDN26" s="1360"/>
      <c r="CDO26" s="1360"/>
      <c r="CDP26" s="1360"/>
      <c r="CDQ26" s="1360"/>
      <c r="CDR26" s="1360"/>
      <c r="CDS26" s="1360"/>
      <c r="CDT26" s="1360"/>
      <c r="CDU26" s="1360"/>
      <c r="CDV26" s="1360"/>
      <c r="CDW26" s="1360"/>
      <c r="CDX26" s="1360"/>
      <c r="CDY26" s="1360"/>
      <c r="CDZ26" s="1360"/>
      <c r="CEA26" s="1360"/>
      <c r="CEB26" s="1360"/>
      <c r="CEC26" s="1360"/>
      <c r="CED26" s="1360"/>
      <c r="CEE26" s="1360"/>
      <c r="CEF26" s="1360"/>
      <c r="CEG26" s="1360"/>
      <c r="CEH26" s="1360"/>
      <c r="CEI26" s="1360"/>
      <c r="CEJ26" s="1360"/>
      <c r="CEK26" s="1360"/>
      <c r="CEL26" s="1360"/>
      <c r="CEM26" s="1360"/>
      <c r="CEN26" s="1360"/>
      <c r="CEO26" s="1360"/>
      <c r="CEP26" s="1360"/>
      <c r="CEQ26" s="1360"/>
      <c r="CER26" s="1360"/>
      <c r="CES26" s="1360"/>
      <c r="CET26" s="1360"/>
      <c r="CEU26" s="1360"/>
      <c r="CEV26" s="1360"/>
      <c r="CEW26" s="1360"/>
      <c r="CEX26" s="1360"/>
      <c r="CEY26" s="1360"/>
      <c r="CEZ26" s="1360"/>
      <c r="CFA26" s="1360"/>
      <c r="CFB26" s="1360"/>
      <c r="CFC26" s="1360"/>
      <c r="CFD26" s="1360"/>
      <c r="CFE26" s="1360"/>
      <c r="CFF26" s="1360"/>
      <c r="CFG26" s="1360"/>
      <c r="CFH26" s="1360"/>
      <c r="CFI26" s="1360"/>
      <c r="CFJ26" s="1360"/>
      <c r="CFK26" s="1360"/>
      <c r="CFL26" s="1360"/>
      <c r="CFM26" s="1360"/>
      <c r="CFN26" s="1360"/>
      <c r="CFO26" s="1360"/>
      <c r="CFP26" s="1360"/>
      <c r="CFQ26" s="1360"/>
      <c r="CFR26" s="1360"/>
      <c r="CFS26" s="1360"/>
      <c r="CFT26" s="1360"/>
      <c r="CFU26" s="1360"/>
      <c r="CFV26" s="1360"/>
      <c r="CFW26" s="1360"/>
      <c r="CFX26" s="1360"/>
      <c r="CFY26" s="1360"/>
      <c r="CFZ26" s="1360"/>
      <c r="CGA26" s="1360"/>
      <c r="CGB26" s="1360"/>
      <c r="CGC26" s="1360"/>
      <c r="CGD26" s="1360"/>
      <c r="CGE26" s="1360"/>
      <c r="CGF26" s="1360"/>
      <c r="CGG26" s="1360"/>
      <c r="CGH26" s="1360"/>
      <c r="CGI26" s="1360"/>
      <c r="CGJ26" s="1360"/>
      <c r="CGK26" s="1360"/>
      <c r="CGL26" s="1360"/>
      <c r="CGM26" s="1360"/>
      <c r="CGN26" s="1360"/>
      <c r="CGO26" s="1360"/>
      <c r="CGP26" s="1360"/>
      <c r="CGQ26" s="1360"/>
      <c r="CGR26" s="1360"/>
      <c r="CGS26" s="1360"/>
      <c r="CGT26" s="1360"/>
      <c r="CGU26" s="1360"/>
      <c r="CGV26" s="1360"/>
      <c r="CGW26" s="1360"/>
      <c r="CGX26" s="1360"/>
      <c r="CGY26" s="1360"/>
      <c r="CGZ26" s="1360"/>
      <c r="CHA26" s="1360"/>
      <c r="CHB26" s="1360"/>
      <c r="CHC26" s="1360"/>
      <c r="CHD26" s="1360"/>
      <c r="CHE26" s="1360"/>
      <c r="CHF26" s="1360"/>
      <c r="CHG26" s="1360"/>
      <c r="CHH26" s="1360"/>
      <c r="CHI26" s="1360"/>
      <c r="CHJ26" s="1360"/>
      <c r="CHK26" s="1360"/>
      <c r="CHL26" s="1360"/>
      <c r="CHM26" s="1360"/>
      <c r="CHN26" s="1360"/>
      <c r="CHO26" s="1360"/>
      <c r="CHP26" s="1360"/>
      <c r="CHQ26" s="1360"/>
      <c r="CHR26" s="1360"/>
      <c r="CHS26" s="1360"/>
      <c r="CHT26" s="1360"/>
      <c r="CHU26" s="1360"/>
      <c r="CHV26" s="1360"/>
      <c r="CHW26" s="1360"/>
      <c r="CHX26" s="1360"/>
      <c r="CHY26" s="1360"/>
      <c r="CHZ26" s="1360"/>
      <c r="CIA26" s="1360"/>
      <c r="CIB26" s="1360"/>
      <c r="CIC26" s="1360"/>
      <c r="CID26" s="1360"/>
      <c r="CIE26" s="1360"/>
      <c r="CIF26" s="1360"/>
      <c r="CIG26" s="1360"/>
      <c r="CIH26" s="1360"/>
      <c r="CII26" s="1360"/>
      <c r="CIJ26" s="1360"/>
      <c r="CIK26" s="1360"/>
      <c r="CIL26" s="1360"/>
      <c r="CIM26" s="1360"/>
      <c r="CIN26" s="1360"/>
      <c r="CIO26" s="1360"/>
      <c r="CIP26" s="1360"/>
      <c r="CIQ26" s="1360"/>
      <c r="CIR26" s="1360"/>
      <c r="CIS26" s="1360"/>
      <c r="CIT26" s="1360"/>
      <c r="CIU26" s="1360"/>
      <c r="CIV26" s="1360"/>
      <c r="CIW26" s="1360"/>
      <c r="CIX26" s="1360"/>
      <c r="CIY26" s="1360"/>
      <c r="CIZ26" s="1360"/>
      <c r="CJA26" s="1360"/>
      <c r="CJB26" s="1360"/>
      <c r="CJC26" s="1360"/>
      <c r="CJD26" s="1360"/>
      <c r="CJE26" s="1360"/>
      <c r="CJF26" s="1360"/>
      <c r="CJG26" s="1360"/>
      <c r="CJH26" s="1360"/>
      <c r="CJI26" s="1360"/>
      <c r="CJJ26" s="1360"/>
      <c r="CJK26" s="1360"/>
      <c r="CJL26" s="1360"/>
      <c r="CJM26" s="1360"/>
      <c r="CJN26" s="1360"/>
      <c r="CJO26" s="1360"/>
      <c r="CJP26" s="1360"/>
      <c r="CJQ26" s="1360"/>
      <c r="CJR26" s="1360"/>
      <c r="CJS26" s="1360"/>
      <c r="CJT26" s="1360"/>
      <c r="CJU26" s="1360"/>
      <c r="CJV26" s="1360"/>
      <c r="CJW26" s="1360"/>
      <c r="CJX26" s="1360"/>
      <c r="CJY26" s="1360"/>
      <c r="CJZ26" s="1360"/>
      <c r="CKA26" s="1360"/>
      <c r="CKB26" s="1360"/>
      <c r="CKC26" s="1360"/>
      <c r="CKD26" s="1360"/>
      <c r="CKE26" s="1360"/>
      <c r="CKF26" s="1360"/>
      <c r="CKG26" s="1360"/>
      <c r="CKH26" s="1360"/>
      <c r="CKI26" s="1360"/>
      <c r="CKJ26" s="1360"/>
      <c r="CKK26" s="1360"/>
      <c r="CKL26" s="1360"/>
      <c r="CKM26" s="1360"/>
      <c r="CKN26" s="1360"/>
      <c r="CKO26" s="1360"/>
      <c r="CKP26" s="1360"/>
      <c r="CKQ26" s="1360"/>
      <c r="CKR26" s="1360"/>
      <c r="CKS26" s="1360"/>
      <c r="CKT26" s="1360"/>
      <c r="CKU26" s="1360"/>
      <c r="CKV26" s="1360"/>
      <c r="CKW26" s="1360"/>
      <c r="CKX26" s="1360"/>
      <c r="CKY26" s="1360"/>
      <c r="CKZ26" s="1360"/>
      <c r="CLA26" s="1360"/>
      <c r="CLB26" s="1360"/>
      <c r="CLC26" s="1360"/>
      <c r="CLD26" s="1360"/>
      <c r="CLE26" s="1360"/>
      <c r="CLF26" s="1360"/>
      <c r="CLG26" s="1360"/>
      <c r="CLH26" s="1360"/>
      <c r="CLI26" s="1360"/>
      <c r="CLJ26" s="1360"/>
      <c r="CLK26" s="1360"/>
      <c r="CLL26" s="1360"/>
      <c r="CLM26" s="1360"/>
      <c r="CLN26" s="1360"/>
      <c r="CLO26" s="1360"/>
      <c r="CLP26" s="1360"/>
      <c r="CLQ26" s="1360"/>
      <c r="CLR26" s="1360"/>
      <c r="CLS26" s="1360"/>
      <c r="CLT26" s="1360"/>
      <c r="CLU26" s="1360"/>
      <c r="CLV26" s="1360"/>
      <c r="CLW26" s="1360"/>
      <c r="CLX26" s="1360"/>
      <c r="CLY26" s="1360"/>
      <c r="CLZ26" s="1360"/>
      <c r="CMA26" s="1360"/>
      <c r="CMB26" s="1360"/>
      <c r="CMC26" s="1360"/>
      <c r="CMD26" s="1360"/>
      <c r="CME26" s="1360"/>
      <c r="CMF26" s="1360"/>
      <c r="CMG26" s="1360"/>
      <c r="CMH26" s="1360"/>
      <c r="CMI26" s="1360"/>
      <c r="CMJ26" s="1360"/>
      <c r="CMK26" s="1360"/>
      <c r="CML26" s="1360"/>
      <c r="CMM26" s="1360"/>
      <c r="CMN26" s="1360"/>
      <c r="CMO26" s="1360"/>
      <c r="CMP26" s="1360"/>
      <c r="CMQ26" s="1360"/>
      <c r="CMR26" s="1360"/>
      <c r="CMS26" s="1360"/>
      <c r="CMT26" s="1360"/>
      <c r="CMU26" s="1360"/>
      <c r="CMV26" s="1360"/>
      <c r="CMW26" s="1360"/>
      <c r="CMX26" s="1360"/>
      <c r="CMY26" s="1360"/>
      <c r="CMZ26" s="1360"/>
      <c r="CNA26" s="1360"/>
      <c r="CNB26" s="1360"/>
      <c r="CNC26" s="1360"/>
      <c r="CND26" s="1360"/>
      <c r="CNE26" s="1360"/>
      <c r="CNF26" s="1360"/>
      <c r="CNG26" s="1360"/>
      <c r="CNH26" s="1360"/>
      <c r="CNI26" s="1360"/>
      <c r="CNJ26" s="1360"/>
      <c r="CNK26" s="1360"/>
      <c r="CNL26" s="1360"/>
      <c r="CNM26" s="1360"/>
      <c r="CNN26" s="1360"/>
      <c r="CNO26" s="1360"/>
      <c r="CNP26" s="1360"/>
      <c r="CNQ26" s="1360"/>
      <c r="CNR26" s="1360"/>
      <c r="CNS26" s="1360"/>
      <c r="CNT26" s="1360"/>
      <c r="CNU26" s="1360"/>
      <c r="CNV26" s="1360"/>
      <c r="CNW26" s="1360"/>
      <c r="CNX26" s="1360"/>
      <c r="CNY26" s="1360"/>
      <c r="CNZ26" s="1360"/>
      <c r="COA26" s="1360"/>
      <c r="COB26" s="1360"/>
      <c r="COC26" s="1360"/>
      <c r="COD26" s="1360"/>
      <c r="COE26" s="1360"/>
      <c r="COF26" s="1360"/>
      <c r="COG26" s="1360"/>
      <c r="COH26" s="1360"/>
      <c r="COI26" s="1360"/>
      <c r="COJ26" s="1360"/>
      <c r="COK26" s="1360"/>
      <c r="COL26" s="1360"/>
      <c r="COM26" s="1360"/>
      <c r="CON26" s="1360"/>
      <c r="COO26" s="1360"/>
      <c r="COP26" s="1360"/>
      <c r="COQ26" s="1360"/>
      <c r="COR26" s="1360"/>
      <c r="COS26" s="1360"/>
      <c r="COT26" s="1360"/>
      <c r="COU26" s="1360"/>
      <c r="COV26" s="1360"/>
      <c r="COW26" s="1360"/>
      <c r="COX26" s="1360"/>
      <c r="COY26" s="1360"/>
      <c r="COZ26" s="1360"/>
      <c r="CPA26" s="1360"/>
      <c r="CPB26" s="1360"/>
      <c r="CPC26" s="1360"/>
      <c r="CPD26" s="1360"/>
      <c r="CPE26" s="1360"/>
      <c r="CPF26" s="1360"/>
      <c r="CPG26" s="1360"/>
      <c r="CPH26" s="1360"/>
      <c r="CPI26" s="1360"/>
      <c r="CPJ26" s="1360"/>
      <c r="CPK26" s="1360"/>
      <c r="CPL26" s="1360"/>
      <c r="CPM26" s="1360"/>
      <c r="CPN26" s="1360"/>
      <c r="CPO26" s="1360"/>
      <c r="CPP26" s="1360"/>
      <c r="CPQ26" s="1360"/>
      <c r="CPR26" s="1360"/>
      <c r="CPS26" s="1360"/>
      <c r="CPT26" s="1360"/>
      <c r="CPU26" s="1360"/>
      <c r="CPV26" s="1360"/>
      <c r="CPW26" s="1360"/>
      <c r="CPX26" s="1360"/>
      <c r="CPY26" s="1360"/>
      <c r="CPZ26" s="1360"/>
      <c r="CQA26" s="1360"/>
      <c r="CQB26" s="1360"/>
      <c r="CQC26" s="1360"/>
      <c r="CQD26" s="1360"/>
      <c r="CQE26" s="1360"/>
      <c r="CQF26" s="1360"/>
      <c r="CQG26" s="1360"/>
      <c r="CQH26" s="1360"/>
      <c r="CQI26" s="1360"/>
      <c r="CQJ26" s="1360"/>
      <c r="CQK26" s="1360"/>
      <c r="CQL26" s="1360"/>
      <c r="CQM26" s="1360"/>
      <c r="CQN26" s="1360"/>
      <c r="CQO26" s="1360"/>
      <c r="CQP26" s="1360"/>
      <c r="CQQ26" s="1360"/>
      <c r="CQR26" s="1360"/>
      <c r="CQS26" s="1360"/>
      <c r="CQT26" s="1360"/>
      <c r="CQU26" s="1360"/>
      <c r="CQV26" s="1360"/>
      <c r="CQW26" s="1360"/>
      <c r="CQX26" s="1360"/>
      <c r="CQY26" s="1360"/>
      <c r="CQZ26" s="1360"/>
      <c r="CRA26" s="1360"/>
      <c r="CRB26" s="1360"/>
      <c r="CRC26" s="1360"/>
      <c r="CRD26" s="1360"/>
      <c r="CRE26" s="1360"/>
      <c r="CRF26" s="1360"/>
      <c r="CRG26" s="1360"/>
      <c r="CRH26" s="1360"/>
      <c r="CRI26" s="1360"/>
      <c r="CRJ26" s="1360"/>
      <c r="CRK26" s="1360"/>
      <c r="CRL26" s="1360"/>
      <c r="CRM26" s="1360"/>
      <c r="CRN26" s="1360"/>
      <c r="CRO26" s="1360"/>
      <c r="CRP26" s="1360"/>
      <c r="CRQ26" s="1360"/>
      <c r="CRR26" s="1360"/>
      <c r="CRS26" s="1360"/>
      <c r="CRT26" s="1360"/>
      <c r="CRU26" s="1360"/>
      <c r="CRV26" s="1360"/>
      <c r="CRW26" s="1360"/>
      <c r="CRX26" s="1360"/>
      <c r="CRY26" s="1360"/>
      <c r="CRZ26" s="1360"/>
      <c r="CSA26" s="1360"/>
      <c r="CSB26" s="1360"/>
      <c r="CSC26" s="1360"/>
      <c r="CSD26" s="1360"/>
      <c r="CSE26" s="1360"/>
      <c r="CSF26" s="1360"/>
      <c r="CSG26" s="1360"/>
      <c r="CSH26" s="1360"/>
      <c r="CSI26" s="1360"/>
      <c r="CSJ26" s="1360"/>
      <c r="CSK26" s="1360"/>
      <c r="CSL26" s="1360"/>
      <c r="CSM26" s="1360"/>
      <c r="CSN26" s="1360"/>
      <c r="CSO26" s="1360"/>
      <c r="CSP26" s="1360"/>
      <c r="CSQ26" s="1360"/>
      <c r="CSR26" s="1360"/>
      <c r="CSS26" s="1360"/>
      <c r="CST26" s="1360"/>
      <c r="CSU26" s="1360"/>
      <c r="CSV26" s="1360"/>
      <c r="CSW26" s="1360"/>
      <c r="CSX26" s="1360"/>
      <c r="CSY26" s="1360"/>
      <c r="CSZ26" s="1360"/>
      <c r="CTA26" s="1360"/>
      <c r="CTB26" s="1360"/>
      <c r="CTC26" s="1360"/>
      <c r="CTD26" s="1360"/>
      <c r="CTE26" s="1360"/>
      <c r="CTF26" s="1360"/>
      <c r="CTG26" s="1360"/>
      <c r="CTH26" s="1360"/>
      <c r="CTI26" s="1360"/>
      <c r="CTJ26" s="1360"/>
      <c r="CTK26" s="1360"/>
      <c r="CTL26" s="1360"/>
      <c r="CTM26" s="1360"/>
      <c r="CTN26" s="1360"/>
      <c r="CTO26" s="1360"/>
      <c r="CTP26" s="1360"/>
      <c r="CTQ26" s="1360"/>
      <c r="CTR26" s="1360"/>
      <c r="CTS26" s="1360"/>
      <c r="CTT26" s="1360"/>
      <c r="CTU26" s="1360"/>
      <c r="CTV26" s="1360"/>
      <c r="CTW26" s="1360"/>
      <c r="CTX26" s="1360"/>
      <c r="CTY26" s="1360"/>
      <c r="CTZ26" s="1360"/>
      <c r="CUA26" s="1360"/>
      <c r="CUB26" s="1360"/>
      <c r="CUC26" s="1360"/>
      <c r="CUD26" s="1360"/>
      <c r="CUE26" s="1360"/>
      <c r="CUF26" s="1360"/>
      <c r="CUG26" s="1360"/>
      <c r="CUH26" s="1360"/>
      <c r="CUI26" s="1360"/>
      <c r="CUJ26" s="1360"/>
      <c r="CUK26" s="1360"/>
      <c r="CUL26" s="1360"/>
      <c r="CUM26" s="1360"/>
      <c r="CUN26" s="1360"/>
      <c r="CUO26" s="1360"/>
      <c r="CUP26" s="1360"/>
      <c r="CUQ26" s="1360"/>
      <c r="CUR26" s="1360"/>
      <c r="CUS26" s="1360"/>
      <c r="CUT26" s="1360"/>
      <c r="CUU26" s="1360"/>
      <c r="CUV26" s="1360"/>
      <c r="CUW26" s="1360"/>
      <c r="CUX26" s="1360"/>
      <c r="CUY26" s="1360"/>
      <c r="CUZ26" s="1360"/>
      <c r="CVA26" s="1360"/>
      <c r="CVB26" s="1360"/>
      <c r="CVC26" s="1360"/>
      <c r="CVD26" s="1360"/>
      <c r="CVE26" s="1360"/>
      <c r="CVF26" s="1360"/>
      <c r="CVG26" s="1360"/>
      <c r="CVH26" s="1360"/>
      <c r="CVI26" s="1360"/>
      <c r="CVJ26" s="1360"/>
      <c r="CVK26" s="1360"/>
      <c r="CVL26" s="1360"/>
      <c r="CVM26" s="1360"/>
      <c r="CVN26" s="1360"/>
      <c r="CVO26" s="1360"/>
      <c r="CVP26" s="1360"/>
      <c r="CVQ26" s="1360"/>
      <c r="CVR26" s="1360"/>
      <c r="CVS26" s="1360"/>
      <c r="CVT26" s="1360"/>
      <c r="CVU26" s="1360"/>
      <c r="CVV26" s="1360"/>
      <c r="CVW26" s="1360"/>
      <c r="CVX26" s="1360"/>
      <c r="CVY26" s="1360"/>
      <c r="CVZ26" s="1360"/>
      <c r="CWA26" s="1360"/>
      <c r="CWB26" s="1360"/>
      <c r="CWC26" s="1360"/>
      <c r="CWD26" s="1360"/>
      <c r="CWE26" s="1360"/>
      <c r="CWF26" s="1360"/>
      <c r="CWG26" s="1360"/>
      <c r="CWH26" s="1360"/>
      <c r="CWI26" s="1360"/>
      <c r="CWJ26" s="1360"/>
      <c r="CWK26" s="1360"/>
      <c r="CWL26" s="1360"/>
      <c r="CWM26" s="1360"/>
      <c r="CWN26" s="1360"/>
      <c r="CWO26" s="1360"/>
      <c r="CWP26" s="1360"/>
      <c r="CWQ26" s="1360"/>
      <c r="CWR26" s="1360"/>
      <c r="CWS26" s="1360"/>
      <c r="CWT26" s="1360"/>
      <c r="CWU26" s="1360"/>
      <c r="CWV26" s="1360"/>
      <c r="CWW26" s="1360"/>
      <c r="CWX26" s="1360"/>
      <c r="CWY26" s="1360"/>
      <c r="CWZ26" s="1360"/>
      <c r="CXA26" s="1360"/>
      <c r="CXB26" s="1360"/>
      <c r="CXC26" s="1360"/>
      <c r="CXD26" s="1360"/>
      <c r="CXE26" s="1360"/>
      <c r="CXF26" s="1360"/>
      <c r="CXG26" s="1360"/>
      <c r="CXH26" s="1360"/>
      <c r="CXI26" s="1360"/>
      <c r="CXJ26" s="1360"/>
      <c r="CXK26" s="1360"/>
      <c r="CXL26" s="1360"/>
      <c r="CXM26" s="1360"/>
      <c r="CXN26" s="1360"/>
      <c r="CXO26" s="1360"/>
      <c r="CXP26" s="1360"/>
      <c r="CXQ26" s="1360"/>
      <c r="CXR26" s="1360"/>
      <c r="CXS26" s="1360"/>
      <c r="CXT26" s="1360"/>
      <c r="CXU26" s="1360"/>
      <c r="CXV26" s="1360"/>
      <c r="CXW26" s="1360"/>
      <c r="CXX26" s="1360"/>
      <c r="CXY26" s="1360"/>
      <c r="CXZ26" s="1360"/>
      <c r="CYA26" s="1360"/>
      <c r="CYB26" s="1360"/>
      <c r="CYC26" s="1360"/>
      <c r="CYD26" s="1360"/>
      <c r="CYE26" s="1360"/>
      <c r="CYF26" s="1360"/>
      <c r="CYG26" s="1360"/>
      <c r="CYH26" s="1360"/>
      <c r="CYI26" s="1360"/>
      <c r="CYJ26" s="1360"/>
      <c r="CYK26" s="1360"/>
      <c r="CYL26" s="1360"/>
      <c r="CYM26" s="1360"/>
      <c r="CYN26" s="1360"/>
      <c r="CYO26" s="1360"/>
      <c r="CYP26" s="1360"/>
      <c r="CYQ26" s="1360"/>
      <c r="CYR26" s="1360"/>
      <c r="CYS26" s="1360"/>
      <c r="CYT26" s="1360"/>
      <c r="CYU26" s="1360"/>
      <c r="CYV26" s="1360"/>
      <c r="CYW26" s="1360"/>
      <c r="CYX26" s="1360"/>
      <c r="CYY26" s="1360"/>
      <c r="CYZ26" s="1360"/>
      <c r="CZA26" s="1360"/>
      <c r="CZB26" s="1360"/>
      <c r="CZC26" s="1360"/>
      <c r="CZD26" s="1360"/>
      <c r="CZE26" s="1360"/>
      <c r="CZF26" s="1360"/>
      <c r="CZG26" s="1360"/>
      <c r="CZH26" s="1360"/>
      <c r="CZI26" s="1360"/>
      <c r="CZJ26" s="1360"/>
      <c r="CZK26" s="1360"/>
      <c r="CZL26" s="1360"/>
      <c r="CZM26" s="1360"/>
      <c r="CZN26" s="1360"/>
      <c r="CZO26" s="1360"/>
      <c r="CZP26" s="1360"/>
      <c r="CZQ26" s="1360"/>
      <c r="CZR26" s="1360"/>
      <c r="CZS26" s="1360"/>
      <c r="CZT26" s="1360"/>
      <c r="CZU26" s="1360"/>
      <c r="CZV26" s="1360"/>
      <c r="CZW26" s="1360"/>
      <c r="CZX26" s="1360"/>
      <c r="CZY26" s="1360"/>
      <c r="CZZ26" s="1360"/>
      <c r="DAA26" s="1360"/>
      <c r="DAB26" s="1360"/>
      <c r="DAC26" s="1360"/>
      <c r="DAD26" s="1360"/>
      <c r="DAE26" s="1360"/>
      <c r="DAF26" s="1360"/>
      <c r="DAG26" s="1360"/>
      <c r="DAH26" s="1360"/>
      <c r="DAI26" s="1360"/>
      <c r="DAJ26" s="1360"/>
      <c r="DAK26" s="1360"/>
      <c r="DAL26" s="1360"/>
      <c r="DAM26" s="1360"/>
      <c r="DAN26" s="1360"/>
      <c r="DAO26" s="1360"/>
      <c r="DAP26" s="1360"/>
      <c r="DAQ26" s="1360"/>
      <c r="DAR26" s="1360"/>
      <c r="DAS26" s="1360"/>
      <c r="DAT26" s="1360"/>
      <c r="DAU26" s="1360"/>
      <c r="DAV26" s="1360"/>
      <c r="DAW26" s="1360"/>
      <c r="DAX26" s="1360"/>
      <c r="DAY26" s="1360"/>
      <c r="DAZ26" s="1360"/>
      <c r="DBA26" s="1360"/>
      <c r="DBB26" s="1360"/>
      <c r="DBC26" s="1360"/>
      <c r="DBD26" s="1360"/>
      <c r="DBE26" s="1360"/>
      <c r="DBF26" s="1360"/>
      <c r="DBG26" s="1360"/>
      <c r="DBH26" s="1360"/>
      <c r="DBI26" s="1360"/>
      <c r="DBJ26" s="1360"/>
      <c r="DBK26" s="1360"/>
      <c r="DBL26" s="1360"/>
      <c r="DBM26" s="1360"/>
      <c r="DBN26" s="1360"/>
      <c r="DBO26" s="1360"/>
      <c r="DBP26" s="1360"/>
      <c r="DBQ26" s="1360"/>
      <c r="DBR26" s="1360"/>
      <c r="DBS26" s="1360"/>
      <c r="DBT26" s="1360"/>
      <c r="DBU26" s="1360"/>
      <c r="DBV26" s="1360"/>
      <c r="DBW26" s="1360"/>
      <c r="DBX26" s="1360"/>
      <c r="DBY26" s="1360"/>
      <c r="DBZ26" s="1360"/>
      <c r="DCA26" s="1360"/>
      <c r="DCB26" s="1360"/>
      <c r="DCC26" s="1360"/>
      <c r="DCD26" s="1360"/>
      <c r="DCE26" s="1360"/>
      <c r="DCF26" s="1360"/>
      <c r="DCG26" s="1360"/>
      <c r="DCH26" s="1360"/>
      <c r="DCI26" s="1360"/>
      <c r="DCJ26" s="1360"/>
      <c r="DCK26" s="1360"/>
      <c r="DCL26" s="1360"/>
      <c r="DCM26" s="1360"/>
      <c r="DCN26" s="1360"/>
      <c r="DCO26" s="1360"/>
      <c r="DCP26" s="1360"/>
      <c r="DCQ26" s="1360"/>
      <c r="DCR26" s="1360"/>
      <c r="DCS26" s="1360"/>
      <c r="DCT26" s="1360"/>
      <c r="DCU26" s="1360"/>
      <c r="DCV26" s="1360"/>
      <c r="DCW26" s="1360"/>
      <c r="DCX26" s="1360"/>
      <c r="DCY26" s="1360"/>
      <c r="DCZ26" s="1360"/>
      <c r="DDA26" s="1360"/>
      <c r="DDB26" s="1360"/>
      <c r="DDC26" s="1360"/>
      <c r="DDD26" s="1360"/>
      <c r="DDE26" s="1360"/>
      <c r="DDF26" s="1360"/>
      <c r="DDG26" s="1360"/>
      <c r="DDH26" s="1360"/>
      <c r="DDI26" s="1360"/>
      <c r="DDJ26" s="1360"/>
      <c r="DDK26" s="1360"/>
      <c r="DDL26" s="1360"/>
      <c r="DDM26" s="1360"/>
      <c r="DDN26" s="1360"/>
      <c r="DDO26" s="1360"/>
      <c r="DDP26" s="1360"/>
      <c r="DDQ26" s="1360"/>
      <c r="DDR26" s="1360"/>
      <c r="DDS26" s="1360"/>
      <c r="DDT26" s="1360"/>
      <c r="DDU26" s="1360"/>
      <c r="DDV26" s="1360"/>
      <c r="DDW26" s="1360"/>
      <c r="DDX26" s="1360"/>
      <c r="DDY26" s="1360"/>
      <c r="DDZ26" s="1360"/>
      <c r="DEA26" s="1360"/>
      <c r="DEB26" s="1360"/>
      <c r="DEC26" s="1360"/>
      <c r="DED26" s="1360"/>
      <c r="DEE26" s="1360"/>
      <c r="DEF26" s="1360"/>
      <c r="DEG26" s="1360"/>
      <c r="DEH26" s="1360"/>
      <c r="DEI26" s="1360"/>
      <c r="DEJ26" s="1360"/>
      <c r="DEK26" s="1360"/>
      <c r="DEL26" s="1360"/>
      <c r="DEM26" s="1360"/>
      <c r="DEN26" s="1360"/>
      <c r="DEO26" s="1360"/>
      <c r="DEP26" s="1360"/>
      <c r="DEQ26" s="1360"/>
      <c r="DER26" s="1360"/>
      <c r="DES26" s="1360"/>
      <c r="DET26" s="1360"/>
      <c r="DEU26" s="1360"/>
      <c r="DEV26" s="1360"/>
      <c r="DEW26" s="1360"/>
      <c r="DEX26" s="1360"/>
      <c r="DEY26" s="1360"/>
      <c r="DEZ26" s="1360"/>
      <c r="DFA26" s="1360"/>
      <c r="DFB26" s="1360"/>
      <c r="DFC26" s="1360"/>
      <c r="DFD26" s="1360"/>
      <c r="DFE26" s="1360"/>
      <c r="DFF26" s="1360"/>
      <c r="DFG26" s="1360"/>
      <c r="DFH26" s="1360"/>
      <c r="DFI26" s="1360"/>
      <c r="DFJ26" s="1360"/>
      <c r="DFK26" s="1360"/>
      <c r="DFL26" s="1360"/>
      <c r="DFM26" s="1360"/>
      <c r="DFN26" s="1360"/>
      <c r="DFO26" s="1360"/>
      <c r="DFP26" s="1360"/>
      <c r="DFQ26" s="1360"/>
      <c r="DFR26" s="1360"/>
      <c r="DFS26" s="1360"/>
      <c r="DFT26" s="1360"/>
      <c r="DFU26" s="1360"/>
      <c r="DFV26" s="1360"/>
      <c r="DFW26" s="1360"/>
      <c r="DFX26" s="1360"/>
      <c r="DFY26" s="1360"/>
      <c r="DFZ26" s="1360"/>
      <c r="DGA26" s="1360"/>
      <c r="DGB26" s="1360"/>
      <c r="DGC26" s="1360"/>
      <c r="DGD26" s="1360"/>
      <c r="DGE26" s="1360"/>
      <c r="DGF26" s="1360"/>
      <c r="DGG26" s="1360"/>
      <c r="DGH26" s="1360"/>
      <c r="DGI26" s="1360"/>
      <c r="DGJ26" s="1360"/>
      <c r="DGK26" s="1360"/>
      <c r="DGL26" s="1360"/>
      <c r="DGM26" s="1360"/>
      <c r="DGN26" s="1360"/>
      <c r="DGO26" s="1360"/>
      <c r="DGP26" s="1360"/>
      <c r="DGQ26" s="1360"/>
      <c r="DGR26" s="1360"/>
      <c r="DGS26" s="1360"/>
      <c r="DGT26" s="1360"/>
      <c r="DGU26" s="1360"/>
      <c r="DGV26" s="1360"/>
      <c r="DGW26" s="1360"/>
      <c r="DGX26" s="1360"/>
      <c r="DGY26" s="1360"/>
      <c r="DGZ26" s="1360"/>
      <c r="DHA26" s="1360"/>
      <c r="DHB26" s="1360"/>
      <c r="DHC26" s="1360"/>
      <c r="DHD26" s="1360"/>
      <c r="DHE26" s="1360"/>
      <c r="DHF26" s="1360"/>
      <c r="DHG26" s="1360"/>
      <c r="DHH26" s="1360"/>
      <c r="DHI26" s="1360"/>
      <c r="DHJ26" s="1360"/>
      <c r="DHK26" s="1360"/>
      <c r="DHL26" s="1360"/>
      <c r="DHM26" s="1360"/>
      <c r="DHN26" s="1360"/>
      <c r="DHO26" s="1360"/>
      <c r="DHP26" s="1360"/>
      <c r="DHQ26" s="1360"/>
      <c r="DHR26" s="1360"/>
      <c r="DHS26" s="1360"/>
      <c r="DHT26" s="1360"/>
      <c r="DHU26" s="1360"/>
      <c r="DHV26" s="1360"/>
      <c r="DHW26" s="1360"/>
      <c r="DHX26" s="1360"/>
      <c r="DHY26" s="1360"/>
      <c r="DHZ26" s="1360"/>
      <c r="DIA26" s="1360"/>
      <c r="DIB26" s="1360"/>
      <c r="DIC26" s="1360"/>
      <c r="DID26" s="1360"/>
      <c r="DIE26" s="1360"/>
      <c r="DIF26" s="1360"/>
      <c r="DIG26" s="1360"/>
      <c r="DIH26" s="1360"/>
      <c r="DII26" s="1360"/>
      <c r="DIJ26" s="1360"/>
      <c r="DIK26" s="1360"/>
      <c r="DIL26" s="1360"/>
      <c r="DIM26" s="1360"/>
      <c r="DIN26" s="1360"/>
      <c r="DIO26" s="1360"/>
      <c r="DIP26" s="1360"/>
      <c r="DIQ26" s="1360"/>
      <c r="DIR26" s="1360"/>
      <c r="DIS26" s="1360"/>
      <c r="DIT26" s="1360"/>
      <c r="DIU26" s="1360"/>
      <c r="DIV26" s="1360"/>
      <c r="DIW26" s="1360"/>
      <c r="DIX26" s="1360"/>
      <c r="DIY26" s="1360"/>
      <c r="DIZ26" s="1360"/>
      <c r="DJA26" s="1360"/>
      <c r="DJB26" s="1360"/>
      <c r="DJC26" s="1360"/>
      <c r="DJD26" s="1360"/>
      <c r="DJE26" s="1360"/>
      <c r="DJF26" s="1360"/>
      <c r="DJG26" s="1360"/>
      <c r="DJH26" s="1360"/>
      <c r="DJI26" s="1360"/>
      <c r="DJJ26" s="1360"/>
      <c r="DJK26" s="1360"/>
      <c r="DJL26" s="1360"/>
      <c r="DJM26" s="1360"/>
      <c r="DJN26" s="1360"/>
      <c r="DJO26" s="1360"/>
      <c r="DJP26" s="1360"/>
      <c r="DJQ26" s="1360"/>
      <c r="DJR26" s="1360"/>
      <c r="DJS26" s="1360"/>
      <c r="DJT26" s="1360"/>
      <c r="DJU26" s="1360"/>
      <c r="DJV26" s="1360"/>
      <c r="DJW26" s="1360"/>
      <c r="DJX26" s="1360"/>
      <c r="DJY26" s="1360"/>
      <c r="DJZ26" s="1360"/>
      <c r="DKA26" s="1360"/>
      <c r="DKB26" s="1360"/>
      <c r="DKC26" s="1360"/>
      <c r="DKD26" s="1360"/>
      <c r="DKE26" s="1360"/>
      <c r="DKF26" s="1360"/>
      <c r="DKG26" s="1360"/>
      <c r="DKH26" s="1360"/>
      <c r="DKI26" s="1360"/>
      <c r="DKJ26" s="1360"/>
      <c r="DKK26" s="1360"/>
      <c r="DKL26" s="1360"/>
      <c r="DKM26" s="1360"/>
      <c r="DKN26" s="1360"/>
      <c r="DKO26" s="1360"/>
      <c r="DKP26" s="1360"/>
      <c r="DKQ26" s="1360"/>
      <c r="DKR26" s="1360"/>
      <c r="DKS26" s="1360"/>
      <c r="DKT26" s="1360"/>
      <c r="DKU26" s="1360"/>
      <c r="DKV26" s="1360"/>
      <c r="DKW26" s="1360"/>
      <c r="DKX26" s="1360"/>
      <c r="DKY26" s="1360"/>
      <c r="DKZ26" s="1360"/>
      <c r="DLA26" s="1360"/>
      <c r="DLB26" s="1360"/>
      <c r="DLC26" s="1360"/>
      <c r="DLD26" s="1360"/>
      <c r="DLE26" s="1360"/>
      <c r="DLF26" s="1360"/>
      <c r="DLG26" s="1360"/>
      <c r="DLH26" s="1360"/>
      <c r="DLI26" s="1360"/>
      <c r="DLJ26" s="1360"/>
      <c r="DLK26" s="1360"/>
      <c r="DLL26" s="1360"/>
      <c r="DLM26" s="1360"/>
      <c r="DLN26" s="1360"/>
      <c r="DLO26" s="1360"/>
      <c r="DLP26" s="1360"/>
      <c r="DLQ26" s="1360"/>
      <c r="DLR26" s="1360"/>
      <c r="DLS26" s="1360"/>
      <c r="DLT26" s="1360"/>
      <c r="DLU26" s="1360"/>
      <c r="DLV26" s="1360"/>
      <c r="DLW26" s="1360"/>
      <c r="DLX26" s="1360"/>
      <c r="DLY26" s="1360"/>
      <c r="DLZ26" s="1360"/>
      <c r="DMA26" s="1360"/>
      <c r="DMB26" s="1360"/>
      <c r="DMC26" s="1360"/>
      <c r="DMD26" s="1360"/>
      <c r="DME26" s="1360"/>
      <c r="DMF26" s="1360"/>
      <c r="DMG26" s="1360"/>
      <c r="DMH26" s="1360"/>
      <c r="DMI26" s="1360"/>
      <c r="DMJ26" s="1360"/>
      <c r="DMK26" s="1360"/>
      <c r="DML26" s="1360"/>
      <c r="DMM26" s="1360"/>
      <c r="DMN26" s="1360"/>
      <c r="DMO26" s="1360"/>
      <c r="DMP26" s="1360"/>
      <c r="DMQ26" s="1360"/>
      <c r="DMR26" s="1360"/>
      <c r="DMS26" s="1360"/>
      <c r="DMT26" s="1360"/>
      <c r="DMU26" s="1360"/>
      <c r="DMV26" s="1360"/>
      <c r="DMW26" s="1360"/>
      <c r="DMX26" s="1360"/>
      <c r="DMY26" s="1360"/>
      <c r="DMZ26" s="1360"/>
      <c r="DNA26" s="1360"/>
      <c r="DNB26" s="1360"/>
      <c r="DNC26" s="1360"/>
      <c r="DND26" s="1360"/>
      <c r="DNE26" s="1360"/>
      <c r="DNF26" s="1360"/>
      <c r="DNG26" s="1360"/>
      <c r="DNH26" s="1360"/>
      <c r="DNI26" s="1360"/>
      <c r="DNJ26" s="1360"/>
      <c r="DNK26" s="1360"/>
      <c r="DNL26" s="1360"/>
      <c r="DNM26" s="1360"/>
      <c r="DNN26" s="1360"/>
      <c r="DNO26" s="1360"/>
      <c r="DNP26" s="1360"/>
      <c r="DNQ26" s="1360"/>
      <c r="DNR26" s="1360"/>
      <c r="DNS26" s="1360"/>
      <c r="DNT26" s="1360"/>
      <c r="DNU26" s="1360"/>
      <c r="DNV26" s="1360"/>
      <c r="DNW26" s="1360"/>
      <c r="DNX26" s="1360"/>
      <c r="DNY26" s="1360"/>
      <c r="DNZ26" s="1360"/>
      <c r="DOA26" s="1360"/>
      <c r="DOB26" s="1360"/>
      <c r="DOC26" s="1360"/>
      <c r="DOD26" s="1360"/>
      <c r="DOE26" s="1360"/>
      <c r="DOF26" s="1360"/>
      <c r="DOG26" s="1360"/>
      <c r="DOH26" s="1360"/>
      <c r="DOI26" s="1360"/>
      <c r="DOJ26" s="1360"/>
      <c r="DOK26" s="1360"/>
      <c r="DOL26" s="1360"/>
      <c r="DOM26" s="1360"/>
      <c r="DON26" s="1360"/>
      <c r="DOO26" s="1360"/>
      <c r="DOP26" s="1360"/>
      <c r="DOQ26" s="1360"/>
      <c r="DOR26" s="1360"/>
      <c r="DOS26" s="1360"/>
      <c r="DOT26" s="1360"/>
      <c r="DOU26" s="1360"/>
      <c r="DOV26" s="1360"/>
      <c r="DOW26" s="1360"/>
      <c r="DOX26" s="1360"/>
      <c r="DOY26" s="1360"/>
      <c r="DOZ26" s="1360"/>
      <c r="DPA26" s="1360"/>
      <c r="DPB26" s="1360"/>
      <c r="DPC26" s="1360"/>
      <c r="DPD26" s="1360"/>
      <c r="DPE26" s="1360"/>
      <c r="DPF26" s="1360"/>
      <c r="DPG26" s="1360"/>
      <c r="DPH26" s="1360"/>
      <c r="DPI26" s="1360"/>
      <c r="DPJ26" s="1360"/>
      <c r="DPK26" s="1360"/>
      <c r="DPL26" s="1360"/>
      <c r="DPM26" s="1360"/>
      <c r="DPN26" s="1360"/>
      <c r="DPO26" s="1360"/>
      <c r="DPP26" s="1360"/>
      <c r="DPQ26" s="1360"/>
      <c r="DPR26" s="1360"/>
      <c r="DPS26" s="1360"/>
      <c r="DPT26" s="1360"/>
      <c r="DPU26" s="1360"/>
      <c r="DPV26" s="1360"/>
      <c r="DPW26" s="1360"/>
      <c r="DPX26" s="1360"/>
      <c r="DPY26" s="1360"/>
      <c r="DPZ26" s="1360"/>
      <c r="DQA26" s="1360"/>
      <c r="DQB26" s="1360"/>
      <c r="DQC26" s="1360"/>
      <c r="DQD26" s="1360"/>
      <c r="DQE26" s="1360"/>
      <c r="DQF26" s="1360"/>
      <c r="DQG26" s="1360"/>
      <c r="DQH26" s="1360"/>
      <c r="DQI26" s="1360"/>
      <c r="DQJ26" s="1360"/>
      <c r="DQK26" s="1360"/>
      <c r="DQL26" s="1360"/>
      <c r="DQM26" s="1360"/>
      <c r="DQN26" s="1360"/>
      <c r="DQO26" s="1360"/>
      <c r="DQP26" s="1360"/>
      <c r="DQQ26" s="1360"/>
      <c r="DQR26" s="1360"/>
      <c r="DQS26" s="1360"/>
      <c r="DQT26" s="1360"/>
      <c r="DQU26" s="1360"/>
      <c r="DQV26" s="1360"/>
      <c r="DQW26" s="1360"/>
      <c r="DQX26" s="1360"/>
      <c r="DQY26" s="1360"/>
      <c r="DQZ26" s="1360"/>
      <c r="DRA26" s="1360"/>
      <c r="DRB26" s="1360"/>
      <c r="DRC26" s="1360"/>
      <c r="DRD26" s="1360"/>
      <c r="DRE26" s="1360"/>
      <c r="DRF26" s="1360"/>
      <c r="DRG26" s="1360"/>
      <c r="DRH26" s="1360"/>
      <c r="DRI26" s="1360"/>
      <c r="DRJ26" s="1360"/>
      <c r="DRK26" s="1360"/>
      <c r="DRL26" s="1360"/>
      <c r="DRM26" s="1360"/>
      <c r="DRN26" s="1360"/>
      <c r="DRO26" s="1360"/>
      <c r="DRP26" s="1360"/>
      <c r="DRQ26" s="1360"/>
      <c r="DRR26" s="1360"/>
      <c r="DRS26" s="1360"/>
      <c r="DRT26" s="1360"/>
      <c r="DRU26" s="1360"/>
      <c r="DRV26" s="1360"/>
      <c r="DRW26" s="1360"/>
      <c r="DRX26" s="1360"/>
      <c r="DRY26" s="1360"/>
      <c r="DRZ26" s="1360"/>
      <c r="DSA26" s="1360"/>
      <c r="DSB26" s="1360"/>
      <c r="DSC26" s="1360"/>
      <c r="DSD26" s="1360"/>
      <c r="DSE26" s="1360"/>
      <c r="DSF26" s="1360"/>
      <c r="DSG26" s="1360"/>
      <c r="DSH26" s="1360"/>
      <c r="DSI26" s="1360"/>
      <c r="DSJ26" s="1360"/>
      <c r="DSK26" s="1360"/>
      <c r="DSL26" s="1360"/>
      <c r="DSM26" s="1360"/>
      <c r="DSN26" s="1360"/>
      <c r="DSO26" s="1360"/>
      <c r="DSP26" s="1360"/>
      <c r="DSQ26" s="1360"/>
      <c r="DSR26" s="1360"/>
      <c r="DSS26" s="1360"/>
      <c r="DST26" s="1360"/>
      <c r="DSU26" s="1360"/>
      <c r="DSV26" s="1360"/>
      <c r="DSW26" s="1360"/>
      <c r="DSX26" s="1360"/>
      <c r="DSY26" s="1360"/>
      <c r="DSZ26" s="1360"/>
      <c r="DTA26" s="1360"/>
      <c r="DTB26" s="1360"/>
      <c r="DTC26" s="1360"/>
      <c r="DTD26" s="1360"/>
      <c r="DTE26" s="1360"/>
      <c r="DTF26" s="1360"/>
      <c r="DTG26" s="1360"/>
      <c r="DTH26" s="1360"/>
      <c r="DTI26" s="1360"/>
      <c r="DTJ26" s="1360"/>
      <c r="DTK26" s="1360"/>
      <c r="DTL26" s="1360"/>
      <c r="DTM26" s="1360"/>
      <c r="DTN26" s="1360"/>
      <c r="DTO26" s="1360"/>
      <c r="DTP26" s="1360"/>
      <c r="DTQ26" s="1360"/>
      <c r="DTR26" s="1360"/>
      <c r="DTS26" s="1360"/>
      <c r="DTT26" s="1360"/>
      <c r="DTU26" s="1360"/>
      <c r="DTV26" s="1360"/>
      <c r="DTW26" s="1360"/>
      <c r="DTX26" s="1360"/>
      <c r="DTY26" s="1360"/>
      <c r="DTZ26" s="1360"/>
      <c r="DUA26" s="1360"/>
      <c r="DUB26" s="1360"/>
      <c r="DUC26" s="1360"/>
      <c r="DUD26" s="1360"/>
      <c r="DUE26" s="1360"/>
      <c r="DUF26" s="1360"/>
      <c r="DUG26" s="1360"/>
      <c r="DUH26" s="1360"/>
      <c r="DUI26" s="1360"/>
      <c r="DUJ26" s="1360"/>
      <c r="DUK26" s="1360"/>
      <c r="DUL26" s="1360"/>
      <c r="DUM26" s="1360"/>
      <c r="DUN26" s="1360"/>
      <c r="DUO26" s="1360"/>
      <c r="DUP26" s="1360"/>
      <c r="DUQ26" s="1360"/>
      <c r="DUR26" s="1360"/>
      <c r="DUS26" s="1360"/>
      <c r="DUT26" s="1360"/>
      <c r="DUU26" s="1360"/>
      <c r="DUV26" s="1360"/>
      <c r="DUW26" s="1360"/>
      <c r="DUX26" s="1360"/>
      <c r="DUY26" s="1360"/>
      <c r="DUZ26" s="1360"/>
      <c r="DVA26" s="1360"/>
      <c r="DVB26" s="1360"/>
      <c r="DVC26" s="1360"/>
      <c r="DVD26" s="1360"/>
      <c r="DVE26" s="1360"/>
      <c r="DVF26" s="1360"/>
      <c r="DVG26" s="1360"/>
      <c r="DVH26" s="1360"/>
      <c r="DVI26" s="1360"/>
      <c r="DVJ26" s="1360"/>
      <c r="DVK26" s="1360"/>
      <c r="DVL26" s="1360"/>
      <c r="DVM26" s="1360"/>
      <c r="DVN26" s="1360"/>
      <c r="DVO26" s="1360"/>
      <c r="DVP26" s="1360"/>
      <c r="DVQ26" s="1360"/>
      <c r="DVR26" s="1360"/>
      <c r="DVS26" s="1360"/>
      <c r="DVT26" s="1360"/>
      <c r="DVU26" s="1360"/>
      <c r="DVV26" s="1360"/>
      <c r="DVW26" s="1360"/>
      <c r="DVX26" s="1360"/>
      <c r="DVY26" s="1360"/>
      <c r="DVZ26" s="1360"/>
      <c r="DWA26" s="1360"/>
      <c r="DWB26" s="1360"/>
      <c r="DWC26" s="1360"/>
      <c r="DWD26" s="1360"/>
      <c r="DWE26" s="1360"/>
      <c r="DWF26" s="1360"/>
      <c r="DWG26" s="1360"/>
      <c r="DWH26" s="1360"/>
      <c r="DWI26" s="1360"/>
      <c r="DWJ26" s="1360"/>
      <c r="DWK26" s="1360"/>
      <c r="DWL26" s="1360"/>
      <c r="DWM26" s="1360"/>
      <c r="DWN26" s="1360"/>
      <c r="DWO26" s="1360"/>
      <c r="DWP26" s="1360"/>
      <c r="DWQ26" s="1360"/>
      <c r="DWR26" s="1360"/>
      <c r="DWS26" s="1360"/>
      <c r="DWT26" s="1360"/>
      <c r="DWU26" s="1360"/>
      <c r="DWV26" s="1360"/>
      <c r="DWW26" s="1360"/>
      <c r="DWX26" s="1360"/>
      <c r="DWY26" s="1360"/>
      <c r="DWZ26" s="1360"/>
      <c r="DXA26" s="1360"/>
      <c r="DXB26" s="1360"/>
      <c r="DXC26" s="1360"/>
      <c r="DXD26" s="1360"/>
      <c r="DXE26" s="1360"/>
      <c r="DXF26" s="1360"/>
      <c r="DXG26" s="1360"/>
      <c r="DXH26" s="1360"/>
      <c r="DXI26" s="1360"/>
      <c r="DXJ26" s="1360"/>
      <c r="DXK26" s="1360"/>
      <c r="DXL26" s="1360"/>
      <c r="DXM26" s="1360"/>
      <c r="DXN26" s="1360"/>
      <c r="DXO26" s="1360"/>
      <c r="DXP26" s="1360"/>
      <c r="DXQ26" s="1360"/>
      <c r="DXR26" s="1360"/>
      <c r="DXS26" s="1360"/>
      <c r="DXT26" s="1360"/>
      <c r="DXU26" s="1360"/>
      <c r="DXV26" s="1360"/>
      <c r="DXW26" s="1360"/>
      <c r="DXX26" s="1360"/>
      <c r="DXY26" s="1360"/>
      <c r="DXZ26" s="1360"/>
      <c r="DYA26" s="1360"/>
      <c r="DYB26" s="1360"/>
      <c r="DYC26" s="1360"/>
      <c r="DYD26" s="1360"/>
      <c r="DYE26" s="1360"/>
      <c r="DYF26" s="1360"/>
      <c r="DYG26" s="1360"/>
      <c r="DYH26" s="1360"/>
      <c r="DYI26" s="1360"/>
      <c r="DYJ26" s="1360"/>
      <c r="DYK26" s="1360"/>
      <c r="DYL26" s="1360"/>
      <c r="DYM26" s="1360"/>
      <c r="DYN26" s="1360"/>
      <c r="DYO26" s="1360"/>
      <c r="DYP26" s="1360"/>
      <c r="DYQ26" s="1360"/>
      <c r="DYR26" s="1360"/>
      <c r="DYS26" s="1360"/>
      <c r="DYT26" s="1360"/>
      <c r="DYU26" s="1360"/>
      <c r="DYV26" s="1360"/>
      <c r="DYW26" s="1360"/>
      <c r="DYX26" s="1360"/>
      <c r="DYY26" s="1360"/>
      <c r="DYZ26" s="1360"/>
      <c r="DZA26" s="1360"/>
      <c r="DZB26" s="1360"/>
      <c r="DZC26" s="1360"/>
      <c r="DZD26" s="1360"/>
      <c r="DZE26" s="1360"/>
      <c r="DZF26" s="1360"/>
      <c r="DZG26" s="1360"/>
      <c r="DZH26" s="1360"/>
      <c r="DZI26" s="1360"/>
      <c r="DZJ26" s="1360"/>
      <c r="DZK26" s="1360"/>
      <c r="DZL26" s="1360"/>
      <c r="DZM26" s="1360"/>
      <c r="DZN26" s="1360"/>
      <c r="DZO26" s="1360"/>
      <c r="DZP26" s="1360"/>
      <c r="DZQ26" s="1360"/>
      <c r="DZR26" s="1360"/>
      <c r="DZS26" s="1360"/>
      <c r="DZT26" s="1360"/>
      <c r="DZU26" s="1360"/>
      <c r="DZV26" s="1360"/>
      <c r="DZW26" s="1360"/>
      <c r="DZX26" s="1360"/>
      <c r="DZY26" s="1360"/>
      <c r="DZZ26" s="1360"/>
      <c r="EAA26" s="1360"/>
      <c r="EAB26" s="1360"/>
      <c r="EAC26" s="1360"/>
      <c r="EAD26" s="1360"/>
      <c r="EAE26" s="1360"/>
      <c r="EAF26" s="1360"/>
      <c r="EAG26" s="1360"/>
      <c r="EAH26" s="1360"/>
      <c r="EAI26" s="1360"/>
      <c r="EAJ26" s="1360"/>
      <c r="EAK26" s="1360"/>
      <c r="EAL26" s="1360"/>
      <c r="EAM26" s="1360"/>
      <c r="EAN26" s="1360"/>
      <c r="EAO26" s="1360"/>
      <c r="EAP26" s="1360"/>
      <c r="EAQ26" s="1360"/>
      <c r="EAR26" s="1360"/>
      <c r="EAS26" s="1360"/>
      <c r="EAT26" s="1360"/>
      <c r="EAU26" s="1360"/>
      <c r="EAV26" s="1360"/>
      <c r="EAW26" s="1360"/>
      <c r="EAX26" s="1360"/>
      <c r="EAY26" s="1360"/>
      <c r="EAZ26" s="1360"/>
      <c r="EBA26" s="1360"/>
      <c r="EBB26" s="1360"/>
      <c r="EBC26" s="1360"/>
      <c r="EBD26" s="1360"/>
      <c r="EBE26" s="1360"/>
      <c r="EBF26" s="1360"/>
      <c r="EBG26" s="1360"/>
      <c r="EBH26" s="1360"/>
      <c r="EBI26" s="1360"/>
      <c r="EBJ26" s="1360"/>
      <c r="EBK26" s="1360"/>
      <c r="EBL26" s="1360"/>
      <c r="EBM26" s="1360"/>
      <c r="EBN26" s="1360"/>
      <c r="EBO26" s="1360"/>
      <c r="EBP26" s="1360"/>
      <c r="EBQ26" s="1360"/>
      <c r="EBR26" s="1360"/>
      <c r="EBS26" s="1360"/>
      <c r="EBT26" s="1360"/>
      <c r="EBU26" s="1360"/>
      <c r="EBV26" s="1360"/>
      <c r="EBW26" s="1360"/>
      <c r="EBX26" s="1360"/>
      <c r="EBY26" s="1360"/>
      <c r="EBZ26" s="1360"/>
      <c r="ECA26" s="1360"/>
      <c r="ECB26" s="1360"/>
      <c r="ECC26" s="1360"/>
      <c r="ECD26" s="1360"/>
      <c r="ECE26" s="1360"/>
      <c r="ECF26" s="1360"/>
      <c r="ECG26" s="1360"/>
      <c r="ECH26" s="1360"/>
      <c r="ECI26" s="1360"/>
      <c r="ECJ26" s="1360"/>
      <c r="ECK26" s="1360"/>
      <c r="ECL26" s="1360"/>
      <c r="ECM26" s="1360"/>
      <c r="ECN26" s="1360"/>
      <c r="ECO26" s="1360"/>
      <c r="ECP26" s="1360"/>
      <c r="ECQ26" s="1360"/>
      <c r="ECR26" s="1360"/>
      <c r="ECS26" s="1360"/>
      <c r="ECT26" s="1360"/>
      <c r="ECU26" s="1360"/>
      <c r="ECV26" s="1360"/>
      <c r="ECW26" s="1360"/>
      <c r="ECX26" s="1360"/>
      <c r="ECY26" s="1360"/>
      <c r="ECZ26" s="1360"/>
      <c r="EDA26" s="1360"/>
      <c r="EDB26" s="1360"/>
      <c r="EDC26" s="1360"/>
      <c r="EDD26" s="1360"/>
      <c r="EDE26" s="1360"/>
      <c r="EDF26" s="1360"/>
      <c r="EDG26" s="1360"/>
      <c r="EDH26" s="1360"/>
      <c r="EDI26" s="1360"/>
      <c r="EDJ26" s="1360"/>
      <c r="EDK26" s="1360"/>
      <c r="EDL26" s="1360"/>
      <c r="EDM26" s="1360"/>
      <c r="EDN26" s="1360"/>
      <c r="EDO26" s="1360"/>
      <c r="EDP26" s="1360"/>
      <c r="EDQ26" s="1360"/>
      <c r="EDR26" s="1360"/>
      <c r="EDS26" s="1360"/>
      <c r="EDT26" s="1360"/>
      <c r="EDU26" s="1360"/>
      <c r="EDV26" s="1360"/>
      <c r="EDW26" s="1360"/>
      <c r="EDX26" s="1360"/>
      <c r="EDY26" s="1360"/>
      <c r="EDZ26" s="1360"/>
      <c r="EEA26" s="1360"/>
      <c r="EEB26" s="1360"/>
      <c r="EEC26" s="1360"/>
      <c r="EED26" s="1360"/>
      <c r="EEE26" s="1360"/>
      <c r="EEF26" s="1360"/>
      <c r="EEG26" s="1360"/>
      <c r="EEH26" s="1360"/>
      <c r="EEI26" s="1360"/>
      <c r="EEJ26" s="1360"/>
      <c r="EEK26" s="1360"/>
      <c r="EEL26" s="1360"/>
      <c r="EEM26" s="1360"/>
      <c r="EEN26" s="1360"/>
      <c r="EEO26" s="1360"/>
      <c r="EEP26" s="1360"/>
      <c r="EEQ26" s="1360"/>
      <c r="EER26" s="1360"/>
      <c r="EES26" s="1360"/>
      <c r="EET26" s="1360"/>
      <c r="EEU26" s="1360"/>
      <c r="EEV26" s="1360"/>
      <c r="EEW26" s="1360"/>
      <c r="EEX26" s="1360"/>
      <c r="EEY26" s="1360"/>
      <c r="EEZ26" s="1360"/>
      <c r="EFA26" s="1360"/>
      <c r="EFB26" s="1360"/>
      <c r="EFC26" s="1360"/>
      <c r="EFD26" s="1360"/>
      <c r="EFE26" s="1360"/>
      <c r="EFF26" s="1360"/>
      <c r="EFG26" s="1360"/>
      <c r="EFH26" s="1360"/>
      <c r="EFI26" s="1360"/>
      <c r="EFJ26" s="1360"/>
      <c r="EFK26" s="1360"/>
      <c r="EFL26" s="1360"/>
      <c r="EFM26" s="1360"/>
      <c r="EFN26" s="1360"/>
      <c r="EFO26" s="1360"/>
      <c r="EFP26" s="1360"/>
      <c r="EFQ26" s="1360"/>
      <c r="EFR26" s="1360"/>
      <c r="EFS26" s="1360"/>
      <c r="EFT26" s="1360"/>
      <c r="EFU26" s="1360"/>
      <c r="EFV26" s="1360"/>
      <c r="EFW26" s="1360"/>
      <c r="EFX26" s="1360"/>
      <c r="EFY26" s="1360"/>
      <c r="EFZ26" s="1360"/>
      <c r="EGA26" s="1360"/>
      <c r="EGB26" s="1360"/>
      <c r="EGC26" s="1360"/>
      <c r="EGD26" s="1360"/>
      <c r="EGE26" s="1360"/>
      <c r="EGF26" s="1360"/>
      <c r="EGG26" s="1360"/>
      <c r="EGH26" s="1360"/>
      <c r="EGI26" s="1360"/>
      <c r="EGJ26" s="1360"/>
      <c r="EGK26" s="1360"/>
      <c r="EGL26" s="1360"/>
      <c r="EGM26" s="1360"/>
      <c r="EGN26" s="1360"/>
      <c r="EGO26" s="1360"/>
      <c r="EGP26" s="1360"/>
      <c r="EGQ26" s="1360"/>
      <c r="EGR26" s="1360"/>
      <c r="EGS26" s="1360"/>
      <c r="EGT26" s="1360"/>
      <c r="EGU26" s="1360"/>
      <c r="EGV26" s="1360"/>
      <c r="EGW26" s="1360"/>
      <c r="EGX26" s="1360"/>
      <c r="EGY26" s="1360"/>
      <c r="EGZ26" s="1360"/>
      <c r="EHA26" s="1360"/>
      <c r="EHB26" s="1360"/>
      <c r="EHC26" s="1360"/>
      <c r="EHD26" s="1360"/>
      <c r="EHE26" s="1360"/>
      <c r="EHF26" s="1360"/>
      <c r="EHG26" s="1360"/>
      <c r="EHH26" s="1360"/>
      <c r="EHI26" s="1360"/>
      <c r="EHJ26" s="1360"/>
      <c r="EHK26" s="1360"/>
      <c r="EHL26" s="1360"/>
      <c r="EHM26" s="1360"/>
      <c r="EHN26" s="1360"/>
      <c r="EHO26" s="1360"/>
      <c r="EHP26" s="1360"/>
      <c r="EHQ26" s="1360"/>
      <c r="EHR26" s="1360"/>
      <c r="EHS26" s="1360"/>
      <c r="EHT26" s="1360"/>
      <c r="EHU26" s="1360"/>
      <c r="EHV26" s="1360"/>
      <c r="EHW26" s="1360"/>
      <c r="EHX26" s="1360"/>
      <c r="EHY26" s="1360"/>
      <c r="EHZ26" s="1360"/>
      <c r="EIA26" s="1360"/>
      <c r="EIB26" s="1360"/>
      <c r="EIC26" s="1360"/>
      <c r="EID26" s="1360"/>
      <c r="EIE26" s="1360"/>
      <c r="EIF26" s="1360"/>
      <c r="EIG26" s="1360"/>
      <c r="EIH26" s="1360"/>
      <c r="EII26" s="1360"/>
      <c r="EIJ26" s="1360"/>
      <c r="EIK26" s="1360"/>
      <c r="EIL26" s="1360"/>
      <c r="EIM26" s="1360"/>
      <c r="EIN26" s="1360"/>
      <c r="EIO26" s="1360"/>
      <c r="EIP26" s="1360"/>
      <c r="EIQ26" s="1360"/>
      <c r="EIR26" s="1360"/>
      <c r="EIS26" s="1360"/>
      <c r="EIT26" s="1360"/>
      <c r="EIU26" s="1360"/>
      <c r="EIV26" s="1360"/>
      <c r="EIW26" s="1360"/>
      <c r="EIX26" s="1360"/>
      <c r="EIY26" s="1360"/>
      <c r="EIZ26" s="1360"/>
      <c r="EJA26" s="1360"/>
      <c r="EJB26" s="1360"/>
      <c r="EJC26" s="1360"/>
      <c r="EJD26" s="1360"/>
      <c r="EJE26" s="1360"/>
      <c r="EJF26" s="1360"/>
      <c r="EJG26" s="1360"/>
      <c r="EJH26" s="1360"/>
      <c r="EJI26" s="1360"/>
      <c r="EJJ26" s="1360"/>
      <c r="EJK26" s="1360"/>
      <c r="EJL26" s="1360"/>
      <c r="EJM26" s="1360"/>
      <c r="EJN26" s="1360"/>
      <c r="EJO26" s="1360"/>
      <c r="EJP26" s="1360"/>
      <c r="EJQ26" s="1360"/>
      <c r="EJR26" s="1360"/>
      <c r="EJS26" s="1360"/>
      <c r="EJT26" s="1360"/>
      <c r="EJU26" s="1360"/>
      <c r="EJV26" s="1360"/>
      <c r="EJW26" s="1360"/>
      <c r="EJX26" s="1360"/>
      <c r="EJY26" s="1360"/>
      <c r="EJZ26" s="1360"/>
      <c r="EKA26" s="1360"/>
      <c r="EKB26" s="1360"/>
      <c r="EKC26" s="1360"/>
      <c r="EKD26" s="1360"/>
      <c r="EKE26" s="1360"/>
      <c r="EKF26" s="1360"/>
      <c r="EKG26" s="1360"/>
      <c r="EKH26" s="1360"/>
      <c r="EKI26" s="1360"/>
      <c r="EKJ26" s="1360"/>
      <c r="EKK26" s="1360"/>
      <c r="EKL26" s="1360"/>
      <c r="EKM26" s="1360"/>
      <c r="EKN26" s="1360"/>
      <c r="EKO26" s="1360"/>
      <c r="EKP26" s="1360"/>
      <c r="EKQ26" s="1360"/>
      <c r="EKR26" s="1360"/>
      <c r="EKS26" s="1360"/>
      <c r="EKT26" s="1360"/>
      <c r="EKU26" s="1360"/>
      <c r="EKV26" s="1360"/>
      <c r="EKW26" s="1360"/>
      <c r="EKX26" s="1360"/>
      <c r="EKY26" s="1360"/>
      <c r="EKZ26" s="1360"/>
      <c r="ELA26" s="1360"/>
      <c r="ELB26" s="1360"/>
      <c r="ELC26" s="1360"/>
      <c r="ELD26" s="1360"/>
      <c r="ELE26" s="1360"/>
      <c r="ELF26" s="1360"/>
      <c r="ELG26" s="1360"/>
      <c r="ELH26" s="1360"/>
      <c r="ELI26" s="1360"/>
      <c r="ELJ26" s="1360"/>
      <c r="ELK26" s="1360"/>
      <c r="ELL26" s="1360"/>
      <c r="ELM26" s="1360"/>
      <c r="ELN26" s="1360"/>
      <c r="ELO26" s="1360"/>
      <c r="ELP26" s="1360"/>
      <c r="ELQ26" s="1360"/>
      <c r="ELR26" s="1360"/>
      <c r="ELS26" s="1360"/>
      <c r="ELT26" s="1360"/>
      <c r="ELU26" s="1360"/>
      <c r="ELV26" s="1360"/>
      <c r="ELW26" s="1360"/>
      <c r="ELX26" s="1360"/>
      <c r="ELY26" s="1360"/>
      <c r="ELZ26" s="1360"/>
      <c r="EMA26" s="1360"/>
      <c r="EMB26" s="1360"/>
      <c r="EMC26" s="1360"/>
      <c r="EMD26" s="1360"/>
      <c r="EME26" s="1360"/>
      <c r="EMF26" s="1360"/>
      <c r="EMG26" s="1360"/>
      <c r="EMH26" s="1360"/>
      <c r="EMI26" s="1360"/>
      <c r="EMJ26" s="1360"/>
      <c r="EMK26" s="1360"/>
      <c r="EML26" s="1360"/>
      <c r="EMM26" s="1360"/>
      <c r="EMN26" s="1360"/>
      <c r="EMO26" s="1360"/>
      <c r="EMP26" s="1360"/>
      <c r="EMQ26" s="1360"/>
      <c r="EMR26" s="1360"/>
      <c r="EMS26" s="1360"/>
      <c r="EMT26" s="1360"/>
      <c r="EMU26" s="1360"/>
      <c r="EMV26" s="1360"/>
      <c r="EMW26" s="1360"/>
      <c r="EMX26" s="1360"/>
      <c r="EMY26" s="1360"/>
      <c r="EMZ26" s="1360"/>
      <c r="ENA26" s="1360"/>
      <c r="ENB26" s="1360"/>
      <c r="ENC26" s="1360"/>
      <c r="END26" s="1360"/>
      <c r="ENE26" s="1360"/>
      <c r="ENF26" s="1360"/>
      <c r="ENG26" s="1360"/>
      <c r="ENH26" s="1360"/>
      <c r="ENI26" s="1360"/>
      <c r="ENJ26" s="1360"/>
      <c r="ENK26" s="1360"/>
      <c r="ENL26" s="1360"/>
      <c r="ENM26" s="1360"/>
      <c r="ENN26" s="1360"/>
      <c r="ENO26" s="1360"/>
      <c r="ENP26" s="1360"/>
      <c r="ENQ26" s="1360"/>
      <c r="ENR26" s="1360"/>
      <c r="ENS26" s="1360"/>
      <c r="ENT26" s="1360"/>
      <c r="ENU26" s="1360"/>
      <c r="ENV26" s="1360"/>
      <c r="ENW26" s="1360"/>
      <c r="ENX26" s="1360"/>
      <c r="ENY26" s="1360"/>
      <c r="ENZ26" s="1360"/>
      <c r="EOA26" s="1360"/>
      <c r="EOB26" s="1360"/>
      <c r="EOC26" s="1360"/>
      <c r="EOD26" s="1360"/>
      <c r="EOE26" s="1360"/>
      <c r="EOF26" s="1360"/>
      <c r="EOG26" s="1360"/>
      <c r="EOH26" s="1360"/>
      <c r="EOI26" s="1360"/>
      <c r="EOJ26" s="1360"/>
      <c r="EOK26" s="1360"/>
      <c r="EOL26" s="1360"/>
      <c r="EOM26" s="1360"/>
      <c r="EON26" s="1360"/>
      <c r="EOO26" s="1360"/>
      <c r="EOP26" s="1360"/>
      <c r="EOQ26" s="1360"/>
      <c r="EOR26" s="1360"/>
      <c r="EOS26" s="1360"/>
      <c r="EOT26" s="1360"/>
      <c r="EOU26" s="1360"/>
      <c r="EOV26" s="1360"/>
      <c r="EOW26" s="1360"/>
      <c r="EOX26" s="1360"/>
      <c r="EOY26" s="1360"/>
      <c r="EOZ26" s="1360"/>
      <c r="EPA26" s="1360"/>
      <c r="EPB26" s="1360"/>
      <c r="EPC26" s="1360"/>
      <c r="EPD26" s="1360"/>
      <c r="EPE26" s="1360"/>
      <c r="EPF26" s="1360"/>
      <c r="EPG26" s="1360"/>
      <c r="EPH26" s="1360"/>
      <c r="EPI26" s="1360"/>
      <c r="EPJ26" s="1360"/>
      <c r="EPK26" s="1360"/>
      <c r="EPL26" s="1360"/>
      <c r="EPM26" s="1360"/>
      <c r="EPN26" s="1360"/>
      <c r="EPO26" s="1360"/>
      <c r="EPP26" s="1360"/>
      <c r="EPQ26" s="1360"/>
      <c r="EPR26" s="1360"/>
      <c r="EPS26" s="1360"/>
      <c r="EPT26" s="1360"/>
      <c r="EPU26" s="1360"/>
      <c r="EPV26" s="1360"/>
      <c r="EPW26" s="1360"/>
      <c r="EPX26" s="1360"/>
      <c r="EPY26" s="1360"/>
      <c r="EPZ26" s="1360"/>
      <c r="EQA26" s="1360"/>
      <c r="EQB26" s="1360"/>
      <c r="EQC26" s="1360"/>
      <c r="EQD26" s="1360"/>
      <c r="EQE26" s="1360"/>
      <c r="EQF26" s="1360"/>
      <c r="EQG26" s="1360"/>
      <c r="EQH26" s="1360"/>
      <c r="EQI26" s="1360"/>
      <c r="EQJ26" s="1360"/>
      <c r="EQK26" s="1360"/>
      <c r="EQL26" s="1360"/>
      <c r="EQM26" s="1360"/>
      <c r="EQN26" s="1360"/>
      <c r="EQO26" s="1360"/>
      <c r="EQP26" s="1360"/>
      <c r="EQQ26" s="1360"/>
      <c r="EQR26" s="1360"/>
      <c r="EQS26" s="1360"/>
      <c r="EQT26" s="1360"/>
      <c r="EQU26" s="1360"/>
      <c r="EQV26" s="1360"/>
      <c r="EQW26" s="1360"/>
      <c r="EQX26" s="1360"/>
      <c r="EQY26" s="1360"/>
      <c r="EQZ26" s="1360"/>
      <c r="ERA26" s="1360"/>
      <c r="ERB26" s="1360"/>
      <c r="ERC26" s="1360"/>
      <c r="ERD26" s="1360"/>
      <c r="ERE26" s="1360"/>
      <c r="ERF26" s="1360"/>
      <c r="ERG26" s="1360"/>
      <c r="ERH26" s="1360"/>
      <c r="ERI26" s="1360"/>
      <c r="ERJ26" s="1360"/>
      <c r="ERK26" s="1360"/>
      <c r="ERL26" s="1360"/>
      <c r="ERM26" s="1360"/>
      <c r="ERN26" s="1360"/>
      <c r="ERO26" s="1360"/>
      <c r="ERP26" s="1360"/>
      <c r="ERQ26" s="1360"/>
      <c r="ERR26" s="1360"/>
      <c r="ERS26" s="1360"/>
      <c r="ERT26" s="1360"/>
      <c r="ERU26" s="1360"/>
      <c r="ERV26" s="1360"/>
      <c r="ERW26" s="1360"/>
      <c r="ERX26" s="1360"/>
      <c r="ERY26" s="1360"/>
      <c r="ERZ26" s="1360"/>
      <c r="ESA26" s="1360"/>
      <c r="ESB26" s="1360"/>
      <c r="ESC26" s="1360"/>
      <c r="ESD26" s="1360"/>
      <c r="ESE26" s="1360"/>
      <c r="ESF26" s="1360"/>
      <c r="ESG26" s="1360"/>
      <c r="ESH26" s="1360"/>
      <c r="ESI26" s="1360"/>
      <c r="ESJ26" s="1360"/>
      <c r="ESK26" s="1360"/>
      <c r="ESL26" s="1360"/>
      <c r="ESM26" s="1360"/>
      <c r="ESN26" s="1360"/>
      <c r="ESO26" s="1360"/>
      <c r="ESP26" s="1360"/>
      <c r="ESQ26" s="1360"/>
      <c r="ESR26" s="1360"/>
      <c r="ESS26" s="1360"/>
      <c r="EST26" s="1360"/>
      <c r="ESU26" s="1360"/>
      <c r="ESV26" s="1360"/>
      <c r="ESW26" s="1360"/>
      <c r="ESX26" s="1360"/>
      <c r="ESY26" s="1360"/>
      <c r="ESZ26" s="1360"/>
      <c r="ETA26" s="1360"/>
      <c r="ETB26" s="1360"/>
      <c r="ETC26" s="1360"/>
      <c r="ETD26" s="1360"/>
      <c r="ETE26" s="1360"/>
      <c r="ETF26" s="1360"/>
      <c r="ETG26" s="1360"/>
      <c r="ETH26" s="1360"/>
      <c r="ETI26" s="1360"/>
      <c r="ETJ26" s="1360"/>
      <c r="ETK26" s="1360"/>
      <c r="ETL26" s="1360"/>
      <c r="ETM26" s="1360"/>
      <c r="ETN26" s="1360"/>
      <c r="ETO26" s="1360"/>
      <c r="ETP26" s="1360"/>
      <c r="ETQ26" s="1360"/>
      <c r="ETR26" s="1360"/>
      <c r="ETS26" s="1360"/>
      <c r="ETT26" s="1360"/>
      <c r="ETU26" s="1360"/>
      <c r="ETV26" s="1360"/>
      <c r="ETW26" s="1360"/>
      <c r="ETX26" s="1360"/>
      <c r="ETY26" s="1360"/>
      <c r="ETZ26" s="1360"/>
      <c r="EUA26" s="1360"/>
      <c r="EUB26" s="1360"/>
      <c r="EUC26" s="1360"/>
      <c r="EUD26" s="1360"/>
      <c r="EUE26" s="1360"/>
      <c r="EUF26" s="1360"/>
      <c r="EUG26" s="1360"/>
      <c r="EUH26" s="1360"/>
      <c r="EUI26" s="1360"/>
      <c r="EUJ26" s="1360"/>
      <c r="EUK26" s="1360"/>
      <c r="EUL26" s="1360"/>
      <c r="EUM26" s="1360"/>
      <c r="EUN26" s="1360"/>
      <c r="EUO26" s="1360"/>
      <c r="EUP26" s="1360"/>
      <c r="EUQ26" s="1360"/>
      <c r="EUR26" s="1360"/>
      <c r="EUS26" s="1360"/>
      <c r="EUT26" s="1360"/>
      <c r="EUU26" s="1360"/>
      <c r="EUV26" s="1360"/>
      <c r="EUW26" s="1360"/>
      <c r="EUX26" s="1360"/>
      <c r="EUY26" s="1360"/>
      <c r="EUZ26" s="1360"/>
      <c r="EVA26" s="1360"/>
      <c r="EVB26" s="1360"/>
      <c r="EVC26" s="1360"/>
      <c r="EVD26" s="1360"/>
      <c r="EVE26" s="1360"/>
      <c r="EVF26" s="1360"/>
      <c r="EVG26" s="1360"/>
      <c r="EVH26" s="1360"/>
      <c r="EVI26" s="1360"/>
      <c r="EVJ26" s="1360"/>
      <c r="EVK26" s="1360"/>
      <c r="EVL26" s="1360"/>
      <c r="EVM26" s="1360"/>
      <c r="EVN26" s="1360"/>
      <c r="EVO26" s="1360"/>
      <c r="EVP26" s="1360"/>
      <c r="EVQ26" s="1360"/>
      <c r="EVR26" s="1360"/>
      <c r="EVS26" s="1360"/>
      <c r="EVT26" s="1360"/>
      <c r="EVU26" s="1360"/>
      <c r="EVV26" s="1360"/>
      <c r="EVW26" s="1360"/>
      <c r="EVX26" s="1360"/>
      <c r="EVY26" s="1360"/>
      <c r="EVZ26" s="1360"/>
      <c r="EWA26" s="1360"/>
      <c r="EWB26" s="1360"/>
      <c r="EWC26" s="1360"/>
      <c r="EWD26" s="1360"/>
      <c r="EWE26" s="1360"/>
      <c r="EWF26" s="1360"/>
      <c r="EWG26" s="1360"/>
      <c r="EWH26" s="1360"/>
      <c r="EWI26" s="1360"/>
      <c r="EWJ26" s="1360"/>
      <c r="EWK26" s="1360"/>
      <c r="EWL26" s="1360"/>
      <c r="EWM26" s="1360"/>
      <c r="EWN26" s="1360"/>
      <c r="EWO26" s="1360"/>
      <c r="EWP26" s="1360"/>
      <c r="EWQ26" s="1360"/>
      <c r="EWR26" s="1360"/>
      <c r="EWS26" s="1360"/>
      <c r="EWT26" s="1360"/>
      <c r="EWU26" s="1360"/>
      <c r="EWV26" s="1360"/>
      <c r="EWW26" s="1360"/>
      <c r="EWX26" s="1360"/>
      <c r="EWY26" s="1360"/>
      <c r="EWZ26" s="1360"/>
      <c r="EXA26" s="1360"/>
      <c r="EXB26" s="1360"/>
      <c r="EXC26" s="1360"/>
      <c r="EXD26" s="1360"/>
      <c r="EXE26" s="1360"/>
      <c r="EXF26" s="1360"/>
      <c r="EXG26" s="1360"/>
      <c r="EXH26" s="1360"/>
      <c r="EXI26" s="1360"/>
      <c r="EXJ26" s="1360"/>
      <c r="EXK26" s="1360"/>
      <c r="EXL26" s="1360"/>
      <c r="EXM26" s="1360"/>
      <c r="EXN26" s="1360"/>
      <c r="EXO26" s="1360"/>
      <c r="EXP26" s="1360"/>
      <c r="EXQ26" s="1360"/>
      <c r="EXR26" s="1360"/>
      <c r="EXS26" s="1360"/>
      <c r="EXT26" s="1360"/>
      <c r="EXU26" s="1360"/>
      <c r="EXV26" s="1360"/>
      <c r="EXW26" s="1360"/>
      <c r="EXX26" s="1360"/>
      <c r="EXY26" s="1360"/>
      <c r="EXZ26" s="1360"/>
      <c r="EYA26" s="1360"/>
      <c r="EYB26" s="1360"/>
      <c r="EYC26" s="1360"/>
      <c r="EYD26" s="1360"/>
      <c r="EYE26" s="1360"/>
      <c r="EYF26" s="1360"/>
      <c r="EYG26" s="1360"/>
      <c r="EYH26" s="1360"/>
      <c r="EYI26" s="1360"/>
      <c r="EYJ26" s="1360"/>
      <c r="EYK26" s="1360"/>
      <c r="EYL26" s="1360"/>
      <c r="EYM26" s="1360"/>
      <c r="EYN26" s="1360"/>
      <c r="EYO26" s="1360"/>
      <c r="EYP26" s="1360"/>
      <c r="EYQ26" s="1360"/>
      <c r="EYR26" s="1360"/>
      <c r="EYS26" s="1360"/>
      <c r="EYT26" s="1360"/>
      <c r="EYU26" s="1360"/>
      <c r="EYV26" s="1360"/>
      <c r="EYW26" s="1360"/>
      <c r="EYX26" s="1360"/>
      <c r="EYY26" s="1360"/>
      <c r="EYZ26" s="1360"/>
      <c r="EZA26" s="1360"/>
      <c r="EZB26" s="1360"/>
      <c r="EZC26" s="1360"/>
      <c r="EZD26" s="1360"/>
      <c r="EZE26" s="1360"/>
      <c r="EZF26" s="1360"/>
      <c r="EZG26" s="1360"/>
      <c r="EZH26" s="1360"/>
      <c r="EZI26" s="1360"/>
      <c r="EZJ26" s="1360"/>
      <c r="EZK26" s="1360"/>
      <c r="EZL26" s="1360"/>
      <c r="EZM26" s="1360"/>
      <c r="EZN26" s="1360"/>
      <c r="EZO26" s="1360"/>
      <c r="EZP26" s="1360"/>
      <c r="EZQ26" s="1360"/>
      <c r="EZR26" s="1360"/>
      <c r="EZS26" s="1360"/>
      <c r="EZT26" s="1360"/>
      <c r="EZU26" s="1360"/>
      <c r="EZV26" s="1360"/>
      <c r="EZW26" s="1360"/>
      <c r="EZX26" s="1360"/>
      <c r="EZY26" s="1360"/>
      <c r="EZZ26" s="1360"/>
      <c r="FAA26" s="1360"/>
      <c r="FAB26" s="1360"/>
      <c r="FAC26" s="1360"/>
      <c r="FAD26" s="1360"/>
      <c r="FAE26" s="1360"/>
      <c r="FAF26" s="1360"/>
      <c r="FAG26" s="1360"/>
      <c r="FAH26" s="1360"/>
      <c r="FAI26" s="1360"/>
      <c r="FAJ26" s="1360"/>
      <c r="FAK26" s="1360"/>
      <c r="FAL26" s="1360"/>
      <c r="FAM26" s="1360"/>
      <c r="FAN26" s="1360"/>
      <c r="FAO26" s="1360"/>
      <c r="FAP26" s="1360"/>
      <c r="FAQ26" s="1360"/>
      <c r="FAR26" s="1360"/>
      <c r="FAS26" s="1360"/>
      <c r="FAT26" s="1360"/>
      <c r="FAU26" s="1360"/>
      <c r="FAV26" s="1360"/>
      <c r="FAW26" s="1360"/>
      <c r="FAX26" s="1360"/>
      <c r="FAY26" s="1360"/>
      <c r="FAZ26" s="1360"/>
      <c r="FBA26" s="1360"/>
      <c r="FBB26" s="1360"/>
      <c r="FBC26" s="1360"/>
      <c r="FBD26" s="1360"/>
      <c r="FBE26" s="1360"/>
      <c r="FBF26" s="1360"/>
      <c r="FBG26" s="1360"/>
      <c r="FBH26" s="1360"/>
      <c r="FBI26" s="1360"/>
      <c r="FBJ26" s="1360"/>
      <c r="FBK26" s="1360"/>
      <c r="FBL26" s="1360"/>
      <c r="FBM26" s="1360"/>
      <c r="FBN26" s="1360"/>
      <c r="FBO26" s="1360"/>
      <c r="FBP26" s="1360"/>
      <c r="FBQ26" s="1360"/>
      <c r="FBR26" s="1360"/>
      <c r="FBS26" s="1360"/>
      <c r="FBT26" s="1360"/>
      <c r="FBU26" s="1360"/>
      <c r="FBV26" s="1360"/>
      <c r="FBW26" s="1360"/>
      <c r="FBX26" s="1360"/>
      <c r="FBY26" s="1360"/>
      <c r="FBZ26" s="1360"/>
      <c r="FCA26" s="1360"/>
      <c r="FCB26" s="1360"/>
      <c r="FCC26" s="1360"/>
      <c r="FCD26" s="1360"/>
      <c r="FCE26" s="1360"/>
      <c r="FCF26" s="1360"/>
      <c r="FCG26" s="1360"/>
      <c r="FCH26" s="1360"/>
      <c r="FCI26" s="1360"/>
      <c r="FCJ26" s="1360"/>
      <c r="FCK26" s="1360"/>
      <c r="FCL26" s="1360"/>
      <c r="FCM26" s="1360"/>
      <c r="FCN26" s="1360"/>
      <c r="FCO26" s="1360"/>
      <c r="FCP26" s="1360"/>
      <c r="FCQ26" s="1360"/>
      <c r="FCR26" s="1360"/>
      <c r="FCS26" s="1360"/>
      <c r="FCT26" s="1360"/>
      <c r="FCU26" s="1360"/>
      <c r="FCV26" s="1360"/>
      <c r="FCW26" s="1360"/>
      <c r="FCX26" s="1360"/>
      <c r="FCY26" s="1360"/>
      <c r="FCZ26" s="1360"/>
      <c r="FDA26" s="1360"/>
      <c r="FDB26" s="1360"/>
      <c r="FDC26" s="1360"/>
      <c r="FDD26" s="1360"/>
      <c r="FDE26" s="1360"/>
      <c r="FDF26" s="1360"/>
      <c r="FDG26" s="1360"/>
      <c r="FDH26" s="1360"/>
      <c r="FDI26" s="1360"/>
      <c r="FDJ26" s="1360"/>
      <c r="FDK26" s="1360"/>
      <c r="FDL26" s="1360"/>
      <c r="FDM26" s="1360"/>
      <c r="FDN26" s="1360"/>
      <c r="FDO26" s="1360"/>
      <c r="FDP26" s="1360"/>
      <c r="FDQ26" s="1360"/>
      <c r="FDR26" s="1360"/>
      <c r="FDS26" s="1360"/>
      <c r="FDT26" s="1360"/>
      <c r="FDU26" s="1360"/>
      <c r="FDV26" s="1360"/>
      <c r="FDW26" s="1360"/>
      <c r="FDX26" s="1360"/>
      <c r="FDY26" s="1360"/>
      <c r="FDZ26" s="1360"/>
      <c r="FEA26" s="1360"/>
      <c r="FEB26" s="1360"/>
      <c r="FEC26" s="1360"/>
      <c r="FED26" s="1360"/>
      <c r="FEE26" s="1360"/>
      <c r="FEF26" s="1360"/>
      <c r="FEG26" s="1360"/>
      <c r="FEH26" s="1360"/>
      <c r="FEI26" s="1360"/>
      <c r="FEJ26" s="1360"/>
      <c r="FEK26" s="1360"/>
      <c r="FEL26" s="1360"/>
      <c r="FEM26" s="1360"/>
      <c r="FEN26" s="1360"/>
      <c r="FEO26" s="1360"/>
      <c r="FEP26" s="1360"/>
      <c r="FEQ26" s="1360"/>
      <c r="FER26" s="1360"/>
      <c r="FES26" s="1360"/>
      <c r="FET26" s="1360"/>
      <c r="FEU26" s="1360"/>
      <c r="FEV26" s="1360"/>
      <c r="FEW26" s="1360"/>
      <c r="FEX26" s="1360"/>
      <c r="FEY26" s="1360"/>
      <c r="FEZ26" s="1360"/>
      <c r="FFA26" s="1360"/>
      <c r="FFB26" s="1360"/>
      <c r="FFC26" s="1360"/>
      <c r="FFD26" s="1360"/>
      <c r="FFE26" s="1360"/>
      <c r="FFF26" s="1360"/>
      <c r="FFG26" s="1360"/>
      <c r="FFH26" s="1360"/>
      <c r="FFI26" s="1360"/>
      <c r="FFJ26" s="1360"/>
      <c r="FFK26" s="1360"/>
      <c r="FFL26" s="1360"/>
      <c r="FFM26" s="1360"/>
      <c r="FFN26" s="1360"/>
      <c r="FFO26" s="1360"/>
      <c r="FFP26" s="1360"/>
      <c r="FFQ26" s="1360"/>
      <c r="FFR26" s="1360"/>
      <c r="FFS26" s="1360"/>
      <c r="FFT26" s="1360"/>
      <c r="FFU26" s="1360"/>
      <c r="FFV26" s="1360"/>
      <c r="FFW26" s="1360"/>
      <c r="FFX26" s="1360"/>
      <c r="FFY26" s="1360"/>
      <c r="FFZ26" s="1360"/>
      <c r="FGA26" s="1360"/>
      <c r="FGB26" s="1360"/>
      <c r="FGC26" s="1360"/>
      <c r="FGD26" s="1360"/>
      <c r="FGE26" s="1360"/>
      <c r="FGF26" s="1360"/>
      <c r="FGG26" s="1360"/>
      <c r="FGH26" s="1360"/>
      <c r="FGI26" s="1360"/>
      <c r="FGJ26" s="1360"/>
      <c r="FGK26" s="1360"/>
      <c r="FGL26" s="1360"/>
      <c r="FGM26" s="1360"/>
      <c r="FGN26" s="1360"/>
      <c r="FGO26" s="1360"/>
      <c r="FGP26" s="1360"/>
      <c r="FGQ26" s="1360"/>
      <c r="FGR26" s="1360"/>
      <c r="FGS26" s="1360"/>
      <c r="FGT26" s="1360"/>
      <c r="FGU26" s="1360"/>
      <c r="FGV26" s="1360"/>
      <c r="FGW26" s="1360"/>
      <c r="FGX26" s="1360"/>
      <c r="FGY26" s="1360"/>
      <c r="FGZ26" s="1360"/>
      <c r="FHA26" s="1360"/>
      <c r="FHB26" s="1360"/>
      <c r="FHC26" s="1360"/>
      <c r="FHD26" s="1360"/>
      <c r="FHE26" s="1360"/>
      <c r="FHF26" s="1360"/>
      <c r="FHG26" s="1360"/>
      <c r="FHH26" s="1360"/>
      <c r="FHI26" s="1360"/>
      <c r="FHJ26" s="1360"/>
      <c r="FHK26" s="1360"/>
      <c r="FHL26" s="1360"/>
      <c r="FHM26" s="1360"/>
      <c r="FHN26" s="1360"/>
      <c r="FHO26" s="1360"/>
      <c r="FHP26" s="1360"/>
      <c r="FHQ26" s="1360"/>
      <c r="FHR26" s="1360"/>
      <c r="FHS26" s="1360"/>
      <c r="FHT26" s="1360"/>
      <c r="FHU26" s="1360"/>
      <c r="FHV26" s="1360"/>
      <c r="FHW26" s="1360"/>
      <c r="FHX26" s="1360"/>
      <c r="FHY26" s="1360"/>
      <c r="FHZ26" s="1360"/>
      <c r="FIA26" s="1360"/>
      <c r="FIB26" s="1360"/>
      <c r="FIC26" s="1360"/>
      <c r="FID26" s="1360"/>
      <c r="FIE26" s="1360"/>
      <c r="FIF26" s="1360"/>
      <c r="FIG26" s="1360"/>
      <c r="FIH26" s="1360"/>
      <c r="FII26" s="1360"/>
      <c r="FIJ26" s="1360"/>
      <c r="FIK26" s="1360"/>
      <c r="FIL26" s="1360"/>
      <c r="FIM26" s="1360"/>
      <c r="FIN26" s="1360"/>
      <c r="FIO26" s="1360"/>
      <c r="FIP26" s="1360"/>
      <c r="FIQ26" s="1360"/>
      <c r="FIR26" s="1360"/>
      <c r="FIS26" s="1360"/>
      <c r="FIT26" s="1360"/>
      <c r="FIU26" s="1360"/>
      <c r="FIV26" s="1360"/>
      <c r="FIW26" s="1360"/>
      <c r="FIX26" s="1360"/>
      <c r="FIY26" s="1360"/>
      <c r="FIZ26" s="1360"/>
      <c r="FJA26" s="1360"/>
      <c r="FJB26" s="1360"/>
      <c r="FJC26" s="1360"/>
      <c r="FJD26" s="1360"/>
      <c r="FJE26" s="1360"/>
      <c r="FJF26" s="1360"/>
      <c r="FJG26" s="1360"/>
      <c r="FJH26" s="1360"/>
      <c r="FJI26" s="1360"/>
      <c r="FJJ26" s="1360"/>
      <c r="FJK26" s="1360"/>
      <c r="FJL26" s="1360"/>
      <c r="FJM26" s="1360"/>
      <c r="FJN26" s="1360"/>
      <c r="FJO26" s="1360"/>
      <c r="FJP26" s="1360"/>
      <c r="FJQ26" s="1360"/>
      <c r="FJR26" s="1360"/>
      <c r="FJS26" s="1360"/>
      <c r="FJT26" s="1360"/>
      <c r="FJU26" s="1360"/>
      <c r="FJV26" s="1360"/>
      <c r="FJW26" s="1360"/>
      <c r="FJX26" s="1360"/>
      <c r="FJY26" s="1360"/>
      <c r="FJZ26" s="1360"/>
      <c r="FKA26" s="1360"/>
      <c r="FKB26" s="1360"/>
      <c r="FKC26" s="1360"/>
      <c r="FKD26" s="1360"/>
      <c r="FKE26" s="1360"/>
      <c r="FKF26" s="1360"/>
      <c r="FKG26" s="1360"/>
      <c r="FKH26" s="1360"/>
      <c r="FKI26" s="1360"/>
      <c r="FKJ26" s="1360"/>
      <c r="FKK26" s="1360"/>
      <c r="FKL26" s="1360"/>
      <c r="FKM26" s="1360"/>
      <c r="FKN26" s="1360"/>
      <c r="FKO26" s="1360"/>
      <c r="FKP26" s="1360"/>
      <c r="FKQ26" s="1360"/>
      <c r="FKR26" s="1360"/>
      <c r="FKS26" s="1360"/>
      <c r="FKT26" s="1360"/>
      <c r="FKU26" s="1360"/>
      <c r="FKV26" s="1360"/>
      <c r="FKW26" s="1360"/>
      <c r="FKX26" s="1360"/>
      <c r="FKY26" s="1360"/>
      <c r="FKZ26" s="1360"/>
      <c r="FLA26" s="1360"/>
      <c r="FLB26" s="1360"/>
      <c r="FLC26" s="1360"/>
      <c r="FLD26" s="1360"/>
      <c r="FLE26" s="1360"/>
      <c r="FLF26" s="1360"/>
      <c r="FLG26" s="1360"/>
      <c r="FLH26" s="1360"/>
      <c r="FLI26" s="1360"/>
      <c r="FLJ26" s="1360"/>
      <c r="FLK26" s="1360"/>
      <c r="FLL26" s="1360"/>
      <c r="FLM26" s="1360"/>
      <c r="FLN26" s="1360"/>
      <c r="FLO26" s="1360"/>
      <c r="FLP26" s="1360"/>
      <c r="FLQ26" s="1360"/>
      <c r="FLR26" s="1360"/>
      <c r="FLS26" s="1360"/>
      <c r="FLT26" s="1360"/>
      <c r="FLU26" s="1360"/>
      <c r="FLV26" s="1360"/>
      <c r="FLW26" s="1360"/>
      <c r="FLX26" s="1360"/>
      <c r="FLY26" s="1360"/>
      <c r="FLZ26" s="1360"/>
      <c r="FMA26" s="1360"/>
      <c r="FMB26" s="1360"/>
      <c r="FMC26" s="1360"/>
      <c r="FMD26" s="1360"/>
      <c r="FME26" s="1360"/>
      <c r="FMF26" s="1360"/>
      <c r="FMG26" s="1360"/>
      <c r="FMH26" s="1360"/>
      <c r="FMI26" s="1360"/>
      <c r="FMJ26" s="1360"/>
      <c r="FMK26" s="1360"/>
      <c r="FML26" s="1360"/>
      <c r="FMM26" s="1360"/>
      <c r="FMN26" s="1360"/>
      <c r="FMO26" s="1360"/>
      <c r="FMP26" s="1360"/>
      <c r="FMQ26" s="1360"/>
      <c r="FMR26" s="1360"/>
      <c r="FMS26" s="1360"/>
      <c r="FMT26" s="1360"/>
      <c r="FMU26" s="1360"/>
      <c r="FMV26" s="1360"/>
      <c r="FMW26" s="1360"/>
      <c r="FMX26" s="1360"/>
      <c r="FMY26" s="1360"/>
      <c r="FMZ26" s="1360"/>
      <c r="FNA26" s="1360"/>
      <c r="FNB26" s="1360"/>
      <c r="FNC26" s="1360"/>
      <c r="FND26" s="1360"/>
      <c r="FNE26" s="1360"/>
      <c r="FNF26" s="1360"/>
      <c r="FNG26" s="1360"/>
      <c r="FNH26" s="1360"/>
      <c r="FNI26" s="1360"/>
      <c r="FNJ26" s="1360"/>
      <c r="FNK26" s="1360"/>
      <c r="FNL26" s="1360"/>
      <c r="FNM26" s="1360"/>
      <c r="FNN26" s="1360"/>
      <c r="FNO26" s="1360"/>
      <c r="FNP26" s="1360"/>
      <c r="FNQ26" s="1360"/>
      <c r="FNR26" s="1360"/>
      <c r="FNS26" s="1360"/>
      <c r="FNT26" s="1360"/>
      <c r="FNU26" s="1360"/>
      <c r="FNV26" s="1360"/>
      <c r="FNW26" s="1360"/>
      <c r="FNX26" s="1360"/>
      <c r="FNY26" s="1360"/>
      <c r="FNZ26" s="1360"/>
      <c r="FOA26" s="1360"/>
      <c r="FOB26" s="1360"/>
      <c r="FOC26" s="1360"/>
      <c r="FOD26" s="1360"/>
      <c r="FOE26" s="1360"/>
      <c r="FOF26" s="1360"/>
      <c r="FOG26" s="1360"/>
      <c r="FOH26" s="1360"/>
      <c r="FOI26" s="1360"/>
      <c r="FOJ26" s="1360"/>
      <c r="FOK26" s="1360"/>
      <c r="FOL26" s="1360"/>
      <c r="FOM26" s="1360"/>
      <c r="FON26" s="1360"/>
      <c r="FOO26" s="1360"/>
      <c r="FOP26" s="1360"/>
      <c r="FOQ26" s="1360"/>
      <c r="FOR26" s="1360"/>
      <c r="FOS26" s="1360"/>
      <c r="FOT26" s="1360"/>
      <c r="FOU26" s="1360"/>
      <c r="FOV26" s="1360"/>
      <c r="FOW26" s="1360"/>
      <c r="FOX26" s="1360"/>
      <c r="FOY26" s="1360"/>
      <c r="FOZ26" s="1360"/>
      <c r="FPA26" s="1360"/>
      <c r="FPB26" s="1360"/>
      <c r="FPC26" s="1360"/>
      <c r="FPD26" s="1360"/>
      <c r="FPE26" s="1360"/>
      <c r="FPF26" s="1360"/>
      <c r="FPG26" s="1360"/>
      <c r="FPH26" s="1360"/>
      <c r="FPI26" s="1360"/>
      <c r="FPJ26" s="1360"/>
      <c r="FPK26" s="1360"/>
      <c r="FPL26" s="1360"/>
      <c r="FPM26" s="1360"/>
      <c r="FPN26" s="1360"/>
      <c r="FPO26" s="1360"/>
      <c r="FPP26" s="1360"/>
      <c r="FPQ26" s="1360"/>
      <c r="FPR26" s="1360"/>
      <c r="FPS26" s="1360"/>
      <c r="FPT26" s="1360"/>
      <c r="FPU26" s="1360"/>
      <c r="FPV26" s="1360"/>
      <c r="FPW26" s="1360"/>
      <c r="FPX26" s="1360"/>
      <c r="FPY26" s="1360"/>
      <c r="FPZ26" s="1360"/>
      <c r="FQA26" s="1360"/>
      <c r="FQB26" s="1360"/>
      <c r="FQC26" s="1360"/>
      <c r="FQD26" s="1360"/>
      <c r="FQE26" s="1360"/>
      <c r="FQF26" s="1360"/>
      <c r="FQG26" s="1360"/>
      <c r="FQH26" s="1360"/>
      <c r="FQI26" s="1360"/>
      <c r="FQJ26" s="1360"/>
      <c r="FQK26" s="1360"/>
      <c r="FQL26" s="1360"/>
      <c r="FQM26" s="1360"/>
      <c r="FQN26" s="1360"/>
      <c r="FQO26" s="1360"/>
      <c r="FQP26" s="1360"/>
      <c r="FQQ26" s="1360"/>
      <c r="FQR26" s="1360"/>
      <c r="FQS26" s="1360"/>
      <c r="FQT26" s="1360"/>
      <c r="FQU26" s="1360"/>
      <c r="FQV26" s="1360"/>
      <c r="FQW26" s="1360"/>
      <c r="FQX26" s="1360"/>
      <c r="FQY26" s="1360"/>
      <c r="FQZ26" s="1360"/>
      <c r="FRA26" s="1360"/>
      <c r="FRB26" s="1360"/>
      <c r="FRC26" s="1360"/>
      <c r="FRD26" s="1360"/>
      <c r="FRE26" s="1360"/>
      <c r="FRF26" s="1360"/>
      <c r="FRG26" s="1360"/>
      <c r="FRH26" s="1360"/>
      <c r="FRI26" s="1360"/>
      <c r="FRJ26" s="1360"/>
      <c r="FRK26" s="1360"/>
      <c r="FRL26" s="1360"/>
      <c r="FRM26" s="1360"/>
      <c r="FRN26" s="1360"/>
      <c r="FRO26" s="1360"/>
      <c r="FRP26" s="1360"/>
      <c r="FRQ26" s="1360"/>
      <c r="FRR26" s="1360"/>
      <c r="FRS26" s="1360"/>
      <c r="FRT26" s="1360"/>
      <c r="FRU26" s="1360"/>
      <c r="FRV26" s="1360"/>
      <c r="FRW26" s="1360"/>
      <c r="FRX26" s="1360"/>
      <c r="FRY26" s="1360"/>
      <c r="FRZ26" s="1360"/>
      <c r="FSA26" s="1360"/>
      <c r="FSB26" s="1360"/>
      <c r="FSC26" s="1360"/>
      <c r="FSD26" s="1360"/>
      <c r="FSE26" s="1360"/>
      <c r="FSF26" s="1360"/>
      <c r="FSG26" s="1360"/>
      <c r="FSH26" s="1360"/>
      <c r="FSI26" s="1360"/>
      <c r="FSJ26" s="1360"/>
      <c r="FSK26" s="1360"/>
      <c r="FSL26" s="1360"/>
      <c r="FSM26" s="1360"/>
      <c r="FSN26" s="1360"/>
      <c r="FSO26" s="1360"/>
      <c r="FSP26" s="1360"/>
      <c r="FSQ26" s="1360"/>
      <c r="FSR26" s="1360"/>
      <c r="FSS26" s="1360"/>
      <c r="FST26" s="1360"/>
      <c r="FSU26" s="1360"/>
      <c r="FSV26" s="1360"/>
      <c r="FSW26" s="1360"/>
      <c r="FSX26" s="1360"/>
      <c r="FSY26" s="1360"/>
      <c r="FSZ26" s="1360"/>
      <c r="FTA26" s="1360"/>
      <c r="FTB26" s="1360"/>
      <c r="FTC26" s="1360"/>
      <c r="FTD26" s="1360"/>
      <c r="FTE26" s="1360"/>
      <c r="FTF26" s="1360"/>
      <c r="FTG26" s="1360"/>
      <c r="FTH26" s="1360"/>
      <c r="FTI26" s="1360"/>
      <c r="FTJ26" s="1360"/>
      <c r="FTK26" s="1360"/>
      <c r="FTL26" s="1360"/>
      <c r="FTM26" s="1360"/>
      <c r="FTN26" s="1360"/>
      <c r="FTO26" s="1360"/>
      <c r="FTP26" s="1360"/>
      <c r="FTQ26" s="1360"/>
      <c r="FTR26" s="1360"/>
      <c r="FTS26" s="1360"/>
      <c r="FTT26" s="1360"/>
      <c r="FTU26" s="1360"/>
      <c r="FTV26" s="1360"/>
      <c r="FTW26" s="1360"/>
      <c r="FTX26" s="1360"/>
      <c r="FTY26" s="1360"/>
      <c r="FTZ26" s="1360"/>
      <c r="FUA26" s="1360"/>
      <c r="FUB26" s="1360"/>
      <c r="FUC26" s="1360"/>
      <c r="FUD26" s="1360"/>
      <c r="FUE26" s="1360"/>
      <c r="FUF26" s="1360"/>
      <c r="FUG26" s="1360"/>
      <c r="FUH26" s="1360"/>
      <c r="FUI26" s="1360"/>
      <c r="FUJ26" s="1360"/>
      <c r="FUK26" s="1360"/>
      <c r="FUL26" s="1360"/>
      <c r="FUM26" s="1360"/>
      <c r="FUN26" s="1360"/>
      <c r="FUO26" s="1360"/>
      <c r="FUP26" s="1360"/>
      <c r="FUQ26" s="1360"/>
      <c r="FUR26" s="1360"/>
      <c r="FUS26" s="1360"/>
      <c r="FUT26" s="1360"/>
      <c r="FUU26" s="1360"/>
      <c r="FUV26" s="1360"/>
      <c r="FUW26" s="1360"/>
      <c r="FUX26" s="1360"/>
      <c r="FUY26" s="1360"/>
      <c r="FUZ26" s="1360"/>
      <c r="FVA26" s="1360"/>
      <c r="FVB26" s="1360"/>
      <c r="FVC26" s="1360"/>
      <c r="FVD26" s="1360"/>
      <c r="FVE26" s="1360"/>
      <c r="FVF26" s="1360"/>
      <c r="FVG26" s="1360"/>
      <c r="FVH26" s="1360"/>
      <c r="FVI26" s="1360"/>
      <c r="FVJ26" s="1360"/>
      <c r="FVK26" s="1360"/>
      <c r="FVL26" s="1360"/>
      <c r="FVM26" s="1360"/>
      <c r="FVN26" s="1360"/>
      <c r="FVO26" s="1360"/>
      <c r="FVP26" s="1360"/>
      <c r="FVQ26" s="1360"/>
      <c r="FVR26" s="1360"/>
      <c r="FVS26" s="1360"/>
      <c r="FVT26" s="1360"/>
      <c r="FVU26" s="1360"/>
      <c r="FVV26" s="1360"/>
      <c r="FVW26" s="1360"/>
      <c r="FVX26" s="1360"/>
      <c r="FVY26" s="1360"/>
      <c r="FVZ26" s="1360"/>
      <c r="FWA26" s="1360"/>
      <c r="FWB26" s="1360"/>
      <c r="FWC26" s="1360"/>
      <c r="FWD26" s="1360"/>
      <c r="FWE26" s="1360"/>
      <c r="FWF26" s="1360"/>
      <c r="FWG26" s="1360"/>
      <c r="FWH26" s="1360"/>
      <c r="FWI26" s="1360"/>
      <c r="FWJ26" s="1360"/>
      <c r="FWK26" s="1360"/>
      <c r="FWL26" s="1360"/>
      <c r="FWM26" s="1360"/>
      <c r="FWN26" s="1360"/>
      <c r="FWO26" s="1360"/>
      <c r="FWP26" s="1360"/>
      <c r="FWQ26" s="1360"/>
      <c r="FWR26" s="1360"/>
      <c r="FWS26" s="1360"/>
      <c r="FWT26" s="1360"/>
      <c r="FWU26" s="1360"/>
      <c r="FWV26" s="1360"/>
      <c r="FWW26" s="1360"/>
      <c r="FWX26" s="1360"/>
      <c r="FWY26" s="1360"/>
      <c r="FWZ26" s="1360"/>
      <c r="FXA26" s="1360"/>
      <c r="FXB26" s="1360"/>
      <c r="FXC26" s="1360"/>
      <c r="FXD26" s="1360"/>
      <c r="FXE26" s="1360"/>
      <c r="FXF26" s="1360"/>
      <c r="FXG26" s="1360"/>
      <c r="FXH26" s="1360"/>
      <c r="FXI26" s="1360"/>
      <c r="FXJ26" s="1360"/>
      <c r="FXK26" s="1360"/>
      <c r="FXL26" s="1360"/>
      <c r="FXM26" s="1360"/>
      <c r="FXN26" s="1360"/>
      <c r="FXO26" s="1360"/>
      <c r="FXP26" s="1360"/>
      <c r="FXQ26" s="1360"/>
      <c r="FXR26" s="1360"/>
      <c r="FXS26" s="1360"/>
      <c r="FXT26" s="1360"/>
      <c r="FXU26" s="1360"/>
      <c r="FXV26" s="1360"/>
      <c r="FXW26" s="1360"/>
      <c r="FXX26" s="1360"/>
      <c r="FXY26" s="1360"/>
      <c r="FXZ26" s="1360"/>
      <c r="FYA26" s="1360"/>
      <c r="FYB26" s="1360"/>
      <c r="FYC26" s="1360"/>
      <c r="FYD26" s="1360"/>
      <c r="FYE26" s="1360"/>
      <c r="FYF26" s="1360"/>
      <c r="FYG26" s="1360"/>
      <c r="FYH26" s="1360"/>
      <c r="FYI26" s="1360"/>
      <c r="FYJ26" s="1360"/>
      <c r="FYK26" s="1360"/>
      <c r="FYL26" s="1360"/>
      <c r="FYM26" s="1360"/>
      <c r="FYN26" s="1360"/>
      <c r="FYO26" s="1360"/>
      <c r="FYP26" s="1360"/>
      <c r="FYQ26" s="1360"/>
      <c r="FYR26" s="1360"/>
      <c r="FYS26" s="1360"/>
      <c r="FYT26" s="1360"/>
      <c r="FYU26" s="1360"/>
      <c r="FYV26" s="1360"/>
      <c r="FYW26" s="1360"/>
      <c r="FYX26" s="1360"/>
      <c r="FYY26" s="1360"/>
      <c r="FYZ26" s="1360"/>
      <c r="FZA26" s="1360"/>
      <c r="FZB26" s="1360"/>
      <c r="FZC26" s="1360"/>
      <c r="FZD26" s="1360"/>
      <c r="FZE26" s="1360"/>
      <c r="FZF26" s="1360"/>
      <c r="FZG26" s="1360"/>
      <c r="FZH26" s="1360"/>
      <c r="FZI26" s="1360"/>
      <c r="FZJ26" s="1360"/>
      <c r="FZK26" s="1360"/>
      <c r="FZL26" s="1360"/>
      <c r="FZM26" s="1360"/>
      <c r="FZN26" s="1360"/>
      <c r="FZO26" s="1360"/>
      <c r="FZP26" s="1360"/>
      <c r="FZQ26" s="1360"/>
      <c r="FZR26" s="1360"/>
      <c r="FZS26" s="1360"/>
      <c r="FZT26" s="1360"/>
      <c r="FZU26" s="1360"/>
      <c r="FZV26" s="1360"/>
      <c r="FZW26" s="1360"/>
      <c r="FZX26" s="1360"/>
      <c r="FZY26" s="1360"/>
      <c r="FZZ26" s="1360"/>
      <c r="GAA26" s="1360"/>
      <c r="GAB26" s="1360"/>
      <c r="GAC26" s="1360"/>
      <c r="GAD26" s="1360"/>
      <c r="GAE26" s="1360"/>
      <c r="GAF26" s="1360"/>
      <c r="GAG26" s="1360"/>
      <c r="GAH26" s="1360"/>
      <c r="GAI26" s="1360"/>
      <c r="GAJ26" s="1360"/>
      <c r="GAK26" s="1360"/>
      <c r="GAL26" s="1360"/>
      <c r="GAM26" s="1360"/>
      <c r="GAN26" s="1360"/>
      <c r="GAO26" s="1360"/>
      <c r="GAP26" s="1360"/>
      <c r="GAQ26" s="1360"/>
      <c r="GAR26" s="1360"/>
      <c r="GAS26" s="1360"/>
      <c r="GAT26" s="1360"/>
      <c r="GAU26" s="1360"/>
      <c r="GAV26" s="1360"/>
      <c r="GAW26" s="1360"/>
      <c r="GAX26" s="1360"/>
      <c r="GAY26" s="1360"/>
      <c r="GAZ26" s="1360"/>
      <c r="GBA26" s="1360"/>
      <c r="GBB26" s="1360"/>
      <c r="GBC26" s="1360"/>
      <c r="GBD26" s="1360"/>
      <c r="GBE26" s="1360"/>
      <c r="GBF26" s="1360"/>
      <c r="GBG26" s="1360"/>
      <c r="GBH26" s="1360"/>
      <c r="GBI26" s="1360"/>
      <c r="GBJ26" s="1360"/>
      <c r="GBK26" s="1360"/>
      <c r="GBL26" s="1360"/>
      <c r="GBM26" s="1360"/>
      <c r="GBN26" s="1360"/>
      <c r="GBO26" s="1360"/>
      <c r="GBP26" s="1360"/>
      <c r="GBQ26" s="1360"/>
      <c r="GBR26" s="1360"/>
      <c r="GBS26" s="1360"/>
      <c r="GBT26" s="1360"/>
      <c r="GBU26" s="1360"/>
      <c r="GBV26" s="1360"/>
      <c r="GBW26" s="1360"/>
      <c r="GBX26" s="1360"/>
      <c r="GBY26" s="1360"/>
      <c r="GBZ26" s="1360"/>
      <c r="GCA26" s="1360"/>
      <c r="GCB26" s="1360"/>
      <c r="GCC26" s="1360"/>
      <c r="GCD26" s="1360"/>
      <c r="GCE26" s="1360"/>
      <c r="GCF26" s="1360"/>
      <c r="GCG26" s="1360"/>
      <c r="GCH26" s="1360"/>
      <c r="GCI26" s="1360"/>
      <c r="GCJ26" s="1360"/>
      <c r="GCK26" s="1360"/>
      <c r="GCL26" s="1360"/>
      <c r="GCM26" s="1360"/>
      <c r="GCN26" s="1360"/>
      <c r="GCO26" s="1360"/>
      <c r="GCP26" s="1360"/>
      <c r="GCQ26" s="1360"/>
      <c r="GCR26" s="1360"/>
      <c r="GCS26" s="1360"/>
      <c r="GCT26" s="1360"/>
      <c r="GCU26" s="1360"/>
      <c r="GCV26" s="1360"/>
      <c r="GCW26" s="1360"/>
      <c r="GCX26" s="1360"/>
      <c r="GCY26" s="1360"/>
      <c r="GCZ26" s="1360"/>
      <c r="GDA26" s="1360"/>
      <c r="GDB26" s="1360"/>
      <c r="GDC26" s="1360"/>
      <c r="GDD26" s="1360"/>
      <c r="GDE26" s="1360"/>
      <c r="GDF26" s="1360"/>
      <c r="GDG26" s="1360"/>
      <c r="GDH26" s="1360"/>
      <c r="GDI26" s="1360"/>
      <c r="GDJ26" s="1360"/>
      <c r="GDK26" s="1360"/>
      <c r="GDL26" s="1360"/>
      <c r="GDM26" s="1360"/>
      <c r="GDN26" s="1360"/>
      <c r="GDO26" s="1360"/>
      <c r="GDP26" s="1360"/>
      <c r="GDQ26" s="1360"/>
      <c r="GDR26" s="1360"/>
      <c r="GDS26" s="1360"/>
      <c r="GDT26" s="1360"/>
      <c r="GDU26" s="1360"/>
      <c r="GDV26" s="1360"/>
      <c r="GDW26" s="1360"/>
      <c r="GDX26" s="1360"/>
      <c r="GDY26" s="1360"/>
      <c r="GDZ26" s="1360"/>
      <c r="GEA26" s="1360"/>
      <c r="GEB26" s="1360"/>
      <c r="GEC26" s="1360"/>
      <c r="GED26" s="1360"/>
      <c r="GEE26" s="1360"/>
      <c r="GEF26" s="1360"/>
      <c r="GEG26" s="1360"/>
      <c r="GEH26" s="1360"/>
      <c r="GEI26" s="1360"/>
      <c r="GEJ26" s="1360"/>
      <c r="GEK26" s="1360"/>
      <c r="GEL26" s="1360"/>
      <c r="GEM26" s="1360"/>
      <c r="GEN26" s="1360"/>
      <c r="GEO26" s="1360"/>
      <c r="GEP26" s="1360"/>
      <c r="GEQ26" s="1360"/>
      <c r="GER26" s="1360"/>
      <c r="GES26" s="1360"/>
      <c r="GET26" s="1360"/>
      <c r="GEU26" s="1360"/>
      <c r="GEV26" s="1360"/>
      <c r="GEW26" s="1360"/>
      <c r="GEX26" s="1360"/>
      <c r="GEY26" s="1360"/>
      <c r="GEZ26" s="1360"/>
      <c r="GFA26" s="1360"/>
      <c r="GFB26" s="1360"/>
      <c r="GFC26" s="1360"/>
      <c r="GFD26" s="1360"/>
      <c r="GFE26" s="1360"/>
      <c r="GFF26" s="1360"/>
      <c r="GFG26" s="1360"/>
      <c r="GFH26" s="1360"/>
      <c r="GFI26" s="1360"/>
      <c r="GFJ26" s="1360"/>
      <c r="GFK26" s="1360"/>
      <c r="GFL26" s="1360"/>
      <c r="GFM26" s="1360"/>
      <c r="GFN26" s="1360"/>
      <c r="GFO26" s="1360"/>
      <c r="GFP26" s="1360"/>
      <c r="GFQ26" s="1360"/>
      <c r="GFR26" s="1360"/>
      <c r="GFS26" s="1360"/>
      <c r="GFT26" s="1360"/>
      <c r="GFU26" s="1360"/>
      <c r="GFV26" s="1360"/>
      <c r="GFW26" s="1360"/>
      <c r="GFX26" s="1360"/>
      <c r="GFY26" s="1360"/>
      <c r="GFZ26" s="1360"/>
      <c r="GGA26" s="1360"/>
      <c r="GGB26" s="1360"/>
      <c r="GGC26" s="1360"/>
      <c r="GGD26" s="1360"/>
      <c r="GGE26" s="1360"/>
      <c r="GGF26" s="1360"/>
      <c r="GGG26" s="1360"/>
      <c r="GGH26" s="1360"/>
      <c r="GGI26" s="1360"/>
      <c r="GGJ26" s="1360"/>
      <c r="GGK26" s="1360"/>
      <c r="GGL26" s="1360"/>
      <c r="GGM26" s="1360"/>
      <c r="GGN26" s="1360"/>
      <c r="GGO26" s="1360"/>
      <c r="GGP26" s="1360"/>
      <c r="GGQ26" s="1360"/>
      <c r="GGR26" s="1360"/>
      <c r="GGS26" s="1360"/>
      <c r="GGT26" s="1360"/>
      <c r="GGU26" s="1360"/>
      <c r="GGV26" s="1360"/>
      <c r="GGW26" s="1360"/>
      <c r="GGX26" s="1360"/>
      <c r="GGY26" s="1360"/>
      <c r="GGZ26" s="1360"/>
      <c r="GHA26" s="1360"/>
      <c r="GHB26" s="1360"/>
      <c r="GHC26" s="1360"/>
      <c r="GHD26" s="1360"/>
      <c r="GHE26" s="1360"/>
      <c r="GHF26" s="1360"/>
      <c r="GHG26" s="1360"/>
      <c r="GHH26" s="1360"/>
      <c r="GHI26" s="1360"/>
      <c r="GHJ26" s="1360"/>
      <c r="GHK26" s="1360"/>
      <c r="GHL26" s="1360"/>
      <c r="GHM26" s="1360"/>
      <c r="GHN26" s="1360"/>
      <c r="GHO26" s="1360"/>
      <c r="GHP26" s="1360"/>
      <c r="GHQ26" s="1360"/>
      <c r="GHR26" s="1360"/>
      <c r="GHS26" s="1360"/>
      <c r="GHT26" s="1360"/>
      <c r="GHU26" s="1360"/>
      <c r="GHV26" s="1360"/>
      <c r="GHW26" s="1360"/>
      <c r="GHX26" s="1360"/>
      <c r="GHY26" s="1360"/>
      <c r="GHZ26" s="1360"/>
      <c r="GIA26" s="1360"/>
      <c r="GIB26" s="1360"/>
      <c r="GIC26" s="1360"/>
      <c r="GID26" s="1360"/>
      <c r="GIE26" s="1360"/>
      <c r="GIF26" s="1360"/>
      <c r="GIG26" s="1360"/>
      <c r="GIH26" s="1360"/>
      <c r="GII26" s="1360"/>
      <c r="GIJ26" s="1360"/>
      <c r="GIK26" s="1360"/>
      <c r="GIL26" s="1360"/>
      <c r="GIM26" s="1360"/>
      <c r="GIN26" s="1360"/>
      <c r="GIO26" s="1360"/>
      <c r="GIP26" s="1360"/>
      <c r="GIQ26" s="1360"/>
      <c r="GIR26" s="1360"/>
      <c r="GIS26" s="1360"/>
      <c r="GIT26" s="1360"/>
      <c r="GIU26" s="1360"/>
      <c r="GIV26" s="1360"/>
      <c r="GIW26" s="1360"/>
      <c r="GIX26" s="1360"/>
      <c r="GIY26" s="1360"/>
      <c r="GIZ26" s="1360"/>
      <c r="GJA26" s="1360"/>
      <c r="GJB26" s="1360"/>
      <c r="GJC26" s="1360"/>
      <c r="GJD26" s="1360"/>
      <c r="GJE26" s="1360"/>
      <c r="GJF26" s="1360"/>
      <c r="GJG26" s="1360"/>
      <c r="GJH26" s="1360"/>
      <c r="GJI26" s="1360"/>
      <c r="GJJ26" s="1360"/>
      <c r="GJK26" s="1360"/>
      <c r="GJL26" s="1360"/>
      <c r="GJM26" s="1360"/>
      <c r="GJN26" s="1360"/>
      <c r="GJO26" s="1360"/>
      <c r="GJP26" s="1360"/>
      <c r="GJQ26" s="1360"/>
      <c r="GJR26" s="1360"/>
      <c r="GJS26" s="1360"/>
      <c r="GJT26" s="1360"/>
      <c r="GJU26" s="1360"/>
      <c r="GJV26" s="1360"/>
      <c r="GJW26" s="1360"/>
      <c r="GJX26" s="1360"/>
      <c r="GJY26" s="1360"/>
      <c r="GJZ26" s="1360"/>
      <c r="GKA26" s="1360"/>
      <c r="GKB26" s="1360"/>
      <c r="GKC26" s="1360"/>
      <c r="GKD26" s="1360"/>
      <c r="GKE26" s="1360"/>
      <c r="GKF26" s="1360"/>
      <c r="GKG26" s="1360"/>
      <c r="GKH26" s="1360"/>
      <c r="GKI26" s="1360"/>
      <c r="GKJ26" s="1360"/>
      <c r="GKK26" s="1360"/>
      <c r="GKL26" s="1360"/>
      <c r="GKM26" s="1360"/>
      <c r="GKN26" s="1360"/>
      <c r="GKO26" s="1360"/>
      <c r="GKP26" s="1360"/>
      <c r="GKQ26" s="1360"/>
      <c r="GKR26" s="1360"/>
      <c r="GKS26" s="1360"/>
      <c r="GKT26" s="1360"/>
      <c r="GKU26" s="1360"/>
      <c r="GKV26" s="1360"/>
      <c r="GKW26" s="1360"/>
      <c r="GKX26" s="1360"/>
      <c r="GKY26" s="1360"/>
      <c r="GKZ26" s="1360"/>
      <c r="GLA26" s="1360"/>
      <c r="GLB26" s="1360"/>
      <c r="GLC26" s="1360"/>
      <c r="GLD26" s="1360"/>
      <c r="GLE26" s="1360"/>
      <c r="GLF26" s="1360"/>
      <c r="GLG26" s="1360"/>
      <c r="GLH26" s="1360"/>
      <c r="GLI26" s="1360"/>
      <c r="GLJ26" s="1360"/>
      <c r="GLK26" s="1360"/>
      <c r="GLL26" s="1360"/>
      <c r="GLM26" s="1360"/>
      <c r="GLN26" s="1360"/>
      <c r="GLO26" s="1360"/>
      <c r="GLP26" s="1360"/>
      <c r="GLQ26" s="1360"/>
      <c r="GLR26" s="1360"/>
      <c r="GLS26" s="1360"/>
      <c r="GLT26" s="1360"/>
      <c r="GLU26" s="1360"/>
      <c r="GLV26" s="1360"/>
      <c r="GLW26" s="1360"/>
      <c r="GLX26" s="1360"/>
      <c r="GLY26" s="1360"/>
      <c r="GLZ26" s="1360"/>
      <c r="GMA26" s="1360"/>
      <c r="GMB26" s="1360"/>
      <c r="GMC26" s="1360"/>
      <c r="GMD26" s="1360"/>
      <c r="GME26" s="1360"/>
      <c r="GMF26" s="1360"/>
      <c r="GMG26" s="1360"/>
      <c r="GMH26" s="1360"/>
      <c r="GMI26" s="1360"/>
      <c r="GMJ26" s="1360"/>
      <c r="GMK26" s="1360"/>
      <c r="GML26" s="1360"/>
      <c r="GMM26" s="1360"/>
      <c r="GMN26" s="1360"/>
      <c r="GMO26" s="1360"/>
      <c r="GMP26" s="1360"/>
      <c r="GMQ26" s="1360"/>
      <c r="GMR26" s="1360"/>
      <c r="GMS26" s="1360"/>
      <c r="GMT26" s="1360"/>
      <c r="GMU26" s="1360"/>
      <c r="GMV26" s="1360"/>
      <c r="GMW26" s="1360"/>
      <c r="GMX26" s="1360"/>
      <c r="GMY26" s="1360"/>
      <c r="GMZ26" s="1360"/>
      <c r="GNA26" s="1360"/>
      <c r="GNB26" s="1360"/>
      <c r="GNC26" s="1360"/>
      <c r="GND26" s="1360"/>
      <c r="GNE26" s="1360"/>
      <c r="GNF26" s="1360"/>
      <c r="GNG26" s="1360"/>
      <c r="GNH26" s="1360"/>
      <c r="GNI26" s="1360"/>
      <c r="GNJ26" s="1360"/>
      <c r="GNK26" s="1360"/>
      <c r="GNL26" s="1360"/>
      <c r="GNM26" s="1360"/>
      <c r="GNN26" s="1360"/>
      <c r="GNO26" s="1360"/>
      <c r="GNP26" s="1360"/>
      <c r="GNQ26" s="1360"/>
      <c r="GNR26" s="1360"/>
      <c r="GNS26" s="1360"/>
      <c r="GNT26" s="1360"/>
      <c r="GNU26" s="1360"/>
      <c r="GNV26" s="1360"/>
      <c r="GNW26" s="1360"/>
      <c r="GNX26" s="1360"/>
      <c r="GNY26" s="1360"/>
      <c r="GNZ26" s="1360"/>
      <c r="GOA26" s="1360"/>
      <c r="GOB26" s="1360"/>
      <c r="GOC26" s="1360"/>
      <c r="GOD26" s="1360"/>
      <c r="GOE26" s="1360"/>
      <c r="GOF26" s="1360"/>
      <c r="GOG26" s="1360"/>
      <c r="GOH26" s="1360"/>
      <c r="GOI26" s="1360"/>
      <c r="GOJ26" s="1360"/>
      <c r="GOK26" s="1360"/>
      <c r="GOL26" s="1360"/>
      <c r="GOM26" s="1360"/>
      <c r="GON26" s="1360"/>
      <c r="GOO26" s="1360"/>
      <c r="GOP26" s="1360"/>
      <c r="GOQ26" s="1360"/>
      <c r="GOR26" s="1360"/>
      <c r="GOS26" s="1360"/>
      <c r="GOT26" s="1360"/>
      <c r="GOU26" s="1360"/>
      <c r="GOV26" s="1360"/>
      <c r="GOW26" s="1360"/>
      <c r="GOX26" s="1360"/>
      <c r="GOY26" s="1360"/>
      <c r="GOZ26" s="1360"/>
      <c r="GPA26" s="1360"/>
      <c r="GPB26" s="1360"/>
      <c r="GPC26" s="1360"/>
      <c r="GPD26" s="1360"/>
      <c r="GPE26" s="1360"/>
      <c r="GPF26" s="1360"/>
      <c r="GPG26" s="1360"/>
      <c r="GPH26" s="1360"/>
      <c r="GPI26" s="1360"/>
      <c r="GPJ26" s="1360"/>
      <c r="GPK26" s="1360"/>
      <c r="GPL26" s="1360"/>
      <c r="GPM26" s="1360"/>
      <c r="GPN26" s="1360"/>
      <c r="GPO26" s="1360"/>
      <c r="GPP26" s="1360"/>
      <c r="GPQ26" s="1360"/>
      <c r="GPR26" s="1360"/>
      <c r="GPS26" s="1360"/>
      <c r="GPT26" s="1360"/>
      <c r="GPU26" s="1360"/>
      <c r="GPV26" s="1360"/>
      <c r="GPW26" s="1360"/>
      <c r="GPX26" s="1360"/>
      <c r="GPY26" s="1360"/>
      <c r="GPZ26" s="1360"/>
      <c r="GQA26" s="1360"/>
      <c r="GQB26" s="1360"/>
      <c r="GQC26" s="1360"/>
      <c r="GQD26" s="1360"/>
      <c r="GQE26" s="1360"/>
      <c r="GQF26" s="1360"/>
      <c r="GQG26" s="1360"/>
      <c r="GQH26" s="1360"/>
      <c r="GQI26" s="1360"/>
      <c r="GQJ26" s="1360"/>
      <c r="GQK26" s="1360"/>
      <c r="GQL26" s="1360"/>
      <c r="GQM26" s="1360"/>
      <c r="GQN26" s="1360"/>
      <c r="GQO26" s="1360"/>
      <c r="GQP26" s="1360"/>
      <c r="GQQ26" s="1360"/>
      <c r="GQR26" s="1360"/>
      <c r="GQS26" s="1360"/>
      <c r="GQT26" s="1360"/>
      <c r="GQU26" s="1360"/>
      <c r="GQV26" s="1360"/>
      <c r="GQW26" s="1360"/>
      <c r="GQX26" s="1360"/>
      <c r="GQY26" s="1360"/>
      <c r="GQZ26" s="1360"/>
      <c r="GRA26" s="1360"/>
      <c r="GRB26" s="1360"/>
      <c r="GRC26" s="1360"/>
      <c r="GRD26" s="1360"/>
      <c r="GRE26" s="1360"/>
      <c r="GRF26" s="1360"/>
      <c r="GRG26" s="1360"/>
      <c r="GRH26" s="1360"/>
      <c r="GRI26" s="1360"/>
      <c r="GRJ26" s="1360"/>
      <c r="GRK26" s="1360"/>
      <c r="GRL26" s="1360"/>
      <c r="GRM26" s="1360"/>
      <c r="GRN26" s="1360"/>
      <c r="GRO26" s="1360"/>
      <c r="GRP26" s="1360"/>
      <c r="GRQ26" s="1360"/>
      <c r="GRR26" s="1360"/>
      <c r="GRS26" s="1360"/>
      <c r="GRT26" s="1360"/>
      <c r="GRU26" s="1360"/>
      <c r="GRV26" s="1360"/>
      <c r="GRW26" s="1360"/>
      <c r="GRX26" s="1360"/>
      <c r="GRY26" s="1360"/>
      <c r="GRZ26" s="1360"/>
      <c r="GSA26" s="1360"/>
      <c r="GSB26" s="1360"/>
      <c r="GSC26" s="1360"/>
      <c r="GSD26" s="1360"/>
      <c r="GSE26" s="1360"/>
      <c r="GSF26" s="1360"/>
      <c r="GSG26" s="1360"/>
      <c r="GSH26" s="1360"/>
      <c r="GSI26" s="1360"/>
      <c r="GSJ26" s="1360"/>
      <c r="GSK26" s="1360"/>
      <c r="GSL26" s="1360"/>
      <c r="GSM26" s="1360"/>
      <c r="GSN26" s="1360"/>
      <c r="GSO26" s="1360"/>
      <c r="GSP26" s="1360"/>
      <c r="GSQ26" s="1360"/>
      <c r="GSR26" s="1360"/>
      <c r="GSS26" s="1360"/>
      <c r="GST26" s="1360"/>
      <c r="GSU26" s="1360"/>
      <c r="GSV26" s="1360"/>
      <c r="GSW26" s="1360"/>
      <c r="GSX26" s="1360"/>
      <c r="GSY26" s="1360"/>
      <c r="GSZ26" s="1360"/>
      <c r="GTA26" s="1360"/>
      <c r="GTB26" s="1360"/>
      <c r="GTC26" s="1360"/>
      <c r="GTD26" s="1360"/>
      <c r="GTE26" s="1360"/>
      <c r="GTF26" s="1360"/>
      <c r="GTG26" s="1360"/>
      <c r="GTH26" s="1360"/>
      <c r="GTI26" s="1360"/>
      <c r="GTJ26" s="1360"/>
      <c r="GTK26" s="1360"/>
      <c r="GTL26" s="1360"/>
      <c r="GTM26" s="1360"/>
      <c r="GTN26" s="1360"/>
      <c r="GTO26" s="1360"/>
      <c r="GTP26" s="1360"/>
      <c r="GTQ26" s="1360"/>
      <c r="GTR26" s="1360"/>
      <c r="GTS26" s="1360"/>
      <c r="GTT26" s="1360"/>
      <c r="GTU26" s="1360"/>
      <c r="GTV26" s="1360"/>
      <c r="GTW26" s="1360"/>
      <c r="GTX26" s="1360"/>
      <c r="GTY26" s="1360"/>
      <c r="GTZ26" s="1360"/>
      <c r="GUA26" s="1360"/>
      <c r="GUB26" s="1360"/>
      <c r="GUC26" s="1360"/>
      <c r="GUD26" s="1360"/>
      <c r="GUE26" s="1360"/>
      <c r="GUF26" s="1360"/>
      <c r="GUG26" s="1360"/>
      <c r="GUH26" s="1360"/>
      <c r="GUI26" s="1360"/>
      <c r="GUJ26" s="1360"/>
      <c r="GUK26" s="1360"/>
      <c r="GUL26" s="1360"/>
      <c r="GUM26" s="1360"/>
      <c r="GUN26" s="1360"/>
      <c r="GUO26" s="1360"/>
      <c r="GUP26" s="1360"/>
      <c r="GUQ26" s="1360"/>
      <c r="GUR26" s="1360"/>
      <c r="GUS26" s="1360"/>
      <c r="GUT26" s="1360"/>
      <c r="GUU26" s="1360"/>
      <c r="GUV26" s="1360"/>
      <c r="GUW26" s="1360"/>
      <c r="GUX26" s="1360"/>
      <c r="GUY26" s="1360"/>
      <c r="GUZ26" s="1360"/>
      <c r="GVA26" s="1360"/>
      <c r="GVB26" s="1360"/>
      <c r="GVC26" s="1360"/>
      <c r="GVD26" s="1360"/>
      <c r="GVE26" s="1360"/>
      <c r="GVF26" s="1360"/>
      <c r="GVG26" s="1360"/>
      <c r="GVH26" s="1360"/>
      <c r="GVI26" s="1360"/>
      <c r="GVJ26" s="1360"/>
      <c r="GVK26" s="1360"/>
      <c r="GVL26" s="1360"/>
      <c r="GVM26" s="1360"/>
      <c r="GVN26" s="1360"/>
      <c r="GVO26" s="1360"/>
      <c r="GVP26" s="1360"/>
      <c r="GVQ26" s="1360"/>
      <c r="GVR26" s="1360"/>
      <c r="GVS26" s="1360"/>
      <c r="GVT26" s="1360"/>
      <c r="GVU26" s="1360"/>
      <c r="GVV26" s="1360"/>
      <c r="GVW26" s="1360"/>
      <c r="GVX26" s="1360"/>
      <c r="GVY26" s="1360"/>
      <c r="GVZ26" s="1360"/>
      <c r="GWA26" s="1360"/>
      <c r="GWB26" s="1360"/>
      <c r="GWC26" s="1360"/>
      <c r="GWD26" s="1360"/>
      <c r="GWE26" s="1360"/>
      <c r="GWF26" s="1360"/>
      <c r="GWG26" s="1360"/>
      <c r="GWH26" s="1360"/>
      <c r="GWI26" s="1360"/>
      <c r="GWJ26" s="1360"/>
      <c r="GWK26" s="1360"/>
      <c r="GWL26" s="1360"/>
      <c r="GWM26" s="1360"/>
      <c r="GWN26" s="1360"/>
      <c r="GWO26" s="1360"/>
      <c r="GWP26" s="1360"/>
      <c r="GWQ26" s="1360"/>
      <c r="GWR26" s="1360"/>
      <c r="GWS26" s="1360"/>
      <c r="GWT26" s="1360"/>
      <c r="GWU26" s="1360"/>
      <c r="GWV26" s="1360"/>
      <c r="GWW26" s="1360"/>
      <c r="GWX26" s="1360"/>
      <c r="GWY26" s="1360"/>
      <c r="GWZ26" s="1360"/>
      <c r="GXA26" s="1360"/>
      <c r="GXB26" s="1360"/>
      <c r="GXC26" s="1360"/>
      <c r="GXD26" s="1360"/>
      <c r="GXE26" s="1360"/>
      <c r="GXF26" s="1360"/>
      <c r="GXG26" s="1360"/>
      <c r="GXH26" s="1360"/>
      <c r="GXI26" s="1360"/>
      <c r="GXJ26" s="1360"/>
      <c r="GXK26" s="1360"/>
      <c r="GXL26" s="1360"/>
      <c r="GXM26" s="1360"/>
      <c r="GXN26" s="1360"/>
      <c r="GXO26" s="1360"/>
      <c r="GXP26" s="1360"/>
      <c r="GXQ26" s="1360"/>
      <c r="GXR26" s="1360"/>
      <c r="GXS26" s="1360"/>
      <c r="GXT26" s="1360"/>
      <c r="GXU26" s="1360"/>
      <c r="GXV26" s="1360"/>
      <c r="GXW26" s="1360"/>
      <c r="GXX26" s="1360"/>
      <c r="GXY26" s="1360"/>
      <c r="GXZ26" s="1360"/>
      <c r="GYA26" s="1360"/>
      <c r="GYB26" s="1360"/>
      <c r="GYC26" s="1360"/>
      <c r="GYD26" s="1360"/>
      <c r="GYE26" s="1360"/>
      <c r="GYF26" s="1360"/>
      <c r="GYG26" s="1360"/>
      <c r="GYH26" s="1360"/>
      <c r="GYI26" s="1360"/>
      <c r="GYJ26" s="1360"/>
      <c r="GYK26" s="1360"/>
      <c r="GYL26" s="1360"/>
      <c r="GYM26" s="1360"/>
      <c r="GYN26" s="1360"/>
      <c r="GYO26" s="1360"/>
      <c r="GYP26" s="1360"/>
      <c r="GYQ26" s="1360"/>
      <c r="GYR26" s="1360"/>
      <c r="GYS26" s="1360"/>
      <c r="GYT26" s="1360"/>
      <c r="GYU26" s="1360"/>
      <c r="GYV26" s="1360"/>
      <c r="GYW26" s="1360"/>
      <c r="GYX26" s="1360"/>
      <c r="GYY26" s="1360"/>
      <c r="GYZ26" s="1360"/>
      <c r="GZA26" s="1360"/>
      <c r="GZB26" s="1360"/>
      <c r="GZC26" s="1360"/>
      <c r="GZD26" s="1360"/>
      <c r="GZE26" s="1360"/>
      <c r="GZF26" s="1360"/>
      <c r="GZG26" s="1360"/>
      <c r="GZH26" s="1360"/>
      <c r="GZI26" s="1360"/>
      <c r="GZJ26" s="1360"/>
      <c r="GZK26" s="1360"/>
      <c r="GZL26" s="1360"/>
      <c r="GZM26" s="1360"/>
      <c r="GZN26" s="1360"/>
      <c r="GZO26" s="1360"/>
      <c r="GZP26" s="1360"/>
      <c r="GZQ26" s="1360"/>
      <c r="GZR26" s="1360"/>
      <c r="GZS26" s="1360"/>
      <c r="GZT26" s="1360"/>
      <c r="GZU26" s="1360"/>
      <c r="GZV26" s="1360"/>
      <c r="GZW26" s="1360"/>
      <c r="GZX26" s="1360"/>
      <c r="GZY26" s="1360"/>
      <c r="GZZ26" s="1360"/>
      <c r="HAA26" s="1360"/>
      <c r="HAB26" s="1360"/>
      <c r="HAC26" s="1360"/>
      <c r="HAD26" s="1360"/>
      <c r="HAE26" s="1360"/>
      <c r="HAF26" s="1360"/>
      <c r="HAG26" s="1360"/>
      <c r="HAH26" s="1360"/>
      <c r="HAI26" s="1360"/>
      <c r="HAJ26" s="1360"/>
      <c r="HAK26" s="1360"/>
      <c r="HAL26" s="1360"/>
      <c r="HAM26" s="1360"/>
      <c r="HAN26" s="1360"/>
      <c r="HAO26" s="1360"/>
      <c r="HAP26" s="1360"/>
      <c r="HAQ26" s="1360"/>
      <c r="HAR26" s="1360"/>
      <c r="HAS26" s="1360"/>
      <c r="HAT26" s="1360"/>
      <c r="HAU26" s="1360"/>
      <c r="HAV26" s="1360"/>
      <c r="HAW26" s="1360"/>
      <c r="HAX26" s="1360"/>
      <c r="HAY26" s="1360"/>
      <c r="HAZ26" s="1360"/>
      <c r="HBA26" s="1360"/>
      <c r="HBB26" s="1360"/>
      <c r="HBC26" s="1360"/>
      <c r="HBD26" s="1360"/>
      <c r="HBE26" s="1360"/>
      <c r="HBF26" s="1360"/>
      <c r="HBG26" s="1360"/>
      <c r="HBH26" s="1360"/>
      <c r="HBI26" s="1360"/>
      <c r="HBJ26" s="1360"/>
      <c r="HBK26" s="1360"/>
      <c r="HBL26" s="1360"/>
      <c r="HBM26" s="1360"/>
      <c r="HBN26" s="1360"/>
      <c r="HBO26" s="1360"/>
      <c r="HBP26" s="1360"/>
      <c r="HBQ26" s="1360"/>
      <c r="HBR26" s="1360"/>
      <c r="HBS26" s="1360"/>
      <c r="HBT26" s="1360"/>
      <c r="HBU26" s="1360"/>
      <c r="HBV26" s="1360"/>
      <c r="HBW26" s="1360"/>
      <c r="HBX26" s="1360"/>
      <c r="HBY26" s="1360"/>
      <c r="HBZ26" s="1360"/>
      <c r="HCA26" s="1360"/>
      <c r="HCB26" s="1360"/>
      <c r="HCC26" s="1360"/>
      <c r="HCD26" s="1360"/>
      <c r="HCE26" s="1360"/>
      <c r="HCF26" s="1360"/>
      <c r="HCG26" s="1360"/>
      <c r="HCH26" s="1360"/>
      <c r="HCI26" s="1360"/>
      <c r="HCJ26" s="1360"/>
      <c r="HCK26" s="1360"/>
      <c r="HCL26" s="1360"/>
      <c r="HCM26" s="1360"/>
      <c r="HCN26" s="1360"/>
      <c r="HCO26" s="1360"/>
      <c r="HCP26" s="1360"/>
      <c r="HCQ26" s="1360"/>
      <c r="HCR26" s="1360"/>
      <c r="HCS26" s="1360"/>
      <c r="HCT26" s="1360"/>
      <c r="HCU26" s="1360"/>
      <c r="HCV26" s="1360"/>
      <c r="HCW26" s="1360"/>
      <c r="HCX26" s="1360"/>
      <c r="HCY26" s="1360"/>
      <c r="HCZ26" s="1360"/>
      <c r="HDA26" s="1360"/>
      <c r="HDB26" s="1360"/>
      <c r="HDC26" s="1360"/>
      <c r="HDD26" s="1360"/>
      <c r="HDE26" s="1360"/>
      <c r="HDF26" s="1360"/>
      <c r="HDG26" s="1360"/>
      <c r="HDH26" s="1360"/>
      <c r="HDI26" s="1360"/>
      <c r="HDJ26" s="1360"/>
      <c r="HDK26" s="1360"/>
      <c r="HDL26" s="1360"/>
      <c r="HDM26" s="1360"/>
      <c r="HDN26" s="1360"/>
      <c r="HDO26" s="1360"/>
      <c r="HDP26" s="1360"/>
      <c r="HDQ26" s="1360"/>
      <c r="HDR26" s="1360"/>
      <c r="HDS26" s="1360"/>
      <c r="HDT26" s="1360"/>
      <c r="HDU26" s="1360"/>
      <c r="HDV26" s="1360"/>
      <c r="HDW26" s="1360"/>
      <c r="HDX26" s="1360"/>
      <c r="HDY26" s="1360"/>
      <c r="HDZ26" s="1360"/>
      <c r="HEA26" s="1360"/>
      <c r="HEB26" s="1360"/>
      <c r="HEC26" s="1360"/>
      <c r="HED26" s="1360"/>
      <c r="HEE26" s="1360"/>
      <c r="HEF26" s="1360"/>
      <c r="HEG26" s="1360"/>
      <c r="HEH26" s="1360"/>
      <c r="HEI26" s="1360"/>
      <c r="HEJ26" s="1360"/>
      <c r="HEK26" s="1360"/>
      <c r="HEL26" s="1360"/>
      <c r="HEM26" s="1360"/>
      <c r="HEN26" s="1360"/>
      <c r="HEO26" s="1360"/>
      <c r="HEP26" s="1360"/>
      <c r="HEQ26" s="1360"/>
      <c r="HER26" s="1360"/>
      <c r="HES26" s="1360"/>
      <c r="HET26" s="1360"/>
      <c r="HEU26" s="1360"/>
      <c r="HEV26" s="1360"/>
      <c r="HEW26" s="1360"/>
      <c r="HEX26" s="1360"/>
      <c r="HEY26" s="1360"/>
      <c r="HEZ26" s="1360"/>
      <c r="HFA26" s="1360"/>
      <c r="HFB26" s="1360"/>
      <c r="HFC26" s="1360"/>
      <c r="HFD26" s="1360"/>
      <c r="HFE26" s="1360"/>
      <c r="HFF26" s="1360"/>
      <c r="HFG26" s="1360"/>
      <c r="HFH26" s="1360"/>
      <c r="HFI26" s="1360"/>
      <c r="HFJ26" s="1360"/>
      <c r="HFK26" s="1360"/>
      <c r="HFL26" s="1360"/>
      <c r="HFM26" s="1360"/>
      <c r="HFN26" s="1360"/>
      <c r="HFO26" s="1360"/>
      <c r="HFP26" s="1360"/>
      <c r="HFQ26" s="1360"/>
      <c r="HFR26" s="1360"/>
      <c r="HFS26" s="1360"/>
      <c r="HFT26" s="1360"/>
      <c r="HFU26" s="1360"/>
      <c r="HFV26" s="1360"/>
      <c r="HFW26" s="1360"/>
      <c r="HFX26" s="1360"/>
      <c r="HFY26" s="1360"/>
      <c r="HFZ26" s="1360"/>
      <c r="HGA26" s="1360"/>
      <c r="HGB26" s="1360"/>
      <c r="HGC26" s="1360"/>
      <c r="HGD26" s="1360"/>
      <c r="HGE26" s="1360"/>
      <c r="HGF26" s="1360"/>
      <c r="HGG26" s="1360"/>
      <c r="HGH26" s="1360"/>
      <c r="HGI26" s="1360"/>
      <c r="HGJ26" s="1360"/>
      <c r="HGK26" s="1360"/>
      <c r="HGL26" s="1360"/>
      <c r="HGM26" s="1360"/>
      <c r="HGN26" s="1360"/>
      <c r="HGO26" s="1360"/>
      <c r="HGP26" s="1360"/>
      <c r="HGQ26" s="1360"/>
      <c r="HGR26" s="1360"/>
      <c r="HGS26" s="1360"/>
      <c r="HGT26" s="1360"/>
      <c r="HGU26" s="1360"/>
      <c r="HGV26" s="1360"/>
      <c r="HGW26" s="1360"/>
      <c r="HGX26" s="1360"/>
      <c r="HGY26" s="1360"/>
      <c r="HGZ26" s="1360"/>
      <c r="HHA26" s="1360"/>
      <c r="HHB26" s="1360"/>
      <c r="HHC26" s="1360"/>
      <c r="HHD26" s="1360"/>
      <c r="HHE26" s="1360"/>
      <c r="HHF26" s="1360"/>
      <c r="HHG26" s="1360"/>
      <c r="HHH26" s="1360"/>
      <c r="HHI26" s="1360"/>
      <c r="HHJ26" s="1360"/>
      <c r="HHK26" s="1360"/>
      <c r="HHL26" s="1360"/>
      <c r="HHM26" s="1360"/>
      <c r="HHN26" s="1360"/>
      <c r="HHO26" s="1360"/>
      <c r="HHP26" s="1360"/>
      <c r="HHQ26" s="1360"/>
      <c r="HHR26" s="1360"/>
      <c r="HHS26" s="1360"/>
      <c r="HHT26" s="1360"/>
      <c r="HHU26" s="1360"/>
      <c r="HHV26" s="1360"/>
      <c r="HHW26" s="1360"/>
      <c r="HHX26" s="1360"/>
      <c r="HHY26" s="1360"/>
      <c r="HHZ26" s="1360"/>
      <c r="HIA26" s="1360"/>
      <c r="HIB26" s="1360"/>
      <c r="HIC26" s="1360"/>
      <c r="HID26" s="1360"/>
      <c r="HIE26" s="1360"/>
      <c r="HIF26" s="1360"/>
      <c r="HIG26" s="1360"/>
      <c r="HIH26" s="1360"/>
      <c r="HII26" s="1360"/>
      <c r="HIJ26" s="1360"/>
      <c r="HIK26" s="1360"/>
      <c r="HIL26" s="1360"/>
      <c r="HIM26" s="1360"/>
      <c r="HIN26" s="1360"/>
      <c r="HIO26" s="1360"/>
      <c r="HIP26" s="1360"/>
      <c r="HIQ26" s="1360"/>
      <c r="HIR26" s="1360"/>
      <c r="HIS26" s="1360"/>
      <c r="HIT26" s="1360"/>
      <c r="HIU26" s="1360"/>
      <c r="HIV26" s="1360"/>
      <c r="HIW26" s="1360"/>
      <c r="HIX26" s="1360"/>
      <c r="HIY26" s="1360"/>
      <c r="HIZ26" s="1360"/>
      <c r="HJA26" s="1360"/>
      <c r="HJB26" s="1360"/>
      <c r="HJC26" s="1360"/>
      <c r="HJD26" s="1360"/>
      <c r="HJE26" s="1360"/>
      <c r="HJF26" s="1360"/>
      <c r="HJG26" s="1360"/>
      <c r="HJH26" s="1360"/>
      <c r="HJI26" s="1360"/>
      <c r="HJJ26" s="1360"/>
      <c r="HJK26" s="1360"/>
      <c r="HJL26" s="1360"/>
      <c r="HJM26" s="1360"/>
      <c r="HJN26" s="1360"/>
      <c r="HJO26" s="1360"/>
      <c r="HJP26" s="1360"/>
      <c r="HJQ26" s="1360"/>
      <c r="HJR26" s="1360"/>
      <c r="HJS26" s="1360"/>
      <c r="HJT26" s="1360"/>
      <c r="HJU26" s="1360"/>
      <c r="HJV26" s="1360"/>
      <c r="HJW26" s="1360"/>
      <c r="HJX26" s="1360"/>
      <c r="HJY26" s="1360"/>
      <c r="HJZ26" s="1360"/>
      <c r="HKA26" s="1360"/>
      <c r="HKB26" s="1360"/>
      <c r="HKC26" s="1360"/>
      <c r="HKD26" s="1360"/>
      <c r="HKE26" s="1360"/>
      <c r="HKF26" s="1360"/>
      <c r="HKG26" s="1360"/>
      <c r="HKH26" s="1360"/>
      <c r="HKI26" s="1360"/>
      <c r="HKJ26" s="1360"/>
      <c r="HKK26" s="1360"/>
      <c r="HKL26" s="1360"/>
      <c r="HKM26" s="1360"/>
      <c r="HKN26" s="1360"/>
      <c r="HKO26" s="1360"/>
      <c r="HKP26" s="1360"/>
      <c r="HKQ26" s="1360"/>
      <c r="HKR26" s="1360"/>
      <c r="HKS26" s="1360"/>
      <c r="HKT26" s="1360"/>
      <c r="HKU26" s="1360"/>
      <c r="HKV26" s="1360"/>
      <c r="HKW26" s="1360"/>
      <c r="HKX26" s="1360"/>
      <c r="HKY26" s="1360"/>
      <c r="HKZ26" s="1360"/>
      <c r="HLA26" s="1360"/>
      <c r="HLB26" s="1360"/>
      <c r="HLC26" s="1360"/>
      <c r="HLD26" s="1360"/>
      <c r="HLE26" s="1360"/>
      <c r="HLF26" s="1360"/>
      <c r="HLG26" s="1360"/>
      <c r="HLH26" s="1360"/>
      <c r="HLI26" s="1360"/>
      <c r="HLJ26" s="1360"/>
      <c r="HLK26" s="1360"/>
      <c r="HLL26" s="1360"/>
      <c r="HLM26" s="1360"/>
      <c r="HLN26" s="1360"/>
      <c r="HLO26" s="1360"/>
      <c r="HLP26" s="1360"/>
      <c r="HLQ26" s="1360"/>
      <c r="HLR26" s="1360"/>
      <c r="HLS26" s="1360"/>
      <c r="HLT26" s="1360"/>
      <c r="HLU26" s="1360"/>
      <c r="HLV26" s="1360"/>
      <c r="HLW26" s="1360"/>
      <c r="HLX26" s="1360"/>
      <c r="HLY26" s="1360"/>
      <c r="HLZ26" s="1360"/>
      <c r="HMA26" s="1360"/>
      <c r="HMB26" s="1360"/>
      <c r="HMC26" s="1360"/>
      <c r="HMD26" s="1360"/>
      <c r="HME26" s="1360"/>
      <c r="HMF26" s="1360"/>
      <c r="HMG26" s="1360"/>
      <c r="HMH26" s="1360"/>
      <c r="HMI26" s="1360"/>
      <c r="HMJ26" s="1360"/>
      <c r="HMK26" s="1360"/>
      <c r="HML26" s="1360"/>
      <c r="HMM26" s="1360"/>
      <c r="HMN26" s="1360"/>
      <c r="HMO26" s="1360"/>
      <c r="HMP26" s="1360"/>
      <c r="HMQ26" s="1360"/>
      <c r="HMR26" s="1360"/>
      <c r="HMS26" s="1360"/>
      <c r="HMT26" s="1360"/>
      <c r="HMU26" s="1360"/>
      <c r="HMV26" s="1360"/>
      <c r="HMW26" s="1360"/>
      <c r="HMX26" s="1360"/>
      <c r="HMY26" s="1360"/>
      <c r="HMZ26" s="1360"/>
      <c r="HNA26" s="1360"/>
      <c r="HNB26" s="1360"/>
      <c r="HNC26" s="1360"/>
      <c r="HND26" s="1360"/>
      <c r="HNE26" s="1360"/>
      <c r="HNF26" s="1360"/>
      <c r="HNG26" s="1360"/>
      <c r="HNH26" s="1360"/>
      <c r="HNI26" s="1360"/>
      <c r="HNJ26" s="1360"/>
      <c r="HNK26" s="1360"/>
      <c r="HNL26" s="1360"/>
      <c r="HNM26" s="1360"/>
      <c r="HNN26" s="1360"/>
      <c r="HNO26" s="1360"/>
      <c r="HNP26" s="1360"/>
      <c r="HNQ26" s="1360"/>
      <c r="HNR26" s="1360"/>
      <c r="HNS26" s="1360"/>
      <c r="HNT26" s="1360"/>
      <c r="HNU26" s="1360"/>
      <c r="HNV26" s="1360"/>
      <c r="HNW26" s="1360"/>
      <c r="HNX26" s="1360"/>
      <c r="HNY26" s="1360"/>
      <c r="HNZ26" s="1360"/>
      <c r="HOA26" s="1360"/>
      <c r="HOB26" s="1360"/>
      <c r="HOC26" s="1360"/>
      <c r="HOD26" s="1360"/>
      <c r="HOE26" s="1360"/>
      <c r="HOF26" s="1360"/>
      <c r="HOG26" s="1360"/>
      <c r="HOH26" s="1360"/>
      <c r="HOI26" s="1360"/>
      <c r="HOJ26" s="1360"/>
      <c r="HOK26" s="1360"/>
      <c r="HOL26" s="1360"/>
      <c r="HOM26" s="1360"/>
      <c r="HON26" s="1360"/>
      <c r="HOO26" s="1360"/>
      <c r="HOP26" s="1360"/>
      <c r="HOQ26" s="1360"/>
      <c r="HOR26" s="1360"/>
      <c r="HOS26" s="1360"/>
      <c r="HOT26" s="1360"/>
      <c r="HOU26" s="1360"/>
      <c r="HOV26" s="1360"/>
      <c r="HOW26" s="1360"/>
      <c r="HOX26" s="1360"/>
      <c r="HOY26" s="1360"/>
      <c r="HOZ26" s="1360"/>
      <c r="HPA26" s="1360"/>
      <c r="HPB26" s="1360"/>
      <c r="HPC26" s="1360"/>
      <c r="HPD26" s="1360"/>
      <c r="HPE26" s="1360"/>
      <c r="HPF26" s="1360"/>
      <c r="HPG26" s="1360"/>
      <c r="HPH26" s="1360"/>
      <c r="HPI26" s="1360"/>
      <c r="HPJ26" s="1360"/>
      <c r="HPK26" s="1360"/>
      <c r="HPL26" s="1360"/>
      <c r="HPM26" s="1360"/>
      <c r="HPN26" s="1360"/>
      <c r="HPO26" s="1360"/>
      <c r="HPP26" s="1360"/>
      <c r="HPQ26" s="1360"/>
      <c r="HPR26" s="1360"/>
      <c r="HPS26" s="1360"/>
      <c r="HPT26" s="1360"/>
      <c r="HPU26" s="1360"/>
      <c r="HPV26" s="1360"/>
      <c r="HPW26" s="1360"/>
      <c r="HPX26" s="1360"/>
      <c r="HPY26" s="1360"/>
      <c r="HPZ26" s="1360"/>
      <c r="HQA26" s="1360"/>
      <c r="HQB26" s="1360"/>
      <c r="HQC26" s="1360"/>
      <c r="HQD26" s="1360"/>
      <c r="HQE26" s="1360"/>
      <c r="HQF26" s="1360"/>
      <c r="HQG26" s="1360"/>
      <c r="HQH26" s="1360"/>
      <c r="HQI26" s="1360"/>
      <c r="HQJ26" s="1360"/>
      <c r="HQK26" s="1360"/>
      <c r="HQL26" s="1360"/>
      <c r="HQM26" s="1360"/>
      <c r="HQN26" s="1360"/>
      <c r="HQO26" s="1360"/>
      <c r="HQP26" s="1360"/>
      <c r="HQQ26" s="1360"/>
      <c r="HQR26" s="1360"/>
      <c r="HQS26" s="1360"/>
      <c r="HQT26" s="1360"/>
      <c r="HQU26" s="1360"/>
      <c r="HQV26" s="1360"/>
      <c r="HQW26" s="1360"/>
      <c r="HQX26" s="1360"/>
      <c r="HQY26" s="1360"/>
      <c r="HQZ26" s="1360"/>
      <c r="HRA26" s="1360"/>
      <c r="HRB26" s="1360"/>
      <c r="HRC26" s="1360"/>
      <c r="HRD26" s="1360"/>
      <c r="HRE26" s="1360"/>
      <c r="HRF26" s="1360"/>
      <c r="HRG26" s="1360"/>
      <c r="HRH26" s="1360"/>
      <c r="HRI26" s="1360"/>
      <c r="HRJ26" s="1360"/>
      <c r="HRK26" s="1360"/>
      <c r="HRL26" s="1360"/>
      <c r="HRM26" s="1360"/>
      <c r="HRN26" s="1360"/>
      <c r="HRO26" s="1360"/>
      <c r="HRP26" s="1360"/>
      <c r="HRQ26" s="1360"/>
      <c r="HRR26" s="1360"/>
      <c r="HRS26" s="1360"/>
      <c r="HRT26" s="1360"/>
      <c r="HRU26" s="1360"/>
      <c r="HRV26" s="1360"/>
      <c r="HRW26" s="1360"/>
      <c r="HRX26" s="1360"/>
      <c r="HRY26" s="1360"/>
      <c r="HRZ26" s="1360"/>
      <c r="HSA26" s="1360"/>
      <c r="HSB26" s="1360"/>
      <c r="HSC26" s="1360"/>
      <c r="HSD26" s="1360"/>
      <c r="HSE26" s="1360"/>
      <c r="HSF26" s="1360"/>
      <c r="HSG26" s="1360"/>
      <c r="HSH26" s="1360"/>
      <c r="HSI26" s="1360"/>
      <c r="HSJ26" s="1360"/>
      <c r="HSK26" s="1360"/>
      <c r="HSL26" s="1360"/>
      <c r="HSM26" s="1360"/>
      <c r="HSN26" s="1360"/>
      <c r="HSO26" s="1360"/>
      <c r="HSP26" s="1360"/>
      <c r="HSQ26" s="1360"/>
      <c r="HSR26" s="1360"/>
      <c r="HSS26" s="1360"/>
      <c r="HST26" s="1360"/>
      <c r="HSU26" s="1360"/>
      <c r="HSV26" s="1360"/>
      <c r="HSW26" s="1360"/>
      <c r="HSX26" s="1360"/>
      <c r="HSY26" s="1360"/>
      <c r="HSZ26" s="1360"/>
      <c r="HTA26" s="1360"/>
      <c r="HTB26" s="1360"/>
      <c r="HTC26" s="1360"/>
      <c r="HTD26" s="1360"/>
      <c r="HTE26" s="1360"/>
      <c r="HTF26" s="1360"/>
      <c r="HTG26" s="1360"/>
      <c r="HTH26" s="1360"/>
      <c r="HTI26" s="1360"/>
      <c r="HTJ26" s="1360"/>
      <c r="HTK26" s="1360"/>
      <c r="HTL26" s="1360"/>
      <c r="HTM26" s="1360"/>
      <c r="HTN26" s="1360"/>
      <c r="HTO26" s="1360"/>
      <c r="HTP26" s="1360"/>
      <c r="HTQ26" s="1360"/>
      <c r="HTR26" s="1360"/>
      <c r="HTS26" s="1360"/>
      <c r="HTT26" s="1360"/>
      <c r="HTU26" s="1360"/>
      <c r="HTV26" s="1360"/>
      <c r="HTW26" s="1360"/>
      <c r="HTX26" s="1360"/>
      <c r="HTY26" s="1360"/>
      <c r="HTZ26" s="1360"/>
      <c r="HUA26" s="1360"/>
      <c r="HUB26" s="1360"/>
      <c r="HUC26" s="1360"/>
      <c r="HUD26" s="1360"/>
      <c r="HUE26" s="1360"/>
      <c r="HUF26" s="1360"/>
      <c r="HUG26" s="1360"/>
      <c r="HUH26" s="1360"/>
      <c r="HUI26" s="1360"/>
      <c r="HUJ26" s="1360"/>
      <c r="HUK26" s="1360"/>
      <c r="HUL26" s="1360"/>
      <c r="HUM26" s="1360"/>
      <c r="HUN26" s="1360"/>
      <c r="HUO26" s="1360"/>
      <c r="HUP26" s="1360"/>
      <c r="HUQ26" s="1360"/>
      <c r="HUR26" s="1360"/>
      <c r="HUS26" s="1360"/>
      <c r="HUT26" s="1360"/>
      <c r="HUU26" s="1360"/>
      <c r="HUV26" s="1360"/>
      <c r="HUW26" s="1360"/>
      <c r="HUX26" s="1360"/>
      <c r="HUY26" s="1360"/>
      <c r="HUZ26" s="1360"/>
      <c r="HVA26" s="1360"/>
      <c r="HVB26" s="1360"/>
      <c r="HVC26" s="1360"/>
      <c r="HVD26" s="1360"/>
      <c r="HVE26" s="1360"/>
      <c r="HVF26" s="1360"/>
      <c r="HVG26" s="1360"/>
      <c r="HVH26" s="1360"/>
      <c r="HVI26" s="1360"/>
      <c r="HVJ26" s="1360"/>
      <c r="HVK26" s="1360"/>
      <c r="HVL26" s="1360"/>
      <c r="HVM26" s="1360"/>
      <c r="HVN26" s="1360"/>
      <c r="HVO26" s="1360"/>
      <c r="HVP26" s="1360"/>
      <c r="HVQ26" s="1360"/>
      <c r="HVR26" s="1360"/>
      <c r="HVS26" s="1360"/>
      <c r="HVT26" s="1360"/>
      <c r="HVU26" s="1360"/>
      <c r="HVV26" s="1360"/>
      <c r="HVW26" s="1360"/>
      <c r="HVX26" s="1360"/>
      <c r="HVY26" s="1360"/>
      <c r="HVZ26" s="1360"/>
      <c r="HWA26" s="1360"/>
      <c r="HWB26" s="1360"/>
      <c r="HWC26" s="1360"/>
      <c r="HWD26" s="1360"/>
      <c r="HWE26" s="1360"/>
      <c r="HWF26" s="1360"/>
      <c r="HWG26" s="1360"/>
      <c r="HWH26" s="1360"/>
      <c r="HWI26" s="1360"/>
      <c r="HWJ26" s="1360"/>
      <c r="HWK26" s="1360"/>
      <c r="HWL26" s="1360"/>
      <c r="HWM26" s="1360"/>
      <c r="HWN26" s="1360"/>
      <c r="HWO26" s="1360"/>
      <c r="HWP26" s="1360"/>
      <c r="HWQ26" s="1360"/>
      <c r="HWR26" s="1360"/>
      <c r="HWS26" s="1360"/>
      <c r="HWT26" s="1360"/>
      <c r="HWU26" s="1360"/>
      <c r="HWV26" s="1360"/>
      <c r="HWW26" s="1360"/>
      <c r="HWX26" s="1360"/>
      <c r="HWY26" s="1360"/>
      <c r="HWZ26" s="1360"/>
      <c r="HXA26" s="1360"/>
      <c r="HXB26" s="1360"/>
      <c r="HXC26" s="1360"/>
      <c r="HXD26" s="1360"/>
      <c r="HXE26" s="1360"/>
      <c r="HXF26" s="1360"/>
      <c r="HXG26" s="1360"/>
      <c r="HXH26" s="1360"/>
      <c r="HXI26" s="1360"/>
      <c r="HXJ26" s="1360"/>
      <c r="HXK26" s="1360"/>
      <c r="HXL26" s="1360"/>
      <c r="HXM26" s="1360"/>
      <c r="HXN26" s="1360"/>
      <c r="HXO26" s="1360"/>
      <c r="HXP26" s="1360"/>
      <c r="HXQ26" s="1360"/>
      <c r="HXR26" s="1360"/>
      <c r="HXS26" s="1360"/>
      <c r="HXT26" s="1360"/>
      <c r="HXU26" s="1360"/>
      <c r="HXV26" s="1360"/>
      <c r="HXW26" s="1360"/>
      <c r="HXX26" s="1360"/>
      <c r="HXY26" s="1360"/>
      <c r="HXZ26" s="1360"/>
      <c r="HYA26" s="1360"/>
      <c r="HYB26" s="1360"/>
      <c r="HYC26" s="1360"/>
      <c r="HYD26" s="1360"/>
      <c r="HYE26" s="1360"/>
      <c r="HYF26" s="1360"/>
      <c r="HYG26" s="1360"/>
      <c r="HYH26" s="1360"/>
      <c r="HYI26" s="1360"/>
      <c r="HYJ26" s="1360"/>
      <c r="HYK26" s="1360"/>
      <c r="HYL26" s="1360"/>
      <c r="HYM26" s="1360"/>
      <c r="HYN26" s="1360"/>
      <c r="HYO26" s="1360"/>
      <c r="HYP26" s="1360"/>
      <c r="HYQ26" s="1360"/>
      <c r="HYR26" s="1360"/>
      <c r="HYS26" s="1360"/>
      <c r="HYT26" s="1360"/>
      <c r="HYU26" s="1360"/>
      <c r="HYV26" s="1360"/>
      <c r="HYW26" s="1360"/>
      <c r="HYX26" s="1360"/>
      <c r="HYY26" s="1360"/>
      <c r="HYZ26" s="1360"/>
      <c r="HZA26" s="1360"/>
      <c r="HZB26" s="1360"/>
      <c r="HZC26" s="1360"/>
      <c r="HZD26" s="1360"/>
      <c r="HZE26" s="1360"/>
      <c r="HZF26" s="1360"/>
      <c r="HZG26" s="1360"/>
      <c r="HZH26" s="1360"/>
      <c r="HZI26" s="1360"/>
      <c r="HZJ26" s="1360"/>
      <c r="HZK26" s="1360"/>
      <c r="HZL26" s="1360"/>
      <c r="HZM26" s="1360"/>
      <c r="HZN26" s="1360"/>
      <c r="HZO26" s="1360"/>
      <c r="HZP26" s="1360"/>
      <c r="HZQ26" s="1360"/>
      <c r="HZR26" s="1360"/>
      <c r="HZS26" s="1360"/>
      <c r="HZT26" s="1360"/>
      <c r="HZU26" s="1360"/>
      <c r="HZV26" s="1360"/>
      <c r="HZW26" s="1360"/>
      <c r="HZX26" s="1360"/>
      <c r="HZY26" s="1360"/>
      <c r="HZZ26" s="1360"/>
      <c r="IAA26" s="1360"/>
      <c r="IAB26" s="1360"/>
      <c r="IAC26" s="1360"/>
      <c r="IAD26" s="1360"/>
      <c r="IAE26" s="1360"/>
      <c r="IAF26" s="1360"/>
      <c r="IAG26" s="1360"/>
      <c r="IAH26" s="1360"/>
      <c r="IAI26" s="1360"/>
      <c r="IAJ26" s="1360"/>
      <c r="IAK26" s="1360"/>
      <c r="IAL26" s="1360"/>
      <c r="IAM26" s="1360"/>
      <c r="IAN26" s="1360"/>
      <c r="IAO26" s="1360"/>
      <c r="IAP26" s="1360"/>
      <c r="IAQ26" s="1360"/>
      <c r="IAR26" s="1360"/>
      <c r="IAS26" s="1360"/>
      <c r="IAT26" s="1360"/>
      <c r="IAU26" s="1360"/>
      <c r="IAV26" s="1360"/>
      <c r="IAW26" s="1360"/>
      <c r="IAX26" s="1360"/>
      <c r="IAY26" s="1360"/>
      <c r="IAZ26" s="1360"/>
      <c r="IBA26" s="1360"/>
      <c r="IBB26" s="1360"/>
      <c r="IBC26" s="1360"/>
      <c r="IBD26" s="1360"/>
      <c r="IBE26" s="1360"/>
      <c r="IBF26" s="1360"/>
      <c r="IBG26" s="1360"/>
      <c r="IBH26" s="1360"/>
      <c r="IBI26" s="1360"/>
      <c r="IBJ26" s="1360"/>
      <c r="IBK26" s="1360"/>
      <c r="IBL26" s="1360"/>
      <c r="IBM26" s="1360"/>
      <c r="IBN26" s="1360"/>
      <c r="IBO26" s="1360"/>
      <c r="IBP26" s="1360"/>
      <c r="IBQ26" s="1360"/>
      <c r="IBR26" s="1360"/>
      <c r="IBS26" s="1360"/>
      <c r="IBT26" s="1360"/>
      <c r="IBU26" s="1360"/>
      <c r="IBV26" s="1360"/>
      <c r="IBW26" s="1360"/>
      <c r="IBX26" s="1360"/>
      <c r="IBY26" s="1360"/>
      <c r="IBZ26" s="1360"/>
      <c r="ICA26" s="1360"/>
      <c r="ICB26" s="1360"/>
      <c r="ICC26" s="1360"/>
      <c r="ICD26" s="1360"/>
      <c r="ICE26" s="1360"/>
      <c r="ICF26" s="1360"/>
      <c r="ICG26" s="1360"/>
      <c r="ICH26" s="1360"/>
      <c r="ICI26" s="1360"/>
      <c r="ICJ26" s="1360"/>
      <c r="ICK26" s="1360"/>
      <c r="ICL26" s="1360"/>
      <c r="ICM26" s="1360"/>
      <c r="ICN26" s="1360"/>
      <c r="ICO26" s="1360"/>
      <c r="ICP26" s="1360"/>
      <c r="ICQ26" s="1360"/>
      <c r="ICR26" s="1360"/>
      <c r="ICS26" s="1360"/>
      <c r="ICT26" s="1360"/>
      <c r="ICU26" s="1360"/>
      <c r="ICV26" s="1360"/>
      <c r="ICW26" s="1360"/>
      <c r="ICX26" s="1360"/>
      <c r="ICY26" s="1360"/>
      <c r="ICZ26" s="1360"/>
      <c r="IDA26" s="1360"/>
      <c r="IDB26" s="1360"/>
      <c r="IDC26" s="1360"/>
      <c r="IDD26" s="1360"/>
      <c r="IDE26" s="1360"/>
      <c r="IDF26" s="1360"/>
      <c r="IDG26" s="1360"/>
      <c r="IDH26" s="1360"/>
      <c r="IDI26" s="1360"/>
      <c r="IDJ26" s="1360"/>
      <c r="IDK26" s="1360"/>
      <c r="IDL26" s="1360"/>
      <c r="IDM26" s="1360"/>
      <c r="IDN26" s="1360"/>
      <c r="IDO26" s="1360"/>
      <c r="IDP26" s="1360"/>
      <c r="IDQ26" s="1360"/>
      <c r="IDR26" s="1360"/>
      <c r="IDS26" s="1360"/>
      <c r="IDT26" s="1360"/>
      <c r="IDU26" s="1360"/>
      <c r="IDV26" s="1360"/>
      <c r="IDW26" s="1360"/>
      <c r="IDX26" s="1360"/>
      <c r="IDY26" s="1360"/>
      <c r="IDZ26" s="1360"/>
      <c r="IEA26" s="1360"/>
      <c r="IEB26" s="1360"/>
      <c r="IEC26" s="1360"/>
      <c r="IED26" s="1360"/>
      <c r="IEE26" s="1360"/>
      <c r="IEF26" s="1360"/>
      <c r="IEG26" s="1360"/>
      <c r="IEH26" s="1360"/>
      <c r="IEI26" s="1360"/>
      <c r="IEJ26" s="1360"/>
      <c r="IEK26" s="1360"/>
      <c r="IEL26" s="1360"/>
      <c r="IEM26" s="1360"/>
      <c r="IEN26" s="1360"/>
      <c r="IEO26" s="1360"/>
      <c r="IEP26" s="1360"/>
      <c r="IEQ26" s="1360"/>
      <c r="IER26" s="1360"/>
      <c r="IES26" s="1360"/>
      <c r="IET26" s="1360"/>
      <c r="IEU26" s="1360"/>
      <c r="IEV26" s="1360"/>
      <c r="IEW26" s="1360"/>
      <c r="IEX26" s="1360"/>
      <c r="IEY26" s="1360"/>
      <c r="IEZ26" s="1360"/>
      <c r="IFA26" s="1360"/>
      <c r="IFB26" s="1360"/>
      <c r="IFC26" s="1360"/>
      <c r="IFD26" s="1360"/>
      <c r="IFE26" s="1360"/>
      <c r="IFF26" s="1360"/>
      <c r="IFG26" s="1360"/>
      <c r="IFH26" s="1360"/>
      <c r="IFI26" s="1360"/>
      <c r="IFJ26" s="1360"/>
      <c r="IFK26" s="1360"/>
      <c r="IFL26" s="1360"/>
      <c r="IFM26" s="1360"/>
      <c r="IFN26" s="1360"/>
      <c r="IFO26" s="1360"/>
      <c r="IFP26" s="1360"/>
      <c r="IFQ26" s="1360"/>
      <c r="IFR26" s="1360"/>
      <c r="IFS26" s="1360"/>
      <c r="IFT26" s="1360"/>
      <c r="IFU26" s="1360"/>
      <c r="IFV26" s="1360"/>
      <c r="IFW26" s="1360"/>
      <c r="IFX26" s="1360"/>
      <c r="IFY26" s="1360"/>
      <c r="IFZ26" s="1360"/>
      <c r="IGA26" s="1360"/>
      <c r="IGB26" s="1360"/>
      <c r="IGC26" s="1360"/>
      <c r="IGD26" s="1360"/>
      <c r="IGE26" s="1360"/>
      <c r="IGF26" s="1360"/>
      <c r="IGG26" s="1360"/>
      <c r="IGH26" s="1360"/>
      <c r="IGI26" s="1360"/>
      <c r="IGJ26" s="1360"/>
      <c r="IGK26" s="1360"/>
      <c r="IGL26" s="1360"/>
      <c r="IGM26" s="1360"/>
      <c r="IGN26" s="1360"/>
      <c r="IGO26" s="1360"/>
      <c r="IGP26" s="1360"/>
      <c r="IGQ26" s="1360"/>
      <c r="IGR26" s="1360"/>
      <c r="IGS26" s="1360"/>
      <c r="IGT26" s="1360"/>
      <c r="IGU26" s="1360"/>
      <c r="IGV26" s="1360"/>
      <c r="IGW26" s="1360"/>
      <c r="IGX26" s="1360"/>
      <c r="IGY26" s="1360"/>
      <c r="IGZ26" s="1360"/>
      <c r="IHA26" s="1360"/>
      <c r="IHB26" s="1360"/>
      <c r="IHC26" s="1360"/>
      <c r="IHD26" s="1360"/>
      <c r="IHE26" s="1360"/>
      <c r="IHF26" s="1360"/>
      <c r="IHG26" s="1360"/>
      <c r="IHH26" s="1360"/>
      <c r="IHI26" s="1360"/>
      <c r="IHJ26" s="1360"/>
      <c r="IHK26" s="1360"/>
      <c r="IHL26" s="1360"/>
      <c r="IHM26" s="1360"/>
      <c r="IHN26" s="1360"/>
      <c r="IHO26" s="1360"/>
      <c r="IHP26" s="1360"/>
      <c r="IHQ26" s="1360"/>
      <c r="IHR26" s="1360"/>
      <c r="IHS26" s="1360"/>
      <c r="IHT26" s="1360"/>
      <c r="IHU26" s="1360"/>
      <c r="IHV26" s="1360"/>
      <c r="IHW26" s="1360"/>
      <c r="IHX26" s="1360"/>
      <c r="IHY26" s="1360"/>
      <c r="IHZ26" s="1360"/>
      <c r="IIA26" s="1360"/>
      <c r="IIB26" s="1360"/>
      <c r="IIC26" s="1360"/>
      <c r="IID26" s="1360"/>
      <c r="IIE26" s="1360"/>
      <c r="IIF26" s="1360"/>
      <c r="IIG26" s="1360"/>
      <c r="IIH26" s="1360"/>
      <c r="III26" s="1360"/>
      <c r="IIJ26" s="1360"/>
      <c r="IIK26" s="1360"/>
      <c r="IIL26" s="1360"/>
      <c r="IIM26" s="1360"/>
      <c r="IIN26" s="1360"/>
      <c r="IIO26" s="1360"/>
      <c r="IIP26" s="1360"/>
      <c r="IIQ26" s="1360"/>
      <c r="IIR26" s="1360"/>
      <c r="IIS26" s="1360"/>
      <c r="IIT26" s="1360"/>
      <c r="IIU26" s="1360"/>
      <c r="IIV26" s="1360"/>
      <c r="IIW26" s="1360"/>
      <c r="IIX26" s="1360"/>
      <c r="IIY26" s="1360"/>
      <c r="IIZ26" s="1360"/>
      <c r="IJA26" s="1360"/>
      <c r="IJB26" s="1360"/>
      <c r="IJC26" s="1360"/>
      <c r="IJD26" s="1360"/>
      <c r="IJE26" s="1360"/>
      <c r="IJF26" s="1360"/>
      <c r="IJG26" s="1360"/>
      <c r="IJH26" s="1360"/>
      <c r="IJI26" s="1360"/>
      <c r="IJJ26" s="1360"/>
      <c r="IJK26" s="1360"/>
      <c r="IJL26" s="1360"/>
      <c r="IJM26" s="1360"/>
      <c r="IJN26" s="1360"/>
      <c r="IJO26" s="1360"/>
      <c r="IJP26" s="1360"/>
      <c r="IJQ26" s="1360"/>
      <c r="IJR26" s="1360"/>
      <c r="IJS26" s="1360"/>
      <c r="IJT26" s="1360"/>
      <c r="IJU26" s="1360"/>
      <c r="IJV26" s="1360"/>
      <c r="IJW26" s="1360"/>
      <c r="IJX26" s="1360"/>
      <c r="IJY26" s="1360"/>
      <c r="IJZ26" s="1360"/>
      <c r="IKA26" s="1360"/>
      <c r="IKB26" s="1360"/>
      <c r="IKC26" s="1360"/>
      <c r="IKD26" s="1360"/>
      <c r="IKE26" s="1360"/>
      <c r="IKF26" s="1360"/>
      <c r="IKG26" s="1360"/>
      <c r="IKH26" s="1360"/>
      <c r="IKI26" s="1360"/>
      <c r="IKJ26" s="1360"/>
      <c r="IKK26" s="1360"/>
      <c r="IKL26" s="1360"/>
      <c r="IKM26" s="1360"/>
      <c r="IKN26" s="1360"/>
      <c r="IKO26" s="1360"/>
      <c r="IKP26" s="1360"/>
      <c r="IKQ26" s="1360"/>
      <c r="IKR26" s="1360"/>
      <c r="IKS26" s="1360"/>
      <c r="IKT26" s="1360"/>
      <c r="IKU26" s="1360"/>
      <c r="IKV26" s="1360"/>
      <c r="IKW26" s="1360"/>
      <c r="IKX26" s="1360"/>
      <c r="IKY26" s="1360"/>
      <c r="IKZ26" s="1360"/>
      <c r="ILA26" s="1360"/>
      <c r="ILB26" s="1360"/>
      <c r="ILC26" s="1360"/>
      <c r="ILD26" s="1360"/>
      <c r="ILE26" s="1360"/>
      <c r="ILF26" s="1360"/>
      <c r="ILG26" s="1360"/>
      <c r="ILH26" s="1360"/>
      <c r="ILI26" s="1360"/>
      <c r="ILJ26" s="1360"/>
      <c r="ILK26" s="1360"/>
      <c r="ILL26" s="1360"/>
      <c r="ILM26" s="1360"/>
      <c r="ILN26" s="1360"/>
      <c r="ILO26" s="1360"/>
      <c r="ILP26" s="1360"/>
      <c r="ILQ26" s="1360"/>
      <c r="ILR26" s="1360"/>
      <c r="ILS26" s="1360"/>
      <c r="ILT26" s="1360"/>
      <c r="ILU26" s="1360"/>
      <c r="ILV26" s="1360"/>
      <c r="ILW26" s="1360"/>
      <c r="ILX26" s="1360"/>
      <c r="ILY26" s="1360"/>
      <c r="ILZ26" s="1360"/>
      <c r="IMA26" s="1360"/>
      <c r="IMB26" s="1360"/>
      <c r="IMC26" s="1360"/>
      <c r="IMD26" s="1360"/>
      <c r="IME26" s="1360"/>
      <c r="IMF26" s="1360"/>
      <c r="IMG26" s="1360"/>
      <c r="IMH26" s="1360"/>
      <c r="IMI26" s="1360"/>
      <c r="IMJ26" s="1360"/>
      <c r="IMK26" s="1360"/>
      <c r="IML26" s="1360"/>
      <c r="IMM26" s="1360"/>
      <c r="IMN26" s="1360"/>
      <c r="IMO26" s="1360"/>
      <c r="IMP26" s="1360"/>
      <c r="IMQ26" s="1360"/>
      <c r="IMR26" s="1360"/>
      <c r="IMS26" s="1360"/>
      <c r="IMT26" s="1360"/>
      <c r="IMU26" s="1360"/>
      <c r="IMV26" s="1360"/>
      <c r="IMW26" s="1360"/>
      <c r="IMX26" s="1360"/>
      <c r="IMY26" s="1360"/>
      <c r="IMZ26" s="1360"/>
      <c r="INA26" s="1360"/>
      <c r="INB26" s="1360"/>
      <c r="INC26" s="1360"/>
      <c r="IND26" s="1360"/>
      <c r="INE26" s="1360"/>
      <c r="INF26" s="1360"/>
      <c r="ING26" s="1360"/>
      <c r="INH26" s="1360"/>
      <c r="INI26" s="1360"/>
      <c r="INJ26" s="1360"/>
      <c r="INK26" s="1360"/>
      <c r="INL26" s="1360"/>
      <c r="INM26" s="1360"/>
      <c r="INN26" s="1360"/>
      <c r="INO26" s="1360"/>
      <c r="INP26" s="1360"/>
      <c r="INQ26" s="1360"/>
      <c r="INR26" s="1360"/>
      <c r="INS26" s="1360"/>
      <c r="INT26" s="1360"/>
      <c r="INU26" s="1360"/>
      <c r="INV26" s="1360"/>
      <c r="INW26" s="1360"/>
      <c r="INX26" s="1360"/>
      <c r="INY26" s="1360"/>
      <c r="INZ26" s="1360"/>
      <c r="IOA26" s="1360"/>
      <c r="IOB26" s="1360"/>
      <c r="IOC26" s="1360"/>
      <c r="IOD26" s="1360"/>
      <c r="IOE26" s="1360"/>
      <c r="IOF26" s="1360"/>
      <c r="IOG26" s="1360"/>
      <c r="IOH26" s="1360"/>
      <c r="IOI26" s="1360"/>
      <c r="IOJ26" s="1360"/>
      <c r="IOK26" s="1360"/>
      <c r="IOL26" s="1360"/>
      <c r="IOM26" s="1360"/>
      <c r="ION26" s="1360"/>
      <c r="IOO26" s="1360"/>
      <c r="IOP26" s="1360"/>
      <c r="IOQ26" s="1360"/>
      <c r="IOR26" s="1360"/>
      <c r="IOS26" s="1360"/>
      <c r="IOT26" s="1360"/>
      <c r="IOU26" s="1360"/>
      <c r="IOV26" s="1360"/>
      <c r="IOW26" s="1360"/>
      <c r="IOX26" s="1360"/>
      <c r="IOY26" s="1360"/>
      <c r="IOZ26" s="1360"/>
      <c r="IPA26" s="1360"/>
      <c r="IPB26" s="1360"/>
      <c r="IPC26" s="1360"/>
      <c r="IPD26" s="1360"/>
      <c r="IPE26" s="1360"/>
      <c r="IPF26" s="1360"/>
      <c r="IPG26" s="1360"/>
      <c r="IPH26" s="1360"/>
      <c r="IPI26" s="1360"/>
      <c r="IPJ26" s="1360"/>
      <c r="IPK26" s="1360"/>
      <c r="IPL26" s="1360"/>
      <c r="IPM26" s="1360"/>
      <c r="IPN26" s="1360"/>
      <c r="IPO26" s="1360"/>
      <c r="IPP26" s="1360"/>
      <c r="IPQ26" s="1360"/>
      <c r="IPR26" s="1360"/>
      <c r="IPS26" s="1360"/>
      <c r="IPT26" s="1360"/>
      <c r="IPU26" s="1360"/>
      <c r="IPV26" s="1360"/>
      <c r="IPW26" s="1360"/>
      <c r="IPX26" s="1360"/>
      <c r="IPY26" s="1360"/>
      <c r="IPZ26" s="1360"/>
      <c r="IQA26" s="1360"/>
      <c r="IQB26" s="1360"/>
      <c r="IQC26" s="1360"/>
      <c r="IQD26" s="1360"/>
      <c r="IQE26" s="1360"/>
      <c r="IQF26" s="1360"/>
      <c r="IQG26" s="1360"/>
      <c r="IQH26" s="1360"/>
      <c r="IQI26" s="1360"/>
      <c r="IQJ26" s="1360"/>
      <c r="IQK26" s="1360"/>
      <c r="IQL26" s="1360"/>
      <c r="IQM26" s="1360"/>
      <c r="IQN26" s="1360"/>
      <c r="IQO26" s="1360"/>
      <c r="IQP26" s="1360"/>
      <c r="IQQ26" s="1360"/>
      <c r="IQR26" s="1360"/>
      <c r="IQS26" s="1360"/>
      <c r="IQT26" s="1360"/>
      <c r="IQU26" s="1360"/>
      <c r="IQV26" s="1360"/>
      <c r="IQW26" s="1360"/>
      <c r="IQX26" s="1360"/>
      <c r="IQY26" s="1360"/>
      <c r="IQZ26" s="1360"/>
      <c r="IRA26" s="1360"/>
      <c r="IRB26" s="1360"/>
      <c r="IRC26" s="1360"/>
      <c r="IRD26" s="1360"/>
      <c r="IRE26" s="1360"/>
      <c r="IRF26" s="1360"/>
      <c r="IRG26" s="1360"/>
      <c r="IRH26" s="1360"/>
      <c r="IRI26" s="1360"/>
      <c r="IRJ26" s="1360"/>
      <c r="IRK26" s="1360"/>
      <c r="IRL26" s="1360"/>
      <c r="IRM26" s="1360"/>
      <c r="IRN26" s="1360"/>
      <c r="IRO26" s="1360"/>
      <c r="IRP26" s="1360"/>
      <c r="IRQ26" s="1360"/>
      <c r="IRR26" s="1360"/>
      <c r="IRS26" s="1360"/>
      <c r="IRT26" s="1360"/>
      <c r="IRU26" s="1360"/>
      <c r="IRV26" s="1360"/>
      <c r="IRW26" s="1360"/>
      <c r="IRX26" s="1360"/>
      <c r="IRY26" s="1360"/>
      <c r="IRZ26" s="1360"/>
      <c r="ISA26" s="1360"/>
      <c r="ISB26" s="1360"/>
      <c r="ISC26" s="1360"/>
      <c r="ISD26" s="1360"/>
      <c r="ISE26" s="1360"/>
      <c r="ISF26" s="1360"/>
      <c r="ISG26" s="1360"/>
      <c r="ISH26" s="1360"/>
      <c r="ISI26" s="1360"/>
      <c r="ISJ26" s="1360"/>
      <c r="ISK26" s="1360"/>
      <c r="ISL26" s="1360"/>
      <c r="ISM26" s="1360"/>
      <c r="ISN26" s="1360"/>
      <c r="ISO26" s="1360"/>
      <c r="ISP26" s="1360"/>
      <c r="ISQ26" s="1360"/>
      <c r="ISR26" s="1360"/>
      <c r="ISS26" s="1360"/>
      <c r="IST26" s="1360"/>
      <c r="ISU26" s="1360"/>
      <c r="ISV26" s="1360"/>
      <c r="ISW26" s="1360"/>
      <c r="ISX26" s="1360"/>
      <c r="ISY26" s="1360"/>
      <c r="ISZ26" s="1360"/>
      <c r="ITA26" s="1360"/>
      <c r="ITB26" s="1360"/>
      <c r="ITC26" s="1360"/>
      <c r="ITD26" s="1360"/>
      <c r="ITE26" s="1360"/>
      <c r="ITF26" s="1360"/>
      <c r="ITG26" s="1360"/>
      <c r="ITH26" s="1360"/>
      <c r="ITI26" s="1360"/>
      <c r="ITJ26" s="1360"/>
      <c r="ITK26" s="1360"/>
      <c r="ITL26" s="1360"/>
      <c r="ITM26" s="1360"/>
      <c r="ITN26" s="1360"/>
      <c r="ITO26" s="1360"/>
      <c r="ITP26" s="1360"/>
      <c r="ITQ26" s="1360"/>
      <c r="ITR26" s="1360"/>
      <c r="ITS26" s="1360"/>
      <c r="ITT26" s="1360"/>
      <c r="ITU26" s="1360"/>
      <c r="ITV26" s="1360"/>
      <c r="ITW26" s="1360"/>
      <c r="ITX26" s="1360"/>
      <c r="ITY26" s="1360"/>
      <c r="ITZ26" s="1360"/>
      <c r="IUA26" s="1360"/>
      <c r="IUB26" s="1360"/>
      <c r="IUC26" s="1360"/>
      <c r="IUD26" s="1360"/>
      <c r="IUE26" s="1360"/>
      <c r="IUF26" s="1360"/>
      <c r="IUG26" s="1360"/>
      <c r="IUH26" s="1360"/>
      <c r="IUI26" s="1360"/>
      <c r="IUJ26" s="1360"/>
      <c r="IUK26" s="1360"/>
      <c r="IUL26" s="1360"/>
      <c r="IUM26" s="1360"/>
      <c r="IUN26" s="1360"/>
      <c r="IUO26" s="1360"/>
      <c r="IUP26" s="1360"/>
      <c r="IUQ26" s="1360"/>
      <c r="IUR26" s="1360"/>
      <c r="IUS26" s="1360"/>
      <c r="IUT26" s="1360"/>
      <c r="IUU26" s="1360"/>
      <c r="IUV26" s="1360"/>
      <c r="IUW26" s="1360"/>
      <c r="IUX26" s="1360"/>
      <c r="IUY26" s="1360"/>
      <c r="IUZ26" s="1360"/>
      <c r="IVA26" s="1360"/>
      <c r="IVB26" s="1360"/>
      <c r="IVC26" s="1360"/>
      <c r="IVD26" s="1360"/>
      <c r="IVE26" s="1360"/>
      <c r="IVF26" s="1360"/>
      <c r="IVG26" s="1360"/>
      <c r="IVH26" s="1360"/>
      <c r="IVI26" s="1360"/>
      <c r="IVJ26" s="1360"/>
      <c r="IVK26" s="1360"/>
      <c r="IVL26" s="1360"/>
      <c r="IVM26" s="1360"/>
      <c r="IVN26" s="1360"/>
      <c r="IVO26" s="1360"/>
      <c r="IVP26" s="1360"/>
      <c r="IVQ26" s="1360"/>
      <c r="IVR26" s="1360"/>
      <c r="IVS26" s="1360"/>
      <c r="IVT26" s="1360"/>
      <c r="IVU26" s="1360"/>
      <c r="IVV26" s="1360"/>
      <c r="IVW26" s="1360"/>
      <c r="IVX26" s="1360"/>
      <c r="IVY26" s="1360"/>
      <c r="IVZ26" s="1360"/>
      <c r="IWA26" s="1360"/>
      <c r="IWB26" s="1360"/>
      <c r="IWC26" s="1360"/>
      <c r="IWD26" s="1360"/>
      <c r="IWE26" s="1360"/>
      <c r="IWF26" s="1360"/>
      <c r="IWG26" s="1360"/>
      <c r="IWH26" s="1360"/>
      <c r="IWI26" s="1360"/>
      <c r="IWJ26" s="1360"/>
      <c r="IWK26" s="1360"/>
      <c r="IWL26" s="1360"/>
      <c r="IWM26" s="1360"/>
      <c r="IWN26" s="1360"/>
      <c r="IWO26" s="1360"/>
      <c r="IWP26" s="1360"/>
      <c r="IWQ26" s="1360"/>
      <c r="IWR26" s="1360"/>
      <c r="IWS26" s="1360"/>
      <c r="IWT26" s="1360"/>
      <c r="IWU26" s="1360"/>
      <c r="IWV26" s="1360"/>
      <c r="IWW26" s="1360"/>
      <c r="IWX26" s="1360"/>
      <c r="IWY26" s="1360"/>
      <c r="IWZ26" s="1360"/>
      <c r="IXA26" s="1360"/>
      <c r="IXB26" s="1360"/>
      <c r="IXC26" s="1360"/>
      <c r="IXD26" s="1360"/>
      <c r="IXE26" s="1360"/>
      <c r="IXF26" s="1360"/>
      <c r="IXG26" s="1360"/>
      <c r="IXH26" s="1360"/>
      <c r="IXI26" s="1360"/>
      <c r="IXJ26" s="1360"/>
      <c r="IXK26" s="1360"/>
      <c r="IXL26" s="1360"/>
      <c r="IXM26" s="1360"/>
      <c r="IXN26" s="1360"/>
      <c r="IXO26" s="1360"/>
      <c r="IXP26" s="1360"/>
      <c r="IXQ26" s="1360"/>
      <c r="IXR26" s="1360"/>
      <c r="IXS26" s="1360"/>
      <c r="IXT26" s="1360"/>
      <c r="IXU26" s="1360"/>
      <c r="IXV26" s="1360"/>
      <c r="IXW26" s="1360"/>
      <c r="IXX26" s="1360"/>
      <c r="IXY26" s="1360"/>
      <c r="IXZ26" s="1360"/>
      <c r="IYA26" s="1360"/>
      <c r="IYB26" s="1360"/>
      <c r="IYC26" s="1360"/>
      <c r="IYD26" s="1360"/>
      <c r="IYE26" s="1360"/>
      <c r="IYF26" s="1360"/>
      <c r="IYG26" s="1360"/>
      <c r="IYH26" s="1360"/>
      <c r="IYI26" s="1360"/>
      <c r="IYJ26" s="1360"/>
      <c r="IYK26" s="1360"/>
      <c r="IYL26" s="1360"/>
      <c r="IYM26" s="1360"/>
      <c r="IYN26" s="1360"/>
      <c r="IYO26" s="1360"/>
      <c r="IYP26" s="1360"/>
      <c r="IYQ26" s="1360"/>
      <c r="IYR26" s="1360"/>
      <c r="IYS26" s="1360"/>
      <c r="IYT26" s="1360"/>
      <c r="IYU26" s="1360"/>
      <c r="IYV26" s="1360"/>
      <c r="IYW26" s="1360"/>
      <c r="IYX26" s="1360"/>
      <c r="IYY26" s="1360"/>
      <c r="IYZ26" s="1360"/>
      <c r="IZA26" s="1360"/>
      <c r="IZB26" s="1360"/>
      <c r="IZC26" s="1360"/>
      <c r="IZD26" s="1360"/>
      <c r="IZE26" s="1360"/>
      <c r="IZF26" s="1360"/>
      <c r="IZG26" s="1360"/>
      <c r="IZH26" s="1360"/>
      <c r="IZI26" s="1360"/>
      <c r="IZJ26" s="1360"/>
      <c r="IZK26" s="1360"/>
      <c r="IZL26" s="1360"/>
      <c r="IZM26" s="1360"/>
      <c r="IZN26" s="1360"/>
      <c r="IZO26" s="1360"/>
      <c r="IZP26" s="1360"/>
      <c r="IZQ26" s="1360"/>
      <c r="IZR26" s="1360"/>
      <c r="IZS26" s="1360"/>
      <c r="IZT26" s="1360"/>
      <c r="IZU26" s="1360"/>
      <c r="IZV26" s="1360"/>
      <c r="IZW26" s="1360"/>
      <c r="IZX26" s="1360"/>
      <c r="IZY26" s="1360"/>
      <c r="IZZ26" s="1360"/>
      <c r="JAA26" s="1360"/>
      <c r="JAB26" s="1360"/>
      <c r="JAC26" s="1360"/>
      <c r="JAD26" s="1360"/>
      <c r="JAE26" s="1360"/>
      <c r="JAF26" s="1360"/>
      <c r="JAG26" s="1360"/>
      <c r="JAH26" s="1360"/>
      <c r="JAI26" s="1360"/>
      <c r="JAJ26" s="1360"/>
      <c r="JAK26" s="1360"/>
      <c r="JAL26" s="1360"/>
      <c r="JAM26" s="1360"/>
      <c r="JAN26" s="1360"/>
      <c r="JAO26" s="1360"/>
      <c r="JAP26" s="1360"/>
      <c r="JAQ26" s="1360"/>
      <c r="JAR26" s="1360"/>
      <c r="JAS26" s="1360"/>
      <c r="JAT26" s="1360"/>
      <c r="JAU26" s="1360"/>
      <c r="JAV26" s="1360"/>
      <c r="JAW26" s="1360"/>
      <c r="JAX26" s="1360"/>
      <c r="JAY26" s="1360"/>
      <c r="JAZ26" s="1360"/>
      <c r="JBA26" s="1360"/>
      <c r="JBB26" s="1360"/>
      <c r="JBC26" s="1360"/>
      <c r="JBD26" s="1360"/>
      <c r="JBE26" s="1360"/>
      <c r="JBF26" s="1360"/>
      <c r="JBG26" s="1360"/>
      <c r="JBH26" s="1360"/>
      <c r="JBI26" s="1360"/>
      <c r="JBJ26" s="1360"/>
      <c r="JBK26" s="1360"/>
      <c r="JBL26" s="1360"/>
      <c r="JBM26" s="1360"/>
      <c r="JBN26" s="1360"/>
      <c r="JBO26" s="1360"/>
      <c r="JBP26" s="1360"/>
      <c r="JBQ26" s="1360"/>
      <c r="JBR26" s="1360"/>
      <c r="JBS26" s="1360"/>
      <c r="JBT26" s="1360"/>
      <c r="JBU26" s="1360"/>
      <c r="JBV26" s="1360"/>
      <c r="JBW26" s="1360"/>
      <c r="JBX26" s="1360"/>
      <c r="JBY26" s="1360"/>
      <c r="JBZ26" s="1360"/>
      <c r="JCA26" s="1360"/>
      <c r="JCB26" s="1360"/>
      <c r="JCC26" s="1360"/>
      <c r="JCD26" s="1360"/>
      <c r="JCE26" s="1360"/>
      <c r="JCF26" s="1360"/>
      <c r="JCG26" s="1360"/>
      <c r="JCH26" s="1360"/>
      <c r="JCI26" s="1360"/>
      <c r="JCJ26" s="1360"/>
      <c r="JCK26" s="1360"/>
      <c r="JCL26" s="1360"/>
      <c r="JCM26" s="1360"/>
      <c r="JCN26" s="1360"/>
      <c r="JCO26" s="1360"/>
      <c r="JCP26" s="1360"/>
      <c r="JCQ26" s="1360"/>
      <c r="JCR26" s="1360"/>
      <c r="JCS26" s="1360"/>
      <c r="JCT26" s="1360"/>
      <c r="JCU26" s="1360"/>
      <c r="JCV26" s="1360"/>
      <c r="JCW26" s="1360"/>
      <c r="JCX26" s="1360"/>
      <c r="JCY26" s="1360"/>
      <c r="JCZ26" s="1360"/>
      <c r="JDA26" s="1360"/>
      <c r="JDB26" s="1360"/>
      <c r="JDC26" s="1360"/>
      <c r="JDD26" s="1360"/>
      <c r="JDE26" s="1360"/>
      <c r="JDF26" s="1360"/>
      <c r="JDG26" s="1360"/>
      <c r="JDH26" s="1360"/>
      <c r="JDI26" s="1360"/>
      <c r="JDJ26" s="1360"/>
      <c r="JDK26" s="1360"/>
      <c r="JDL26" s="1360"/>
      <c r="JDM26" s="1360"/>
      <c r="JDN26" s="1360"/>
      <c r="JDO26" s="1360"/>
      <c r="JDP26" s="1360"/>
      <c r="JDQ26" s="1360"/>
      <c r="JDR26" s="1360"/>
      <c r="JDS26" s="1360"/>
      <c r="JDT26" s="1360"/>
      <c r="JDU26" s="1360"/>
      <c r="JDV26" s="1360"/>
      <c r="JDW26" s="1360"/>
      <c r="JDX26" s="1360"/>
      <c r="JDY26" s="1360"/>
      <c r="JDZ26" s="1360"/>
      <c r="JEA26" s="1360"/>
      <c r="JEB26" s="1360"/>
      <c r="JEC26" s="1360"/>
      <c r="JED26" s="1360"/>
      <c r="JEE26" s="1360"/>
      <c r="JEF26" s="1360"/>
      <c r="JEG26" s="1360"/>
      <c r="JEH26" s="1360"/>
      <c r="JEI26" s="1360"/>
      <c r="JEJ26" s="1360"/>
      <c r="JEK26" s="1360"/>
      <c r="JEL26" s="1360"/>
      <c r="JEM26" s="1360"/>
      <c r="JEN26" s="1360"/>
      <c r="JEO26" s="1360"/>
      <c r="JEP26" s="1360"/>
      <c r="JEQ26" s="1360"/>
      <c r="JER26" s="1360"/>
      <c r="JES26" s="1360"/>
      <c r="JET26" s="1360"/>
      <c r="JEU26" s="1360"/>
      <c r="JEV26" s="1360"/>
      <c r="JEW26" s="1360"/>
      <c r="JEX26" s="1360"/>
      <c r="JEY26" s="1360"/>
      <c r="JEZ26" s="1360"/>
      <c r="JFA26" s="1360"/>
      <c r="JFB26" s="1360"/>
      <c r="JFC26" s="1360"/>
      <c r="JFD26" s="1360"/>
      <c r="JFE26" s="1360"/>
      <c r="JFF26" s="1360"/>
      <c r="JFG26" s="1360"/>
      <c r="JFH26" s="1360"/>
      <c r="JFI26" s="1360"/>
      <c r="JFJ26" s="1360"/>
      <c r="JFK26" s="1360"/>
      <c r="JFL26" s="1360"/>
      <c r="JFM26" s="1360"/>
      <c r="JFN26" s="1360"/>
      <c r="JFO26" s="1360"/>
      <c r="JFP26" s="1360"/>
      <c r="JFQ26" s="1360"/>
      <c r="JFR26" s="1360"/>
      <c r="JFS26" s="1360"/>
      <c r="JFT26" s="1360"/>
      <c r="JFU26" s="1360"/>
      <c r="JFV26" s="1360"/>
      <c r="JFW26" s="1360"/>
      <c r="JFX26" s="1360"/>
      <c r="JFY26" s="1360"/>
      <c r="JFZ26" s="1360"/>
      <c r="JGA26" s="1360"/>
      <c r="JGB26" s="1360"/>
      <c r="JGC26" s="1360"/>
      <c r="JGD26" s="1360"/>
      <c r="JGE26" s="1360"/>
      <c r="JGF26" s="1360"/>
      <c r="JGG26" s="1360"/>
      <c r="JGH26" s="1360"/>
      <c r="JGI26" s="1360"/>
      <c r="JGJ26" s="1360"/>
      <c r="JGK26" s="1360"/>
      <c r="JGL26" s="1360"/>
      <c r="JGM26" s="1360"/>
      <c r="JGN26" s="1360"/>
      <c r="JGO26" s="1360"/>
      <c r="JGP26" s="1360"/>
      <c r="JGQ26" s="1360"/>
      <c r="JGR26" s="1360"/>
      <c r="JGS26" s="1360"/>
      <c r="JGT26" s="1360"/>
      <c r="JGU26" s="1360"/>
      <c r="JGV26" s="1360"/>
      <c r="JGW26" s="1360"/>
      <c r="JGX26" s="1360"/>
      <c r="JGY26" s="1360"/>
      <c r="JGZ26" s="1360"/>
      <c r="JHA26" s="1360"/>
      <c r="JHB26" s="1360"/>
      <c r="JHC26" s="1360"/>
      <c r="JHD26" s="1360"/>
      <c r="JHE26" s="1360"/>
      <c r="JHF26" s="1360"/>
      <c r="JHG26" s="1360"/>
      <c r="JHH26" s="1360"/>
      <c r="JHI26" s="1360"/>
      <c r="JHJ26" s="1360"/>
      <c r="JHK26" s="1360"/>
      <c r="JHL26" s="1360"/>
      <c r="JHM26" s="1360"/>
      <c r="JHN26" s="1360"/>
      <c r="JHO26" s="1360"/>
      <c r="JHP26" s="1360"/>
      <c r="JHQ26" s="1360"/>
      <c r="JHR26" s="1360"/>
      <c r="JHS26" s="1360"/>
      <c r="JHT26" s="1360"/>
      <c r="JHU26" s="1360"/>
      <c r="JHV26" s="1360"/>
      <c r="JHW26" s="1360"/>
      <c r="JHX26" s="1360"/>
      <c r="JHY26" s="1360"/>
      <c r="JHZ26" s="1360"/>
      <c r="JIA26" s="1360"/>
      <c r="JIB26" s="1360"/>
      <c r="JIC26" s="1360"/>
      <c r="JID26" s="1360"/>
      <c r="JIE26" s="1360"/>
      <c r="JIF26" s="1360"/>
      <c r="JIG26" s="1360"/>
      <c r="JIH26" s="1360"/>
      <c r="JII26" s="1360"/>
      <c r="JIJ26" s="1360"/>
      <c r="JIK26" s="1360"/>
      <c r="JIL26" s="1360"/>
      <c r="JIM26" s="1360"/>
      <c r="JIN26" s="1360"/>
      <c r="JIO26" s="1360"/>
      <c r="JIP26" s="1360"/>
      <c r="JIQ26" s="1360"/>
      <c r="JIR26" s="1360"/>
      <c r="JIS26" s="1360"/>
      <c r="JIT26" s="1360"/>
      <c r="JIU26" s="1360"/>
      <c r="JIV26" s="1360"/>
      <c r="JIW26" s="1360"/>
      <c r="JIX26" s="1360"/>
      <c r="JIY26" s="1360"/>
      <c r="JIZ26" s="1360"/>
      <c r="JJA26" s="1360"/>
      <c r="JJB26" s="1360"/>
      <c r="JJC26" s="1360"/>
      <c r="JJD26" s="1360"/>
      <c r="JJE26" s="1360"/>
      <c r="JJF26" s="1360"/>
      <c r="JJG26" s="1360"/>
      <c r="JJH26" s="1360"/>
      <c r="JJI26" s="1360"/>
      <c r="JJJ26" s="1360"/>
      <c r="JJK26" s="1360"/>
      <c r="JJL26" s="1360"/>
      <c r="JJM26" s="1360"/>
      <c r="JJN26" s="1360"/>
      <c r="JJO26" s="1360"/>
      <c r="JJP26" s="1360"/>
      <c r="JJQ26" s="1360"/>
      <c r="JJR26" s="1360"/>
      <c r="JJS26" s="1360"/>
      <c r="JJT26" s="1360"/>
      <c r="JJU26" s="1360"/>
      <c r="JJV26" s="1360"/>
      <c r="JJW26" s="1360"/>
      <c r="JJX26" s="1360"/>
      <c r="JJY26" s="1360"/>
      <c r="JJZ26" s="1360"/>
      <c r="JKA26" s="1360"/>
      <c r="JKB26" s="1360"/>
      <c r="JKC26" s="1360"/>
      <c r="JKD26" s="1360"/>
      <c r="JKE26" s="1360"/>
      <c r="JKF26" s="1360"/>
      <c r="JKG26" s="1360"/>
      <c r="JKH26" s="1360"/>
      <c r="JKI26" s="1360"/>
      <c r="JKJ26" s="1360"/>
      <c r="JKK26" s="1360"/>
      <c r="JKL26" s="1360"/>
      <c r="JKM26" s="1360"/>
      <c r="JKN26" s="1360"/>
      <c r="JKO26" s="1360"/>
      <c r="JKP26" s="1360"/>
      <c r="JKQ26" s="1360"/>
      <c r="JKR26" s="1360"/>
      <c r="JKS26" s="1360"/>
      <c r="JKT26" s="1360"/>
      <c r="JKU26" s="1360"/>
      <c r="JKV26" s="1360"/>
      <c r="JKW26" s="1360"/>
      <c r="JKX26" s="1360"/>
      <c r="JKY26" s="1360"/>
      <c r="JKZ26" s="1360"/>
      <c r="JLA26" s="1360"/>
      <c r="JLB26" s="1360"/>
      <c r="JLC26" s="1360"/>
      <c r="JLD26" s="1360"/>
      <c r="JLE26" s="1360"/>
      <c r="JLF26" s="1360"/>
      <c r="JLG26" s="1360"/>
      <c r="JLH26" s="1360"/>
      <c r="JLI26" s="1360"/>
      <c r="JLJ26" s="1360"/>
      <c r="JLK26" s="1360"/>
      <c r="JLL26" s="1360"/>
      <c r="JLM26" s="1360"/>
      <c r="JLN26" s="1360"/>
      <c r="JLO26" s="1360"/>
      <c r="JLP26" s="1360"/>
      <c r="JLQ26" s="1360"/>
      <c r="JLR26" s="1360"/>
      <c r="JLS26" s="1360"/>
      <c r="JLT26" s="1360"/>
      <c r="JLU26" s="1360"/>
      <c r="JLV26" s="1360"/>
      <c r="JLW26" s="1360"/>
      <c r="JLX26" s="1360"/>
      <c r="JLY26" s="1360"/>
      <c r="JLZ26" s="1360"/>
      <c r="JMA26" s="1360"/>
      <c r="JMB26" s="1360"/>
      <c r="JMC26" s="1360"/>
      <c r="JMD26" s="1360"/>
      <c r="JME26" s="1360"/>
      <c r="JMF26" s="1360"/>
      <c r="JMG26" s="1360"/>
      <c r="JMH26" s="1360"/>
      <c r="JMI26" s="1360"/>
      <c r="JMJ26" s="1360"/>
      <c r="JMK26" s="1360"/>
      <c r="JML26" s="1360"/>
      <c r="JMM26" s="1360"/>
      <c r="JMN26" s="1360"/>
      <c r="JMO26" s="1360"/>
      <c r="JMP26" s="1360"/>
      <c r="JMQ26" s="1360"/>
      <c r="JMR26" s="1360"/>
      <c r="JMS26" s="1360"/>
      <c r="JMT26" s="1360"/>
      <c r="JMU26" s="1360"/>
      <c r="JMV26" s="1360"/>
      <c r="JMW26" s="1360"/>
      <c r="JMX26" s="1360"/>
      <c r="JMY26" s="1360"/>
      <c r="JMZ26" s="1360"/>
      <c r="JNA26" s="1360"/>
      <c r="JNB26" s="1360"/>
      <c r="JNC26" s="1360"/>
      <c r="JND26" s="1360"/>
      <c r="JNE26" s="1360"/>
      <c r="JNF26" s="1360"/>
      <c r="JNG26" s="1360"/>
      <c r="JNH26" s="1360"/>
      <c r="JNI26" s="1360"/>
      <c r="JNJ26" s="1360"/>
      <c r="JNK26" s="1360"/>
      <c r="JNL26" s="1360"/>
      <c r="JNM26" s="1360"/>
      <c r="JNN26" s="1360"/>
      <c r="JNO26" s="1360"/>
      <c r="JNP26" s="1360"/>
      <c r="JNQ26" s="1360"/>
      <c r="JNR26" s="1360"/>
      <c r="JNS26" s="1360"/>
      <c r="JNT26" s="1360"/>
      <c r="JNU26" s="1360"/>
      <c r="JNV26" s="1360"/>
      <c r="JNW26" s="1360"/>
      <c r="JNX26" s="1360"/>
      <c r="JNY26" s="1360"/>
      <c r="JNZ26" s="1360"/>
      <c r="JOA26" s="1360"/>
      <c r="JOB26" s="1360"/>
      <c r="JOC26" s="1360"/>
      <c r="JOD26" s="1360"/>
      <c r="JOE26" s="1360"/>
      <c r="JOF26" s="1360"/>
      <c r="JOG26" s="1360"/>
      <c r="JOH26" s="1360"/>
      <c r="JOI26" s="1360"/>
      <c r="JOJ26" s="1360"/>
      <c r="JOK26" s="1360"/>
      <c r="JOL26" s="1360"/>
      <c r="JOM26" s="1360"/>
      <c r="JON26" s="1360"/>
      <c r="JOO26" s="1360"/>
      <c r="JOP26" s="1360"/>
      <c r="JOQ26" s="1360"/>
      <c r="JOR26" s="1360"/>
      <c r="JOS26" s="1360"/>
      <c r="JOT26" s="1360"/>
      <c r="JOU26" s="1360"/>
      <c r="JOV26" s="1360"/>
      <c r="JOW26" s="1360"/>
      <c r="JOX26" s="1360"/>
      <c r="JOY26" s="1360"/>
      <c r="JOZ26" s="1360"/>
      <c r="JPA26" s="1360"/>
      <c r="JPB26" s="1360"/>
      <c r="JPC26" s="1360"/>
      <c r="JPD26" s="1360"/>
      <c r="JPE26" s="1360"/>
      <c r="JPF26" s="1360"/>
      <c r="JPG26" s="1360"/>
      <c r="JPH26" s="1360"/>
      <c r="JPI26" s="1360"/>
      <c r="JPJ26" s="1360"/>
      <c r="JPK26" s="1360"/>
      <c r="JPL26" s="1360"/>
      <c r="JPM26" s="1360"/>
      <c r="JPN26" s="1360"/>
      <c r="JPO26" s="1360"/>
      <c r="JPP26" s="1360"/>
      <c r="JPQ26" s="1360"/>
      <c r="JPR26" s="1360"/>
      <c r="JPS26" s="1360"/>
      <c r="JPT26" s="1360"/>
      <c r="JPU26" s="1360"/>
      <c r="JPV26" s="1360"/>
      <c r="JPW26" s="1360"/>
      <c r="JPX26" s="1360"/>
      <c r="JPY26" s="1360"/>
      <c r="JPZ26" s="1360"/>
      <c r="JQA26" s="1360"/>
      <c r="JQB26" s="1360"/>
      <c r="JQC26" s="1360"/>
      <c r="JQD26" s="1360"/>
      <c r="JQE26" s="1360"/>
      <c r="JQF26" s="1360"/>
      <c r="JQG26" s="1360"/>
      <c r="JQH26" s="1360"/>
      <c r="JQI26" s="1360"/>
      <c r="JQJ26" s="1360"/>
      <c r="JQK26" s="1360"/>
      <c r="JQL26" s="1360"/>
      <c r="JQM26" s="1360"/>
      <c r="JQN26" s="1360"/>
      <c r="JQO26" s="1360"/>
      <c r="JQP26" s="1360"/>
      <c r="JQQ26" s="1360"/>
      <c r="JQR26" s="1360"/>
      <c r="JQS26" s="1360"/>
      <c r="JQT26" s="1360"/>
      <c r="JQU26" s="1360"/>
      <c r="JQV26" s="1360"/>
      <c r="JQW26" s="1360"/>
      <c r="JQX26" s="1360"/>
      <c r="JQY26" s="1360"/>
      <c r="JQZ26" s="1360"/>
      <c r="JRA26" s="1360"/>
      <c r="JRB26" s="1360"/>
      <c r="JRC26" s="1360"/>
      <c r="JRD26" s="1360"/>
      <c r="JRE26" s="1360"/>
      <c r="JRF26" s="1360"/>
      <c r="JRG26" s="1360"/>
      <c r="JRH26" s="1360"/>
      <c r="JRI26" s="1360"/>
      <c r="JRJ26" s="1360"/>
      <c r="JRK26" s="1360"/>
      <c r="JRL26" s="1360"/>
      <c r="JRM26" s="1360"/>
      <c r="JRN26" s="1360"/>
      <c r="JRO26" s="1360"/>
      <c r="JRP26" s="1360"/>
      <c r="JRQ26" s="1360"/>
      <c r="JRR26" s="1360"/>
      <c r="JRS26" s="1360"/>
      <c r="JRT26" s="1360"/>
      <c r="JRU26" s="1360"/>
      <c r="JRV26" s="1360"/>
      <c r="JRW26" s="1360"/>
      <c r="JRX26" s="1360"/>
      <c r="JRY26" s="1360"/>
      <c r="JRZ26" s="1360"/>
      <c r="JSA26" s="1360"/>
      <c r="JSB26" s="1360"/>
      <c r="JSC26" s="1360"/>
      <c r="JSD26" s="1360"/>
      <c r="JSE26" s="1360"/>
      <c r="JSF26" s="1360"/>
      <c r="JSG26" s="1360"/>
      <c r="JSH26" s="1360"/>
      <c r="JSI26" s="1360"/>
      <c r="JSJ26" s="1360"/>
      <c r="JSK26" s="1360"/>
      <c r="JSL26" s="1360"/>
      <c r="JSM26" s="1360"/>
      <c r="JSN26" s="1360"/>
      <c r="JSO26" s="1360"/>
      <c r="JSP26" s="1360"/>
      <c r="JSQ26" s="1360"/>
      <c r="JSR26" s="1360"/>
      <c r="JSS26" s="1360"/>
      <c r="JST26" s="1360"/>
      <c r="JSU26" s="1360"/>
      <c r="JSV26" s="1360"/>
      <c r="JSW26" s="1360"/>
      <c r="JSX26" s="1360"/>
      <c r="JSY26" s="1360"/>
      <c r="JSZ26" s="1360"/>
      <c r="JTA26" s="1360"/>
      <c r="JTB26" s="1360"/>
      <c r="JTC26" s="1360"/>
      <c r="JTD26" s="1360"/>
      <c r="JTE26" s="1360"/>
      <c r="JTF26" s="1360"/>
      <c r="JTG26" s="1360"/>
      <c r="JTH26" s="1360"/>
      <c r="JTI26" s="1360"/>
      <c r="JTJ26" s="1360"/>
      <c r="JTK26" s="1360"/>
      <c r="JTL26" s="1360"/>
      <c r="JTM26" s="1360"/>
      <c r="JTN26" s="1360"/>
      <c r="JTO26" s="1360"/>
      <c r="JTP26" s="1360"/>
      <c r="JTQ26" s="1360"/>
      <c r="JTR26" s="1360"/>
      <c r="JTS26" s="1360"/>
      <c r="JTT26" s="1360"/>
      <c r="JTU26" s="1360"/>
      <c r="JTV26" s="1360"/>
      <c r="JTW26" s="1360"/>
      <c r="JTX26" s="1360"/>
      <c r="JTY26" s="1360"/>
      <c r="JTZ26" s="1360"/>
      <c r="JUA26" s="1360"/>
      <c r="JUB26" s="1360"/>
      <c r="JUC26" s="1360"/>
      <c r="JUD26" s="1360"/>
      <c r="JUE26" s="1360"/>
      <c r="JUF26" s="1360"/>
      <c r="JUG26" s="1360"/>
      <c r="JUH26" s="1360"/>
      <c r="JUI26" s="1360"/>
      <c r="JUJ26" s="1360"/>
      <c r="JUK26" s="1360"/>
      <c r="JUL26" s="1360"/>
      <c r="JUM26" s="1360"/>
      <c r="JUN26" s="1360"/>
      <c r="JUO26" s="1360"/>
      <c r="JUP26" s="1360"/>
      <c r="JUQ26" s="1360"/>
      <c r="JUR26" s="1360"/>
      <c r="JUS26" s="1360"/>
      <c r="JUT26" s="1360"/>
      <c r="JUU26" s="1360"/>
      <c r="JUV26" s="1360"/>
      <c r="JUW26" s="1360"/>
      <c r="JUX26" s="1360"/>
      <c r="JUY26" s="1360"/>
      <c r="JUZ26" s="1360"/>
      <c r="JVA26" s="1360"/>
      <c r="JVB26" s="1360"/>
      <c r="JVC26" s="1360"/>
      <c r="JVD26" s="1360"/>
      <c r="JVE26" s="1360"/>
      <c r="JVF26" s="1360"/>
      <c r="JVG26" s="1360"/>
      <c r="JVH26" s="1360"/>
      <c r="JVI26" s="1360"/>
      <c r="JVJ26" s="1360"/>
      <c r="JVK26" s="1360"/>
      <c r="JVL26" s="1360"/>
      <c r="JVM26" s="1360"/>
      <c r="JVN26" s="1360"/>
      <c r="JVO26" s="1360"/>
      <c r="JVP26" s="1360"/>
      <c r="JVQ26" s="1360"/>
      <c r="JVR26" s="1360"/>
      <c r="JVS26" s="1360"/>
      <c r="JVT26" s="1360"/>
      <c r="JVU26" s="1360"/>
      <c r="JVV26" s="1360"/>
      <c r="JVW26" s="1360"/>
      <c r="JVX26" s="1360"/>
      <c r="JVY26" s="1360"/>
      <c r="JVZ26" s="1360"/>
      <c r="JWA26" s="1360"/>
      <c r="JWB26" s="1360"/>
      <c r="JWC26" s="1360"/>
      <c r="JWD26" s="1360"/>
      <c r="JWE26" s="1360"/>
      <c r="JWF26" s="1360"/>
      <c r="JWG26" s="1360"/>
      <c r="JWH26" s="1360"/>
      <c r="JWI26" s="1360"/>
      <c r="JWJ26" s="1360"/>
      <c r="JWK26" s="1360"/>
      <c r="JWL26" s="1360"/>
      <c r="JWM26" s="1360"/>
      <c r="JWN26" s="1360"/>
      <c r="JWO26" s="1360"/>
      <c r="JWP26" s="1360"/>
      <c r="JWQ26" s="1360"/>
      <c r="JWR26" s="1360"/>
      <c r="JWS26" s="1360"/>
      <c r="JWT26" s="1360"/>
      <c r="JWU26" s="1360"/>
      <c r="JWV26" s="1360"/>
      <c r="JWW26" s="1360"/>
      <c r="JWX26" s="1360"/>
      <c r="JWY26" s="1360"/>
      <c r="JWZ26" s="1360"/>
      <c r="JXA26" s="1360"/>
      <c r="JXB26" s="1360"/>
      <c r="JXC26" s="1360"/>
      <c r="JXD26" s="1360"/>
      <c r="JXE26" s="1360"/>
      <c r="JXF26" s="1360"/>
      <c r="JXG26" s="1360"/>
      <c r="JXH26" s="1360"/>
      <c r="JXI26" s="1360"/>
      <c r="JXJ26" s="1360"/>
      <c r="JXK26" s="1360"/>
      <c r="JXL26" s="1360"/>
      <c r="JXM26" s="1360"/>
      <c r="JXN26" s="1360"/>
      <c r="JXO26" s="1360"/>
      <c r="JXP26" s="1360"/>
      <c r="JXQ26" s="1360"/>
      <c r="JXR26" s="1360"/>
      <c r="JXS26" s="1360"/>
      <c r="JXT26" s="1360"/>
      <c r="JXU26" s="1360"/>
      <c r="JXV26" s="1360"/>
      <c r="JXW26" s="1360"/>
      <c r="JXX26" s="1360"/>
      <c r="JXY26" s="1360"/>
      <c r="JXZ26" s="1360"/>
      <c r="JYA26" s="1360"/>
      <c r="JYB26" s="1360"/>
      <c r="JYC26" s="1360"/>
      <c r="JYD26" s="1360"/>
      <c r="JYE26" s="1360"/>
      <c r="JYF26" s="1360"/>
      <c r="JYG26" s="1360"/>
      <c r="JYH26" s="1360"/>
      <c r="JYI26" s="1360"/>
      <c r="JYJ26" s="1360"/>
      <c r="JYK26" s="1360"/>
      <c r="JYL26" s="1360"/>
      <c r="JYM26" s="1360"/>
      <c r="JYN26" s="1360"/>
      <c r="JYO26" s="1360"/>
      <c r="JYP26" s="1360"/>
      <c r="JYQ26" s="1360"/>
      <c r="JYR26" s="1360"/>
      <c r="JYS26" s="1360"/>
      <c r="JYT26" s="1360"/>
      <c r="JYU26" s="1360"/>
      <c r="JYV26" s="1360"/>
      <c r="JYW26" s="1360"/>
      <c r="JYX26" s="1360"/>
      <c r="JYY26" s="1360"/>
      <c r="JYZ26" s="1360"/>
      <c r="JZA26" s="1360"/>
      <c r="JZB26" s="1360"/>
      <c r="JZC26" s="1360"/>
      <c r="JZD26" s="1360"/>
      <c r="JZE26" s="1360"/>
      <c r="JZF26" s="1360"/>
      <c r="JZG26" s="1360"/>
      <c r="JZH26" s="1360"/>
      <c r="JZI26" s="1360"/>
      <c r="JZJ26" s="1360"/>
      <c r="JZK26" s="1360"/>
      <c r="JZL26" s="1360"/>
      <c r="JZM26" s="1360"/>
      <c r="JZN26" s="1360"/>
      <c r="JZO26" s="1360"/>
      <c r="JZP26" s="1360"/>
      <c r="JZQ26" s="1360"/>
      <c r="JZR26" s="1360"/>
      <c r="JZS26" s="1360"/>
      <c r="JZT26" s="1360"/>
      <c r="JZU26" s="1360"/>
      <c r="JZV26" s="1360"/>
      <c r="JZW26" s="1360"/>
      <c r="JZX26" s="1360"/>
      <c r="JZY26" s="1360"/>
      <c r="JZZ26" s="1360"/>
      <c r="KAA26" s="1360"/>
      <c r="KAB26" s="1360"/>
      <c r="KAC26" s="1360"/>
      <c r="KAD26" s="1360"/>
      <c r="KAE26" s="1360"/>
      <c r="KAF26" s="1360"/>
      <c r="KAG26" s="1360"/>
      <c r="KAH26" s="1360"/>
      <c r="KAI26" s="1360"/>
      <c r="KAJ26" s="1360"/>
      <c r="KAK26" s="1360"/>
      <c r="KAL26" s="1360"/>
      <c r="KAM26" s="1360"/>
      <c r="KAN26" s="1360"/>
      <c r="KAO26" s="1360"/>
      <c r="KAP26" s="1360"/>
      <c r="KAQ26" s="1360"/>
      <c r="KAR26" s="1360"/>
      <c r="KAS26" s="1360"/>
      <c r="KAT26" s="1360"/>
      <c r="KAU26" s="1360"/>
      <c r="KAV26" s="1360"/>
      <c r="KAW26" s="1360"/>
      <c r="KAX26" s="1360"/>
      <c r="KAY26" s="1360"/>
      <c r="KAZ26" s="1360"/>
      <c r="KBA26" s="1360"/>
      <c r="KBB26" s="1360"/>
      <c r="KBC26" s="1360"/>
      <c r="KBD26" s="1360"/>
      <c r="KBE26" s="1360"/>
      <c r="KBF26" s="1360"/>
      <c r="KBG26" s="1360"/>
      <c r="KBH26" s="1360"/>
      <c r="KBI26" s="1360"/>
      <c r="KBJ26" s="1360"/>
      <c r="KBK26" s="1360"/>
      <c r="KBL26" s="1360"/>
      <c r="KBM26" s="1360"/>
      <c r="KBN26" s="1360"/>
      <c r="KBO26" s="1360"/>
      <c r="KBP26" s="1360"/>
      <c r="KBQ26" s="1360"/>
      <c r="KBR26" s="1360"/>
      <c r="KBS26" s="1360"/>
      <c r="KBT26" s="1360"/>
      <c r="KBU26" s="1360"/>
      <c r="KBV26" s="1360"/>
      <c r="KBW26" s="1360"/>
      <c r="KBX26" s="1360"/>
      <c r="KBY26" s="1360"/>
      <c r="KBZ26" s="1360"/>
      <c r="KCA26" s="1360"/>
      <c r="KCB26" s="1360"/>
      <c r="KCC26" s="1360"/>
      <c r="KCD26" s="1360"/>
      <c r="KCE26" s="1360"/>
      <c r="KCF26" s="1360"/>
      <c r="KCG26" s="1360"/>
      <c r="KCH26" s="1360"/>
      <c r="KCI26" s="1360"/>
      <c r="KCJ26" s="1360"/>
      <c r="KCK26" s="1360"/>
      <c r="KCL26" s="1360"/>
      <c r="KCM26" s="1360"/>
      <c r="KCN26" s="1360"/>
      <c r="KCO26" s="1360"/>
      <c r="KCP26" s="1360"/>
      <c r="KCQ26" s="1360"/>
      <c r="KCR26" s="1360"/>
      <c r="KCS26" s="1360"/>
      <c r="KCT26" s="1360"/>
      <c r="KCU26" s="1360"/>
      <c r="KCV26" s="1360"/>
      <c r="KCW26" s="1360"/>
      <c r="KCX26" s="1360"/>
      <c r="KCY26" s="1360"/>
      <c r="KCZ26" s="1360"/>
      <c r="KDA26" s="1360"/>
      <c r="KDB26" s="1360"/>
      <c r="KDC26" s="1360"/>
      <c r="KDD26" s="1360"/>
      <c r="KDE26" s="1360"/>
      <c r="KDF26" s="1360"/>
      <c r="KDG26" s="1360"/>
      <c r="KDH26" s="1360"/>
      <c r="KDI26" s="1360"/>
      <c r="KDJ26" s="1360"/>
      <c r="KDK26" s="1360"/>
      <c r="KDL26" s="1360"/>
      <c r="KDM26" s="1360"/>
      <c r="KDN26" s="1360"/>
      <c r="KDO26" s="1360"/>
      <c r="KDP26" s="1360"/>
      <c r="KDQ26" s="1360"/>
      <c r="KDR26" s="1360"/>
      <c r="KDS26" s="1360"/>
      <c r="KDT26" s="1360"/>
      <c r="KDU26" s="1360"/>
      <c r="KDV26" s="1360"/>
      <c r="KDW26" s="1360"/>
      <c r="KDX26" s="1360"/>
      <c r="KDY26" s="1360"/>
      <c r="KDZ26" s="1360"/>
      <c r="KEA26" s="1360"/>
      <c r="KEB26" s="1360"/>
      <c r="KEC26" s="1360"/>
      <c r="KED26" s="1360"/>
      <c r="KEE26" s="1360"/>
      <c r="KEF26" s="1360"/>
      <c r="KEG26" s="1360"/>
      <c r="KEH26" s="1360"/>
      <c r="KEI26" s="1360"/>
      <c r="KEJ26" s="1360"/>
      <c r="KEK26" s="1360"/>
      <c r="KEL26" s="1360"/>
      <c r="KEM26" s="1360"/>
      <c r="KEN26" s="1360"/>
      <c r="KEO26" s="1360"/>
      <c r="KEP26" s="1360"/>
      <c r="KEQ26" s="1360"/>
      <c r="KER26" s="1360"/>
      <c r="KES26" s="1360"/>
      <c r="KET26" s="1360"/>
      <c r="KEU26" s="1360"/>
      <c r="KEV26" s="1360"/>
      <c r="KEW26" s="1360"/>
      <c r="KEX26" s="1360"/>
      <c r="KEY26" s="1360"/>
      <c r="KEZ26" s="1360"/>
      <c r="KFA26" s="1360"/>
      <c r="KFB26" s="1360"/>
      <c r="KFC26" s="1360"/>
      <c r="KFD26" s="1360"/>
      <c r="KFE26" s="1360"/>
      <c r="KFF26" s="1360"/>
      <c r="KFG26" s="1360"/>
      <c r="KFH26" s="1360"/>
      <c r="KFI26" s="1360"/>
      <c r="KFJ26" s="1360"/>
      <c r="KFK26" s="1360"/>
      <c r="KFL26" s="1360"/>
      <c r="KFM26" s="1360"/>
      <c r="KFN26" s="1360"/>
      <c r="KFO26" s="1360"/>
      <c r="KFP26" s="1360"/>
      <c r="KFQ26" s="1360"/>
      <c r="KFR26" s="1360"/>
      <c r="KFS26" s="1360"/>
      <c r="KFT26" s="1360"/>
      <c r="KFU26" s="1360"/>
      <c r="KFV26" s="1360"/>
      <c r="KFW26" s="1360"/>
      <c r="KFX26" s="1360"/>
      <c r="KFY26" s="1360"/>
      <c r="KFZ26" s="1360"/>
      <c r="KGA26" s="1360"/>
      <c r="KGB26" s="1360"/>
      <c r="KGC26" s="1360"/>
      <c r="KGD26" s="1360"/>
      <c r="KGE26" s="1360"/>
      <c r="KGF26" s="1360"/>
      <c r="KGG26" s="1360"/>
      <c r="KGH26" s="1360"/>
      <c r="KGI26" s="1360"/>
      <c r="KGJ26" s="1360"/>
      <c r="KGK26" s="1360"/>
      <c r="KGL26" s="1360"/>
      <c r="KGM26" s="1360"/>
      <c r="KGN26" s="1360"/>
      <c r="KGO26" s="1360"/>
      <c r="KGP26" s="1360"/>
      <c r="KGQ26" s="1360"/>
      <c r="KGR26" s="1360"/>
      <c r="KGS26" s="1360"/>
      <c r="KGT26" s="1360"/>
      <c r="KGU26" s="1360"/>
      <c r="KGV26" s="1360"/>
      <c r="KGW26" s="1360"/>
      <c r="KGX26" s="1360"/>
      <c r="KGY26" s="1360"/>
      <c r="KGZ26" s="1360"/>
      <c r="KHA26" s="1360"/>
      <c r="KHB26" s="1360"/>
      <c r="KHC26" s="1360"/>
      <c r="KHD26" s="1360"/>
      <c r="KHE26" s="1360"/>
      <c r="KHF26" s="1360"/>
      <c r="KHG26" s="1360"/>
      <c r="KHH26" s="1360"/>
      <c r="KHI26" s="1360"/>
      <c r="KHJ26" s="1360"/>
      <c r="KHK26" s="1360"/>
      <c r="KHL26" s="1360"/>
      <c r="KHM26" s="1360"/>
      <c r="KHN26" s="1360"/>
      <c r="KHO26" s="1360"/>
      <c r="KHP26" s="1360"/>
      <c r="KHQ26" s="1360"/>
      <c r="KHR26" s="1360"/>
      <c r="KHS26" s="1360"/>
      <c r="KHT26" s="1360"/>
      <c r="KHU26" s="1360"/>
      <c r="KHV26" s="1360"/>
      <c r="KHW26" s="1360"/>
      <c r="KHX26" s="1360"/>
      <c r="KHY26" s="1360"/>
      <c r="KHZ26" s="1360"/>
      <c r="KIA26" s="1360"/>
      <c r="KIB26" s="1360"/>
      <c r="KIC26" s="1360"/>
      <c r="KID26" s="1360"/>
      <c r="KIE26" s="1360"/>
      <c r="KIF26" s="1360"/>
      <c r="KIG26" s="1360"/>
      <c r="KIH26" s="1360"/>
      <c r="KII26" s="1360"/>
      <c r="KIJ26" s="1360"/>
      <c r="KIK26" s="1360"/>
      <c r="KIL26" s="1360"/>
      <c r="KIM26" s="1360"/>
      <c r="KIN26" s="1360"/>
      <c r="KIO26" s="1360"/>
      <c r="KIP26" s="1360"/>
      <c r="KIQ26" s="1360"/>
      <c r="KIR26" s="1360"/>
      <c r="KIS26" s="1360"/>
      <c r="KIT26" s="1360"/>
      <c r="KIU26" s="1360"/>
      <c r="KIV26" s="1360"/>
      <c r="KIW26" s="1360"/>
      <c r="KIX26" s="1360"/>
      <c r="KIY26" s="1360"/>
      <c r="KIZ26" s="1360"/>
      <c r="KJA26" s="1360"/>
      <c r="KJB26" s="1360"/>
      <c r="KJC26" s="1360"/>
      <c r="KJD26" s="1360"/>
      <c r="KJE26" s="1360"/>
      <c r="KJF26" s="1360"/>
      <c r="KJG26" s="1360"/>
      <c r="KJH26" s="1360"/>
      <c r="KJI26" s="1360"/>
      <c r="KJJ26" s="1360"/>
      <c r="KJK26" s="1360"/>
      <c r="KJL26" s="1360"/>
      <c r="KJM26" s="1360"/>
      <c r="KJN26" s="1360"/>
      <c r="KJO26" s="1360"/>
      <c r="KJP26" s="1360"/>
      <c r="KJQ26" s="1360"/>
      <c r="KJR26" s="1360"/>
      <c r="KJS26" s="1360"/>
      <c r="KJT26" s="1360"/>
      <c r="KJU26" s="1360"/>
      <c r="KJV26" s="1360"/>
      <c r="KJW26" s="1360"/>
      <c r="KJX26" s="1360"/>
      <c r="KJY26" s="1360"/>
      <c r="KJZ26" s="1360"/>
      <c r="KKA26" s="1360"/>
      <c r="KKB26" s="1360"/>
      <c r="KKC26" s="1360"/>
      <c r="KKD26" s="1360"/>
      <c r="KKE26" s="1360"/>
      <c r="KKF26" s="1360"/>
      <c r="KKG26" s="1360"/>
      <c r="KKH26" s="1360"/>
      <c r="KKI26" s="1360"/>
      <c r="KKJ26" s="1360"/>
      <c r="KKK26" s="1360"/>
      <c r="KKL26" s="1360"/>
      <c r="KKM26" s="1360"/>
      <c r="KKN26" s="1360"/>
      <c r="KKO26" s="1360"/>
      <c r="KKP26" s="1360"/>
      <c r="KKQ26" s="1360"/>
      <c r="KKR26" s="1360"/>
      <c r="KKS26" s="1360"/>
      <c r="KKT26" s="1360"/>
      <c r="KKU26" s="1360"/>
      <c r="KKV26" s="1360"/>
      <c r="KKW26" s="1360"/>
      <c r="KKX26" s="1360"/>
      <c r="KKY26" s="1360"/>
      <c r="KKZ26" s="1360"/>
      <c r="KLA26" s="1360"/>
      <c r="KLB26" s="1360"/>
      <c r="KLC26" s="1360"/>
      <c r="KLD26" s="1360"/>
      <c r="KLE26" s="1360"/>
      <c r="KLF26" s="1360"/>
      <c r="KLG26" s="1360"/>
      <c r="KLH26" s="1360"/>
      <c r="KLI26" s="1360"/>
      <c r="KLJ26" s="1360"/>
      <c r="KLK26" s="1360"/>
      <c r="KLL26" s="1360"/>
      <c r="KLM26" s="1360"/>
      <c r="KLN26" s="1360"/>
      <c r="KLO26" s="1360"/>
      <c r="KLP26" s="1360"/>
      <c r="KLQ26" s="1360"/>
      <c r="KLR26" s="1360"/>
      <c r="KLS26" s="1360"/>
      <c r="KLT26" s="1360"/>
      <c r="KLU26" s="1360"/>
      <c r="KLV26" s="1360"/>
      <c r="KLW26" s="1360"/>
      <c r="KLX26" s="1360"/>
      <c r="KLY26" s="1360"/>
      <c r="KLZ26" s="1360"/>
      <c r="KMA26" s="1360"/>
      <c r="KMB26" s="1360"/>
      <c r="KMC26" s="1360"/>
      <c r="KMD26" s="1360"/>
      <c r="KME26" s="1360"/>
      <c r="KMF26" s="1360"/>
      <c r="KMG26" s="1360"/>
      <c r="KMH26" s="1360"/>
      <c r="KMI26" s="1360"/>
      <c r="KMJ26" s="1360"/>
      <c r="KMK26" s="1360"/>
      <c r="KML26" s="1360"/>
      <c r="KMM26" s="1360"/>
      <c r="KMN26" s="1360"/>
      <c r="KMO26" s="1360"/>
      <c r="KMP26" s="1360"/>
      <c r="KMQ26" s="1360"/>
      <c r="KMR26" s="1360"/>
      <c r="KMS26" s="1360"/>
      <c r="KMT26" s="1360"/>
      <c r="KMU26" s="1360"/>
      <c r="KMV26" s="1360"/>
      <c r="KMW26" s="1360"/>
      <c r="KMX26" s="1360"/>
      <c r="KMY26" s="1360"/>
      <c r="KMZ26" s="1360"/>
      <c r="KNA26" s="1360"/>
      <c r="KNB26" s="1360"/>
      <c r="KNC26" s="1360"/>
      <c r="KND26" s="1360"/>
      <c r="KNE26" s="1360"/>
      <c r="KNF26" s="1360"/>
      <c r="KNG26" s="1360"/>
      <c r="KNH26" s="1360"/>
      <c r="KNI26" s="1360"/>
      <c r="KNJ26" s="1360"/>
      <c r="KNK26" s="1360"/>
      <c r="KNL26" s="1360"/>
      <c r="KNM26" s="1360"/>
      <c r="KNN26" s="1360"/>
      <c r="KNO26" s="1360"/>
      <c r="KNP26" s="1360"/>
      <c r="KNQ26" s="1360"/>
      <c r="KNR26" s="1360"/>
      <c r="KNS26" s="1360"/>
      <c r="KNT26" s="1360"/>
      <c r="KNU26" s="1360"/>
      <c r="KNV26" s="1360"/>
      <c r="KNW26" s="1360"/>
      <c r="KNX26" s="1360"/>
      <c r="KNY26" s="1360"/>
      <c r="KNZ26" s="1360"/>
      <c r="KOA26" s="1360"/>
      <c r="KOB26" s="1360"/>
      <c r="KOC26" s="1360"/>
      <c r="KOD26" s="1360"/>
      <c r="KOE26" s="1360"/>
      <c r="KOF26" s="1360"/>
      <c r="KOG26" s="1360"/>
      <c r="KOH26" s="1360"/>
      <c r="KOI26" s="1360"/>
      <c r="KOJ26" s="1360"/>
      <c r="KOK26" s="1360"/>
      <c r="KOL26" s="1360"/>
      <c r="KOM26" s="1360"/>
      <c r="KON26" s="1360"/>
      <c r="KOO26" s="1360"/>
      <c r="KOP26" s="1360"/>
      <c r="KOQ26" s="1360"/>
      <c r="KOR26" s="1360"/>
      <c r="KOS26" s="1360"/>
      <c r="KOT26" s="1360"/>
      <c r="KOU26" s="1360"/>
      <c r="KOV26" s="1360"/>
      <c r="KOW26" s="1360"/>
      <c r="KOX26" s="1360"/>
      <c r="KOY26" s="1360"/>
      <c r="KOZ26" s="1360"/>
      <c r="KPA26" s="1360"/>
      <c r="KPB26" s="1360"/>
      <c r="KPC26" s="1360"/>
      <c r="KPD26" s="1360"/>
      <c r="KPE26" s="1360"/>
      <c r="KPF26" s="1360"/>
      <c r="KPG26" s="1360"/>
      <c r="KPH26" s="1360"/>
      <c r="KPI26" s="1360"/>
      <c r="KPJ26" s="1360"/>
      <c r="KPK26" s="1360"/>
      <c r="KPL26" s="1360"/>
      <c r="KPM26" s="1360"/>
      <c r="KPN26" s="1360"/>
      <c r="KPO26" s="1360"/>
      <c r="KPP26" s="1360"/>
      <c r="KPQ26" s="1360"/>
      <c r="KPR26" s="1360"/>
      <c r="KPS26" s="1360"/>
      <c r="KPT26" s="1360"/>
      <c r="KPU26" s="1360"/>
      <c r="KPV26" s="1360"/>
      <c r="KPW26" s="1360"/>
      <c r="KPX26" s="1360"/>
      <c r="KPY26" s="1360"/>
      <c r="KPZ26" s="1360"/>
      <c r="KQA26" s="1360"/>
      <c r="KQB26" s="1360"/>
      <c r="KQC26" s="1360"/>
      <c r="KQD26" s="1360"/>
      <c r="KQE26" s="1360"/>
      <c r="KQF26" s="1360"/>
      <c r="KQG26" s="1360"/>
      <c r="KQH26" s="1360"/>
      <c r="KQI26" s="1360"/>
      <c r="KQJ26" s="1360"/>
      <c r="KQK26" s="1360"/>
      <c r="KQL26" s="1360"/>
      <c r="KQM26" s="1360"/>
      <c r="KQN26" s="1360"/>
      <c r="KQO26" s="1360"/>
      <c r="KQP26" s="1360"/>
      <c r="KQQ26" s="1360"/>
      <c r="KQR26" s="1360"/>
      <c r="KQS26" s="1360"/>
      <c r="KQT26" s="1360"/>
      <c r="KQU26" s="1360"/>
      <c r="KQV26" s="1360"/>
      <c r="KQW26" s="1360"/>
      <c r="KQX26" s="1360"/>
      <c r="KQY26" s="1360"/>
      <c r="KQZ26" s="1360"/>
      <c r="KRA26" s="1360"/>
      <c r="KRB26" s="1360"/>
      <c r="KRC26" s="1360"/>
      <c r="KRD26" s="1360"/>
      <c r="KRE26" s="1360"/>
      <c r="KRF26" s="1360"/>
      <c r="KRG26" s="1360"/>
      <c r="KRH26" s="1360"/>
      <c r="KRI26" s="1360"/>
      <c r="KRJ26" s="1360"/>
      <c r="KRK26" s="1360"/>
      <c r="KRL26" s="1360"/>
      <c r="KRM26" s="1360"/>
      <c r="KRN26" s="1360"/>
      <c r="KRO26" s="1360"/>
      <c r="KRP26" s="1360"/>
      <c r="KRQ26" s="1360"/>
      <c r="KRR26" s="1360"/>
      <c r="KRS26" s="1360"/>
      <c r="KRT26" s="1360"/>
      <c r="KRU26" s="1360"/>
      <c r="KRV26" s="1360"/>
      <c r="KRW26" s="1360"/>
      <c r="KRX26" s="1360"/>
      <c r="KRY26" s="1360"/>
      <c r="KRZ26" s="1360"/>
      <c r="KSA26" s="1360"/>
      <c r="KSB26" s="1360"/>
      <c r="KSC26" s="1360"/>
      <c r="KSD26" s="1360"/>
      <c r="KSE26" s="1360"/>
      <c r="KSF26" s="1360"/>
      <c r="KSG26" s="1360"/>
      <c r="KSH26" s="1360"/>
      <c r="KSI26" s="1360"/>
      <c r="KSJ26" s="1360"/>
      <c r="KSK26" s="1360"/>
      <c r="KSL26" s="1360"/>
      <c r="KSM26" s="1360"/>
      <c r="KSN26" s="1360"/>
      <c r="KSO26" s="1360"/>
      <c r="KSP26" s="1360"/>
      <c r="KSQ26" s="1360"/>
      <c r="KSR26" s="1360"/>
      <c r="KSS26" s="1360"/>
      <c r="KST26" s="1360"/>
      <c r="KSU26" s="1360"/>
      <c r="KSV26" s="1360"/>
      <c r="KSW26" s="1360"/>
      <c r="KSX26" s="1360"/>
      <c r="KSY26" s="1360"/>
      <c r="KSZ26" s="1360"/>
      <c r="KTA26" s="1360"/>
      <c r="KTB26" s="1360"/>
      <c r="KTC26" s="1360"/>
      <c r="KTD26" s="1360"/>
      <c r="KTE26" s="1360"/>
      <c r="KTF26" s="1360"/>
      <c r="KTG26" s="1360"/>
      <c r="KTH26" s="1360"/>
      <c r="KTI26" s="1360"/>
      <c r="KTJ26" s="1360"/>
      <c r="KTK26" s="1360"/>
      <c r="KTL26" s="1360"/>
      <c r="KTM26" s="1360"/>
      <c r="KTN26" s="1360"/>
      <c r="KTO26" s="1360"/>
      <c r="KTP26" s="1360"/>
      <c r="KTQ26" s="1360"/>
      <c r="KTR26" s="1360"/>
      <c r="KTS26" s="1360"/>
      <c r="KTT26" s="1360"/>
      <c r="KTU26" s="1360"/>
      <c r="KTV26" s="1360"/>
      <c r="KTW26" s="1360"/>
      <c r="KTX26" s="1360"/>
      <c r="KTY26" s="1360"/>
      <c r="KTZ26" s="1360"/>
      <c r="KUA26" s="1360"/>
      <c r="KUB26" s="1360"/>
      <c r="KUC26" s="1360"/>
      <c r="KUD26" s="1360"/>
      <c r="KUE26" s="1360"/>
      <c r="KUF26" s="1360"/>
      <c r="KUG26" s="1360"/>
      <c r="KUH26" s="1360"/>
      <c r="KUI26" s="1360"/>
      <c r="KUJ26" s="1360"/>
      <c r="KUK26" s="1360"/>
      <c r="KUL26" s="1360"/>
      <c r="KUM26" s="1360"/>
      <c r="KUN26" s="1360"/>
      <c r="KUO26" s="1360"/>
      <c r="KUP26" s="1360"/>
      <c r="KUQ26" s="1360"/>
      <c r="KUR26" s="1360"/>
      <c r="KUS26" s="1360"/>
      <c r="KUT26" s="1360"/>
      <c r="KUU26" s="1360"/>
      <c r="KUV26" s="1360"/>
      <c r="KUW26" s="1360"/>
      <c r="KUX26" s="1360"/>
      <c r="KUY26" s="1360"/>
      <c r="KUZ26" s="1360"/>
      <c r="KVA26" s="1360"/>
      <c r="KVB26" s="1360"/>
      <c r="KVC26" s="1360"/>
      <c r="KVD26" s="1360"/>
      <c r="KVE26" s="1360"/>
      <c r="KVF26" s="1360"/>
      <c r="KVG26" s="1360"/>
      <c r="KVH26" s="1360"/>
      <c r="KVI26" s="1360"/>
      <c r="KVJ26" s="1360"/>
      <c r="KVK26" s="1360"/>
      <c r="KVL26" s="1360"/>
      <c r="KVM26" s="1360"/>
      <c r="KVN26" s="1360"/>
      <c r="KVO26" s="1360"/>
      <c r="KVP26" s="1360"/>
      <c r="KVQ26" s="1360"/>
      <c r="KVR26" s="1360"/>
      <c r="KVS26" s="1360"/>
      <c r="KVT26" s="1360"/>
      <c r="KVU26" s="1360"/>
      <c r="KVV26" s="1360"/>
      <c r="KVW26" s="1360"/>
      <c r="KVX26" s="1360"/>
      <c r="KVY26" s="1360"/>
      <c r="KVZ26" s="1360"/>
      <c r="KWA26" s="1360"/>
      <c r="KWB26" s="1360"/>
      <c r="KWC26" s="1360"/>
      <c r="KWD26" s="1360"/>
      <c r="KWE26" s="1360"/>
      <c r="KWF26" s="1360"/>
      <c r="KWG26" s="1360"/>
      <c r="KWH26" s="1360"/>
      <c r="KWI26" s="1360"/>
      <c r="KWJ26" s="1360"/>
      <c r="KWK26" s="1360"/>
      <c r="KWL26" s="1360"/>
      <c r="KWM26" s="1360"/>
      <c r="KWN26" s="1360"/>
      <c r="KWO26" s="1360"/>
      <c r="KWP26" s="1360"/>
      <c r="KWQ26" s="1360"/>
      <c r="KWR26" s="1360"/>
      <c r="KWS26" s="1360"/>
      <c r="KWT26" s="1360"/>
      <c r="KWU26" s="1360"/>
      <c r="KWV26" s="1360"/>
      <c r="KWW26" s="1360"/>
      <c r="KWX26" s="1360"/>
      <c r="KWY26" s="1360"/>
      <c r="KWZ26" s="1360"/>
      <c r="KXA26" s="1360"/>
      <c r="KXB26" s="1360"/>
      <c r="KXC26" s="1360"/>
      <c r="KXD26" s="1360"/>
      <c r="KXE26" s="1360"/>
      <c r="KXF26" s="1360"/>
      <c r="KXG26" s="1360"/>
      <c r="KXH26" s="1360"/>
      <c r="KXI26" s="1360"/>
      <c r="KXJ26" s="1360"/>
      <c r="KXK26" s="1360"/>
      <c r="KXL26" s="1360"/>
      <c r="KXM26" s="1360"/>
      <c r="KXN26" s="1360"/>
      <c r="KXO26" s="1360"/>
      <c r="KXP26" s="1360"/>
      <c r="KXQ26" s="1360"/>
      <c r="KXR26" s="1360"/>
      <c r="KXS26" s="1360"/>
      <c r="KXT26" s="1360"/>
      <c r="KXU26" s="1360"/>
      <c r="KXV26" s="1360"/>
      <c r="KXW26" s="1360"/>
      <c r="KXX26" s="1360"/>
      <c r="KXY26" s="1360"/>
      <c r="KXZ26" s="1360"/>
      <c r="KYA26" s="1360"/>
      <c r="KYB26" s="1360"/>
      <c r="KYC26" s="1360"/>
      <c r="KYD26" s="1360"/>
      <c r="KYE26" s="1360"/>
      <c r="KYF26" s="1360"/>
      <c r="KYG26" s="1360"/>
      <c r="KYH26" s="1360"/>
      <c r="KYI26" s="1360"/>
      <c r="KYJ26" s="1360"/>
      <c r="KYK26" s="1360"/>
      <c r="KYL26" s="1360"/>
      <c r="KYM26" s="1360"/>
      <c r="KYN26" s="1360"/>
      <c r="KYO26" s="1360"/>
      <c r="KYP26" s="1360"/>
      <c r="KYQ26" s="1360"/>
      <c r="KYR26" s="1360"/>
      <c r="KYS26" s="1360"/>
      <c r="KYT26" s="1360"/>
      <c r="KYU26" s="1360"/>
      <c r="KYV26" s="1360"/>
      <c r="KYW26" s="1360"/>
      <c r="KYX26" s="1360"/>
      <c r="KYY26" s="1360"/>
      <c r="KYZ26" s="1360"/>
      <c r="KZA26" s="1360"/>
      <c r="KZB26" s="1360"/>
      <c r="KZC26" s="1360"/>
      <c r="KZD26" s="1360"/>
      <c r="KZE26" s="1360"/>
      <c r="KZF26" s="1360"/>
      <c r="KZG26" s="1360"/>
      <c r="KZH26" s="1360"/>
      <c r="KZI26" s="1360"/>
      <c r="KZJ26" s="1360"/>
      <c r="KZK26" s="1360"/>
      <c r="KZL26" s="1360"/>
      <c r="KZM26" s="1360"/>
      <c r="KZN26" s="1360"/>
      <c r="KZO26" s="1360"/>
      <c r="KZP26" s="1360"/>
      <c r="KZQ26" s="1360"/>
      <c r="KZR26" s="1360"/>
      <c r="KZS26" s="1360"/>
      <c r="KZT26" s="1360"/>
      <c r="KZU26" s="1360"/>
      <c r="KZV26" s="1360"/>
      <c r="KZW26" s="1360"/>
      <c r="KZX26" s="1360"/>
      <c r="KZY26" s="1360"/>
      <c r="KZZ26" s="1360"/>
      <c r="LAA26" s="1360"/>
      <c r="LAB26" s="1360"/>
      <c r="LAC26" s="1360"/>
      <c r="LAD26" s="1360"/>
      <c r="LAE26" s="1360"/>
      <c r="LAF26" s="1360"/>
      <c r="LAG26" s="1360"/>
      <c r="LAH26" s="1360"/>
      <c r="LAI26" s="1360"/>
      <c r="LAJ26" s="1360"/>
      <c r="LAK26" s="1360"/>
      <c r="LAL26" s="1360"/>
      <c r="LAM26" s="1360"/>
      <c r="LAN26" s="1360"/>
      <c r="LAO26" s="1360"/>
      <c r="LAP26" s="1360"/>
      <c r="LAQ26" s="1360"/>
      <c r="LAR26" s="1360"/>
      <c r="LAS26" s="1360"/>
      <c r="LAT26" s="1360"/>
      <c r="LAU26" s="1360"/>
      <c r="LAV26" s="1360"/>
      <c r="LAW26" s="1360"/>
      <c r="LAX26" s="1360"/>
      <c r="LAY26" s="1360"/>
      <c r="LAZ26" s="1360"/>
      <c r="LBA26" s="1360"/>
      <c r="LBB26" s="1360"/>
      <c r="LBC26" s="1360"/>
      <c r="LBD26" s="1360"/>
      <c r="LBE26" s="1360"/>
      <c r="LBF26" s="1360"/>
      <c r="LBG26" s="1360"/>
      <c r="LBH26" s="1360"/>
      <c r="LBI26" s="1360"/>
      <c r="LBJ26" s="1360"/>
      <c r="LBK26" s="1360"/>
      <c r="LBL26" s="1360"/>
      <c r="LBM26" s="1360"/>
      <c r="LBN26" s="1360"/>
      <c r="LBO26" s="1360"/>
      <c r="LBP26" s="1360"/>
      <c r="LBQ26" s="1360"/>
      <c r="LBR26" s="1360"/>
      <c r="LBS26" s="1360"/>
      <c r="LBT26" s="1360"/>
      <c r="LBU26" s="1360"/>
      <c r="LBV26" s="1360"/>
      <c r="LBW26" s="1360"/>
      <c r="LBX26" s="1360"/>
      <c r="LBY26" s="1360"/>
      <c r="LBZ26" s="1360"/>
      <c r="LCA26" s="1360"/>
      <c r="LCB26" s="1360"/>
      <c r="LCC26" s="1360"/>
      <c r="LCD26" s="1360"/>
      <c r="LCE26" s="1360"/>
      <c r="LCF26" s="1360"/>
      <c r="LCG26" s="1360"/>
      <c r="LCH26" s="1360"/>
      <c r="LCI26" s="1360"/>
      <c r="LCJ26" s="1360"/>
      <c r="LCK26" s="1360"/>
      <c r="LCL26" s="1360"/>
      <c r="LCM26" s="1360"/>
      <c r="LCN26" s="1360"/>
      <c r="LCO26" s="1360"/>
      <c r="LCP26" s="1360"/>
      <c r="LCQ26" s="1360"/>
      <c r="LCR26" s="1360"/>
      <c r="LCS26" s="1360"/>
      <c r="LCT26" s="1360"/>
      <c r="LCU26" s="1360"/>
      <c r="LCV26" s="1360"/>
      <c r="LCW26" s="1360"/>
      <c r="LCX26" s="1360"/>
      <c r="LCY26" s="1360"/>
      <c r="LCZ26" s="1360"/>
      <c r="LDA26" s="1360"/>
      <c r="LDB26" s="1360"/>
      <c r="LDC26" s="1360"/>
      <c r="LDD26" s="1360"/>
      <c r="LDE26" s="1360"/>
      <c r="LDF26" s="1360"/>
      <c r="LDG26" s="1360"/>
      <c r="LDH26" s="1360"/>
      <c r="LDI26" s="1360"/>
      <c r="LDJ26" s="1360"/>
      <c r="LDK26" s="1360"/>
      <c r="LDL26" s="1360"/>
      <c r="LDM26" s="1360"/>
      <c r="LDN26" s="1360"/>
      <c r="LDO26" s="1360"/>
      <c r="LDP26" s="1360"/>
      <c r="LDQ26" s="1360"/>
      <c r="LDR26" s="1360"/>
      <c r="LDS26" s="1360"/>
      <c r="LDT26" s="1360"/>
      <c r="LDU26" s="1360"/>
      <c r="LDV26" s="1360"/>
      <c r="LDW26" s="1360"/>
      <c r="LDX26" s="1360"/>
      <c r="LDY26" s="1360"/>
      <c r="LDZ26" s="1360"/>
      <c r="LEA26" s="1360"/>
      <c r="LEB26" s="1360"/>
      <c r="LEC26" s="1360"/>
      <c r="LED26" s="1360"/>
      <c r="LEE26" s="1360"/>
      <c r="LEF26" s="1360"/>
      <c r="LEG26" s="1360"/>
      <c r="LEH26" s="1360"/>
      <c r="LEI26" s="1360"/>
      <c r="LEJ26" s="1360"/>
      <c r="LEK26" s="1360"/>
      <c r="LEL26" s="1360"/>
      <c r="LEM26" s="1360"/>
      <c r="LEN26" s="1360"/>
      <c r="LEO26" s="1360"/>
      <c r="LEP26" s="1360"/>
      <c r="LEQ26" s="1360"/>
      <c r="LER26" s="1360"/>
      <c r="LES26" s="1360"/>
      <c r="LET26" s="1360"/>
      <c r="LEU26" s="1360"/>
      <c r="LEV26" s="1360"/>
      <c r="LEW26" s="1360"/>
      <c r="LEX26" s="1360"/>
      <c r="LEY26" s="1360"/>
      <c r="LEZ26" s="1360"/>
      <c r="LFA26" s="1360"/>
      <c r="LFB26" s="1360"/>
      <c r="LFC26" s="1360"/>
      <c r="LFD26" s="1360"/>
      <c r="LFE26" s="1360"/>
      <c r="LFF26" s="1360"/>
      <c r="LFG26" s="1360"/>
      <c r="LFH26" s="1360"/>
      <c r="LFI26" s="1360"/>
      <c r="LFJ26" s="1360"/>
      <c r="LFK26" s="1360"/>
      <c r="LFL26" s="1360"/>
      <c r="LFM26" s="1360"/>
      <c r="LFN26" s="1360"/>
      <c r="LFO26" s="1360"/>
      <c r="LFP26" s="1360"/>
      <c r="LFQ26" s="1360"/>
      <c r="LFR26" s="1360"/>
      <c r="LFS26" s="1360"/>
      <c r="LFT26" s="1360"/>
      <c r="LFU26" s="1360"/>
      <c r="LFV26" s="1360"/>
      <c r="LFW26" s="1360"/>
      <c r="LFX26" s="1360"/>
      <c r="LFY26" s="1360"/>
      <c r="LFZ26" s="1360"/>
      <c r="LGA26" s="1360"/>
      <c r="LGB26" s="1360"/>
      <c r="LGC26" s="1360"/>
      <c r="LGD26" s="1360"/>
      <c r="LGE26" s="1360"/>
      <c r="LGF26" s="1360"/>
      <c r="LGG26" s="1360"/>
      <c r="LGH26" s="1360"/>
      <c r="LGI26" s="1360"/>
      <c r="LGJ26" s="1360"/>
      <c r="LGK26" s="1360"/>
      <c r="LGL26" s="1360"/>
      <c r="LGM26" s="1360"/>
      <c r="LGN26" s="1360"/>
      <c r="LGO26" s="1360"/>
      <c r="LGP26" s="1360"/>
      <c r="LGQ26" s="1360"/>
      <c r="LGR26" s="1360"/>
      <c r="LGS26" s="1360"/>
      <c r="LGT26" s="1360"/>
      <c r="LGU26" s="1360"/>
      <c r="LGV26" s="1360"/>
      <c r="LGW26" s="1360"/>
      <c r="LGX26" s="1360"/>
      <c r="LGY26" s="1360"/>
      <c r="LGZ26" s="1360"/>
      <c r="LHA26" s="1360"/>
      <c r="LHB26" s="1360"/>
      <c r="LHC26" s="1360"/>
      <c r="LHD26" s="1360"/>
      <c r="LHE26" s="1360"/>
      <c r="LHF26" s="1360"/>
      <c r="LHG26" s="1360"/>
      <c r="LHH26" s="1360"/>
      <c r="LHI26" s="1360"/>
      <c r="LHJ26" s="1360"/>
      <c r="LHK26" s="1360"/>
      <c r="LHL26" s="1360"/>
      <c r="LHM26" s="1360"/>
      <c r="LHN26" s="1360"/>
      <c r="LHO26" s="1360"/>
      <c r="LHP26" s="1360"/>
      <c r="LHQ26" s="1360"/>
      <c r="LHR26" s="1360"/>
      <c r="LHS26" s="1360"/>
      <c r="LHT26" s="1360"/>
      <c r="LHU26" s="1360"/>
      <c r="LHV26" s="1360"/>
      <c r="LHW26" s="1360"/>
      <c r="LHX26" s="1360"/>
      <c r="LHY26" s="1360"/>
      <c r="LHZ26" s="1360"/>
      <c r="LIA26" s="1360"/>
      <c r="LIB26" s="1360"/>
      <c r="LIC26" s="1360"/>
      <c r="LID26" s="1360"/>
      <c r="LIE26" s="1360"/>
      <c r="LIF26" s="1360"/>
      <c r="LIG26" s="1360"/>
      <c r="LIH26" s="1360"/>
      <c r="LII26" s="1360"/>
      <c r="LIJ26" s="1360"/>
      <c r="LIK26" s="1360"/>
      <c r="LIL26" s="1360"/>
      <c r="LIM26" s="1360"/>
      <c r="LIN26" s="1360"/>
      <c r="LIO26" s="1360"/>
      <c r="LIP26" s="1360"/>
      <c r="LIQ26" s="1360"/>
      <c r="LIR26" s="1360"/>
      <c r="LIS26" s="1360"/>
      <c r="LIT26" s="1360"/>
      <c r="LIU26" s="1360"/>
      <c r="LIV26" s="1360"/>
      <c r="LIW26" s="1360"/>
      <c r="LIX26" s="1360"/>
      <c r="LIY26" s="1360"/>
      <c r="LIZ26" s="1360"/>
      <c r="LJA26" s="1360"/>
      <c r="LJB26" s="1360"/>
      <c r="LJC26" s="1360"/>
      <c r="LJD26" s="1360"/>
      <c r="LJE26" s="1360"/>
      <c r="LJF26" s="1360"/>
      <c r="LJG26" s="1360"/>
      <c r="LJH26" s="1360"/>
      <c r="LJI26" s="1360"/>
      <c r="LJJ26" s="1360"/>
      <c r="LJK26" s="1360"/>
      <c r="LJL26" s="1360"/>
      <c r="LJM26" s="1360"/>
      <c r="LJN26" s="1360"/>
      <c r="LJO26" s="1360"/>
      <c r="LJP26" s="1360"/>
      <c r="LJQ26" s="1360"/>
      <c r="LJR26" s="1360"/>
      <c r="LJS26" s="1360"/>
      <c r="LJT26" s="1360"/>
      <c r="LJU26" s="1360"/>
      <c r="LJV26" s="1360"/>
      <c r="LJW26" s="1360"/>
      <c r="LJX26" s="1360"/>
      <c r="LJY26" s="1360"/>
      <c r="LJZ26" s="1360"/>
      <c r="LKA26" s="1360"/>
      <c r="LKB26" s="1360"/>
      <c r="LKC26" s="1360"/>
      <c r="LKD26" s="1360"/>
      <c r="LKE26" s="1360"/>
      <c r="LKF26" s="1360"/>
      <c r="LKG26" s="1360"/>
      <c r="LKH26" s="1360"/>
      <c r="LKI26" s="1360"/>
      <c r="LKJ26" s="1360"/>
      <c r="LKK26" s="1360"/>
      <c r="LKL26" s="1360"/>
      <c r="LKM26" s="1360"/>
      <c r="LKN26" s="1360"/>
      <c r="LKO26" s="1360"/>
      <c r="LKP26" s="1360"/>
      <c r="LKQ26" s="1360"/>
      <c r="LKR26" s="1360"/>
      <c r="LKS26" s="1360"/>
      <c r="LKT26" s="1360"/>
      <c r="LKU26" s="1360"/>
      <c r="LKV26" s="1360"/>
      <c r="LKW26" s="1360"/>
      <c r="LKX26" s="1360"/>
      <c r="LKY26" s="1360"/>
      <c r="LKZ26" s="1360"/>
      <c r="LLA26" s="1360"/>
      <c r="LLB26" s="1360"/>
      <c r="LLC26" s="1360"/>
      <c r="LLD26" s="1360"/>
      <c r="LLE26" s="1360"/>
      <c r="LLF26" s="1360"/>
      <c r="LLG26" s="1360"/>
      <c r="LLH26" s="1360"/>
      <c r="LLI26" s="1360"/>
      <c r="LLJ26" s="1360"/>
      <c r="LLK26" s="1360"/>
      <c r="LLL26" s="1360"/>
      <c r="LLM26" s="1360"/>
      <c r="LLN26" s="1360"/>
      <c r="LLO26" s="1360"/>
      <c r="LLP26" s="1360"/>
      <c r="LLQ26" s="1360"/>
      <c r="LLR26" s="1360"/>
      <c r="LLS26" s="1360"/>
      <c r="LLT26" s="1360"/>
      <c r="LLU26" s="1360"/>
      <c r="LLV26" s="1360"/>
      <c r="LLW26" s="1360"/>
      <c r="LLX26" s="1360"/>
      <c r="LLY26" s="1360"/>
      <c r="LLZ26" s="1360"/>
      <c r="LMA26" s="1360"/>
      <c r="LMB26" s="1360"/>
      <c r="LMC26" s="1360"/>
      <c r="LMD26" s="1360"/>
      <c r="LME26" s="1360"/>
      <c r="LMF26" s="1360"/>
      <c r="LMG26" s="1360"/>
      <c r="LMH26" s="1360"/>
      <c r="LMI26" s="1360"/>
      <c r="LMJ26" s="1360"/>
      <c r="LMK26" s="1360"/>
      <c r="LML26" s="1360"/>
      <c r="LMM26" s="1360"/>
      <c r="LMN26" s="1360"/>
      <c r="LMO26" s="1360"/>
      <c r="LMP26" s="1360"/>
      <c r="LMQ26" s="1360"/>
      <c r="LMR26" s="1360"/>
      <c r="LMS26" s="1360"/>
      <c r="LMT26" s="1360"/>
      <c r="LMU26" s="1360"/>
      <c r="LMV26" s="1360"/>
      <c r="LMW26" s="1360"/>
      <c r="LMX26" s="1360"/>
      <c r="LMY26" s="1360"/>
      <c r="LMZ26" s="1360"/>
      <c r="LNA26" s="1360"/>
      <c r="LNB26" s="1360"/>
      <c r="LNC26" s="1360"/>
      <c r="LND26" s="1360"/>
      <c r="LNE26" s="1360"/>
      <c r="LNF26" s="1360"/>
      <c r="LNG26" s="1360"/>
      <c r="LNH26" s="1360"/>
      <c r="LNI26" s="1360"/>
      <c r="LNJ26" s="1360"/>
      <c r="LNK26" s="1360"/>
      <c r="LNL26" s="1360"/>
      <c r="LNM26" s="1360"/>
      <c r="LNN26" s="1360"/>
      <c r="LNO26" s="1360"/>
      <c r="LNP26" s="1360"/>
      <c r="LNQ26" s="1360"/>
      <c r="LNR26" s="1360"/>
      <c r="LNS26" s="1360"/>
      <c r="LNT26" s="1360"/>
      <c r="LNU26" s="1360"/>
      <c r="LNV26" s="1360"/>
      <c r="LNW26" s="1360"/>
      <c r="LNX26" s="1360"/>
      <c r="LNY26" s="1360"/>
      <c r="LNZ26" s="1360"/>
      <c r="LOA26" s="1360"/>
      <c r="LOB26" s="1360"/>
      <c r="LOC26" s="1360"/>
      <c r="LOD26" s="1360"/>
      <c r="LOE26" s="1360"/>
      <c r="LOF26" s="1360"/>
      <c r="LOG26" s="1360"/>
      <c r="LOH26" s="1360"/>
      <c r="LOI26" s="1360"/>
      <c r="LOJ26" s="1360"/>
      <c r="LOK26" s="1360"/>
      <c r="LOL26" s="1360"/>
      <c r="LOM26" s="1360"/>
      <c r="LON26" s="1360"/>
      <c r="LOO26" s="1360"/>
      <c r="LOP26" s="1360"/>
      <c r="LOQ26" s="1360"/>
      <c r="LOR26" s="1360"/>
      <c r="LOS26" s="1360"/>
      <c r="LOT26" s="1360"/>
      <c r="LOU26" s="1360"/>
      <c r="LOV26" s="1360"/>
      <c r="LOW26" s="1360"/>
      <c r="LOX26" s="1360"/>
      <c r="LOY26" s="1360"/>
      <c r="LOZ26" s="1360"/>
      <c r="LPA26" s="1360"/>
      <c r="LPB26" s="1360"/>
      <c r="LPC26" s="1360"/>
      <c r="LPD26" s="1360"/>
      <c r="LPE26" s="1360"/>
      <c r="LPF26" s="1360"/>
      <c r="LPG26" s="1360"/>
      <c r="LPH26" s="1360"/>
      <c r="LPI26" s="1360"/>
      <c r="LPJ26" s="1360"/>
      <c r="LPK26" s="1360"/>
      <c r="LPL26" s="1360"/>
      <c r="LPM26" s="1360"/>
      <c r="LPN26" s="1360"/>
      <c r="LPO26" s="1360"/>
      <c r="LPP26" s="1360"/>
      <c r="LPQ26" s="1360"/>
      <c r="LPR26" s="1360"/>
      <c r="LPS26" s="1360"/>
      <c r="LPT26" s="1360"/>
      <c r="LPU26" s="1360"/>
      <c r="LPV26" s="1360"/>
      <c r="LPW26" s="1360"/>
      <c r="LPX26" s="1360"/>
      <c r="LPY26" s="1360"/>
      <c r="LPZ26" s="1360"/>
      <c r="LQA26" s="1360"/>
      <c r="LQB26" s="1360"/>
      <c r="LQC26" s="1360"/>
      <c r="LQD26" s="1360"/>
      <c r="LQE26" s="1360"/>
      <c r="LQF26" s="1360"/>
      <c r="LQG26" s="1360"/>
      <c r="LQH26" s="1360"/>
      <c r="LQI26" s="1360"/>
      <c r="LQJ26" s="1360"/>
      <c r="LQK26" s="1360"/>
      <c r="LQL26" s="1360"/>
      <c r="LQM26" s="1360"/>
      <c r="LQN26" s="1360"/>
      <c r="LQO26" s="1360"/>
      <c r="LQP26" s="1360"/>
      <c r="LQQ26" s="1360"/>
      <c r="LQR26" s="1360"/>
      <c r="LQS26" s="1360"/>
      <c r="LQT26" s="1360"/>
      <c r="LQU26" s="1360"/>
      <c r="LQV26" s="1360"/>
      <c r="LQW26" s="1360"/>
      <c r="LQX26" s="1360"/>
      <c r="LQY26" s="1360"/>
      <c r="LQZ26" s="1360"/>
      <c r="LRA26" s="1360"/>
      <c r="LRB26" s="1360"/>
      <c r="LRC26" s="1360"/>
      <c r="LRD26" s="1360"/>
      <c r="LRE26" s="1360"/>
      <c r="LRF26" s="1360"/>
      <c r="LRG26" s="1360"/>
      <c r="LRH26" s="1360"/>
      <c r="LRI26" s="1360"/>
      <c r="LRJ26" s="1360"/>
      <c r="LRK26" s="1360"/>
      <c r="LRL26" s="1360"/>
      <c r="LRM26" s="1360"/>
      <c r="LRN26" s="1360"/>
      <c r="LRO26" s="1360"/>
      <c r="LRP26" s="1360"/>
      <c r="LRQ26" s="1360"/>
      <c r="LRR26" s="1360"/>
      <c r="LRS26" s="1360"/>
      <c r="LRT26" s="1360"/>
      <c r="LRU26" s="1360"/>
      <c r="LRV26" s="1360"/>
      <c r="LRW26" s="1360"/>
      <c r="LRX26" s="1360"/>
      <c r="LRY26" s="1360"/>
      <c r="LRZ26" s="1360"/>
      <c r="LSA26" s="1360"/>
      <c r="LSB26" s="1360"/>
      <c r="LSC26" s="1360"/>
      <c r="LSD26" s="1360"/>
      <c r="LSE26" s="1360"/>
      <c r="LSF26" s="1360"/>
      <c r="LSG26" s="1360"/>
      <c r="LSH26" s="1360"/>
      <c r="LSI26" s="1360"/>
      <c r="LSJ26" s="1360"/>
      <c r="LSK26" s="1360"/>
      <c r="LSL26" s="1360"/>
      <c r="LSM26" s="1360"/>
      <c r="LSN26" s="1360"/>
      <c r="LSO26" s="1360"/>
      <c r="LSP26" s="1360"/>
      <c r="LSQ26" s="1360"/>
      <c r="LSR26" s="1360"/>
      <c r="LSS26" s="1360"/>
      <c r="LST26" s="1360"/>
      <c r="LSU26" s="1360"/>
      <c r="LSV26" s="1360"/>
      <c r="LSW26" s="1360"/>
      <c r="LSX26" s="1360"/>
      <c r="LSY26" s="1360"/>
      <c r="LSZ26" s="1360"/>
      <c r="LTA26" s="1360"/>
      <c r="LTB26" s="1360"/>
      <c r="LTC26" s="1360"/>
      <c r="LTD26" s="1360"/>
      <c r="LTE26" s="1360"/>
      <c r="LTF26" s="1360"/>
      <c r="LTG26" s="1360"/>
      <c r="LTH26" s="1360"/>
      <c r="LTI26" s="1360"/>
      <c r="LTJ26" s="1360"/>
      <c r="LTK26" s="1360"/>
      <c r="LTL26" s="1360"/>
      <c r="LTM26" s="1360"/>
      <c r="LTN26" s="1360"/>
      <c r="LTO26" s="1360"/>
      <c r="LTP26" s="1360"/>
      <c r="LTQ26" s="1360"/>
      <c r="LTR26" s="1360"/>
      <c r="LTS26" s="1360"/>
      <c r="LTT26" s="1360"/>
      <c r="LTU26" s="1360"/>
      <c r="LTV26" s="1360"/>
      <c r="LTW26" s="1360"/>
      <c r="LTX26" s="1360"/>
      <c r="LTY26" s="1360"/>
      <c r="LTZ26" s="1360"/>
      <c r="LUA26" s="1360"/>
      <c r="LUB26" s="1360"/>
      <c r="LUC26" s="1360"/>
      <c r="LUD26" s="1360"/>
      <c r="LUE26" s="1360"/>
      <c r="LUF26" s="1360"/>
      <c r="LUG26" s="1360"/>
      <c r="LUH26" s="1360"/>
      <c r="LUI26" s="1360"/>
      <c r="LUJ26" s="1360"/>
      <c r="LUK26" s="1360"/>
      <c r="LUL26" s="1360"/>
      <c r="LUM26" s="1360"/>
      <c r="LUN26" s="1360"/>
      <c r="LUO26" s="1360"/>
      <c r="LUP26" s="1360"/>
      <c r="LUQ26" s="1360"/>
      <c r="LUR26" s="1360"/>
      <c r="LUS26" s="1360"/>
      <c r="LUT26" s="1360"/>
      <c r="LUU26" s="1360"/>
      <c r="LUV26" s="1360"/>
      <c r="LUW26" s="1360"/>
      <c r="LUX26" s="1360"/>
      <c r="LUY26" s="1360"/>
      <c r="LUZ26" s="1360"/>
      <c r="LVA26" s="1360"/>
      <c r="LVB26" s="1360"/>
      <c r="LVC26" s="1360"/>
      <c r="LVD26" s="1360"/>
      <c r="LVE26" s="1360"/>
      <c r="LVF26" s="1360"/>
      <c r="LVG26" s="1360"/>
      <c r="LVH26" s="1360"/>
      <c r="LVI26" s="1360"/>
      <c r="LVJ26" s="1360"/>
      <c r="LVK26" s="1360"/>
      <c r="LVL26" s="1360"/>
      <c r="LVM26" s="1360"/>
      <c r="LVN26" s="1360"/>
      <c r="LVO26" s="1360"/>
      <c r="LVP26" s="1360"/>
      <c r="LVQ26" s="1360"/>
      <c r="LVR26" s="1360"/>
      <c r="LVS26" s="1360"/>
      <c r="LVT26" s="1360"/>
      <c r="LVU26" s="1360"/>
      <c r="LVV26" s="1360"/>
      <c r="LVW26" s="1360"/>
      <c r="LVX26" s="1360"/>
      <c r="LVY26" s="1360"/>
      <c r="LVZ26" s="1360"/>
      <c r="LWA26" s="1360"/>
      <c r="LWB26" s="1360"/>
      <c r="LWC26" s="1360"/>
      <c r="LWD26" s="1360"/>
      <c r="LWE26" s="1360"/>
      <c r="LWF26" s="1360"/>
      <c r="LWG26" s="1360"/>
      <c r="LWH26" s="1360"/>
      <c r="LWI26" s="1360"/>
      <c r="LWJ26" s="1360"/>
      <c r="LWK26" s="1360"/>
      <c r="LWL26" s="1360"/>
      <c r="LWM26" s="1360"/>
      <c r="LWN26" s="1360"/>
      <c r="LWO26" s="1360"/>
      <c r="LWP26" s="1360"/>
      <c r="LWQ26" s="1360"/>
      <c r="LWR26" s="1360"/>
      <c r="LWS26" s="1360"/>
      <c r="LWT26" s="1360"/>
      <c r="LWU26" s="1360"/>
      <c r="LWV26" s="1360"/>
      <c r="LWW26" s="1360"/>
      <c r="LWX26" s="1360"/>
      <c r="LWY26" s="1360"/>
      <c r="LWZ26" s="1360"/>
      <c r="LXA26" s="1360"/>
      <c r="LXB26" s="1360"/>
      <c r="LXC26" s="1360"/>
      <c r="LXD26" s="1360"/>
      <c r="LXE26" s="1360"/>
      <c r="LXF26" s="1360"/>
      <c r="LXG26" s="1360"/>
      <c r="LXH26" s="1360"/>
      <c r="LXI26" s="1360"/>
      <c r="LXJ26" s="1360"/>
      <c r="LXK26" s="1360"/>
      <c r="LXL26" s="1360"/>
      <c r="LXM26" s="1360"/>
      <c r="LXN26" s="1360"/>
      <c r="LXO26" s="1360"/>
      <c r="LXP26" s="1360"/>
      <c r="LXQ26" s="1360"/>
      <c r="LXR26" s="1360"/>
      <c r="LXS26" s="1360"/>
      <c r="LXT26" s="1360"/>
      <c r="LXU26" s="1360"/>
      <c r="LXV26" s="1360"/>
      <c r="LXW26" s="1360"/>
      <c r="LXX26" s="1360"/>
      <c r="LXY26" s="1360"/>
      <c r="LXZ26" s="1360"/>
      <c r="LYA26" s="1360"/>
      <c r="LYB26" s="1360"/>
      <c r="LYC26" s="1360"/>
      <c r="LYD26" s="1360"/>
      <c r="LYE26" s="1360"/>
      <c r="LYF26" s="1360"/>
      <c r="LYG26" s="1360"/>
      <c r="LYH26" s="1360"/>
      <c r="LYI26" s="1360"/>
      <c r="LYJ26" s="1360"/>
      <c r="LYK26" s="1360"/>
      <c r="LYL26" s="1360"/>
      <c r="LYM26" s="1360"/>
      <c r="LYN26" s="1360"/>
      <c r="LYO26" s="1360"/>
      <c r="LYP26" s="1360"/>
      <c r="LYQ26" s="1360"/>
      <c r="LYR26" s="1360"/>
      <c r="LYS26" s="1360"/>
      <c r="LYT26" s="1360"/>
      <c r="LYU26" s="1360"/>
      <c r="LYV26" s="1360"/>
      <c r="LYW26" s="1360"/>
      <c r="LYX26" s="1360"/>
      <c r="LYY26" s="1360"/>
      <c r="LYZ26" s="1360"/>
      <c r="LZA26" s="1360"/>
      <c r="LZB26" s="1360"/>
      <c r="LZC26" s="1360"/>
      <c r="LZD26" s="1360"/>
      <c r="LZE26" s="1360"/>
      <c r="LZF26" s="1360"/>
      <c r="LZG26" s="1360"/>
      <c r="LZH26" s="1360"/>
      <c r="LZI26" s="1360"/>
      <c r="LZJ26" s="1360"/>
      <c r="LZK26" s="1360"/>
      <c r="LZL26" s="1360"/>
      <c r="LZM26" s="1360"/>
      <c r="LZN26" s="1360"/>
      <c r="LZO26" s="1360"/>
      <c r="LZP26" s="1360"/>
      <c r="LZQ26" s="1360"/>
      <c r="LZR26" s="1360"/>
      <c r="LZS26" s="1360"/>
      <c r="LZT26" s="1360"/>
      <c r="LZU26" s="1360"/>
      <c r="LZV26" s="1360"/>
      <c r="LZW26" s="1360"/>
      <c r="LZX26" s="1360"/>
      <c r="LZY26" s="1360"/>
      <c r="LZZ26" s="1360"/>
      <c r="MAA26" s="1360"/>
      <c r="MAB26" s="1360"/>
      <c r="MAC26" s="1360"/>
      <c r="MAD26" s="1360"/>
      <c r="MAE26" s="1360"/>
      <c r="MAF26" s="1360"/>
      <c r="MAG26" s="1360"/>
      <c r="MAH26" s="1360"/>
      <c r="MAI26" s="1360"/>
      <c r="MAJ26" s="1360"/>
      <c r="MAK26" s="1360"/>
      <c r="MAL26" s="1360"/>
      <c r="MAM26" s="1360"/>
      <c r="MAN26" s="1360"/>
      <c r="MAO26" s="1360"/>
      <c r="MAP26" s="1360"/>
      <c r="MAQ26" s="1360"/>
      <c r="MAR26" s="1360"/>
      <c r="MAS26" s="1360"/>
      <c r="MAT26" s="1360"/>
      <c r="MAU26" s="1360"/>
      <c r="MAV26" s="1360"/>
      <c r="MAW26" s="1360"/>
      <c r="MAX26" s="1360"/>
      <c r="MAY26" s="1360"/>
      <c r="MAZ26" s="1360"/>
      <c r="MBA26" s="1360"/>
      <c r="MBB26" s="1360"/>
      <c r="MBC26" s="1360"/>
      <c r="MBD26" s="1360"/>
      <c r="MBE26" s="1360"/>
      <c r="MBF26" s="1360"/>
      <c r="MBG26" s="1360"/>
      <c r="MBH26" s="1360"/>
      <c r="MBI26" s="1360"/>
      <c r="MBJ26" s="1360"/>
      <c r="MBK26" s="1360"/>
      <c r="MBL26" s="1360"/>
      <c r="MBM26" s="1360"/>
      <c r="MBN26" s="1360"/>
      <c r="MBO26" s="1360"/>
      <c r="MBP26" s="1360"/>
      <c r="MBQ26" s="1360"/>
      <c r="MBR26" s="1360"/>
      <c r="MBS26" s="1360"/>
      <c r="MBT26" s="1360"/>
      <c r="MBU26" s="1360"/>
      <c r="MBV26" s="1360"/>
      <c r="MBW26" s="1360"/>
      <c r="MBX26" s="1360"/>
      <c r="MBY26" s="1360"/>
      <c r="MBZ26" s="1360"/>
      <c r="MCA26" s="1360"/>
      <c r="MCB26" s="1360"/>
      <c r="MCC26" s="1360"/>
      <c r="MCD26" s="1360"/>
      <c r="MCE26" s="1360"/>
      <c r="MCF26" s="1360"/>
      <c r="MCG26" s="1360"/>
      <c r="MCH26" s="1360"/>
      <c r="MCI26" s="1360"/>
      <c r="MCJ26" s="1360"/>
      <c r="MCK26" s="1360"/>
      <c r="MCL26" s="1360"/>
      <c r="MCM26" s="1360"/>
      <c r="MCN26" s="1360"/>
      <c r="MCO26" s="1360"/>
      <c r="MCP26" s="1360"/>
      <c r="MCQ26" s="1360"/>
      <c r="MCR26" s="1360"/>
      <c r="MCS26" s="1360"/>
      <c r="MCT26" s="1360"/>
      <c r="MCU26" s="1360"/>
      <c r="MCV26" s="1360"/>
      <c r="MCW26" s="1360"/>
      <c r="MCX26" s="1360"/>
      <c r="MCY26" s="1360"/>
      <c r="MCZ26" s="1360"/>
      <c r="MDA26" s="1360"/>
      <c r="MDB26" s="1360"/>
      <c r="MDC26" s="1360"/>
      <c r="MDD26" s="1360"/>
      <c r="MDE26" s="1360"/>
      <c r="MDF26" s="1360"/>
      <c r="MDG26" s="1360"/>
      <c r="MDH26" s="1360"/>
      <c r="MDI26" s="1360"/>
      <c r="MDJ26" s="1360"/>
      <c r="MDK26" s="1360"/>
      <c r="MDL26" s="1360"/>
      <c r="MDM26" s="1360"/>
      <c r="MDN26" s="1360"/>
      <c r="MDO26" s="1360"/>
      <c r="MDP26" s="1360"/>
      <c r="MDQ26" s="1360"/>
      <c r="MDR26" s="1360"/>
      <c r="MDS26" s="1360"/>
      <c r="MDT26" s="1360"/>
      <c r="MDU26" s="1360"/>
      <c r="MDV26" s="1360"/>
      <c r="MDW26" s="1360"/>
      <c r="MDX26" s="1360"/>
      <c r="MDY26" s="1360"/>
      <c r="MDZ26" s="1360"/>
      <c r="MEA26" s="1360"/>
      <c r="MEB26" s="1360"/>
      <c r="MEC26" s="1360"/>
      <c r="MED26" s="1360"/>
      <c r="MEE26" s="1360"/>
      <c r="MEF26" s="1360"/>
      <c r="MEG26" s="1360"/>
      <c r="MEH26" s="1360"/>
      <c r="MEI26" s="1360"/>
      <c r="MEJ26" s="1360"/>
      <c r="MEK26" s="1360"/>
      <c r="MEL26" s="1360"/>
      <c r="MEM26" s="1360"/>
      <c r="MEN26" s="1360"/>
      <c r="MEO26" s="1360"/>
      <c r="MEP26" s="1360"/>
      <c r="MEQ26" s="1360"/>
      <c r="MER26" s="1360"/>
      <c r="MES26" s="1360"/>
      <c r="MET26" s="1360"/>
      <c r="MEU26" s="1360"/>
      <c r="MEV26" s="1360"/>
      <c r="MEW26" s="1360"/>
      <c r="MEX26" s="1360"/>
      <c r="MEY26" s="1360"/>
      <c r="MEZ26" s="1360"/>
      <c r="MFA26" s="1360"/>
      <c r="MFB26" s="1360"/>
      <c r="MFC26" s="1360"/>
      <c r="MFD26" s="1360"/>
      <c r="MFE26" s="1360"/>
      <c r="MFF26" s="1360"/>
      <c r="MFG26" s="1360"/>
      <c r="MFH26" s="1360"/>
      <c r="MFI26" s="1360"/>
      <c r="MFJ26" s="1360"/>
      <c r="MFK26" s="1360"/>
      <c r="MFL26" s="1360"/>
      <c r="MFM26" s="1360"/>
      <c r="MFN26" s="1360"/>
      <c r="MFO26" s="1360"/>
      <c r="MFP26" s="1360"/>
      <c r="MFQ26" s="1360"/>
      <c r="MFR26" s="1360"/>
      <c r="MFS26" s="1360"/>
      <c r="MFT26" s="1360"/>
      <c r="MFU26" s="1360"/>
      <c r="MFV26" s="1360"/>
      <c r="MFW26" s="1360"/>
      <c r="MFX26" s="1360"/>
      <c r="MFY26" s="1360"/>
      <c r="MFZ26" s="1360"/>
      <c r="MGA26" s="1360"/>
      <c r="MGB26" s="1360"/>
      <c r="MGC26" s="1360"/>
      <c r="MGD26" s="1360"/>
      <c r="MGE26" s="1360"/>
      <c r="MGF26" s="1360"/>
      <c r="MGG26" s="1360"/>
      <c r="MGH26" s="1360"/>
      <c r="MGI26" s="1360"/>
      <c r="MGJ26" s="1360"/>
      <c r="MGK26" s="1360"/>
      <c r="MGL26" s="1360"/>
      <c r="MGM26" s="1360"/>
      <c r="MGN26" s="1360"/>
      <c r="MGO26" s="1360"/>
      <c r="MGP26" s="1360"/>
      <c r="MGQ26" s="1360"/>
      <c r="MGR26" s="1360"/>
      <c r="MGS26" s="1360"/>
      <c r="MGT26" s="1360"/>
      <c r="MGU26" s="1360"/>
      <c r="MGV26" s="1360"/>
      <c r="MGW26" s="1360"/>
      <c r="MGX26" s="1360"/>
      <c r="MGY26" s="1360"/>
      <c r="MGZ26" s="1360"/>
      <c r="MHA26" s="1360"/>
      <c r="MHB26" s="1360"/>
      <c r="MHC26" s="1360"/>
      <c r="MHD26" s="1360"/>
      <c r="MHE26" s="1360"/>
      <c r="MHF26" s="1360"/>
      <c r="MHG26" s="1360"/>
      <c r="MHH26" s="1360"/>
      <c r="MHI26" s="1360"/>
      <c r="MHJ26" s="1360"/>
      <c r="MHK26" s="1360"/>
      <c r="MHL26" s="1360"/>
      <c r="MHM26" s="1360"/>
      <c r="MHN26" s="1360"/>
      <c r="MHO26" s="1360"/>
      <c r="MHP26" s="1360"/>
      <c r="MHQ26" s="1360"/>
      <c r="MHR26" s="1360"/>
      <c r="MHS26" s="1360"/>
      <c r="MHT26" s="1360"/>
      <c r="MHU26" s="1360"/>
      <c r="MHV26" s="1360"/>
      <c r="MHW26" s="1360"/>
      <c r="MHX26" s="1360"/>
      <c r="MHY26" s="1360"/>
      <c r="MHZ26" s="1360"/>
      <c r="MIA26" s="1360"/>
      <c r="MIB26" s="1360"/>
      <c r="MIC26" s="1360"/>
      <c r="MID26" s="1360"/>
      <c r="MIE26" s="1360"/>
      <c r="MIF26" s="1360"/>
      <c r="MIG26" s="1360"/>
      <c r="MIH26" s="1360"/>
      <c r="MII26" s="1360"/>
      <c r="MIJ26" s="1360"/>
      <c r="MIK26" s="1360"/>
      <c r="MIL26" s="1360"/>
      <c r="MIM26" s="1360"/>
      <c r="MIN26" s="1360"/>
      <c r="MIO26" s="1360"/>
      <c r="MIP26" s="1360"/>
      <c r="MIQ26" s="1360"/>
      <c r="MIR26" s="1360"/>
      <c r="MIS26" s="1360"/>
      <c r="MIT26" s="1360"/>
      <c r="MIU26" s="1360"/>
      <c r="MIV26" s="1360"/>
      <c r="MIW26" s="1360"/>
      <c r="MIX26" s="1360"/>
      <c r="MIY26" s="1360"/>
      <c r="MIZ26" s="1360"/>
      <c r="MJA26" s="1360"/>
      <c r="MJB26" s="1360"/>
      <c r="MJC26" s="1360"/>
      <c r="MJD26" s="1360"/>
      <c r="MJE26" s="1360"/>
      <c r="MJF26" s="1360"/>
      <c r="MJG26" s="1360"/>
      <c r="MJH26" s="1360"/>
      <c r="MJI26" s="1360"/>
      <c r="MJJ26" s="1360"/>
      <c r="MJK26" s="1360"/>
      <c r="MJL26" s="1360"/>
      <c r="MJM26" s="1360"/>
      <c r="MJN26" s="1360"/>
      <c r="MJO26" s="1360"/>
      <c r="MJP26" s="1360"/>
      <c r="MJQ26" s="1360"/>
      <c r="MJR26" s="1360"/>
      <c r="MJS26" s="1360"/>
      <c r="MJT26" s="1360"/>
      <c r="MJU26" s="1360"/>
      <c r="MJV26" s="1360"/>
      <c r="MJW26" s="1360"/>
      <c r="MJX26" s="1360"/>
      <c r="MJY26" s="1360"/>
      <c r="MJZ26" s="1360"/>
      <c r="MKA26" s="1360"/>
      <c r="MKB26" s="1360"/>
      <c r="MKC26" s="1360"/>
      <c r="MKD26" s="1360"/>
      <c r="MKE26" s="1360"/>
      <c r="MKF26" s="1360"/>
      <c r="MKG26" s="1360"/>
      <c r="MKH26" s="1360"/>
      <c r="MKI26" s="1360"/>
      <c r="MKJ26" s="1360"/>
      <c r="MKK26" s="1360"/>
      <c r="MKL26" s="1360"/>
      <c r="MKM26" s="1360"/>
      <c r="MKN26" s="1360"/>
      <c r="MKO26" s="1360"/>
      <c r="MKP26" s="1360"/>
      <c r="MKQ26" s="1360"/>
      <c r="MKR26" s="1360"/>
      <c r="MKS26" s="1360"/>
      <c r="MKT26" s="1360"/>
      <c r="MKU26" s="1360"/>
      <c r="MKV26" s="1360"/>
      <c r="MKW26" s="1360"/>
      <c r="MKX26" s="1360"/>
      <c r="MKY26" s="1360"/>
      <c r="MKZ26" s="1360"/>
      <c r="MLA26" s="1360"/>
      <c r="MLB26" s="1360"/>
      <c r="MLC26" s="1360"/>
      <c r="MLD26" s="1360"/>
      <c r="MLE26" s="1360"/>
      <c r="MLF26" s="1360"/>
      <c r="MLG26" s="1360"/>
      <c r="MLH26" s="1360"/>
      <c r="MLI26" s="1360"/>
      <c r="MLJ26" s="1360"/>
      <c r="MLK26" s="1360"/>
      <c r="MLL26" s="1360"/>
      <c r="MLM26" s="1360"/>
      <c r="MLN26" s="1360"/>
      <c r="MLO26" s="1360"/>
      <c r="MLP26" s="1360"/>
      <c r="MLQ26" s="1360"/>
      <c r="MLR26" s="1360"/>
      <c r="MLS26" s="1360"/>
      <c r="MLT26" s="1360"/>
      <c r="MLU26" s="1360"/>
      <c r="MLV26" s="1360"/>
      <c r="MLW26" s="1360"/>
      <c r="MLX26" s="1360"/>
      <c r="MLY26" s="1360"/>
      <c r="MLZ26" s="1360"/>
      <c r="MMA26" s="1360"/>
      <c r="MMB26" s="1360"/>
      <c r="MMC26" s="1360"/>
      <c r="MMD26" s="1360"/>
      <c r="MME26" s="1360"/>
      <c r="MMF26" s="1360"/>
      <c r="MMG26" s="1360"/>
      <c r="MMH26" s="1360"/>
      <c r="MMI26" s="1360"/>
      <c r="MMJ26" s="1360"/>
      <c r="MMK26" s="1360"/>
      <c r="MML26" s="1360"/>
      <c r="MMM26" s="1360"/>
      <c r="MMN26" s="1360"/>
      <c r="MMO26" s="1360"/>
      <c r="MMP26" s="1360"/>
      <c r="MMQ26" s="1360"/>
      <c r="MMR26" s="1360"/>
      <c r="MMS26" s="1360"/>
      <c r="MMT26" s="1360"/>
      <c r="MMU26" s="1360"/>
      <c r="MMV26" s="1360"/>
      <c r="MMW26" s="1360"/>
      <c r="MMX26" s="1360"/>
      <c r="MMY26" s="1360"/>
      <c r="MMZ26" s="1360"/>
      <c r="MNA26" s="1360"/>
      <c r="MNB26" s="1360"/>
      <c r="MNC26" s="1360"/>
      <c r="MND26" s="1360"/>
      <c r="MNE26" s="1360"/>
      <c r="MNF26" s="1360"/>
      <c r="MNG26" s="1360"/>
      <c r="MNH26" s="1360"/>
      <c r="MNI26" s="1360"/>
      <c r="MNJ26" s="1360"/>
      <c r="MNK26" s="1360"/>
      <c r="MNL26" s="1360"/>
      <c r="MNM26" s="1360"/>
      <c r="MNN26" s="1360"/>
      <c r="MNO26" s="1360"/>
      <c r="MNP26" s="1360"/>
      <c r="MNQ26" s="1360"/>
      <c r="MNR26" s="1360"/>
      <c r="MNS26" s="1360"/>
      <c r="MNT26" s="1360"/>
      <c r="MNU26" s="1360"/>
      <c r="MNV26" s="1360"/>
      <c r="MNW26" s="1360"/>
      <c r="MNX26" s="1360"/>
      <c r="MNY26" s="1360"/>
      <c r="MNZ26" s="1360"/>
      <c r="MOA26" s="1360"/>
      <c r="MOB26" s="1360"/>
      <c r="MOC26" s="1360"/>
      <c r="MOD26" s="1360"/>
      <c r="MOE26" s="1360"/>
      <c r="MOF26" s="1360"/>
      <c r="MOG26" s="1360"/>
      <c r="MOH26" s="1360"/>
      <c r="MOI26" s="1360"/>
      <c r="MOJ26" s="1360"/>
      <c r="MOK26" s="1360"/>
      <c r="MOL26" s="1360"/>
      <c r="MOM26" s="1360"/>
      <c r="MON26" s="1360"/>
      <c r="MOO26" s="1360"/>
      <c r="MOP26" s="1360"/>
      <c r="MOQ26" s="1360"/>
      <c r="MOR26" s="1360"/>
      <c r="MOS26" s="1360"/>
      <c r="MOT26" s="1360"/>
      <c r="MOU26" s="1360"/>
      <c r="MOV26" s="1360"/>
      <c r="MOW26" s="1360"/>
      <c r="MOX26" s="1360"/>
      <c r="MOY26" s="1360"/>
      <c r="MOZ26" s="1360"/>
      <c r="MPA26" s="1360"/>
      <c r="MPB26" s="1360"/>
      <c r="MPC26" s="1360"/>
      <c r="MPD26" s="1360"/>
      <c r="MPE26" s="1360"/>
      <c r="MPF26" s="1360"/>
      <c r="MPG26" s="1360"/>
      <c r="MPH26" s="1360"/>
      <c r="MPI26" s="1360"/>
      <c r="MPJ26" s="1360"/>
      <c r="MPK26" s="1360"/>
      <c r="MPL26" s="1360"/>
      <c r="MPM26" s="1360"/>
      <c r="MPN26" s="1360"/>
      <c r="MPO26" s="1360"/>
      <c r="MPP26" s="1360"/>
      <c r="MPQ26" s="1360"/>
      <c r="MPR26" s="1360"/>
      <c r="MPS26" s="1360"/>
      <c r="MPT26" s="1360"/>
      <c r="MPU26" s="1360"/>
      <c r="MPV26" s="1360"/>
      <c r="MPW26" s="1360"/>
      <c r="MPX26" s="1360"/>
      <c r="MPY26" s="1360"/>
      <c r="MPZ26" s="1360"/>
      <c r="MQA26" s="1360"/>
      <c r="MQB26" s="1360"/>
      <c r="MQC26" s="1360"/>
      <c r="MQD26" s="1360"/>
      <c r="MQE26" s="1360"/>
      <c r="MQF26" s="1360"/>
      <c r="MQG26" s="1360"/>
      <c r="MQH26" s="1360"/>
      <c r="MQI26" s="1360"/>
      <c r="MQJ26" s="1360"/>
      <c r="MQK26" s="1360"/>
      <c r="MQL26" s="1360"/>
      <c r="MQM26" s="1360"/>
      <c r="MQN26" s="1360"/>
      <c r="MQO26" s="1360"/>
      <c r="MQP26" s="1360"/>
      <c r="MQQ26" s="1360"/>
      <c r="MQR26" s="1360"/>
      <c r="MQS26" s="1360"/>
      <c r="MQT26" s="1360"/>
      <c r="MQU26" s="1360"/>
      <c r="MQV26" s="1360"/>
      <c r="MQW26" s="1360"/>
      <c r="MQX26" s="1360"/>
      <c r="MQY26" s="1360"/>
      <c r="MQZ26" s="1360"/>
      <c r="MRA26" s="1360"/>
      <c r="MRB26" s="1360"/>
      <c r="MRC26" s="1360"/>
      <c r="MRD26" s="1360"/>
      <c r="MRE26" s="1360"/>
      <c r="MRF26" s="1360"/>
      <c r="MRG26" s="1360"/>
      <c r="MRH26" s="1360"/>
      <c r="MRI26" s="1360"/>
      <c r="MRJ26" s="1360"/>
      <c r="MRK26" s="1360"/>
      <c r="MRL26" s="1360"/>
      <c r="MRM26" s="1360"/>
      <c r="MRN26" s="1360"/>
      <c r="MRO26" s="1360"/>
      <c r="MRP26" s="1360"/>
      <c r="MRQ26" s="1360"/>
      <c r="MRR26" s="1360"/>
      <c r="MRS26" s="1360"/>
      <c r="MRT26" s="1360"/>
      <c r="MRU26" s="1360"/>
      <c r="MRV26" s="1360"/>
      <c r="MRW26" s="1360"/>
      <c r="MRX26" s="1360"/>
      <c r="MRY26" s="1360"/>
      <c r="MRZ26" s="1360"/>
      <c r="MSA26" s="1360"/>
      <c r="MSB26" s="1360"/>
      <c r="MSC26" s="1360"/>
      <c r="MSD26" s="1360"/>
      <c r="MSE26" s="1360"/>
      <c r="MSF26" s="1360"/>
      <c r="MSG26" s="1360"/>
      <c r="MSH26" s="1360"/>
      <c r="MSI26" s="1360"/>
      <c r="MSJ26" s="1360"/>
      <c r="MSK26" s="1360"/>
      <c r="MSL26" s="1360"/>
      <c r="MSM26" s="1360"/>
      <c r="MSN26" s="1360"/>
      <c r="MSO26" s="1360"/>
      <c r="MSP26" s="1360"/>
      <c r="MSQ26" s="1360"/>
      <c r="MSR26" s="1360"/>
      <c r="MSS26" s="1360"/>
      <c r="MST26" s="1360"/>
      <c r="MSU26" s="1360"/>
      <c r="MSV26" s="1360"/>
      <c r="MSW26" s="1360"/>
      <c r="MSX26" s="1360"/>
      <c r="MSY26" s="1360"/>
      <c r="MSZ26" s="1360"/>
      <c r="MTA26" s="1360"/>
      <c r="MTB26" s="1360"/>
      <c r="MTC26" s="1360"/>
      <c r="MTD26" s="1360"/>
      <c r="MTE26" s="1360"/>
      <c r="MTF26" s="1360"/>
      <c r="MTG26" s="1360"/>
      <c r="MTH26" s="1360"/>
      <c r="MTI26" s="1360"/>
      <c r="MTJ26" s="1360"/>
      <c r="MTK26" s="1360"/>
      <c r="MTL26" s="1360"/>
      <c r="MTM26" s="1360"/>
      <c r="MTN26" s="1360"/>
      <c r="MTO26" s="1360"/>
      <c r="MTP26" s="1360"/>
      <c r="MTQ26" s="1360"/>
      <c r="MTR26" s="1360"/>
      <c r="MTS26" s="1360"/>
      <c r="MTT26" s="1360"/>
      <c r="MTU26" s="1360"/>
      <c r="MTV26" s="1360"/>
      <c r="MTW26" s="1360"/>
      <c r="MTX26" s="1360"/>
      <c r="MTY26" s="1360"/>
      <c r="MTZ26" s="1360"/>
      <c r="MUA26" s="1360"/>
      <c r="MUB26" s="1360"/>
      <c r="MUC26" s="1360"/>
      <c r="MUD26" s="1360"/>
      <c r="MUE26" s="1360"/>
      <c r="MUF26" s="1360"/>
      <c r="MUG26" s="1360"/>
      <c r="MUH26" s="1360"/>
      <c r="MUI26" s="1360"/>
      <c r="MUJ26" s="1360"/>
      <c r="MUK26" s="1360"/>
      <c r="MUL26" s="1360"/>
      <c r="MUM26" s="1360"/>
      <c r="MUN26" s="1360"/>
      <c r="MUO26" s="1360"/>
      <c r="MUP26" s="1360"/>
      <c r="MUQ26" s="1360"/>
      <c r="MUR26" s="1360"/>
      <c r="MUS26" s="1360"/>
      <c r="MUT26" s="1360"/>
      <c r="MUU26" s="1360"/>
      <c r="MUV26" s="1360"/>
      <c r="MUW26" s="1360"/>
      <c r="MUX26" s="1360"/>
      <c r="MUY26" s="1360"/>
      <c r="MUZ26" s="1360"/>
      <c r="MVA26" s="1360"/>
      <c r="MVB26" s="1360"/>
      <c r="MVC26" s="1360"/>
      <c r="MVD26" s="1360"/>
      <c r="MVE26" s="1360"/>
      <c r="MVF26" s="1360"/>
      <c r="MVG26" s="1360"/>
      <c r="MVH26" s="1360"/>
      <c r="MVI26" s="1360"/>
      <c r="MVJ26" s="1360"/>
      <c r="MVK26" s="1360"/>
      <c r="MVL26" s="1360"/>
      <c r="MVM26" s="1360"/>
      <c r="MVN26" s="1360"/>
      <c r="MVO26" s="1360"/>
      <c r="MVP26" s="1360"/>
      <c r="MVQ26" s="1360"/>
      <c r="MVR26" s="1360"/>
      <c r="MVS26" s="1360"/>
      <c r="MVT26" s="1360"/>
      <c r="MVU26" s="1360"/>
      <c r="MVV26" s="1360"/>
      <c r="MVW26" s="1360"/>
      <c r="MVX26" s="1360"/>
      <c r="MVY26" s="1360"/>
      <c r="MVZ26" s="1360"/>
      <c r="MWA26" s="1360"/>
      <c r="MWB26" s="1360"/>
      <c r="MWC26" s="1360"/>
      <c r="MWD26" s="1360"/>
      <c r="MWE26" s="1360"/>
      <c r="MWF26" s="1360"/>
      <c r="MWG26" s="1360"/>
      <c r="MWH26" s="1360"/>
      <c r="MWI26" s="1360"/>
      <c r="MWJ26" s="1360"/>
      <c r="MWK26" s="1360"/>
      <c r="MWL26" s="1360"/>
      <c r="MWM26" s="1360"/>
      <c r="MWN26" s="1360"/>
      <c r="MWO26" s="1360"/>
      <c r="MWP26" s="1360"/>
      <c r="MWQ26" s="1360"/>
      <c r="MWR26" s="1360"/>
      <c r="MWS26" s="1360"/>
      <c r="MWT26" s="1360"/>
      <c r="MWU26" s="1360"/>
      <c r="MWV26" s="1360"/>
      <c r="MWW26" s="1360"/>
      <c r="MWX26" s="1360"/>
      <c r="MWY26" s="1360"/>
      <c r="MWZ26" s="1360"/>
      <c r="MXA26" s="1360"/>
      <c r="MXB26" s="1360"/>
      <c r="MXC26" s="1360"/>
      <c r="MXD26" s="1360"/>
      <c r="MXE26" s="1360"/>
      <c r="MXF26" s="1360"/>
      <c r="MXG26" s="1360"/>
      <c r="MXH26" s="1360"/>
      <c r="MXI26" s="1360"/>
      <c r="MXJ26" s="1360"/>
      <c r="MXK26" s="1360"/>
      <c r="MXL26" s="1360"/>
      <c r="MXM26" s="1360"/>
      <c r="MXN26" s="1360"/>
      <c r="MXO26" s="1360"/>
      <c r="MXP26" s="1360"/>
      <c r="MXQ26" s="1360"/>
      <c r="MXR26" s="1360"/>
      <c r="MXS26" s="1360"/>
      <c r="MXT26" s="1360"/>
      <c r="MXU26" s="1360"/>
      <c r="MXV26" s="1360"/>
      <c r="MXW26" s="1360"/>
      <c r="MXX26" s="1360"/>
      <c r="MXY26" s="1360"/>
      <c r="MXZ26" s="1360"/>
      <c r="MYA26" s="1360"/>
      <c r="MYB26" s="1360"/>
      <c r="MYC26" s="1360"/>
      <c r="MYD26" s="1360"/>
      <c r="MYE26" s="1360"/>
      <c r="MYF26" s="1360"/>
      <c r="MYG26" s="1360"/>
      <c r="MYH26" s="1360"/>
      <c r="MYI26" s="1360"/>
      <c r="MYJ26" s="1360"/>
      <c r="MYK26" s="1360"/>
      <c r="MYL26" s="1360"/>
      <c r="MYM26" s="1360"/>
      <c r="MYN26" s="1360"/>
      <c r="MYO26" s="1360"/>
      <c r="MYP26" s="1360"/>
      <c r="MYQ26" s="1360"/>
      <c r="MYR26" s="1360"/>
      <c r="MYS26" s="1360"/>
      <c r="MYT26" s="1360"/>
      <c r="MYU26" s="1360"/>
      <c r="MYV26" s="1360"/>
      <c r="MYW26" s="1360"/>
      <c r="MYX26" s="1360"/>
      <c r="MYY26" s="1360"/>
      <c r="MYZ26" s="1360"/>
      <c r="MZA26" s="1360"/>
      <c r="MZB26" s="1360"/>
      <c r="MZC26" s="1360"/>
      <c r="MZD26" s="1360"/>
      <c r="MZE26" s="1360"/>
      <c r="MZF26" s="1360"/>
      <c r="MZG26" s="1360"/>
      <c r="MZH26" s="1360"/>
      <c r="MZI26" s="1360"/>
      <c r="MZJ26" s="1360"/>
      <c r="MZK26" s="1360"/>
      <c r="MZL26" s="1360"/>
      <c r="MZM26" s="1360"/>
      <c r="MZN26" s="1360"/>
      <c r="MZO26" s="1360"/>
      <c r="MZP26" s="1360"/>
      <c r="MZQ26" s="1360"/>
      <c r="MZR26" s="1360"/>
      <c r="MZS26" s="1360"/>
      <c r="MZT26" s="1360"/>
      <c r="MZU26" s="1360"/>
      <c r="MZV26" s="1360"/>
      <c r="MZW26" s="1360"/>
      <c r="MZX26" s="1360"/>
      <c r="MZY26" s="1360"/>
      <c r="MZZ26" s="1360"/>
      <c r="NAA26" s="1360"/>
      <c r="NAB26" s="1360"/>
      <c r="NAC26" s="1360"/>
      <c r="NAD26" s="1360"/>
      <c r="NAE26" s="1360"/>
      <c r="NAF26" s="1360"/>
      <c r="NAG26" s="1360"/>
      <c r="NAH26" s="1360"/>
      <c r="NAI26" s="1360"/>
      <c r="NAJ26" s="1360"/>
      <c r="NAK26" s="1360"/>
      <c r="NAL26" s="1360"/>
      <c r="NAM26" s="1360"/>
      <c r="NAN26" s="1360"/>
      <c r="NAO26" s="1360"/>
      <c r="NAP26" s="1360"/>
      <c r="NAQ26" s="1360"/>
      <c r="NAR26" s="1360"/>
      <c r="NAS26" s="1360"/>
      <c r="NAT26" s="1360"/>
      <c r="NAU26" s="1360"/>
      <c r="NAV26" s="1360"/>
      <c r="NAW26" s="1360"/>
      <c r="NAX26" s="1360"/>
      <c r="NAY26" s="1360"/>
      <c r="NAZ26" s="1360"/>
      <c r="NBA26" s="1360"/>
      <c r="NBB26" s="1360"/>
      <c r="NBC26" s="1360"/>
      <c r="NBD26" s="1360"/>
      <c r="NBE26" s="1360"/>
      <c r="NBF26" s="1360"/>
      <c r="NBG26" s="1360"/>
      <c r="NBH26" s="1360"/>
      <c r="NBI26" s="1360"/>
      <c r="NBJ26" s="1360"/>
      <c r="NBK26" s="1360"/>
      <c r="NBL26" s="1360"/>
      <c r="NBM26" s="1360"/>
      <c r="NBN26" s="1360"/>
      <c r="NBO26" s="1360"/>
      <c r="NBP26" s="1360"/>
      <c r="NBQ26" s="1360"/>
      <c r="NBR26" s="1360"/>
      <c r="NBS26" s="1360"/>
      <c r="NBT26" s="1360"/>
      <c r="NBU26" s="1360"/>
      <c r="NBV26" s="1360"/>
      <c r="NBW26" s="1360"/>
      <c r="NBX26" s="1360"/>
      <c r="NBY26" s="1360"/>
      <c r="NBZ26" s="1360"/>
      <c r="NCA26" s="1360"/>
      <c r="NCB26" s="1360"/>
      <c r="NCC26" s="1360"/>
      <c r="NCD26" s="1360"/>
      <c r="NCE26" s="1360"/>
      <c r="NCF26" s="1360"/>
      <c r="NCG26" s="1360"/>
      <c r="NCH26" s="1360"/>
      <c r="NCI26" s="1360"/>
      <c r="NCJ26" s="1360"/>
      <c r="NCK26" s="1360"/>
      <c r="NCL26" s="1360"/>
      <c r="NCM26" s="1360"/>
      <c r="NCN26" s="1360"/>
      <c r="NCO26" s="1360"/>
      <c r="NCP26" s="1360"/>
      <c r="NCQ26" s="1360"/>
      <c r="NCR26" s="1360"/>
      <c r="NCS26" s="1360"/>
      <c r="NCT26" s="1360"/>
      <c r="NCU26" s="1360"/>
      <c r="NCV26" s="1360"/>
      <c r="NCW26" s="1360"/>
      <c r="NCX26" s="1360"/>
      <c r="NCY26" s="1360"/>
      <c r="NCZ26" s="1360"/>
      <c r="NDA26" s="1360"/>
      <c r="NDB26" s="1360"/>
      <c r="NDC26" s="1360"/>
      <c r="NDD26" s="1360"/>
      <c r="NDE26" s="1360"/>
      <c r="NDF26" s="1360"/>
      <c r="NDG26" s="1360"/>
      <c r="NDH26" s="1360"/>
      <c r="NDI26" s="1360"/>
      <c r="NDJ26" s="1360"/>
      <c r="NDK26" s="1360"/>
      <c r="NDL26" s="1360"/>
      <c r="NDM26" s="1360"/>
      <c r="NDN26" s="1360"/>
      <c r="NDO26" s="1360"/>
      <c r="NDP26" s="1360"/>
      <c r="NDQ26" s="1360"/>
      <c r="NDR26" s="1360"/>
      <c r="NDS26" s="1360"/>
      <c r="NDT26" s="1360"/>
      <c r="NDU26" s="1360"/>
      <c r="NDV26" s="1360"/>
      <c r="NDW26" s="1360"/>
      <c r="NDX26" s="1360"/>
      <c r="NDY26" s="1360"/>
      <c r="NDZ26" s="1360"/>
      <c r="NEA26" s="1360"/>
      <c r="NEB26" s="1360"/>
      <c r="NEC26" s="1360"/>
      <c r="NED26" s="1360"/>
      <c r="NEE26" s="1360"/>
      <c r="NEF26" s="1360"/>
      <c r="NEG26" s="1360"/>
      <c r="NEH26" s="1360"/>
      <c r="NEI26" s="1360"/>
      <c r="NEJ26" s="1360"/>
      <c r="NEK26" s="1360"/>
      <c r="NEL26" s="1360"/>
      <c r="NEM26" s="1360"/>
      <c r="NEN26" s="1360"/>
      <c r="NEO26" s="1360"/>
      <c r="NEP26" s="1360"/>
      <c r="NEQ26" s="1360"/>
      <c r="NER26" s="1360"/>
      <c r="NES26" s="1360"/>
      <c r="NET26" s="1360"/>
      <c r="NEU26" s="1360"/>
      <c r="NEV26" s="1360"/>
      <c r="NEW26" s="1360"/>
      <c r="NEX26" s="1360"/>
      <c r="NEY26" s="1360"/>
      <c r="NEZ26" s="1360"/>
      <c r="NFA26" s="1360"/>
      <c r="NFB26" s="1360"/>
      <c r="NFC26" s="1360"/>
      <c r="NFD26" s="1360"/>
      <c r="NFE26" s="1360"/>
      <c r="NFF26" s="1360"/>
      <c r="NFG26" s="1360"/>
      <c r="NFH26" s="1360"/>
      <c r="NFI26" s="1360"/>
      <c r="NFJ26" s="1360"/>
      <c r="NFK26" s="1360"/>
      <c r="NFL26" s="1360"/>
      <c r="NFM26" s="1360"/>
      <c r="NFN26" s="1360"/>
      <c r="NFO26" s="1360"/>
      <c r="NFP26" s="1360"/>
      <c r="NFQ26" s="1360"/>
      <c r="NFR26" s="1360"/>
      <c r="NFS26" s="1360"/>
      <c r="NFT26" s="1360"/>
      <c r="NFU26" s="1360"/>
      <c r="NFV26" s="1360"/>
      <c r="NFW26" s="1360"/>
      <c r="NFX26" s="1360"/>
      <c r="NFY26" s="1360"/>
      <c r="NFZ26" s="1360"/>
      <c r="NGA26" s="1360"/>
      <c r="NGB26" s="1360"/>
      <c r="NGC26" s="1360"/>
      <c r="NGD26" s="1360"/>
      <c r="NGE26" s="1360"/>
      <c r="NGF26" s="1360"/>
      <c r="NGG26" s="1360"/>
      <c r="NGH26" s="1360"/>
      <c r="NGI26" s="1360"/>
      <c r="NGJ26" s="1360"/>
      <c r="NGK26" s="1360"/>
      <c r="NGL26" s="1360"/>
      <c r="NGM26" s="1360"/>
      <c r="NGN26" s="1360"/>
      <c r="NGO26" s="1360"/>
      <c r="NGP26" s="1360"/>
      <c r="NGQ26" s="1360"/>
      <c r="NGR26" s="1360"/>
      <c r="NGS26" s="1360"/>
      <c r="NGT26" s="1360"/>
      <c r="NGU26" s="1360"/>
      <c r="NGV26" s="1360"/>
      <c r="NGW26" s="1360"/>
      <c r="NGX26" s="1360"/>
      <c r="NGY26" s="1360"/>
      <c r="NGZ26" s="1360"/>
      <c r="NHA26" s="1360"/>
      <c r="NHB26" s="1360"/>
      <c r="NHC26" s="1360"/>
      <c r="NHD26" s="1360"/>
      <c r="NHE26" s="1360"/>
      <c r="NHF26" s="1360"/>
      <c r="NHG26" s="1360"/>
      <c r="NHH26" s="1360"/>
      <c r="NHI26" s="1360"/>
      <c r="NHJ26" s="1360"/>
      <c r="NHK26" s="1360"/>
      <c r="NHL26" s="1360"/>
      <c r="NHM26" s="1360"/>
      <c r="NHN26" s="1360"/>
      <c r="NHO26" s="1360"/>
      <c r="NHP26" s="1360"/>
      <c r="NHQ26" s="1360"/>
      <c r="NHR26" s="1360"/>
      <c r="NHS26" s="1360"/>
      <c r="NHT26" s="1360"/>
      <c r="NHU26" s="1360"/>
      <c r="NHV26" s="1360"/>
      <c r="NHW26" s="1360"/>
      <c r="NHX26" s="1360"/>
      <c r="NHY26" s="1360"/>
      <c r="NHZ26" s="1360"/>
      <c r="NIA26" s="1360"/>
      <c r="NIB26" s="1360"/>
      <c r="NIC26" s="1360"/>
      <c r="NID26" s="1360"/>
      <c r="NIE26" s="1360"/>
      <c r="NIF26" s="1360"/>
      <c r="NIG26" s="1360"/>
      <c r="NIH26" s="1360"/>
      <c r="NII26" s="1360"/>
      <c r="NIJ26" s="1360"/>
      <c r="NIK26" s="1360"/>
      <c r="NIL26" s="1360"/>
      <c r="NIM26" s="1360"/>
      <c r="NIN26" s="1360"/>
      <c r="NIO26" s="1360"/>
      <c r="NIP26" s="1360"/>
      <c r="NIQ26" s="1360"/>
      <c r="NIR26" s="1360"/>
      <c r="NIS26" s="1360"/>
      <c r="NIT26" s="1360"/>
      <c r="NIU26" s="1360"/>
      <c r="NIV26" s="1360"/>
      <c r="NIW26" s="1360"/>
      <c r="NIX26" s="1360"/>
      <c r="NIY26" s="1360"/>
      <c r="NIZ26" s="1360"/>
      <c r="NJA26" s="1360"/>
      <c r="NJB26" s="1360"/>
      <c r="NJC26" s="1360"/>
      <c r="NJD26" s="1360"/>
      <c r="NJE26" s="1360"/>
      <c r="NJF26" s="1360"/>
      <c r="NJG26" s="1360"/>
      <c r="NJH26" s="1360"/>
      <c r="NJI26" s="1360"/>
      <c r="NJJ26" s="1360"/>
      <c r="NJK26" s="1360"/>
      <c r="NJL26" s="1360"/>
      <c r="NJM26" s="1360"/>
      <c r="NJN26" s="1360"/>
      <c r="NJO26" s="1360"/>
      <c r="NJP26" s="1360"/>
      <c r="NJQ26" s="1360"/>
      <c r="NJR26" s="1360"/>
      <c r="NJS26" s="1360"/>
      <c r="NJT26" s="1360"/>
      <c r="NJU26" s="1360"/>
      <c r="NJV26" s="1360"/>
      <c r="NJW26" s="1360"/>
      <c r="NJX26" s="1360"/>
      <c r="NJY26" s="1360"/>
      <c r="NJZ26" s="1360"/>
      <c r="NKA26" s="1360"/>
      <c r="NKB26" s="1360"/>
      <c r="NKC26" s="1360"/>
      <c r="NKD26" s="1360"/>
      <c r="NKE26" s="1360"/>
      <c r="NKF26" s="1360"/>
      <c r="NKG26" s="1360"/>
      <c r="NKH26" s="1360"/>
      <c r="NKI26" s="1360"/>
      <c r="NKJ26" s="1360"/>
      <c r="NKK26" s="1360"/>
      <c r="NKL26" s="1360"/>
      <c r="NKM26" s="1360"/>
      <c r="NKN26" s="1360"/>
      <c r="NKO26" s="1360"/>
      <c r="NKP26" s="1360"/>
      <c r="NKQ26" s="1360"/>
      <c r="NKR26" s="1360"/>
      <c r="NKS26" s="1360"/>
      <c r="NKT26" s="1360"/>
      <c r="NKU26" s="1360"/>
      <c r="NKV26" s="1360"/>
      <c r="NKW26" s="1360"/>
      <c r="NKX26" s="1360"/>
      <c r="NKY26" s="1360"/>
      <c r="NKZ26" s="1360"/>
      <c r="NLA26" s="1360"/>
      <c r="NLB26" s="1360"/>
      <c r="NLC26" s="1360"/>
      <c r="NLD26" s="1360"/>
      <c r="NLE26" s="1360"/>
      <c r="NLF26" s="1360"/>
      <c r="NLG26" s="1360"/>
      <c r="NLH26" s="1360"/>
      <c r="NLI26" s="1360"/>
      <c r="NLJ26" s="1360"/>
      <c r="NLK26" s="1360"/>
      <c r="NLL26" s="1360"/>
      <c r="NLM26" s="1360"/>
      <c r="NLN26" s="1360"/>
      <c r="NLO26" s="1360"/>
      <c r="NLP26" s="1360"/>
      <c r="NLQ26" s="1360"/>
      <c r="NLR26" s="1360"/>
      <c r="NLS26" s="1360"/>
      <c r="NLT26" s="1360"/>
      <c r="NLU26" s="1360"/>
      <c r="NLV26" s="1360"/>
      <c r="NLW26" s="1360"/>
      <c r="NLX26" s="1360"/>
      <c r="NLY26" s="1360"/>
      <c r="NLZ26" s="1360"/>
      <c r="NMA26" s="1360"/>
      <c r="NMB26" s="1360"/>
      <c r="NMC26" s="1360"/>
      <c r="NMD26" s="1360"/>
      <c r="NME26" s="1360"/>
      <c r="NMF26" s="1360"/>
      <c r="NMG26" s="1360"/>
      <c r="NMH26" s="1360"/>
      <c r="NMI26" s="1360"/>
      <c r="NMJ26" s="1360"/>
      <c r="NMK26" s="1360"/>
      <c r="NML26" s="1360"/>
      <c r="NMM26" s="1360"/>
      <c r="NMN26" s="1360"/>
      <c r="NMO26" s="1360"/>
      <c r="NMP26" s="1360"/>
      <c r="NMQ26" s="1360"/>
      <c r="NMR26" s="1360"/>
      <c r="NMS26" s="1360"/>
      <c r="NMT26" s="1360"/>
      <c r="NMU26" s="1360"/>
      <c r="NMV26" s="1360"/>
      <c r="NMW26" s="1360"/>
      <c r="NMX26" s="1360"/>
      <c r="NMY26" s="1360"/>
      <c r="NMZ26" s="1360"/>
      <c r="NNA26" s="1360"/>
      <c r="NNB26" s="1360"/>
      <c r="NNC26" s="1360"/>
      <c r="NND26" s="1360"/>
      <c r="NNE26" s="1360"/>
      <c r="NNF26" s="1360"/>
      <c r="NNG26" s="1360"/>
      <c r="NNH26" s="1360"/>
      <c r="NNI26" s="1360"/>
      <c r="NNJ26" s="1360"/>
      <c r="NNK26" s="1360"/>
      <c r="NNL26" s="1360"/>
      <c r="NNM26" s="1360"/>
      <c r="NNN26" s="1360"/>
      <c r="NNO26" s="1360"/>
      <c r="NNP26" s="1360"/>
      <c r="NNQ26" s="1360"/>
      <c r="NNR26" s="1360"/>
      <c r="NNS26" s="1360"/>
      <c r="NNT26" s="1360"/>
      <c r="NNU26" s="1360"/>
      <c r="NNV26" s="1360"/>
      <c r="NNW26" s="1360"/>
      <c r="NNX26" s="1360"/>
      <c r="NNY26" s="1360"/>
      <c r="NNZ26" s="1360"/>
      <c r="NOA26" s="1360"/>
      <c r="NOB26" s="1360"/>
      <c r="NOC26" s="1360"/>
      <c r="NOD26" s="1360"/>
      <c r="NOE26" s="1360"/>
      <c r="NOF26" s="1360"/>
      <c r="NOG26" s="1360"/>
      <c r="NOH26" s="1360"/>
      <c r="NOI26" s="1360"/>
      <c r="NOJ26" s="1360"/>
      <c r="NOK26" s="1360"/>
      <c r="NOL26" s="1360"/>
      <c r="NOM26" s="1360"/>
      <c r="NON26" s="1360"/>
      <c r="NOO26" s="1360"/>
      <c r="NOP26" s="1360"/>
      <c r="NOQ26" s="1360"/>
      <c r="NOR26" s="1360"/>
      <c r="NOS26" s="1360"/>
      <c r="NOT26" s="1360"/>
      <c r="NOU26" s="1360"/>
      <c r="NOV26" s="1360"/>
      <c r="NOW26" s="1360"/>
      <c r="NOX26" s="1360"/>
      <c r="NOY26" s="1360"/>
      <c r="NOZ26" s="1360"/>
      <c r="NPA26" s="1360"/>
      <c r="NPB26" s="1360"/>
      <c r="NPC26" s="1360"/>
      <c r="NPD26" s="1360"/>
      <c r="NPE26" s="1360"/>
      <c r="NPF26" s="1360"/>
      <c r="NPG26" s="1360"/>
      <c r="NPH26" s="1360"/>
      <c r="NPI26" s="1360"/>
      <c r="NPJ26" s="1360"/>
      <c r="NPK26" s="1360"/>
      <c r="NPL26" s="1360"/>
      <c r="NPM26" s="1360"/>
      <c r="NPN26" s="1360"/>
      <c r="NPO26" s="1360"/>
      <c r="NPP26" s="1360"/>
      <c r="NPQ26" s="1360"/>
      <c r="NPR26" s="1360"/>
      <c r="NPS26" s="1360"/>
      <c r="NPT26" s="1360"/>
      <c r="NPU26" s="1360"/>
      <c r="NPV26" s="1360"/>
      <c r="NPW26" s="1360"/>
      <c r="NPX26" s="1360"/>
      <c r="NPY26" s="1360"/>
      <c r="NPZ26" s="1360"/>
      <c r="NQA26" s="1360"/>
      <c r="NQB26" s="1360"/>
      <c r="NQC26" s="1360"/>
      <c r="NQD26" s="1360"/>
      <c r="NQE26" s="1360"/>
      <c r="NQF26" s="1360"/>
      <c r="NQG26" s="1360"/>
      <c r="NQH26" s="1360"/>
      <c r="NQI26" s="1360"/>
      <c r="NQJ26" s="1360"/>
      <c r="NQK26" s="1360"/>
      <c r="NQL26" s="1360"/>
      <c r="NQM26" s="1360"/>
      <c r="NQN26" s="1360"/>
      <c r="NQO26" s="1360"/>
      <c r="NQP26" s="1360"/>
      <c r="NQQ26" s="1360"/>
      <c r="NQR26" s="1360"/>
      <c r="NQS26" s="1360"/>
      <c r="NQT26" s="1360"/>
      <c r="NQU26" s="1360"/>
      <c r="NQV26" s="1360"/>
      <c r="NQW26" s="1360"/>
      <c r="NQX26" s="1360"/>
      <c r="NQY26" s="1360"/>
      <c r="NQZ26" s="1360"/>
      <c r="NRA26" s="1360"/>
      <c r="NRB26" s="1360"/>
      <c r="NRC26" s="1360"/>
      <c r="NRD26" s="1360"/>
      <c r="NRE26" s="1360"/>
      <c r="NRF26" s="1360"/>
      <c r="NRG26" s="1360"/>
      <c r="NRH26" s="1360"/>
      <c r="NRI26" s="1360"/>
      <c r="NRJ26" s="1360"/>
      <c r="NRK26" s="1360"/>
      <c r="NRL26" s="1360"/>
      <c r="NRM26" s="1360"/>
      <c r="NRN26" s="1360"/>
      <c r="NRO26" s="1360"/>
      <c r="NRP26" s="1360"/>
      <c r="NRQ26" s="1360"/>
      <c r="NRR26" s="1360"/>
      <c r="NRS26" s="1360"/>
      <c r="NRT26" s="1360"/>
      <c r="NRU26" s="1360"/>
      <c r="NRV26" s="1360"/>
      <c r="NRW26" s="1360"/>
      <c r="NRX26" s="1360"/>
      <c r="NRY26" s="1360"/>
      <c r="NRZ26" s="1360"/>
      <c r="NSA26" s="1360"/>
      <c r="NSB26" s="1360"/>
      <c r="NSC26" s="1360"/>
      <c r="NSD26" s="1360"/>
      <c r="NSE26" s="1360"/>
      <c r="NSF26" s="1360"/>
      <c r="NSG26" s="1360"/>
      <c r="NSH26" s="1360"/>
      <c r="NSI26" s="1360"/>
      <c r="NSJ26" s="1360"/>
      <c r="NSK26" s="1360"/>
      <c r="NSL26" s="1360"/>
      <c r="NSM26" s="1360"/>
      <c r="NSN26" s="1360"/>
      <c r="NSO26" s="1360"/>
      <c r="NSP26" s="1360"/>
      <c r="NSQ26" s="1360"/>
      <c r="NSR26" s="1360"/>
      <c r="NSS26" s="1360"/>
      <c r="NST26" s="1360"/>
      <c r="NSU26" s="1360"/>
      <c r="NSV26" s="1360"/>
      <c r="NSW26" s="1360"/>
      <c r="NSX26" s="1360"/>
      <c r="NSY26" s="1360"/>
      <c r="NSZ26" s="1360"/>
      <c r="NTA26" s="1360"/>
      <c r="NTB26" s="1360"/>
      <c r="NTC26" s="1360"/>
      <c r="NTD26" s="1360"/>
      <c r="NTE26" s="1360"/>
      <c r="NTF26" s="1360"/>
      <c r="NTG26" s="1360"/>
      <c r="NTH26" s="1360"/>
      <c r="NTI26" s="1360"/>
      <c r="NTJ26" s="1360"/>
      <c r="NTK26" s="1360"/>
      <c r="NTL26" s="1360"/>
      <c r="NTM26" s="1360"/>
      <c r="NTN26" s="1360"/>
      <c r="NTO26" s="1360"/>
      <c r="NTP26" s="1360"/>
      <c r="NTQ26" s="1360"/>
      <c r="NTR26" s="1360"/>
      <c r="NTS26" s="1360"/>
      <c r="NTT26" s="1360"/>
      <c r="NTU26" s="1360"/>
      <c r="NTV26" s="1360"/>
      <c r="NTW26" s="1360"/>
      <c r="NTX26" s="1360"/>
      <c r="NTY26" s="1360"/>
      <c r="NTZ26" s="1360"/>
      <c r="NUA26" s="1360"/>
      <c r="NUB26" s="1360"/>
      <c r="NUC26" s="1360"/>
      <c r="NUD26" s="1360"/>
      <c r="NUE26" s="1360"/>
      <c r="NUF26" s="1360"/>
      <c r="NUG26" s="1360"/>
      <c r="NUH26" s="1360"/>
      <c r="NUI26" s="1360"/>
      <c r="NUJ26" s="1360"/>
      <c r="NUK26" s="1360"/>
      <c r="NUL26" s="1360"/>
      <c r="NUM26" s="1360"/>
      <c r="NUN26" s="1360"/>
      <c r="NUO26" s="1360"/>
      <c r="NUP26" s="1360"/>
      <c r="NUQ26" s="1360"/>
      <c r="NUR26" s="1360"/>
      <c r="NUS26" s="1360"/>
      <c r="NUT26" s="1360"/>
      <c r="NUU26" s="1360"/>
      <c r="NUV26" s="1360"/>
      <c r="NUW26" s="1360"/>
      <c r="NUX26" s="1360"/>
      <c r="NUY26" s="1360"/>
      <c r="NUZ26" s="1360"/>
      <c r="NVA26" s="1360"/>
      <c r="NVB26" s="1360"/>
      <c r="NVC26" s="1360"/>
      <c r="NVD26" s="1360"/>
      <c r="NVE26" s="1360"/>
      <c r="NVF26" s="1360"/>
      <c r="NVG26" s="1360"/>
      <c r="NVH26" s="1360"/>
      <c r="NVI26" s="1360"/>
      <c r="NVJ26" s="1360"/>
      <c r="NVK26" s="1360"/>
      <c r="NVL26" s="1360"/>
      <c r="NVM26" s="1360"/>
      <c r="NVN26" s="1360"/>
      <c r="NVO26" s="1360"/>
      <c r="NVP26" s="1360"/>
      <c r="NVQ26" s="1360"/>
      <c r="NVR26" s="1360"/>
      <c r="NVS26" s="1360"/>
      <c r="NVT26" s="1360"/>
      <c r="NVU26" s="1360"/>
      <c r="NVV26" s="1360"/>
      <c r="NVW26" s="1360"/>
      <c r="NVX26" s="1360"/>
      <c r="NVY26" s="1360"/>
      <c r="NVZ26" s="1360"/>
      <c r="NWA26" s="1360"/>
      <c r="NWB26" s="1360"/>
      <c r="NWC26" s="1360"/>
      <c r="NWD26" s="1360"/>
      <c r="NWE26" s="1360"/>
      <c r="NWF26" s="1360"/>
      <c r="NWG26" s="1360"/>
      <c r="NWH26" s="1360"/>
      <c r="NWI26" s="1360"/>
      <c r="NWJ26" s="1360"/>
      <c r="NWK26" s="1360"/>
      <c r="NWL26" s="1360"/>
      <c r="NWM26" s="1360"/>
      <c r="NWN26" s="1360"/>
      <c r="NWO26" s="1360"/>
      <c r="NWP26" s="1360"/>
      <c r="NWQ26" s="1360"/>
      <c r="NWR26" s="1360"/>
      <c r="NWS26" s="1360"/>
      <c r="NWT26" s="1360"/>
      <c r="NWU26" s="1360"/>
      <c r="NWV26" s="1360"/>
      <c r="NWW26" s="1360"/>
      <c r="NWX26" s="1360"/>
      <c r="NWY26" s="1360"/>
      <c r="NWZ26" s="1360"/>
      <c r="NXA26" s="1360"/>
      <c r="NXB26" s="1360"/>
      <c r="NXC26" s="1360"/>
      <c r="NXD26" s="1360"/>
      <c r="NXE26" s="1360"/>
      <c r="NXF26" s="1360"/>
      <c r="NXG26" s="1360"/>
      <c r="NXH26" s="1360"/>
      <c r="NXI26" s="1360"/>
      <c r="NXJ26" s="1360"/>
      <c r="NXK26" s="1360"/>
      <c r="NXL26" s="1360"/>
      <c r="NXM26" s="1360"/>
      <c r="NXN26" s="1360"/>
      <c r="NXO26" s="1360"/>
      <c r="NXP26" s="1360"/>
      <c r="NXQ26" s="1360"/>
      <c r="NXR26" s="1360"/>
      <c r="NXS26" s="1360"/>
      <c r="NXT26" s="1360"/>
      <c r="NXU26" s="1360"/>
      <c r="NXV26" s="1360"/>
      <c r="NXW26" s="1360"/>
      <c r="NXX26" s="1360"/>
      <c r="NXY26" s="1360"/>
      <c r="NXZ26" s="1360"/>
      <c r="NYA26" s="1360"/>
      <c r="NYB26" s="1360"/>
      <c r="NYC26" s="1360"/>
      <c r="NYD26" s="1360"/>
      <c r="NYE26" s="1360"/>
      <c r="NYF26" s="1360"/>
      <c r="NYG26" s="1360"/>
      <c r="NYH26" s="1360"/>
      <c r="NYI26" s="1360"/>
      <c r="NYJ26" s="1360"/>
      <c r="NYK26" s="1360"/>
      <c r="NYL26" s="1360"/>
      <c r="NYM26" s="1360"/>
      <c r="NYN26" s="1360"/>
      <c r="NYO26" s="1360"/>
      <c r="NYP26" s="1360"/>
      <c r="NYQ26" s="1360"/>
      <c r="NYR26" s="1360"/>
      <c r="NYS26" s="1360"/>
      <c r="NYT26" s="1360"/>
      <c r="NYU26" s="1360"/>
      <c r="NYV26" s="1360"/>
      <c r="NYW26" s="1360"/>
      <c r="NYX26" s="1360"/>
      <c r="NYY26" s="1360"/>
      <c r="NYZ26" s="1360"/>
      <c r="NZA26" s="1360"/>
      <c r="NZB26" s="1360"/>
      <c r="NZC26" s="1360"/>
      <c r="NZD26" s="1360"/>
      <c r="NZE26" s="1360"/>
      <c r="NZF26" s="1360"/>
      <c r="NZG26" s="1360"/>
      <c r="NZH26" s="1360"/>
      <c r="NZI26" s="1360"/>
      <c r="NZJ26" s="1360"/>
      <c r="NZK26" s="1360"/>
      <c r="NZL26" s="1360"/>
      <c r="NZM26" s="1360"/>
      <c r="NZN26" s="1360"/>
      <c r="NZO26" s="1360"/>
      <c r="NZP26" s="1360"/>
      <c r="NZQ26" s="1360"/>
      <c r="NZR26" s="1360"/>
      <c r="NZS26" s="1360"/>
      <c r="NZT26" s="1360"/>
      <c r="NZU26" s="1360"/>
      <c r="NZV26" s="1360"/>
      <c r="NZW26" s="1360"/>
      <c r="NZX26" s="1360"/>
      <c r="NZY26" s="1360"/>
      <c r="NZZ26" s="1360"/>
      <c r="OAA26" s="1360"/>
      <c r="OAB26" s="1360"/>
      <c r="OAC26" s="1360"/>
      <c r="OAD26" s="1360"/>
      <c r="OAE26" s="1360"/>
      <c r="OAF26" s="1360"/>
      <c r="OAG26" s="1360"/>
      <c r="OAH26" s="1360"/>
      <c r="OAI26" s="1360"/>
      <c r="OAJ26" s="1360"/>
      <c r="OAK26" s="1360"/>
      <c r="OAL26" s="1360"/>
      <c r="OAM26" s="1360"/>
      <c r="OAN26" s="1360"/>
      <c r="OAO26" s="1360"/>
      <c r="OAP26" s="1360"/>
      <c r="OAQ26" s="1360"/>
      <c r="OAR26" s="1360"/>
      <c r="OAS26" s="1360"/>
      <c r="OAT26" s="1360"/>
      <c r="OAU26" s="1360"/>
      <c r="OAV26" s="1360"/>
      <c r="OAW26" s="1360"/>
      <c r="OAX26" s="1360"/>
      <c r="OAY26" s="1360"/>
      <c r="OAZ26" s="1360"/>
      <c r="OBA26" s="1360"/>
      <c r="OBB26" s="1360"/>
      <c r="OBC26" s="1360"/>
      <c r="OBD26" s="1360"/>
      <c r="OBE26" s="1360"/>
      <c r="OBF26" s="1360"/>
      <c r="OBG26" s="1360"/>
      <c r="OBH26" s="1360"/>
      <c r="OBI26" s="1360"/>
      <c r="OBJ26" s="1360"/>
      <c r="OBK26" s="1360"/>
      <c r="OBL26" s="1360"/>
      <c r="OBM26" s="1360"/>
      <c r="OBN26" s="1360"/>
      <c r="OBO26" s="1360"/>
      <c r="OBP26" s="1360"/>
      <c r="OBQ26" s="1360"/>
      <c r="OBR26" s="1360"/>
      <c r="OBS26" s="1360"/>
      <c r="OBT26" s="1360"/>
      <c r="OBU26" s="1360"/>
      <c r="OBV26" s="1360"/>
      <c r="OBW26" s="1360"/>
      <c r="OBX26" s="1360"/>
      <c r="OBY26" s="1360"/>
      <c r="OBZ26" s="1360"/>
      <c r="OCA26" s="1360"/>
      <c r="OCB26" s="1360"/>
      <c r="OCC26" s="1360"/>
      <c r="OCD26" s="1360"/>
      <c r="OCE26" s="1360"/>
      <c r="OCF26" s="1360"/>
      <c r="OCG26" s="1360"/>
      <c r="OCH26" s="1360"/>
      <c r="OCI26" s="1360"/>
      <c r="OCJ26" s="1360"/>
      <c r="OCK26" s="1360"/>
      <c r="OCL26" s="1360"/>
      <c r="OCM26" s="1360"/>
      <c r="OCN26" s="1360"/>
      <c r="OCO26" s="1360"/>
      <c r="OCP26" s="1360"/>
      <c r="OCQ26" s="1360"/>
      <c r="OCR26" s="1360"/>
      <c r="OCS26" s="1360"/>
      <c r="OCT26" s="1360"/>
      <c r="OCU26" s="1360"/>
      <c r="OCV26" s="1360"/>
      <c r="OCW26" s="1360"/>
      <c r="OCX26" s="1360"/>
      <c r="OCY26" s="1360"/>
      <c r="OCZ26" s="1360"/>
      <c r="ODA26" s="1360"/>
      <c r="ODB26" s="1360"/>
      <c r="ODC26" s="1360"/>
      <c r="ODD26" s="1360"/>
      <c r="ODE26" s="1360"/>
      <c r="ODF26" s="1360"/>
      <c r="ODG26" s="1360"/>
      <c r="ODH26" s="1360"/>
      <c r="ODI26" s="1360"/>
      <c r="ODJ26" s="1360"/>
      <c r="ODK26" s="1360"/>
      <c r="ODL26" s="1360"/>
      <c r="ODM26" s="1360"/>
      <c r="ODN26" s="1360"/>
      <c r="ODO26" s="1360"/>
      <c r="ODP26" s="1360"/>
      <c r="ODQ26" s="1360"/>
      <c r="ODR26" s="1360"/>
      <c r="ODS26" s="1360"/>
      <c r="ODT26" s="1360"/>
      <c r="ODU26" s="1360"/>
      <c r="ODV26" s="1360"/>
      <c r="ODW26" s="1360"/>
      <c r="ODX26" s="1360"/>
      <c r="ODY26" s="1360"/>
      <c r="ODZ26" s="1360"/>
      <c r="OEA26" s="1360"/>
      <c r="OEB26" s="1360"/>
      <c r="OEC26" s="1360"/>
      <c r="OED26" s="1360"/>
      <c r="OEE26" s="1360"/>
      <c r="OEF26" s="1360"/>
      <c r="OEG26" s="1360"/>
      <c r="OEH26" s="1360"/>
      <c r="OEI26" s="1360"/>
      <c r="OEJ26" s="1360"/>
      <c r="OEK26" s="1360"/>
      <c r="OEL26" s="1360"/>
      <c r="OEM26" s="1360"/>
      <c r="OEN26" s="1360"/>
      <c r="OEO26" s="1360"/>
      <c r="OEP26" s="1360"/>
      <c r="OEQ26" s="1360"/>
      <c r="OER26" s="1360"/>
      <c r="OES26" s="1360"/>
      <c r="OET26" s="1360"/>
      <c r="OEU26" s="1360"/>
      <c r="OEV26" s="1360"/>
      <c r="OEW26" s="1360"/>
      <c r="OEX26" s="1360"/>
      <c r="OEY26" s="1360"/>
      <c r="OEZ26" s="1360"/>
      <c r="OFA26" s="1360"/>
      <c r="OFB26" s="1360"/>
      <c r="OFC26" s="1360"/>
      <c r="OFD26" s="1360"/>
      <c r="OFE26" s="1360"/>
      <c r="OFF26" s="1360"/>
      <c r="OFG26" s="1360"/>
      <c r="OFH26" s="1360"/>
      <c r="OFI26" s="1360"/>
      <c r="OFJ26" s="1360"/>
      <c r="OFK26" s="1360"/>
      <c r="OFL26" s="1360"/>
      <c r="OFM26" s="1360"/>
      <c r="OFN26" s="1360"/>
      <c r="OFO26" s="1360"/>
      <c r="OFP26" s="1360"/>
      <c r="OFQ26" s="1360"/>
      <c r="OFR26" s="1360"/>
      <c r="OFS26" s="1360"/>
      <c r="OFT26" s="1360"/>
      <c r="OFU26" s="1360"/>
      <c r="OFV26" s="1360"/>
      <c r="OFW26" s="1360"/>
      <c r="OFX26" s="1360"/>
      <c r="OFY26" s="1360"/>
      <c r="OFZ26" s="1360"/>
      <c r="OGA26" s="1360"/>
      <c r="OGB26" s="1360"/>
      <c r="OGC26" s="1360"/>
      <c r="OGD26" s="1360"/>
      <c r="OGE26" s="1360"/>
      <c r="OGF26" s="1360"/>
      <c r="OGG26" s="1360"/>
      <c r="OGH26" s="1360"/>
      <c r="OGI26" s="1360"/>
      <c r="OGJ26" s="1360"/>
      <c r="OGK26" s="1360"/>
      <c r="OGL26" s="1360"/>
      <c r="OGM26" s="1360"/>
      <c r="OGN26" s="1360"/>
      <c r="OGO26" s="1360"/>
      <c r="OGP26" s="1360"/>
      <c r="OGQ26" s="1360"/>
      <c r="OGR26" s="1360"/>
      <c r="OGS26" s="1360"/>
      <c r="OGT26" s="1360"/>
      <c r="OGU26" s="1360"/>
      <c r="OGV26" s="1360"/>
      <c r="OGW26" s="1360"/>
      <c r="OGX26" s="1360"/>
      <c r="OGY26" s="1360"/>
      <c r="OGZ26" s="1360"/>
      <c r="OHA26" s="1360"/>
      <c r="OHB26" s="1360"/>
      <c r="OHC26" s="1360"/>
      <c r="OHD26" s="1360"/>
      <c r="OHE26" s="1360"/>
      <c r="OHF26" s="1360"/>
      <c r="OHG26" s="1360"/>
      <c r="OHH26" s="1360"/>
      <c r="OHI26" s="1360"/>
      <c r="OHJ26" s="1360"/>
      <c r="OHK26" s="1360"/>
      <c r="OHL26" s="1360"/>
      <c r="OHM26" s="1360"/>
      <c r="OHN26" s="1360"/>
      <c r="OHO26" s="1360"/>
      <c r="OHP26" s="1360"/>
      <c r="OHQ26" s="1360"/>
      <c r="OHR26" s="1360"/>
      <c r="OHS26" s="1360"/>
      <c r="OHT26" s="1360"/>
      <c r="OHU26" s="1360"/>
      <c r="OHV26" s="1360"/>
      <c r="OHW26" s="1360"/>
      <c r="OHX26" s="1360"/>
      <c r="OHY26" s="1360"/>
      <c r="OHZ26" s="1360"/>
      <c r="OIA26" s="1360"/>
      <c r="OIB26" s="1360"/>
      <c r="OIC26" s="1360"/>
      <c r="OID26" s="1360"/>
      <c r="OIE26" s="1360"/>
      <c r="OIF26" s="1360"/>
      <c r="OIG26" s="1360"/>
      <c r="OIH26" s="1360"/>
      <c r="OII26" s="1360"/>
      <c r="OIJ26" s="1360"/>
      <c r="OIK26" s="1360"/>
      <c r="OIL26" s="1360"/>
      <c r="OIM26" s="1360"/>
      <c r="OIN26" s="1360"/>
      <c r="OIO26" s="1360"/>
      <c r="OIP26" s="1360"/>
      <c r="OIQ26" s="1360"/>
      <c r="OIR26" s="1360"/>
      <c r="OIS26" s="1360"/>
      <c r="OIT26" s="1360"/>
      <c r="OIU26" s="1360"/>
      <c r="OIV26" s="1360"/>
      <c r="OIW26" s="1360"/>
      <c r="OIX26" s="1360"/>
      <c r="OIY26" s="1360"/>
      <c r="OIZ26" s="1360"/>
      <c r="OJA26" s="1360"/>
      <c r="OJB26" s="1360"/>
      <c r="OJC26" s="1360"/>
      <c r="OJD26" s="1360"/>
      <c r="OJE26" s="1360"/>
      <c r="OJF26" s="1360"/>
      <c r="OJG26" s="1360"/>
      <c r="OJH26" s="1360"/>
      <c r="OJI26" s="1360"/>
      <c r="OJJ26" s="1360"/>
      <c r="OJK26" s="1360"/>
      <c r="OJL26" s="1360"/>
      <c r="OJM26" s="1360"/>
      <c r="OJN26" s="1360"/>
      <c r="OJO26" s="1360"/>
      <c r="OJP26" s="1360"/>
      <c r="OJQ26" s="1360"/>
      <c r="OJR26" s="1360"/>
      <c r="OJS26" s="1360"/>
      <c r="OJT26" s="1360"/>
      <c r="OJU26" s="1360"/>
      <c r="OJV26" s="1360"/>
      <c r="OJW26" s="1360"/>
      <c r="OJX26" s="1360"/>
      <c r="OJY26" s="1360"/>
      <c r="OJZ26" s="1360"/>
      <c r="OKA26" s="1360"/>
      <c r="OKB26" s="1360"/>
      <c r="OKC26" s="1360"/>
      <c r="OKD26" s="1360"/>
      <c r="OKE26" s="1360"/>
      <c r="OKF26" s="1360"/>
      <c r="OKG26" s="1360"/>
      <c r="OKH26" s="1360"/>
      <c r="OKI26" s="1360"/>
      <c r="OKJ26" s="1360"/>
      <c r="OKK26" s="1360"/>
      <c r="OKL26" s="1360"/>
      <c r="OKM26" s="1360"/>
      <c r="OKN26" s="1360"/>
      <c r="OKO26" s="1360"/>
      <c r="OKP26" s="1360"/>
      <c r="OKQ26" s="1360"/>
      <c r="OKR26" s="1360"/>
      <c r="OKS26" s="1360"/>
      <c r="OKT26" s="1360"/>
      <c r="OKU26" s="1360"/>
      <c r="OKV26" s="1360"/>
      <c r="OKW26" s="1360"/>
      <c r="OKX26" s="1360"/>
      <c r="OKY26" s="1360"/>
      <c r="OKZ26" s="1360"/>
      <c r="OLA26" s="1360"/>
      <c r="OLB26" s="1360"/>
      <c r="OLC26" s="1360"/>
      <c r="OLD26" s="1360"/>
      <c r="OLE26" s="1360"/>
      <c r="OLF26" s="1360"/>
      <c r="OLG26" s="1360"/>
      <c r="OLH26" s="1360"/>
      <c r="OLI26" s="1360"/>
      <c r="OLJ26" s="1360"/>
      <c r="OLK26" s="1360"/>
      <c r="OLL26" s="1360"/>
      <c r="OLM26" s="1360"/>
      <c r="OLN26" s="1360"/>
      <c r="OLO26" s="1360"/>
      <c r="OLP26" s="1360"/>
      <c r="OLQ26" s="1360"/>
      <c r="OLR26" s="1360"/>
      <c r="OLS26" s="1360"/>
      <c r="OLT26" s="1360"/>
      <c r="OLU26" s="1360"/>
      <c r="OLV26" s="1360"/>
      <c r="OLW26" s="1360"/>
      <c r="OLX26" s="1360"/>
      <c r="OLY26" s="1360"/>
      <c r="OLZ26" s="1360"/>
      <c r="OMA26" s="1360"/>
      <c r="OMB26" s="1360"/>
      <c r="OMC26" s="1360"/>
      <c r="OMD26" s="1360"/>
      <c r="OME26" s="1360"/>
      <c r="OMF26" s="1360"/>
      <c r="OMG26" s="1360"/>
      <c r="OMH26" s="1360"/>
      <c r="OMI26" s="1360"/>
      <c r="OMJ26" s="1360"/>
      <c r="OMK26" s="1360"/>
      <c r="OML26" s="1360"/>
      <c r="OMM26" s="1360"/>
      <c r="OMN26" s="1360"/>
      <c r="OMO26" s="1360"/>
      <c r="OMP26" s="1360"/>
      <c r="OMQ26" s="1360"/>
      <c r="OMR26" s="1360"/>
      <c r="OMS26" s="1360"/>
      <c r="OMT26" s="1360"/>
      <c r="OMU26" s="1360"/>
      <c r="OMV26" s="1360"/>
      <c r="OMW26" s="1360"/>
      <c r="OMX26" s="1360"/>
      <c r="OMY26" s="1360"/>
      <c r="OMZ26" s="1360"/>
      <c r="ONA26" s="1360"/>
      <c r="ONB26" s="1360"/>
      <c r="ONC26" s="1360"/>
      <c r="OND26" s="1360"/>
      <c r="ONE26" s="1360"/>
      <c r="ONF26" s="1360"/>
      <c r="ONG26" s="1360"/>
      <c r="ONH26" s="1360"/>
      <c r="ONI26" s="1360"/>
      <c r="ONJ26" s="1360"/>
      <c r="ONK26" s="1360"/>
      <c r="ONL26" s="1360"/>
      <c r="ONM26" s="1360"/>
      <c r="ONN26" s="1360"/>
      <c r="ONO26" s="1360"/>
      <c r="ONP26" s="1360"/>
      <c r="ONQ26" s="1360"/>
      <c r="ONR26" s="1360"/>
      <c r="ONS26" s="1360"/>
      <c r="ONT26" s="1360"/>
      <c r="ONU26" s="1360"/>
      <c r="ONV26" s="1360"/>
      <c r="ONW26" s="1360"/>
      <c r="ONX26" s="1360"/>
      <c r="ONY26" s="1360"/>
      <c r="ONZ26" s="1360"/>
      <c r="OOA26" s="1360"/>
      <c r="OOB26" s="1360"/>
      <c r="OOC26" s="1360"/>
      <c r="OOD26" s="1360"/>
      <c r="OOE26" s="1360"/>
      <c r="OOF26" s="1360"/>
      <c r="OOG26" s="1360"/>
      <c r="OOH26" s="1360"/>
      <c r="OOI26" s="1360"/>
      <c r="OOJ26" s="1360"/>
      <c r="OOK26" s="1360"/>
      <c r="OOL26" s="1360"/>
      <c r="OOM26" s="1360"/>
      <c r="OON26" s="1360"/>
      <c r="OOO26" s="1360"/>
      <c r="OOP26" s="1360"/>
      <c r="OOQ26" s="1360"/>
      <c r="OOR26" s="1360"/>
      <c r="OOS26" s="1360"/>
      <c r="OOT26" s="1360"/>
      <c r="OOU26" s="1360"/>
      <c r="OOV26" s="1360"/>
      <c r="OOW26" s="1360"/>
      <c r="OOX26" s="1360"/>
      <c r="OOY26" s="1360"/>
      <c r="OOZ26" s="1360"/>
      <c r="OPA26" s="1360"/>
      <c r="OPB26" s="1360"/>
      <c r="OPC26" s="1360"/>
      <c r="OPD26" s="1360"/>
      <c r="OPE26" s="1360"/>
      <c r="OPF26" s="1360"/>
      <c r="OPG26" s="1360"/>
      <c r="OPH26" s="1360"/>
      <c r="OPI26" s="1360"/>
      <c r="OPJ26" s="1360"/>
      <c r="OPK26" s="1360"/>
      <c r="OPL26" s="1360"/>
      <c r="OPM26" s="1360"/>
      <c r="OPN26" s="1360"/>
      <c r="OPO26" s="1360"/>
      <c r="OPP26" s="1360"/>
      <c r="OPQ26" s="1360"/>
      <c r="OPR26" s="1360"/>
      <c r="OPS26" s="1360"/>
      <c r="OPT26" s="1360"/>
      <c r="OPU26" s="1360"/>
      <c r="OPV26" s="1360"/>
      <c r="OPW26" s="1360"/>
      <c r="OPX26" s="1360"/>
      <c r="OPY26" s="1360"/>
      <c r="OPZ26" s="1360"/>
      <c r="OQA26" s="1360"/>
      <c r="OQB26" s="1360"/>
      <c r="OQC26" s="1360"/>
      <c r="OQD26" s="1360"/>
      <c r="OQE26" s="1360"/>
      <c r="OQF26" s="1360"/>
      <c r="OQG26" s="1360"/>
      <c r="OQH26" s="1360"/>
      <c r="OQI26" s="1360"/>
      <c r="OQJ26" s="1360"/>
      <c r="OQK26" s="1360"/>
      <c r="OQL26" s="1360"/>
      <c r="OQM26" s="1360"/>
      <c r="OQN26" s="1360"/>
      <c r="OQO26" s="1360"/>
      <c r="OQP26" s="1360"/>
      <c r="OQQ26" s="1360"/>
      <c r="OQR26" s="1360"/>
      <c r="OQS26" s="1360"/>
      <c r="OQT26" s="1360"/>
      <c r="OQU26" s="1360"/>
      <c r="OQV26" s="1360"/>
      <c r="OQW26" s="1360"/>
      <c r="OQX26" s="1360"/>
      <c r="OQY26" s="1360"/>
      <c r="OQZ26" s="1360"/>
      <c r="ORA26" s="1360"/>
      <c r="ORB26" s="1360"/>
      <c r="ORC26" s="1360"/>
      <c r="ORD26" s="1360"/>
      <c r="ORE26" s="1360"/>
      <c r="ORF26" s="1360"/>
      <c r="ORG26" s="1360"/>
      <c r="ORH26" s="1360"/>
      <c r="ORI26" s="1360"/>
      <c r="ORJ26" s="1360"/>
      <c r="ORK26" s="1360"/>
      <c r="ORL26" s="1360"/>
      <c r="ORM26" s="1360"/>
      <c r="ORN26" s="1360"/>
      <c r="ORO26" s="1360"/>
      <c r="ORP26" s="1360"/>
      <c r="ORQ26" s="1360"/>
      <c r="ORR26" s="1360"/>
      <c r="ORS26" s="1360"/>
      <c r="ORT26" s="1360"/>
      <c r="ORU26" s="1360"/>
      <c r="ORV26" s="1360"/>
      <c r="ORW26" s="1360"/>
      <c r="ORX26" s="1360"/>
      <c r="ORY26" s="1360"/>
      <c r="ORZ26" s="1360"/>
      <c r="OSA26" s="1360"/>
      <c r="OSB26" s="1360"/>
      <c r="OSC26" s="1360"/>
      <c r="OSD26" s="1360"/>
      <c r="OSE26" s="1360"/>
      <c r="OSF26" s="1360"/>
      <c r="OSG26" s="1360"/>
      <c r="OSH26" s="1360"/>
      <c r="OSI26" s="1360"/>
      <c r="OSJ26" s="1360"/>
      <c r="OSK26" s="1360"/>
      <c r="OSL26" s="1360"/>
      <c r="OSM26" s="1360"/>
      <c r="OSN26" s="1360"/>
      <c r="OSO26" s="1360"/>
      <c r="OSP26" s="1360"/>
      <c r="OSQ26" s="1360"/>
      <c r="OSR26" s="1360"/>
      <c r="OSS26" s="1360"/>
      <c r="OST26" s="1360"/>
      <c r="OSU26" s="1360"/>
      <c r="OSV26" s="1360"/>
      <c r="OSW26" s="1360"/>
      <c r="OSX26" s="1360"/>
      <c r="OSY26" s="1360"/>
      <c r="OSZ26" s="1360"/>
      <c r="OTA26" s="1360"/>
      <c r="OTB26" s="1360"/>
      <c r="OTC26" s="1360"/>
      <c r="OTD26" s="1360"/>
      <c r="OTE26" s="1360"/>
      <c r="OTF26" s="1360"/>
      <c r="OTG26" s="1360"/>
      <c r="OTH26" s="1360"/>
      <c r="OTI26" s="1360"/>
      <c r="OTJ26" s="1360"/>
      <c r="OTK26" s="1360"/>
      <c r="OTL26" s="1360"/>
      <c r="OTM26" s="1360"/>
      <c r="OTN26" s="1360"/>
      <c r="OTO26" s="1360"/>
      <c r="OTP26" s="1360"/>
      <c r="OTQ26" s="1360"/>
      <c r="OTR26" s="1360"/>
      <c r="OTS26" s="1360"/>
      <c r="OTT26" s="1360"/>
      <c r="OTU26" s="1360"/>
      <c r="OTV26" s="1360"/>
      <c r="OTW26" s="1360"/>
      <c r="OTX26" s="1360"/>
      <c r="OTY26" s="1360"/>
      <c r="OTZ26" s="1360"/>
      <c r="OUA26" s="1360"/>
      <c r="OUB26" s="1360"/>
      <c r="OUC26" s="1360"/>
      <c r="OUD26" s="1360"/>
      <c r="OUE26" s="1360"/>
      <c r="OUF26" s="1360"/>
      <c r="OUG26" s="1360"/>
      <c r="OUH26" s="1360"/>
      <c r="OUI26" s="1360"/>
      <c r="OUJ26" s="1360"/>
      <c r="OUK26" s="1360"/>
      <c r="OUL26" s="1360"/>
      <c r="OUM26" s="1360"/>
      <c r="OUN26" s="1360"/>
      <c r="OUO26" s="1360"/>
      <c r="OUP26" s="1360"/>
      <c r="OUQ26" s="1360"/>
      <c r="OUR26" s="1360"/>
      <c r="OUS26" s="1360"/>
      <c r="OUT26" s="1360"/>
      <c r="OUU26" s="1360"/>
      <c r="OUV26" s="1360"/>
      <c r="OUW26" s="1360"/>
      <c r="OUX26" s="1360"/>
      <c r="OUY26" s="1360"/>
      <c r="OUZ26" s="1360"/>
      <c r="OVA26" s="1360"/>
      <c r="OVB26" s="1360"/>
      <c r="OVC26" s="1360"/>
      <c r="OVD26" s="1360"/>
      <c r="OVE26" s="1360"/>
      <c r="OVF26" s="1360"/>
      <c r="OVG26" s="1360"/>
      <c r="OVH26" s="1360"/>
      <c r="OVI26" s="1360"/>
      <c r="OVJ26" s="1360"/>
      <c r="OVK26" s="1360"/>
      <c r="OVL26" s="1360"/>
      <c r="OVM26" s="1360"/>
      <c r="OVN26" s="1360"/>
      <c r="OVO26" s="1360"/>
      <c r="OVP26" s="1360"/>
      <c r="OVQ26" s="1360"/>
      <c r="OVR26" s="1360"/>
      <c r="OVS26" s="1360"/>
      <c r="OVT26" s="1360"/>
      <c r="OVU26" s="1360"/>
      <c r="OVV26" s="1360"/>
      <c r="OVW26" s="1360"/>
      <c r="OVX26" s="1360"/>
      <c r="OVY26" s="1360"/>
      <c r="OVZ26" s="1360"/>
      <c r="OWA26" s="1360"/>
      <c r="OWB26" s="1360"/>
      <c r="OWC26" s="1360"/>
      <c r="OWD26" s="1360"/>
      <c r="OWE26" s="1360"/>
      <c r="OWF26" s="1360"/>
      <c r="OWG26" s="1360"/>
      <c r="OWH26" s="1360"/>
      <c r="OWI26" s="1360"/>
      <c r="OWJ26" s="1360"/>
      <c r="OWK26" s="1360"/>
      <c r="OWL26" s="1360"/>
      <c r="OWM26" s="1360"/>
      <c r="OWN26" s="1360"/>
      <c r="OWO26" s="1360"/>
      <c r="OWP26" s="1360"/>
      <c r="OWQ26" s="1360"/>
      <c r="OWR26" s="1360"/>
      <c r="OWS26" s="1360"/>
      <c r="OWT26" s="1360"/>
      <c r="OWU26" s="1360"/>
      <c r="OWV26" s="1360"/>
      <c r="OWW26" s="1360"/>
      <c r="OWX26" s="1360"/>
      <c r="OWY26" s="1360"/>
      <c r="OWZ26" s="1360"/>
      <c r="OXA26" s="1360"/>
      <c r="OXB26" s="1360"/>
      <c r="OXC26" s="1360"/>
      <c r="OXD26" s="1360"/>
      <c r="OXE26" s="1360"/>
      <c r="OXF26" s="1360"/>
      <c r="OXG26" s="1360"/>
      <c r="OXH26" s="1360"/>
      <c r="OXI26" s="1360"/>
      <c r="OXJ26" s="1360"/>
      <c r="OXK26" s="1360"/>
      <c r="OXL26" s="1360"/>
      <c r="OXM26" s="1360"/>
      <c r="OXN26" s="1360"/>
      <c r="OXO26" s="1360"/>
      <c r="OXP26" s="1360"/>
      <c r="OXQ26" s="1360"/>
      <c r="OXR26" s="1360"/>
      <c r="OXS26" s="1360"/>
      <c r="OXT26" s="1360"/>
      <c r="OXU26" s="1360"/>
      <c r="OXV26" s="1360"/>
      <c r="OXW26" s="1360"/>
      <c r="OXX26" s="1360"/>
      <c r="OXY26" s="1360"/>
      <c r="OXZ26" s="1360"/>
      <c r="OYA26" s="1360"/>
      <c r="OYB26" s="1360"/>
      <c r="OYC26" s="1360"/>
      <c r="OYD26" s="1360"/>
      <c r="OYE26" s="1360"/>
      <c r="OYF26" s="1360"/>
      <c r="OYG26" s="1360"/>
      <c r="OYH26" s="1360"/>
      <c r="OYI26" s="1360"/>
      <c r="OYJ26" s="1360"/>
      <c r="OYK26" s="1360"/>
      <c r="OYL26" s="1360"/>
      <c r="OYM26" s="1360"/>
      <c r="OYN26" s="1360"/>
      <c r="OYO26" s="1360"/>
      <c r="OYP26" s="1360"/>
      <c r="OYQ26" s="1360"/>
      <c r="OYR26" s="1360"/>
      <c r="OYS26" s="1360"/>
      <c r="OYT26" s="1360"/>
      <c r="OYU26" s="1360"/>
      <c r="OYV26" s="1360"/>
      <c r="OYW26" s="1360"/>
      <c r="OYX26" s="1360"/>
      <c r="OYY26" s="1360"/>
      <c r="OYZ26" s="1360"/>
      <c r="OZA26" s="1360"/>
      <c r="OZB26" s="1360"/>
      <c r="OZC26" s="1360"/>
      <c r="OZD26" s="1360"/>
      <c r="OZE26" s="1360"/>
      <c r="OZF26" s="1360"/>
      <c r="OZG26" s="1360"/>
      <c r="OZH26" s="1360"/>
      <c r="OZI26" s="1360"/>
      <c r="OZJ26" s="1360"/>
      <c r="OZK26" s="1360"/>
      <c r="OZL26" s="1360"/>
      <c r="OZM26" s="1360"/>
      <c r="OZN26" s="1360"/>
      <c r="OZO26" s="1360"/>
      <c r="OZP26" s="1360"/>
      <c r="OZQ26" s="1360"/>
      <c r="OZR26" s="1360"/>
      <c r="OZS26" s="1360"/>
      <c r="OZT26" s="1360"/>
      <c r="OZU26" s="1360"/>
      <c r="OZV26" s="1360"/>
      <c r="OZW26" s="1360"/>
      <c r="OZX26" s="1360"/>
      <c r="OZY26" s="1360"/>
      <c r="OZZ26" s="1360"/>
      <c r="PAA26" s="1360"/>
      <c r="PAB26" s="1360"/>
      <c r="PAC26" s="1360"/>
      <c r="PAD26" s="1360"/>
      <c r="PAE26" s="1360"/>
      <c r="PAF26" s="1360"/>
      <c r="PAG26" s="1360"/>
      <c r="PAH26" s="1360"/>
      <c r="PAI26" s="1360"/>
      <c r="PAJ26" s="1360"/>
      <c r="PAK26" s="1360"/>
      <c r="PAL26" s="1360"/>
      <c r="PAM26" s="1360"/>
      <c r="PAN26" s="1360"/>
      <c r="PAO26" s="1360"/>
      <c r="PAP26" s="1360"/>
      <c r="PAQ26" s="1360"/>
      <c r="PAR26" s="1360"/>
      <c r="PAS26" s="1360"/>
      <c r="PAT26" s="1360"/>
      <c r="PAU26" s="1360"/>
      <c r="PAV26" s="1360"/>
      <c r="PAW26" s="1360"/>
      <c r="PAX26" s="1360"/>
      <c r="PAY26" s="1360"/>
      <c r="PAZ26" s="1360"/>
      <c r="PBA26" s="1360"/>
      <c r="PBB26" s="1360"/>
      <c r="PBC26" s="1360"/>
      <c r="PBD26" s="1360"/>
      <c r="PBE26" s="1360"/>
      <c r="PBF26" s="1360"/>
      <c r="PBG26" s="1360"/>
      <c r="PBH26" s="1360"/>
      <c r="PBI26" s="1360"/>
      <c r="PBJ26" s="1360"/>
      <c r="PBK26" s="1360"/>
      <c r="PBL26" s="1360"/>
      <c r="PBM26" s="1360"/>
      <c r="PBN26" s="1360"/>
      <c r="PBO26" s="1360"/>
      <c r="PBP26" s="1360"/>
      <c r="PBQ26" s="1360"/>
      <c r="PBR26" s="1360"/>
      <c r="PBS26" s="1360"/>
      <c r="PBT26" s="1360"/>
      <c r="PBU26" s="1360"/>
      <c r="PBV26" s="1360"/>
      <c r="PBW26" s="1360"/>
      <c r="PBX26" s="1360"/>
      <c r="PBY26" s="1360"/>
      <c r="PBZ26" s="1360"/>
      <c r="PCA26" s="1360"/>
      <c r="PCB26" s="1360"/>
      <c r="PCC26" s="1360"/>
      <c r="PCD26" s="1360"/>
      <c r="PCE26" s="1360"/>
      <c r="PCF26" s="1360"/>
      <c r="PCG26" s="1360"/>
      <c r="PCH26" s="1360"/>
      <c r="PCI26" s="1360"/>
      <c r="PCJ26" s="1360"/>
      <c r="PCK26" s="1360"/>
      <c r="PCL26" s="1360"/>
      <c r="PCM26" s="1360"/>
      <c r="PCN26" s="1360"/>
      <c r="PCO26" s="1360"/>
      <c r="PCP26" s="1360"/>
      <c r="PCQ26" s="1360"/>
      <c r="PCR26" s="1360"/>
      <c r="PCS26" s="1360"/>
      <c r="PCT26" s="1360"/>
      <c r="PCU26" s="1360"/>
      <c r="PCV26" s="1360"/>
      <c r="PCW26" s="1360"/>
      <c r="PCX26" s="1360"/>
      <c r="PCY26" s="1360"/>
      <c r="PCZ26" s="1360"/>
      <c r="PDA26" s="1360"/>
      <c r="PDB26" s="1360"/>
      <c r="PDC26" s="1360"/>
      <c r="PDD26" s="1360"/>
      <c r="PDE26" s="1360"/>
      <c r="PDF26" s="1360"/>
      <c r="PDG26" s="1360"/>
      <c r="PDH26" s="1360"/>
      <c r="PDI26" s="1360"/>
      <c r="PDJ26" s="1360"/>
      <c r="PDK26" s="1360"/>
      <c r="PDL26" s="1360"/>
      <c r="PDM26" s="1360"/>
      <c r="PDN26" s="1360"/>
      <c r="PDO26" s="1360"/>
      <c r="PDP26" s="1360"/>
      <c r="PDQ26" s="1360"/>
      <c r="PDR26" s="1360"/>
      <c r="PDS26" s="1360"/>
      <c r="PDT26" s="1360"/>
      <c r="PDU26" s="1360"/>
      <c r="PDV26" s="1360"/>
      <c r="PDW26" s="1360"/>
      <c r="PDX26" s="1360"/>
      <c r="PDY26" s="1360"/>
      <c r="PDZ26" s="1360"/>
      <c r="PEA26" s="1360"/>
      <c r="PEB26" s="1360"/>
      <c r="PEC26" s="1360"/>
      <c r="PED26" s="1360"/>
      <c r="PEE26" s="1360"/>
      <c r="PEF26" s="1360"/>
      <c r="PEG26" s="1360"/>
      <c r="PEH26" s="1360"/>
      <c r="PEI26" s="1360"/>
      <c r="PEJ26" s="1360"/>
      <c r="PEK26" s="1360"/>
      <c r="PEL26" s="1360"/>
      <c r="PEM26" s="1360"/>
      <c r="PEN26" s="1360"/>
      <c r="PEO26" s="1360"/>
      <c r="PEP26" s="1360"/>
      <c r="PEQ26" s="1360"/>
      <c r="PER26" s="1360"/>
      <c r="PES26" s="1360"/>
      <c r="PET26" s="1360"/>
      <c r="PEU26" s="1360"/>
      <c r="PEV26" s="1360"/>
      <c r="PEW26" s="1360"/>
      <c r="PEX26" s="1360"/>
      <c r="PEY26" s="1360"/>
      <c r="PEZ26" s="1360"/>
      <c r="PFA26" s="1360"/>
      <c r="PFB26" s="1360"/>
      <c r="PFC26" s="1360"/>
      <c r="PFD26" s="1360"/>
      <c r="PFE26" s="1360"/>
      <c r="PFF26" s="1360"/>
      <c r="PFG26" s="1360"/>
      <c r="PFH26" s="1360"/>
      <c r="PFI26" s="1360"/>
      <c r="PFJ26" s="1360"/>
      <c r="PFK26" s="1360"/>
      <c r="PFL26" s="1360"/>
      <c r="PFM26" s="1360"/>
      <c r="PFN26" s="1360"/>
      <c r="PFO26" s="1360"/>
      <c r="PFP26" s="1360"/>
      <c r="PFQ26" s="1360"/>
      <c r="PFR26" s="1360"/>
      <c r="PFS26" s="1360"/>
      <c r="PFT26" s="1360"/>
      <c r="PFU26" s="1360"/>
      <c r="PFV26" s="1360"/>
      <c r="PFW26" s="1360"/>
      <c r="PFX26" s="1360"/>
      <c r="PFY26" s="1360"/>
      <c r="PFZ26" s="1360"/>
      <c r="PGA26" s="1360"/>
      <c r="PGB26" s="1360"/>
      <c r="PGC26" s="1360"/>
      <c r="PGD26" s="1360"/>
      <c r="PGE26" s="1360"/>
      <c r="PGF26" s="1360"/>
      <c r="PGG26" s="1360"/>
      <c r="PGH26" s="1360"/>
      <c r="PGI26" s="1360"/>
      <c r="PGJ26" s="1360"/>
      <c r="PGK26" s="1360"/>
      <c r="PGL26" s="1360"/>
      <c r="PGM26" s="1360"/>
      <c r="PGN26" s="1360"/>
      <c r="PGO26" s="1360"/>
      <c r="PGP26" s="1360"/>
      <c r="PGQ26" s="1360"/>
      <c r="PGR26" s="1360"/>
      <c r="PGS26" s="1360"/>
      <c r="PGT26" s="1360"/>
      <c r="PGU26" s="1360"/>
      <c r="PGV26" s="1360"/>
      <c r="PGW26" s="1360"/>
      <c r="PGX26" s="1360"/>
      <c r="PGY26" s="1360"/>
      <c r="PGZ26" s="1360"/>
      <c r="PHA26" s="1360"/>
      <c r="PHB26" s="1360"/>
      <c r="PHC26" s="1360"/>
      <c r="PHD26" s="1360"/>
      <c r="PHE26" s="1360"/>
      <c r="PHF26" s="1360"/>
      <c r="PHG26" s="1360"/>
      <c r="PHH26" s="1360"/>
      <c r="PHI26" s="1360"/>
      <c r="PHJ26" s="1360"/>
      <c r="PHK26" s="1360"/>
      <c r="PHL26" s="1360"/>
      <c r="PHM26" s="1360"/>
      <c r="PHN26" s="1360"/>
      <c r="PHO26" s="1360"/>
      <c r="PHP26" s="1360"/>
      <c r="PHQ26" s="1360"/>
      <c r="PHR26" s="1360"/>
      <c r="PHS26" s="1360"/>
      <c r="PHT26" s="1360"/>
      <c r="PHU26" s="1360"/>
      <c r="PHV26" s="1360"/>
      <c r="PHW26" s="1360"/>
      <c r="PHX26" s="1360"/>
      <c r="PHY26" s="1360"/>
      <c r="PHZ26" s="1360"/>
      <c r="PIA26" s="1360"/>
      <c r="PIB26" s="1360"/>
      <c r="PIC26" s="1360"/>
      <c r="PID26" s="1360"/>
      <c r="PIE26" s="1360"/>
      <c r="PIF26" s="1360"/>
      <c r="PIG26" s="1360"/>
      <c r="PIH26" s="1360"/>
      <c r="PII26" s="1360"/>
      <c r="PIJ26" s="1360"/>
      <c r="PIK26" s="1360"/>
      <c r="PIL26" s="1360"/>
      <c r="PIM26" s="1360"/>
      <c r="PIN26" s="1360"/>
      <c r="PIO26" s="1360"/>
      <c r="PIP26" s="1360"/>
      <c r="PIQ26" s="1360"/>
      <c r="PIR26" s="1360"/>
      <c r="PIS26" s="1360"/>
      <c r="PIT26" s="1360"/>
      <c r="PIU26" s="1360"/>
      <c r="PIV26" s="1360"/>
      <c r="PIW26" s="1360"/>
      <c r="PIX26" s="1360"/>
      <c r="PIY26" s="1360"/>
      <c r="PIZ26" s="1360"/>
      <c r="PJA26" s="1360"/>
      <c r="PJB26" s="1360"/>
      <c r="PJC26" s="1360"/>
      <c r="PJD26" s="1360"/>
      <c r="PJE26" s="1360"/>
      <c r="PJF26" s="1360"/>
      <c r="PJG26" s="1360"/>
      <c r="PJH26" s="1360"/>
      <c r="PJI26" s="1360"/>
      <c r="PJJ26" s="1360"/>
      <c r="PJK26" s="1360"/>
      <c r="PJL26" s="1360"/>
      <c r="PJM26" s="1360"/>
      <c r="PJN26" s="1360"/>
      <c r="PJO26" s="1360"/>
      <c r="PJP26" s="1360"/>
      <c r="PJQ26" s="1360"/>
      <c r="PJR26" s="1360"/>
      <c r="PJS26" s="1360"/>
      <c r="PJT26" s="1360"/>
      <c r="PJU26" s="1360"/>
      <c r="PJV26" s="1360"/>
      <c r="PJW26" s="1360"/>
      <c r="PJX26" s="1360"/>
      <c r="PJY26" s="1360"/>
      <c r="PJZ26" s="1360"/>
      <c r="PKA26" s="1360"/>
      <c r="PKB26" s="1360"/>
      <c r="PKC26" s="1360"/>
      <c r="PKD26" s="1360"/>
      <c r="PKE26" s="1360"/>
      <c r="PKF26" s="1360"/>
      <c r="PKG26" s="1360"/>
      <c r="PKH26" s="1360"/>
      <c r="PKI26" s="1360"/>
      <c r="PKJ26" s="1360"/>
      <c r="PKK26" s="1360"/>
      <c r="PKL26" s="1360"/>
      <c r="PKM26" s="1360"/>
      <c r="PKN26" s="1360"/>
      <c r="PKO26" s="1360"/>
      <c r="PKP26" s="1360"/>
      <c r="PKQ26" s="1360"/>
      <c r="PKR26" s="1360"/>
      <c r="PKS26" s="1360"/>
      <c r="PKT26" s="1360"/>
      <c r="PKU26" s="1360"/>
      <c r="PKV26" s="1360"/>
      <c r="PKW26" s="1360"/>
      <c r="PKX26" s="1360"/>
      <c r="PKY26" s="1360"/>
      <c r="PKZ26" s="1360"/>
      <c r="PLA26" s="1360"/>
      <c r="PLB26" s="1360"/>
      <c r="PLC26" s="1360"/>
      <c r="PLD26" s="1360"/>
      <c r="PLE26" s="1360"/>
      <c r="PLF26" s="1360"/>
      <c r="PLG26" s="1360"/>
      <c r="PLH26" s="1360"/>
      <c r="PLI26" s="1360"/>
      <c r="PLJ26" s="1360"/>
      <c r="PLK26" s="1360"/>
      <c r="PLL26" s="1360"/>
      <c r="PLM26" s="1360"/>
      <c r="PLN26" s="1360"/>
      <c r="PLO26" s="1360"/>
      <c r="PLP26" s="1360"/>
      <c r="PLQ26" s="1360"/>
      <c r="PLR26" s="1360"/>
      <c r="PLS26" s="1360"/>
      <c r="PLT26" s="1360"/>
      <c r="PLU26" s="1360"/>
      <c r="PLV26" s="1360"/>
      <c r="PLW26" s="1360"/>
      <c r="PLX26" s="1360"/>
      <c r="PLY26" s="1360"/>
      <c r="PLZ26" s="1360"/>
      <c r="PMA26" s="1360"/>
      <c r="PMB26" s="1360"/>
      <c r="PMC26" s="1360"/>
      <c r="PMD26" s="1360"/>
      <c r="PME26" s="1360"/>
      <c r="PMF26" s="1360"/>
      <c r="PMG26" s="1360"/>
      <c r="PMH26" s="1360"/>
      <c r="PMI26" s="1360"/>
      <c r="PMJ26" s="1360"/>
      <c r="PMK26" s="1360"/>
      <c r="PML26" s="1360"/>
      <c r="PMM26" s="1360"/>
      <c r="PMN26" s="1360"/>
      <c r="PMO26" s="1360"/>
      <c r="PMP26" s="1360"/>
      <c r="PMQ26" s="1360"/>
      <c r="PMR26" s="1360"/>
      <c r="PMS26" s="1360"/>
      <c r="PMT26" s="1360"/>
      <c r="PMU26" s="1360"/>
      <c r="PMV26" s="1360"/>
      <c r="PMW26" s="1360"/>
      <c r="PMX26" s="1360"/>
      <c r="PMY26" s="1360"/>
      <c r="PMZ26" s="1360"/>
      <c r="PNA26" s="1360"/>
      <c r="PNB26" s="1360"/>
      <c r="PNC26" s="1360"/>
      <c r="PND26" s="1360"/>
      <c r="PNE26" s="1360"/>
      <c r="PNF26" s="1360"/>
      <c r="PNG26" s="1360"/>
      <c r="PNH26" s="1360"/>
      <c r="PNI26" s="1360"/>
      <c r="PNJ26" s="1360"/>
      <c r="PNK26" s="1360"/>
      <c r="PNL26" s="1360"/>
      <c r="PNM26" s="1360"/>
      <c r="PNN26" s="1360"/>
      <c r="PNO26" s="1360"/>
      <c r="PNP26" s="1360"/>
      <c r="PNQ26" s="1360"/>
      <c r="PNR26" s="1360"/>
      <c r="PNS26" s="1360"/>
      <c r="PNT26" s="1360"/>
      <c r="PNU26" s="1360"/>
      <c r="PNV26" s="1360"/>
      <c r="PNW26" s="1360"/>
      <c r="PNX26" s="1360"/>
      <c r="PNY26" s="1360"/>
      <c r="PNZ26" s="1360"/>
      <c r="POA26" s="1360"/>
      <c r="POB26" s="1360"/>
      <c r="POC26" s="1360"/>
      <c r="POD26" s="1360"/>
      <c r="POE26" s="1360"/>
      <c r="POF26" s="1360"/>
      <c r="POG26" s="1360"/>
      <c r="POH26" s="1360"/>
      <c r="POI26" s="1360"/>
      <c r="POJ26" s="1360"/>
      <c r="POK26" s="1360"/>
      <c r="POL26" s="1360"/>
      <c r="POM26" s="1360"/>
      <c r="PON26" s="1360"/>
      <c r="POO26" s="1360"/>
      <c r="POP26" s="1360"/>
      <c r="POQ26" s="1360"/>
      <c r="POR26" s="1360"/>
      <c r="POS26" s="1360"/>
      <c r="POT26" s="1360"/>
      <c r="POU26" s="1360"/>
      <c r="POV26" s="1360"/>
      <c r="POW26" s="1360"/>
      <c r="POX26" s="1360"/>
      <c r="POY26" s="1360"/>
      <c r="POZ26" s="1360"/>
      <c r="PPA26" s="1360"/>
      <c r="PPB26" s="1360"/>
      <c r="PPC26" s="1360"/>
      <c r="PPD26" s="1360"/>
      <c r="PPE26" s="1360"/>
      <c r="PPF26" s="1360"/>
      <c r="PPG26" s="1360"/>
      <c r="PPH26" s="1360"/>
      <c r="PPI26" s="1360"/>
      <c r="PPJ26" s="1360"/>
      <c r="PPK26" s="1360"/>
      <c r="PPL26" s="1360"/>
      <c r="PPM26" s="1360"/>
      <c r="PPN26" s="1360"/>
      <c r="PPO26" s="1360"/>
      <c r="PPP26" s="1360"/>
      <c r="PPQ26" s="1360"/>
      <c r="PPR26" s="1360"/>
      <c r="PPS26" s="1360"/>
      <c r="PPT26" s="1360"/>
      <c r="PPU26" s="1360"/>
      <c r="PPV26" s="1360"/>
      <c r="PPW26" s="1360"/>
      <c r="PPX26" s="1360"/>
      <c r="PPY26" s="1360"/>
      <c r="PPZ26" s="1360"/>
      <c r="PQA26" s="1360"/>
      <c r="PQB26" s="1360"/>
      <c r="PQC26" s="1360"/>
      <c r="PQD26" s="1360"/>
      <c r="PQE26" s="1360"/>
      <c r="PQF26" s="1360"/>
      <c r="PQG26" s="1360"/>
      <c r="PQH26" s="1360"/>
      <c r="PQI26" s="1360"/>
      <c r="PQJ26" s="1360"/>
      <c r="PQK26" s="1360"/>
      <c r="PQL26" s="1360"/>
      <c r="PQM26" s="1360"/>
      <c r="PQN26" s="1360"/>
      <c r="PQO26" s="1360"/>
      <c r="PQP26" s="1360"/>
      <c r="PQQ26" s="1360"/>
      <c r="PQR26" s="1360"/>
      <c r="PQS26" s="1360"/>
      <c r="PQT26" s="1360"/>
      <c r="PQU26" s="1360"/>
      <c r="PQV26" s="1360"/>
      <c r="PQW26" s="1360"/>
      <c r="PQX26" s="1360"/>
      <c r="PQY26" s="1360"/>
      <c r="PQZ26" s="1360"/>
      <c r="PRA26" s="1360"/>
      <c r="PRB26" s="1360"/>
      <c r="PRC26" s="1360"/>
      <c r="PRD26" s="1360"/>
      <c r="PRE26" s="1360"/>
      <c r="PRF26" s="1360"/>
      <c r="PRG26" s="1360"/>
      <c r="PRH26" s="1360"/>
      <c r="PRI26" s="1360"/>
      <c r="PRJ26" s="1360"/>
      <c r="PRK26" s="1360"/>
      <c r="PRL26" s="1360"/>
      <c r="PRM26" s="1360"/>
      <c r="PRN26" s="1360"/>
      <c r="PRO26" s="1360"/>
      <c r="PRP26" s="1360"/>
      <c r="PRQ26" s="1360"/>
      <c r="PRR26" s="1360"/>
      <c r="PRS26" s="1360"/>
      <c r="PRT26" s="1360"/>
      <c r="PRU26" s="1360"/>
      <c r="PRV26" s="1360"/>
      <c r="PRW26" s="1360"/>
      <c r="PRX26" s="1360"/>
      <c r="PRY26" s="1360"/>
      <c r="PRZ26" s="1360"/>
      <c r="PSA26" s="1360"/>
      <c r="PSB26" s="1360"/>
      <c r="PSC26" s="1360"/>
      <c r="PSD26" s="1360"/>
      <c r="PSE26" s="1360"/>
      <c r="PSF26" s="1360"/>
      <c r="PSG26" s="1360"/>
      <c r="PSH26" s="1360"/>
      <c r="PSI26" s="1360"/>
      <c r="PSJ26" s="1360"/>
      <c r="PSK26" s="1360"/>
      <c r="PSL26" s="1360"/>
      <c r="PSM26" s="1360"/>
      <c r="PSN26" s="1360"/>
      <c r="PSO26" s="1360"/>
      <c r="PSP26" s="1360"/>
      <c r="PSQ26" s="1360"/>
      <c r="PSR26" s="1360"/>
      <c r="PSS26" s="1360"/>
      <c r="PST26" s="1360"/>
      <c r="PSU26" s="1360"/>
      <c r="PSV26" s="1360"/>
      <c r="PSW26" s="1360"/>
      <c r="PSX26" s="1360"/>
      <c r="PSY26" s="1360"/>
      <c r="PSZ26" s="1360"/>
      <c r="PTA26" s="1360"/>
      <c r="PTB26" s="1360"/>
      <c r="PTC26" s="1360"/>
      <c r="PTD26" s="1360"/>
      <c r="PTE26" s="1360"/>
      <c r="PTF26" s="1360"/>
      <c r="PTG26" s="1360"/>
      <c r="PTH26" s="1360"/>
      <c r="PTI26" s="1360"/>
      <c r="PTJ26" s="1360"/>
      <c r="PTK26" s="1360"/>
      <c r="PTL26" s="1360"/>
      <c r="PTM26" s="1360"/>
      <c r="PTN26" s="1360"/>
      <c r="PTO26" s="1360"/>
      <c r="PTP26" s="1360"/>
      <c r="PTQ26" s="1360"/>
      <c r="PTR26" s="1360"/>
      <c r="PTS26" s="1360"/>
      <c r="PTT26" s="1360"/>
      <c r="PTU26" s="1360"/>
      <c r="PTV26" s="1360"/>
      <c r="PTW26" s="1360"/>
      <c r="PTX26" s="1360"/>
      <c r="PTY26" s="1360"/>
      <c r="PTZ26" s="1360"/>
      <c r="PUA26" s="1360"/>
      <c r="PUB26" s="1360"/>
      <c r="PUC26" s="1360"/>
      <c r="PUD26" s="1360"/>
      <c r="PUE26" s="1360"/>
      <c r="PUF26" s="1360"/>
      <c r="PUG26" s="1360"/>
      <c r="PUH26" s="1360"/>
      <c r="PUI26" s="1360"/>
      <c r="PUJ26" s="1360"/>
      <c r="PUK26" s="1360"/>
      <c r="PUL26" s="1360"/>
      <c r="PUM26" s="1360"/>
      <c r="PUN26" s="1360"/>
      <c r="PUO26" s="1360"/>
      <c r="PUP26" s="1360"/>
      <c r="PUQ26" s="1360"/>
      <c r="PUR26" s="1360"/>
      <c r="PUS26" s="1360"/>
      <c r="PUT26" s="1360"/>
      <c r="PUU26" s="1360"/>
      <c r="PUV26" s="1360"/>
      <c r="PUW26" s="1360"/>
      <c r="PUX26" s="1360"/>
      <c r="PUY26" s="1360"/>
      <c r="PUZ26" s="1360"/>
      <c r="PVA26" s="1360"/>
      <c r="PVB26" s="1360"/>
      <c r="PVC26" s="1360"/>
      <c r="PVD26" s="1360"/>
      <c r="PVE26" s="1360"/>
      <c r="PVF26" s="1360"/>
      <c r="PVG26" s="1360"/>
      <c r="PVH26" s="1360"/>
      <c r="PVI26" s="1360"/>
      <c r="PVJ26" s="1360"/>
      <c r="PVK26" s="1360"/>
      <c r="PVL26" s="1360"/>
      <c r="PVM26" s="1360"/>
      <c r="PVN26" s="1360"/>
      <c r="PVO26" s="1360"/>
      <c r="PVP26" s="1360"/>
      <c r="PVQ26" s="1360"/>
      <c r="PVR26" s="1360"/>
      <c r="PVS26" s="1360"/>
      <c r="PVT26" s="1360"/>
      <c r="PVU26" s="1360"/>
      <c r="PVV26" s="1360"/>
      <c r="PVW26" s="1360"/>
      <c r="PVX26" s="1360"/>
      <c r="PVY26" s="1360"/>
      <c r="PVZ26" s="1360"/>
      <c r="PWA26" s="1360"/>
      <c r="PWB26" s="1360"/>
      <c r="PWC26" s="1360"/>
      <c r="PWD26" s="1360"/>
      <c r="PWE26" s="1360"/>
      <c r="PWF26" s="1360"/>
      <c r="PWG26" s="1360"/>
      <c r="PWH26" s="1360"/>
      <c r="PWI26" s="1360"/>
      <c r="PWJ26" s="1360"/>
      <c r="PWK26" s="1360"/>
      <c r="PWL26" s="1360"/>
      <c r="PWM26" s="1360"/>
      <c r="PWN26" s="1360"/>
      <c r="PWO26" s="1360"/>
      <c r="PWP26" s="1360"/>
      <c r="PWQ26" s="1360"/>
      <c r="PWR26" s="1360"/>
      <c r="PWS26" s="1360"/>
      <c r="PWT26" s="1360"/>
      <c r="PWU26" s="1360"/>
      <c r="PWV26" s="1360"/>
      <c r="PWW26" s="1360"/>
      <c r="PWX26" s="1360"/>
      <c r="PWY26" s="1360"/>
      <c r="PWZ26" s="1360"/>
      <c r="PXA26" s="1360"/>
      <c r="PXB26" s="1360"/>
      <c r="PXC26" s="1360"/>
      <c r="PXD26" s="1360"/>
      <c r="PXE26" s="1360"/>
      <c r="PXF26" s="1360"/>
      <c r="PXG26" s="1360"/>
      <c r="PXH26" s="1360"/>
      <c r="PXI26" s="1360"/>
      <c r="PXJ26" s="1360"/>
      <c r="PXK26" s="1360"/>
      <c r="PXL26" s="1360"/>
      <c r="PXM26" s="1360"/>
      <c r="PXN26" s="1360"/>
      <c r="PXO26" s="1360"/>
      <c r="PXP26" s="1360"/>
      <c r="PXQ26" s="1360"/>
      <c r="PXR26" s="1360"/>
      <c r="PXS26" s="1360"/>
      <c r="PXT26" s="1360"/>
      <c r="PXU26" s="1360"/>
      <c r="PXV26" s="1360"/>
      <c r="PXW26" s="1360"/>
      <c r="PXX26" s="1360"/>
      <c r="PXY26" s="1360"/>
      <c r="PXZ26" s="1360"/>
      <c r="PYA26" s="1360"/>
      <c r="PYB26" s="1360"/>
      <c r="PYC26" s="1360"/>
      <c r="PYD26" s="1360"/>
      <c r="PYE26" s="1360"/>
      <c r="PYF26" s="1360"/>
      <c r="PYG26" s="1360"/>
      <c r="PYH26" s="1360"/>
      <c r="PYI26" s="1360"/>
      <c r="PYJ26" s="1360"/>
      <c r="PYK26" s="1360"/>
      <c r="PYL26" s="1360"/>
      <c r="PYM26" s="1360"/>
      <c r="PYN26" s="1360"/>
      <c r="PYO26" s="1360"/>
      <c r="PYP26" s="1360"/>
      <c r="PYQ26" s="1360"/>
      <c r="PYR26" s="1360"/>
      <c r="PYS26" s="1360"/>
      <c r="PYT26" s="1360"/>
      <c r="PYU26" s="1360"/>
      <c r="PYV26" s="1360"/>
      <c r="PYW26" s="1360"/>
      <c r="PYX26" s="1360"/>
      <c r="PYY26" s="1360"/>
      <c r="PYZ26" s="1360"/>
      <c r="PZA26" s="1360"/>
      <c r="PZB26" s="1360"/>
      <c r="PZC26" s="1360"/>
      <c r="PZD26" s="1360"/>
      <c r="PZE26" s="1360"/>
      <c r="PZF26" s="1360"/>
      <c r="PZG26" s="1360"/>
      <c r="PZH26" s="1360"/>
      <c r="PZI26" s="1360"/>
      <c r="PZJ26" s="1360"/>
      <c r="PZK26" s="1360"/>
      <c r="PZL26" s="1360"/>
      <c r="PZM26" s="1360"/>
      <c r="PZN26" s="1360"/>
      <c r="PZO26" s="1360"/>
      <c r="PZP26" s="1360"/>
      <c r="PZQ26" s="1360"/>
      <c r="PZR26" s="1360"/>
      <c r="PZS26" s="1360"/>
      <c r="PZT26" s="1360"/>
      <c r="PZU26" s="1360"/>
      <c r="PZV26" s="1360"/>
      <c r="PZW26" s="1360"/>
      <c r="PZX26" s="1360"/>
      <c r="PZY26" s="1360"/>
      <c r="PZZ26" s="1360"/>
      <c r="QAA26" s="1360"/>
      <c r="QAB26" s="1360"/>
      <c r="QAC26" s="1360"/>
      <c r="QAD26" s="1360"/>
      <c r="QAE26" s="1360"/>
      <c r="QAF26" s="1360"/>
      <c r="QAG26" s="1360"/>
      <c r="QAH26" s="1360"/>
      <c r="QAI26" s="1360"/>
      <c r="QAJ26" s="1360"/>
      <c r="QAK26" s="1360"/>
      <c r="QAL26" s="1360"/>
      <c r="QAM26" s="1360"/>
      <c r="QAN26" s="1360"/>
      <c r="QAO26" s="1360"/>
      <c r="QAP26" s="1360"/>
      <c r="QAQ26" s="1360"/>
      <c r="QAR26" s="1360"/>
      <c r="QAS26" s="1360"/>
      <c r="QAT26" s="1360"/>
      <c r="QAU26" s="1360"/>
      <c r="QAV26" s="1360"/>
      <c r="QAW26" s="1360"/>
      <c r="QAX26" s="1360"/>
      <c r="QAY26" s="1360"/>
      <c r="QAZ26" s="1360"/>
      <c r="QBA26" s="1360"/>
      <c r="QBB26" s="1360"/>
      <c r="QBC26" s="1360"/>
      <c r="QBD26" s="1360"/>
      <c r="QBE26" s="1360"/>
      <c r="QBF26" s="1360"/>
      <c r="QBG26" s="1360"/>
      <c r="QBH26" s="1360"/>
      <c r="QBI26" s="1360"/>
      <c r="QBJ26" s="1360"/>
      <c r="QBK26" s="1360"/>
      <c r="QBL26" s="1360"/>
      <c r="QBM26" s="1360"/>
      <c r="QBN26" s="1360"/>
      <c r="QBO26" s="1360"/>
      <c r="QBP26" s="1360"/>
      <c r="QBQ26" s="1360"/>
      <c r="QBR26" s="1360"/>
      <c r="QBS26" s="1360"/>
      <c r="QBT26" s="1360"/>
      <c r="QBU26" s="1360"/>
      <c r="QBV26" s="1360"/>
      <c r="QBW26" s="1360"/>
      <c r="QBX26" s="1360"/>
      <c r="QBY26" s="1360"/>
      <c r="QBZ26" s="1360"/>
      <c r="QCA26" s="1360"/>
      <c r="QCB26" s="1360"/>
      <c r="QCC26" s="1360"/>
      <c r="QCD26" s="1360"/>
      <c r="QCE26" s="1360"/>
      <c r="QCF26" s="1360"/>
      <c r="QCG26" s="1360"/>
      <c r="QCH26" s="1360"/>
      <c r="QCI26" s="1360"/>
      <c r="QCJ26" s="1360"/>
      <c r="QCK26" s="1360"/>
      <c r="QCL26" s="1360"/>
      <c r="QCM26" s="1360"/>
      <c r="QCN26" s="1360"/>
      <c r="QCO26" s="1360"/>
      <c r="QCP26" s="1360"/>
      <c r="QCQ26" s="1360"/>
      <c r="QCR26" s="1360"/>
      <c r="QCS26" s="1360"/>
      <c r="QCT26" s="1360"/>
      <c r="QCU26" s="1360"/>
      <c r="QCV26" s="1360"/>
      <c r="QCW26" s="1360"/>
      <c r="QCX26" s="1360"/>
      <c r="QCY26" s="1360"/>
      <c r="QCZ26" s="1360"/>
      <c r="QDA26" s="1360"/>
      <c r="QDB26" s="1360"/>
      <c r="QDC26" s="1360"/>
      <c r="QDD26" s="1360"/>
      <c r="QDE26" s="1360"/>
      <c r="QDF26" s="1360"/>
      <c r="QDG26" s="1360"/>
      <c r="QDH26" s="1360"/>
      <c r="QDI26" s="1360"/>
      <c r="QDJ26" s="1360"/>
      <c r="QDK26" s="1360"/>
      <c r="QDL26" s="1360"/>
      <c r="QDM26" s="1360"/>
      <c r="QDN26" s="1360"/>
      <c r="QDO26" s="1360"/>
      <c r="QDP26" s="1360"/>
      <c r="QDQ26" s="1360"/>
      <c r="QDR26" s="1360"/>
      <c r="QDS26" s="1360"/>
      <c r="QDT26" s="1360"/>
      <c r="QDU26" s="1360"/>
      <c r="QDV26" s="1360"/>
      <c r="QDW26" s="1360"/>
      <c r="QDX26" s="1360"/>
      <c r="QDY26" s="1360"/>
      <c r="QDZ26" s="1360"/>
      <c r="QEA26" s="1360"/>
      <c r="QEB26" s="1360"/>
      <c r="QEC26" s="1360"/>
      <c r="QED26" s="1360"/>
      <c r="QEE26" s="1360"/>
      <c r="QEF26" s="1360"/>
      <c r="QEG26" s="1360"/>
      <c r="QEH26" s="1360"/>
      <c r="QEI26" s="1360"/>
      <c r="QEJ26" s="1360"/>
      <c r="QEK26" s="1360"/>
      <c r="QEL26" s="1360"/>
      <c r="QEM26" s="1360"/>
      <c r="QEN26" s="1360"/>
      <c r="QEO26" s="1360"/>
      <c r="QEP26" s="1360"/>
      <c r="QEQ26" s="1360"/>
      <c r="QER26" s="1360"/>
      <c r="QES26" s="1360"/>
      <c r="QET26" s="1360"/>
      <c r="QEU26" s="1360"/>
      <c r="QEV26" s="1360"/>
      <c r="QEW26" s="1360"/>
      <c r="QEX26" s="1360"/>
      <c r="QEY26" s="1360"/>
      <c r="QEZ26" s="1360"/>
      <c r="QFA26" s="1360"/>
      <c r="QFB26" s="1360"/>
      <c r="QFC26" s="1360"/>
      <c r="QFD26" s="1360"/>
      <c r="QFE26" s="1360"/>
      <c r="QFF26" s="1360"/>
      <c r="QFG26" s="1360"/>
      <c r="QFH26" s="1360"/>
      <c r="QFI26" s="1360"/>
      <c r="QFJ26" s="1360"/>
      <c r="QFK26" s="1360"/>
      <c r="QFL26" s="1360"/>
      <c r="QFM26" s="1360"/>
      <c r="QFN26" s="1360"/>
      <c r="QFO26" s="1360"/>
      <c r="QFP26" s="1360"/>
      <c r="QFQ26" s="1360"/>
      <c r="QFR26" s="1360"/>
      <c r="QFS26" s="1360"/>
      <c r="QFT26" s="1360"/>
      <c r="QFU26" s="1360"/>
      <c r="QFV26" s="1360"/>
      <c r="QFW26" s="1360"/>
      <c r="QFX26" s="1360"/>
      <c r="QFY26" s="1360"/>
      <c r="QFZ26" s="1360"/>
      <c r="QGA26" s="1360"/>
      <c r="QGB26" s="1360"/>
      <c r="QGC26" s="1360"/>
      <c r="QGD26" s="1360"/>
      <c r="QGE26" s="1360"/>
      <c r="QGF26" s="1360"/>
      <c r="QGG26" s="1360"/>
      <c r="QGH26" s="1360"/>
      <c r="QGI26" s="1360"/>
      <c r="QGJ26" s="1360"/>
      <c r="QGK26" s="1360"/>
      <c r="QGL26" s="1360"/>
      <c r="QGM26" s="1360"/>
      <c r="QGN26" s="1360"/>
      <c r="QGO26" s="1360"/>
      <c r="QGP26" s="1360"/>
      <c r="QGQ26" s="1360"/>
      <c r="QGR26" s="1360"/>
      <c r="QGS26" s="1360"/>
      <c r="QGT26" s="1360"/>
      <c r="QGU26" s="1360"/>
      <c r="QGV26" s="1360"/>
      <c r="QGW26" s="1360"/>
      <c r="QGX26" s="1360"/>
      <c r="QGY26" s="1360"/>
      <c r="QGZ26" s="1360"/>
      <c r="QHA26" s="1360"/>
      <c r="QHB26" s="1360"/>
      <c r="QHC26" s="1360"/>
      <c r="QHD26" s="1360"/>
      <c r="QHE26" s="1360"/>
      <c r="QHF26" s="1360"/>
      <c r="QHG26" s="1360"/>
      <c r="QHH26" s="1360"/>
      <c r="QHI26" s="1360"/>
      <c r="QHJ26" s="1360"/>
      <c r="QHK26" s="1360"/>
      <c r="QHL26" s="1360"/>
      <c r="QHM26" s="1360"/>
      <c r="QHN26" s="1360"/>
      <c r="QHO26" s="1360"/>
      <c r="QHP26" s="1360"/>
      <c r="QHQ26" s="1360"/>
      <c r="QHR26" s="1360"/>
      <c r="QHS26" s="1360"/>
      <c r="QHT26" s="1360"/>
      <c r="QHU26" s="1360"/>
      <c r="QHV26" s="1360"/>
      <c r="QHW26" s="1360"/>
      <c r="QHX26" s="1360"/>
      <c r="QHY26" s="1360"/>
      <c r="QHZ26" s="1360"/>
      <c r="QIA26" s="1360"/>
      <c r="QIB26" s="1360"/>
      <c r="QIC26" s="1360"/>
      <c r="QID26" s="1360"/>
      <c r="QIE26" s="1360"/>
      <c r="QIF26" s="1360"/>
      <c r="QIG26" s="1360"/>
      <c r="QIH26" s="1360"/>
      <c r="QII26" s="1360"/>
      <c r="QIJ26" s="1360"/>
      <c r="QIK26" s="1360"/>
      <c r="QIL26" s="1360"/>
      <c r="QIM26" s="1360"/>
      <c r="QIN26" s="1360"/>
      <c r="QIO26" s="1360"/>
      <c r="QIP26" s="1360"/>
      <c r="QIQ26" s="1360"/>
      <c r="QIR26" s="1360"/>
      <c r="QIS26" s="1360"/>
      <c r="QIT26" s="1360"/>
      <c r="QIU26" s="1360"/>
      <c r="QIV26" s="1360"/>
      <c r="QIW26" s="1360"/>
      <c r="QIX26" s="1360"/>
      <c r="QIY26" s="1360"/>
      <c r="QIZ26" s="1360"/>
      <c r="QJA26" s="1360"/>
      <c r="QJB26" s="1360"/>
      <c r="QJC26" s="1360"/>
      <c r="QJD26" s="1360"/>
      <c r="QJE26" s="1360"/>
      <c r="QJF26" s="1360"/>
      <c r="QJG26" s="1360"/>
      <c r="QJH26" s="1360"/>
      <c r="QJI26" s="1360"/>
      <c r="QJJ26" s="1360"/>
      <c r="QJK26" s="1360"/>
      <c r="QJL26" s="1360"/>
      <c r="QJM26" s="1360"/>
      <c r="QJN26" s="1360"/>
      <c r="QJO26" s="1360"/>
      <c r="QJP26" s="1360"/>
      <c r="QJQ26" s="1360"/>
      <c r="QJR26" s="1360"/>
      <c r="QJS26" s="1360"/>
      <c r="QJT26" s="1360"/>
      <c r="QJU26" s="1360"/>
      <c r="QJV26" s="1360"/>
      <c r="QJW26" s="1360"/>
      <c r="QJX26" s="1360"/>
      <c r="QJY26" s="1360"/>
      <c r="QJZ26" s="1360"/>
      <c r="QKA26" s="1360"/>
      <c r="QKB26" s="1360"/>
      <c r="QKC26" s="1360"/>
      <c r="QKD26" s="1360"/>
      <c r="QKE26" s="1360"/>
      <c r="QKF26" s="1360"/>
      <c r="QKG26" s="1360"/>
      <c r="QKH26" s="1360"/>
      <c r="QKI26" s="1360"/>
      <c r="QKJ26" s="1360"/>
      <c r="QKK26" s="1360"/>
      <c r="QKL26" s="1360"/>
      <c r="QKM26" s="1360"/>
      <c r="QKN26" s="1360"/>
      <c r="QKO26" s="1360"/>
      <c r="QKP26" s="1360"/>
      <c r="QKQ26" s="1360"/>
      <c r="QKR26" s="1360"/>
      <c r="QKS26" s="1360"/>
      <c r="QKT26" s="1360"/>
      <c r="QKU26" s="1360"/>
      <c r="QKV26" s="1360"/>
      <c r="QKW26" s="1360"/>
      <c r="QKX26" s="1360"/>
      <c r="QKY26" s="1360"/>
      <c r="QKZ26" s="1360"/>
      <c r="QLA26" s="1360"/>
      <c r="QLB26" s="1360"/>
      <c r="QLC26" s="1360"/>
      <c r="QLD26" s="1360"/>
      <c r="QLE26" s="1360"/>
      <c r="QLF26" s="1360"/>
      <c r="QLG26" s="1360"/>
      <c r="QLH26" s="1360"/>
      <c r="QLI26" s="1360"/>
      <c r="QLJ26" s="1360"/>
      <c r="QLK26" s="1360"/>
      <c r="QLL26" s="1360"/>
      <c r="QLM26" s="1360"/>
      <c r="QLN26" s="1360"/>
      <c r="QLO26" s="1360"/>
      <c r="QLP26" s="1360"/>
      <c r="QLQ26" s="1360"/>
      <c r="QLR26" s="1360"/>
      <c r="QLS26" s="1360"/>
      <c r="QLT26" s="1360"/>
      <c r="QLU26" s="1360"/>
      <c r="QLV26" s="1360"/>
      <c r="QLW26" s="1360"/>
      <c r="QLX26" s="1360"/>
      <c r="QLY26" s="1360"/>
      <c r="QLZ26" s="1360"/>
      <c r="QMA26" s="1360"/>
      <c r="QMB26" s="1360"/>
      <c r="QMC26" s="1360"/>
      <c r="QMD26" s="1360"/>
      <c r="QME26" s="1360"/>
      <c r="QMF26" s="1360"/>
      <c r="QMG26" s="1360"/>
      <c r="QMH26" s="1360"/>
      <c r="QMI26" s="1360"/>
      <c r="QMJ26" s="1360"/>
      <c r="QMK26" s="1360"/>
      <c r="QML26" s="1360"/>
      <c r="QMM26" s="1360"/>
      <c r="QMN26" s="1360"/>
      <c r="QMO26" s="1360"/>
      <c r="QMP26" s="1360"/>
      <c r="QMQ26" s="1360"/>
      <c r="QMR26" s="1360"/>
      <c r="QMS26" s="1360"/>
      <c r="QMT26" s="1360"/>
      <c r="QMU26" s="1360"/>
      <c r="QMV26" s="1360"/>
      <c r="QMW26" s="1360"/>
      <c r="QMX26" s="1360"/>
      <c r="QMY26" s="1360"/>
      <c r="QMZ26" s="1360"/>
      <c r="QNA26" s="1360"/>
      <c r="QNB26" s="1360"/>
      <c r="QNC26" s="1360"/>
      <c r="QND26" s="1360"/>
      <c r="QNE26" s="1360"/>
      <c r="QNF26" s="1360"/>
      <c r="QNG26" s="1360"/>
      <c r="QNH26" s="1360"/>
      <c r="QNI26" s="1360"/>
      <c r="QNJ26" s="1360"/>
      <c r="QNK26" s="1360"/>
      <c r="QNL26" s="1360"/>
      <c r="QNM26" s="1360"/>
      <c r="QNN26" s="1360"/>
      <c r="QNO26" s="1360"/>
      <c r="QNP26" s="1360"/>
      <c r="QNQ26" s="1360"/>
      <c r="QNR26" s="1360"/>
      <c r="QNS26" s="1360"/>
      <c r="QNT26" s="1360"/>
      <c r="QNU26" s="1360"/>
      <c r="QNV26" s="1360"/>
      <c r="QNW26" s="1360"/>
      <c r="QNX26" s="1360"/>
      <c r="QNY26" s="1360"/>
      <c r="QNZ26" s="1360"/>
      <c r="QOA26" s="1360"/>
      <c r="QOB26" s="1360"/>
      <c r="QOC26" s="1360"/>
      <c r="QOD26" s="1360"/>
      <c r="QOE26" s="1360"/>
      <c r="QOF26" s="1360"/>
      <c r="QOG26" s="1360"/>
      <c r="QOH26" s="1360"/>
      <c r="QOI26" s="1360"/>
      <c r="QOJ26" s="1360"/>
      <c r="QOK26" s="1360"/>
      <c r="QOL26" s="1360"/>
      <c r="QOM26" s="1360"/>
      <c r="QON26" s="1360"/>
      <c r="QOO26" s="1360"/>
      <c r="QOP26" s="1360"/>
      <c r="QOQ26" s="1360"/>
      <c r="QOR26" s="1360"/>
      <c r="QOS26" s="1360"/>
      <c r="QOT26" s="1360"/>
      <c r="QOU26" s="1360"/>
      <c r="QOV26" s="1360"/>
      <c r="QOW26" s="1360"/>
      <c r="QOX26" s="1360"/>
      <c r="QOY26" s="1360"/>
      <c r="QOZ26" s="1360"/>
      <c r="QPA26" s="1360"/>
      <c r="QPB26" s="1360"/>
      <c r="QPC26" s="1360"/>
      <c r="QPD26" s="1360"/>
      <c r="QPE26" s="1360"/>
      <c r="QPF26" s="1360"/>
      <c r="QPG26" s="1360"/>
      <c r="QPH26" s="1360"/>
      <c r="QPI26" s="1360"/>
      <c r="QPJ26" s="1360"/>
      <c r="QPK26" s="1360"/>
      <c r="QPL26" s="1360"/>
      <c r="QPM26" s="1360"/>
      <c r="QPN26" s="1360"/>
      <c r="QPO26" s="1360"/>
      <c r="QPP26" s="1360"/>
      <c r="QPQ26" s="1360"/>
      <c r="QPR26" s="1360"/>
      <c r="QPS26" s="1360"/>
      <c r="QPT26" s="1360"/>
      <c r="QPU26" s="1360"/>
      <c r="QPV26" s="1360"/>
      <c r="QPW26" s="1360"/>
      <c r="QPX26" s="1360"/>
      <c r="QPY26" s="1360"/>
      <c r="QPZ26" s="1360"/>
      <c r="QQA26" s="1360"/>
      <c r="QQB26" s="1360"/>
      <c r="QQC26" s="1360"/>
      <c r="QQD26" s="1360"/>
      <c r="QQE26" s="1360"/>
      <c r="QQF26" s="1360"/>
      <c r="QQG26" s="1360"/>
      <c r="QQH26" s="1360"/>
      <c r="QQI26" s="1360"/>
      <c r="QQJ26" s="1360"/>
      <c r="QQK26" s="1360"/>
      <c r="QQL26" s="1360"/>
      <c r="QQM26" s="1360"/>
      <c r="QQN26" s="1360"/>
      <c r="QQO26" s="1360"/>
      <c r="QQP26" s="1360"/>
      <c r="QQQ26" s="1360"/>
      <c r="QQR26" s="1360"/>
      <c r="QQS26" s="1360"/>
      <c r="QQT26" s="1360"/>
      <c r="QQU26" s="1360"/>
      <c r="QQV26" s="1360"/>
      <c r="QQW26" s="1360"/>
      <c r="QQX26" s="1360"/>
      <c r="QQY26" s="1360"/>
      <c r="QQZ26" s="1360"/>
      <c r="QRA26" s="1360"/>
      <c r="QRB26" s="1360"/>
      <c r="QRC26" s="1360"/>
      <c r="QRD26" s="1360"/>
      <c r="QRE26" s="1360"/>
      <c r="QRF26" s="1360"/>
      <c r="QRG26" s="1360"/>
      <c r="QRH26" s="1360"/>
      <c r="QRI26" s="1360"/>
      <c r="QRJ26" s="1360"/>
      <c r="QRK26" s="1360"/>
      <c r="QRL26" s="1360"/>
      <c r="QRM26" s="1360"/>
      <c r="QRN26" s="1360"/>
      <c r="QRO26" s="1360"/>
      <c r="QRP26" s="1360"/>
      <c r="QRQ26" s="1360"/>
      <c r="QRR26" s="1360"/>
      <c r="QRS26" s="1360"/>
      <c r="QRT26" s="1360"/>
      <c r="QRU26" s="1360"/>
      <c r="QRV26" s="1360"/>
      <c r="QRW26" s="1360"/>
      <c r="QRX26" s="1360"/>
      <c r="QRY26" s="1360"/>
      <c r="QRZ26" s="1360"/>
      <c r="QSA26" s="1360"/>
      <c r="QSB26" s="1360"/>
      <c r="QSC26" s="1360"/>
      <c r="QSD26" s="1360"/>
      <c r="QSE26" s="1360"/>
      <c r="QSF26" s="1360"/>
      <c r="QSG26" s="1360"/>
      <c r="QSH26" s="1360"/>
      <c r="QSI26" s="1360"/>
      <c r="QSJ26" s="1360"/>
      <c r="QSK26" s="1360"/>
      <c r="QSL26" s="1360"/>
      <c r="QSM26" s="1360"/>
      <c r="QSN26" s="1360"/>
      <c r="QSO26" s="1360"/>
      <c r="QSP26" s="1360"/>
      <c r="QSQ26" s="1360"/>
      <c r="QSR26" s="1360"/>
      <c r="QSS26" s="1360"/>
      <c r="QST26" s="1360"/>
      <c r="QSU26" s="1360"/>
      <c r="QSV26" s="1360"/>
      <c r="QSW26" s="1360"/>
      <c r="QSX26" s="1360"/>
      <c r="QSY26" s="1360"/>
      <c r="QSZ26" s="1360"/>
      <c r="QTA26" s="1360"/>
      <c r="QTB26" s="1360"/>
      <c r="QTC26" s="1360"/>
      <c r="QTD26" s="1360"/>
      <c r="QTE26" s="1360"/>
      <c r="QTF26" s="1360"/>
      <c r="QTG26" s="1360"/>
      <c r="QTH26" s="1360"/>
      <c r="QTI26" s="1360"/>
      <c r="QTJ26" s="1360"/>
      <c r="QTK26" s="1360"/>
      <c r="QTL26" s="1360"/>
      <c r="QTM26" s="1360"/>
      <c r="QTN26" s="1360"/>
      <c r="QTO26" s="1360"/>
      <c r="QTP26" s="1360"/>
      <c r="QTQ26" s="1360"/>
      <c r="QTR26" s="1360"/>
      <c r="QTS26" s="1360"/>
      <c r="QTT26" s="1360"/>
      <c r="QTU26" s="1360"/>
      <c r="QTV26" s="1360"/>
      <c r="QTW26" s="1360"/>
      <c r="QTX26" s="1360"/>
      <c r="QTY26" s="1360"/>
      <c r="QTZ26" s="1360"/>
      <c r="QUA26" s="1360"/>
      <c r="QUB26" s="1360"/>
      <c r="QUC26" s="1360"/>
      <c r="QUD26" s="1360"/>
      <c r="QUE26" s="1360"/>
      <c r="QUF26" s="1360"/>
      <c r="QUG26" s="1360"/>
      <c r="QUH26" s="1360"/>
      <c r="QUI26" s="1360"/>
      <c r="QUJ26" s="1360"/>
      <c r="QUK26" s="1360"/>
      <c r="QUL26" s="1360"/>
      <c r="QUM26" s="1360"/>
      <c r="QUN26" s="1360"/>
      <c r="QUO26" s="1360"/>
      <c r="QUP26" s="1360"/>
      <c r="QUQ26" s="1360"/>
      <c r="QUR26" s="1360"/>
      <c r="QUS26" s="1360"/>
      <c r="QUT26" s="1360"/>
      <c r="QUU26" s="1360"/>
      <c r="QUV26" s="1360"/>
      <c r="QUW26" s="1360"/>
      <c r="QUX26" s="1360"/>
      <c r="QUY26" s="1360"/>
      <c r="QUZ26" s="1360"/>
      <c r="QVA26" s="1360"/>
      <c r="QVB26" s="1360"/>
      <c r="QVC26" s="1360"/>
      <c r="QVD26" s="1360"/>
      <c r="QVE26" s="1360"/>
      <c r="QVF26" s="1360"/>
      <c r="QVG26" s="1360"/>
      <c r="QVH26" s="1360"/>
      <c r="QVI26" s="1360"/>
      <c r="QVJ26" s="1360"/>
      <c r="QVK26" s="1360"/>
      <c r="QVL26" s="1360"/>
      <c r="QVM26" s="1360"/>
      <c r="QVN26" s="1360"/>
      <c r="QVO26" s="1360"/>
      <c r="QVP26" s="1360"/>
      <c r="QVQ26" s="1360"/>
      <c r="QVR26" s="1360"/>
      <c r="QVS26" s="1360"/>
      <c r="QVT26" s="1360"/>
      <c r="QVU26" s="1360"/>
      <c r="QVV26" s="1360"/>
      <c r="QVW26" s="1360"/>
      <c r="QVX26" s="1360"/>
      <c r="QVY26" s="1360"/>
      <c r="QVZ26" s="1360"/>
      <c r="QWA26" s="1360"/>
      <c r="QWB26" s="1360"/>
      <c r="QWC26" s="1360"/>
      <c r="QWD26" s="1360"/>
      <c r="QWE26" s="1360"/>
      <c r="QWF26" s="1360"/>
      <c r="QWG26" s="1360"/>
      <c r="QWH26" s="1360"/>
      <c r="QWI26" s="1360"/>
      <c r="QWJ26" s="1360"/>
      <c r="QWK26" s="1360"/>
      <c r="QWL26" s="1360"/>
      <c r="QWM26" s="1360"/>
      <c r="QWN26" s="1360"/>
      <c r="QWO26" s="1360"/>
      <c r="QWP26" s="1360"/>
      <c r="QWQ26" s="1360"/>
      <c r="QWR26" s="1360"/>
      <c r="QWS26" s="1360"/>
      <c r="QWT26" s="1360"/>
      <c r="QWU26" s="1360"/>
      <c r="QWV26" s="1360"/>
      <c r="QWW26" s="1360"/>
      <c r="QWX26" s="1360"/>
      <c r="QWY26" s="1360"/>
      <c r="QWZ26" s="1360"/>
      <c r="QXA26" s="1360"/>
      <c r="QXB26" s="1360"/>
      <c r="QXC26" s="1360"/>
      <c r="QXD26" s="1360"/>
      <c r="QXE26" s="1360"/>
      <c r="QXF26" s="1360"/>
      <c r="QXG26" s="1360"/>
      <c r="QXH26" s="1360"/>
      <c r="QXI26" s="1360"/>
      <c r="QXJ26" s="1360"/>
      <c r="QXK26" s="1360"/>
      <c r="QXL26" s="1360"/>
      <c r="QXM26" s="1360"/>
      <c r="QXN26" s="1360"/>
      <c r="QXO26" s="1360"/>
      <c r="QXP26" s="1360"/>
      <c r="QXQ26" s="1360"/>
      <c r="QXR26" s="1360"/>
      <c r="QXS26" s="1360"/>
      <c r="QXT26" s="1360"/>
      <c r="QXU26" s="1360"/>
      <c r="QXV26" s="1360"/>
      <c r="QXW26" s="1360"/>
      <c r="QXX26" s="1360"/>
      <c r="QXY26" s="1360"/>
      <c r="QXZ26" s="1360"/>
      <c r="QYA26" s="1360"/>
      <c r="QYB26" s="1360"/>
      <c r="QYC26" s="1360"/>
      <c r="QYD26" s="1360"/>
      <c r="QYE26" s="1360"/>
      <c r="QYF26" s="1360"/>
      <c r="QYG26" s="1360"/>
      <c r="QYH26" s="1360"/>
      <c r="QYI26" s="1360"/>
      <c r="QYJ26" s="1360"/>
      <c r="QYK26" s="1360"/>
      <c r="QYL26" s="1360"/>
      <c r="QYM26" s="1360"/>
      <c r="QYN26" s="1360"/>
      <c r="QYO26" s="1360"/>
      <c r="QYP26" s="1360"/>
      <c r="QYQ26" s="1360"/>
      <c r="QYR26" s="1360"/>
      <c r="QYS26" s="1360"/>
      <c r="QYT26" s="1360"/>
      <c r="QYU26" s="1360"/>
      <c r="QYV26" s="1360"/>
      <c r="QYW26" s="1360"/>
      <c r="QYX26" s="1360"/>
      <c r="QYY26" s="1360"/>
      <c r="QYZ26" s="1360"/>
      <c r="QZA26" s="1360"/>
      <c r="QZB26" s="1360"/>
      <c r="QZC26" s="1360"/>
      <c r="QZD26" s="1360"/>
      <c r="QZE26" s="1360"/>
      <c r="QZF26" s="1360"/>
      <c r="QZG26" s="1360"/>
      <c r="QZH26" s="1360"/>
      <c r="QZI26" s="1360"/>
      <c r="QZJ26" s="1360"/>
      <c r="QZK26" s="1360"/>
      <c r="QZL26" s="1360"/>
      <c r="QZM26" s="1360"/>
      <c r="QZN26" s="1360"/>
      <c r="QZO26" s="1360"/>
      <c r="QZP26" s="1360"/>
      <c r="QZQ26" s="1360"/>
      <c r="QZR26" s="1360"/>
      <c r="QZS26" s="1360"/>
      <c r="QZT26" s="1360"/>
      <c r="QZU26" s="1360"/>
      <c r="QZV26" s="1360"/>
      <c r="QZW26" s="1360"/>
      <c r="QZX26" s="1360"/>
      <c r="QZY26" s="1360"/>
      <c r="QZZ26" s="1360"/>
      <c r="RAA26" s="1360"/>
      <c r="RAB26" s="1360"/>
      <c r="RAC26" s="1360"/>
      <c r="RAD26" s="1360"/>
      <c r="RAE26" s="1360"/>
      <c r="RAF26" s="1360"/>
      <c r="RAG26" s="1360"/>
      <c r="RAH26" s="1360"/>
      <c r="RAI26" s="1360"/>
      <c r="RAJ26" s="1360"/>
      <c r="RAK26" s="1360"/>
      <c r="RAL26" s="1360"/>
      <c r="RAM26" s="1360"/>
      <c r="RAN26" s="1360"/>
      <c r="RAO26" s="1360"/>
      <c r="RAP26" s="1360"/>
      <c r="RAQ26" s="1360"/>
      <c r="RAR26" s="1360"/>
      <c r="RAS26" s="1360"/>
      <c r="RAT26" s="1360"/>
      <c r="RAU26" s="1360"/>
      <c r="RAV26" s="1360"/>
      <c r="RAW26" s="1360"/>
      <c r="RAX26" s="1360"/>
      <c r="RAY26" s="1360"/>
      <c r="RAZ26" s="1360"/>
      <c r="RBA26" s="1360"/>
      <c r="RBB26" s="1360"/>
      <c r="RBC26" s="1360"/>
      <c r="RBD26" s="1360"/>
      <c r="RBE26" s="1360"/>
      <c r="RBF26" s="1360"/>
      <c r="RBG26" s="1360"/>
      <c r="RBH26" s="1360"/>
      <c r="RBI26" s="1360"/>
      <c r="RBJ26" s="1360"/>
      <c r="RBK26" s="1360"/>
      <c r="RBL26" s="1360"/>
      <c r="RBM26" s="1360"/>
      <c r="RBN26" s="1360"/>
      <c r="RBO26" s="1360"/>
      <c r="RBP26" s="1360"/>
      <c r="RBQ26" s="1360"/>
      <c r="RBR26" s="1360"/>
      <c r="RBS26" s="1360"/>
      <c r="RBT26" s="1360"/>
      <c r="RBU26" s="1360"/>
      <c r="RBV26" s="1360"/>
      <c r="RBW26" s="1360"/>
      <c r="RBX26" s="1360"/>
      <c r="RBY26" s="1360"/>
      <c r="RBZ26" s="1360"/>
      <c r="RCA26" s="1360"/>
      <c r="RCB26" s="1360"/>
      <c r="RCC26" s="1360"/>
      <c r="RCD26" s="1360"/>
      <c r="RCE26" s="1360"/>
      <c r="RCF26" s="1360"/>
      <c r="RCG26" s="1360"/>
      <c r="RCH26" s="1360"/>
      <c r="RCI26" s="1360"/>
      <c r="RCJ26" s="1360"/>
      <c r="RCK26" s="1360"/>
      <c r="RCL26" s="1360"/>
      <c r="RCM26" s="1360"/>
      <c r="RCN26" s="1360"/>
      <c r="RCO26" s="1360"/>
      <c r="RCP26" s="1360"/>
      <c r="RCQ26" s="1360"/>
      <c r="RCR26" s="1360"/>
      <c r="RCS26" s="1360"/>
      <c r="RCT26" s="1360"/>
      <c r="RCU26" s="1360"/>
      <c r="RCV26" s="1360"/>
      <c r="RCW26" s="1360"/>
      <c r="RCX26" s="1360"/>
      <c r="RCY26" s="1360"/>
      <c r="RCZ26" s="1360"/>
      <c r="RDA26" s="1360"/>
      <c r="RDB26" s="1360"/>
      <c r="RDC26" s="1360"/>
      <c r="RDD26" s="1360"/>
      <c r="RDE26" s="1360"/>
      <c r="RDF26" s="1360"/>
      <c r="RDG26" s="1360"/>
      <c r="RDH26" s="1360"/>
      <c r="RDI26" s="1360"/>
      <c r="RDJ26" s="1360"/>
      <c r="RDK26" s="1360"/>
      <c r="RDL26" s="1360"/>
      <c r="RDM26" s="1360"/>
      <c r="RDN26" s="1360"/>
      <c r="RDO26" s="1360"/>
      <c r="RDP26" s="1360"/>
      <c r="RDQ26" s="1360"/>
      <c r="RDR26" s="1360"/>
      <c r="RDS26" s="1360"/>
      <c r="RDT26" s="1360"/>
      <c r="RDU26" s="1360"/>
      <c r="RDV26" s="1360"/>
      <c r="RDW26" s="1360"/>
      <c r="RDX26" s="1360"/>
      <c r="RDY26" s="1360"/>
      <c r="RDZ26" s="1360"/>
      <c r="REA26" s="1360"/>
      <c r="REB26" s="1360"/>
      <c r="REC26" s="1360"/>
      <c r="RED26" s="1360"/>
      <c r="REE26" s="1360"/>
      <c r="REF26" s="1360"/>
      <c r="REG26" s="1360"/>
      <c r="REH26" s="1360"/>
      <c r="REI26" s="1360"/>
      <c r="REJ26" s="1360"/>
      <c r="REK26" s="1360"/>
      <c r="REL26" s="1360"/>
      <c r="REM26" s="1360"/>
      <c r="REN26" s="1360"/>
      <c r="REO26" s="1360"/>
      <c r="REP26" s="1360"/>
      <c r="REQ26" s="1360"/>
      <c r="RER26" s="1360"/>
      <c r="RES26" s="1360"/>
      <c r="RET26" s="1360"/>
      <c r="REU26" s="1360"/>
      <c r="REV26" s="1360"/>
      <c r="REW26" s="1360"/>
      <c r="REX26" s="1360"/>
      <c r="REY26" s="1360"/>
      <c r="REZ26" s="1360"/>
      <c r="RFA26" s="1360"/>
      <c r="RFB26" s="1360"/>
      <c r="RFC26" s="1360"/>
      <c r="RFD26" s="1360"/>
      <c r="RFE26" s="1360"/>
      <c r="RFF26" s="1360"/>
      <c r="RFG26" s="1360"/>
      <c r="RFH26" s="1360"/>
      <c r="RFI26" s="1360"/>
      <c r="RFJ26" s="1360"/>
      <c r="RFK26" s="1360"/>
      <c r="RFL26" s="1360"/>
      <c r="RFM26" s="1360"/>
      <c r="RFN26" s="1360"/>
      <c r="RFO26" s="1360"/>
      <c r="RFP26" s="1360"/>
      <c r="RFQ26" s="1360"/>
      <c r="RFR26" s="1360"/>
      <c r="RFS26" s="1360"/>
      <c r="RFT26" s="1360"/>
      <c r="RFU26" s="1360"/>
      <c r="RFV26" s="1360"/>
      <c r="RFW26" s="1360"/>
      <c r="RFX26" s="1360"/>
      <c r="RFY26" s="1360"/>
      <c r="RFZ26" s="1360"/>
      <c r="RGA26" s="1360"/>
      <c r="RGB26" s="1360"/>
      <c r="RGC26" s="1360"/>
      <c r="RGD26" s="1360"/>
      <c r="RGE26" s="1360"/>
      <c r="RGF26" s="1360"/>
      <c r="RGG26" s="1360"/>
      <c r="RGH26" s="1360"/>
      <c r="RGI26" s="1360"/>
      <c r="RGJ26" s="1360"/>
      <c r="RGK26" s="1360"/>
      <c r="RGL26" s="1360"/>
      <c r="RGM26" s="1360"/>
      <c r="RGN26" s="1360"/>
      <c r="RGO26" s="1360"/>
      <c r="RGP26" s="1360"/>
      <c r="RGQ26" s="1360"/>
      <c r="RGR26" s="1360"/>
      <c r="RGS26" s="1360"/>
      <c r="RGT26" s="1360"/>
      <c r="RGU26" s="1360"/>
      <c r="RGV26" s="1360"/>
      <c r="RGW26" s="1360"/>
      <c r="RGX26" s="1360"/>
      <c r="RGY26" s="1360"/>
      <c r="RGZ26" s="1360"/>
      <c r="RHA26" s="1360"/>
      <c r="RHB26" s="1360"/>
      <c r="RHC26" s="1360"/>
      <c r="RHD26" s="1360"/>
      <c r="RHE26" s="1360"/>
      <c r="RHF26" s="1360"/>
      <c r="RHG26" s="1360"/>
      <c r="RHH26" s="1360"/>
      <c r="RHI26" s="1360"/>
      <c r="RHJ26" s="1360"/>
      <c r="RHK26" s="1360"/>
      <c r="RHL26" s="1360"/>
      <c r="RHM26" s="1360"/>
      <c r="RHN26" s="1360"/>
      <c r="RHO26" s="1360"/>
      <c r="RHP26" s="1360"/>
      <c r="RHQ26" s="1360"/>
      <c r="RHR26" s="1360"/>
      <c r="RHS26" s="1360"/>
      <c r="RHT26" s="1360"/>
      <c r="RHU26" s="1360"/>
      <c r="RHV26" s="1360"/>
      <c r="RHW26" s="1360"/>
      <c r="RHX26" s="1360"/>
      <c r="RHY26" s="1360"/>
      <c r="RHZ26" s="1360"/>
      <c r="RIA26" s="1360"/>
      <c r="RIB26" s="1360"/>
      <c r="RIC26" s="1360"/>
      <c r="RID26" s="1360"/>
      <c r="RIE26" s="1360"/>
      <c r="RIF26" s="1360"/>
      <c r="RIG26" s="1360"/>
      <c r="RIH26" s="1360"/>
      <c r="RII26" s="1360"/>
      <c r="RIJ26" s="1360"/>
      <c r="RIK26" s="1360"/>
      <c r="RIL26" s="1360"/>
      <c r="RIM26" s="1360"/>
      <c r="RIN26" s="1360"/>
      <c r="RIO26" s="1360"/>
      <c r="RIP26" s="1360"/>
      <c r="RIQ26" s="1360"/>
      <c r="RIR26" s="1360"/>
      <c r="RIS26" s="1360"/>
      <c r="RIT26" s="1360"/>
      <c r="RIU26" s="1360"/>
      <c r="RIV26" s="1360"/>
      <c r="RIW26" s="1360"/>
      <c r="RIX26" s="1360"/>
      <c r="RIY26" s="1360"/>
      <c r="RIZ26" s="1360"/>
      <c r="RJA26" s="1360"/>
      <c r="RJB26" s="1360"/>
      <c r="RJC26" s="1360"/>
      <c r="RJD26" s="1360"/>
      <c r="RJE26" s="1360"/>
      <c r="RJF26" s="1360"/>
      <c r="RJG26" s="1360"/>
      <c r="RJH26" s="1360"/>
      <c r="RJI26" s="1360"/>
      <c r="RJJ26" s="1360"/>
      <c r="RJK26" s="1360"/>
      <c r="RJL26" s="1360"/>
      <c r="RJM26" s="1360"/>
      <c r="RJN26" s="1360"/>
      <c r="RJO26" s="1360"/>
      <c r="RJP26" s="1360"/>
      <c r="RJQ26" s="1360"/>
      <c r="RJR26" s="1360"/>
      <c r="RJS26" s="1360"/>
      <c r="RJT26" s="1360"/>
      <c r="RJU26" s="1360"/>
      <c r="RJV26" s="1360"/>
      <c r="RJW26" s="1360"/>
      <c r="RJX26" s="1360"/>
      <c r="RJY26" s="1360"/>
      <c r="RJZ26" s="1360"/>
      <c r="RKA26" s="1360"/>
      <c r="RKB26" s="1360"/>
      <c r="RKC26" s="1360"/>
      <c r="RKD26" s="1360"/>
      <c r="RKE26" s="1360"/>
      <c r="RKF26" s="1360"/>
      <c r="RKG26" s="1360"/>
      <c r="RKH26" s="1360"/>
      <c r="RKI26" s="1360"/>
      <c r="RKJ26" s="1360"/>
      <c r="RKK26" s="1360"/>
      <c r="RKL26" s="1360"/>
      <c r="RKM26" s="1360"/>
      <c r="RKN26" s="1360"/>
      <c r="RKO26" s="1360"/>
      <c r="RKP26" s="1360"/>
      <c r="RKQ26" s="1360"/>
      <c r="RKR26" s="1360"/>
      <c r="RKS26" s="1360"/>
      <c r="RKT26" s="1360"/>
      <c r="RKU26" s="1360"/>
      <c r="RKV26" s="1360"/>
      <c r="RKW26" s="1360"/>
      <c r="RKX26" s="1360"/>
      <c r="RKY26" s="1360"/>
      <c r="RKZ26" s="1360"/>
      <c r="RLA26" s="1360"/>
      <c r="RLB26" s="1360"/>
      <c r="RLC26" s="1360"/>
      <c r="RLD26" s="1360"/>
      <c r="RLE26" s="1360"/>
      <c r="RLF26" s="1360"/>
      <c r="RLG26" s="1360"/>
      <c r="RLH26" s="1360"/>
      <c r="RLI26" s="1360"/>
      <c r="RLJ26" s="1360"/>
      <c r="RLK26" s="1360"/>
      <c r="RLL26" s="1360"/>
      <c r="RLM26" s="1360"/>
      <c r="RLN26" s="1360"/>
      <c r="RLO26" s="1360"/>
      <c r="RLP26" s="1360"/>
      <c r="RLQ26" s="1360"/>
      <c r="RLR26" s="1360"/>
      <c r="RLS26" s="1360"/>
      <c r="RLT26" s="1360"/>
      <c r="RLU26" s="1360"/>
      <c r="RLV26" s="1360"/>
      <c r="RLW26" s="1360"/>
      <c r="RLX26" s="1360"/>
      <c r="RLY26" s="1360"/>
      <c r="RLZ26" s="1360"/>
      <c r="RMA26" s="1360"/>
      <c r="RMB26" s="1360"/>
      <c r="RMC26" s="1360"/>
      <c r="RMD26" s="1360"/>
      <c r="RME26" s="1360"/>
      <c r="RMF26" s="1360"/>
      <c r="RMG26" s="1360"/>
      <c r="RMH26" s="1360"/>
      <c r="RMI26" s="1360"/>
      <c r="RMJ26" s="1360"/>
      <c r="RMK26" s="1360"/>
      <c r="RML26" s="1360"/>
      <c r="RMM26" s="1360"/>
      <c r="RMN26" s="1360"/>
      <c r="RMO26" s="1360"/>
      <c r="RMP26" s="1360"/>
      <c r="RMQ26" s="1360"/>
      <c r="RMR26" s="1360"/>
      <c r="RMS26" s="1360"/>
      <c r="RMT26" s="1360"/>
      <c r="RMU26" s="1360"/>
      <c r="RMV26" s="1360"/>
      <c r="RMW26" s="1360"/>
      <c r="RMX26" s="1360"/>
      <c r="RMY26" s="1360"/>
      <c r="RMZ26" s="1360"/>
      <c r="RNA26" s="1360"/>
      <c r="RNB26" s="1360"/>
      <c r="RNC26" s="1360"/>
      <c r="RND26" s="1360"/>
      <c r="RNE26" s="1360"/>
      <c r="RNF26" s="1360"/>
      <c r="RNG26" s="1360"/>
      <c r="RNH26" s="1360"/>
      <c r="RNI26" s="1360"/>
      <c r="RNJ26" s="1360"/>
      <c r="RNK26" s="1360"/>
      <c r="RNL26" s="1360"/>
      <c r="RNM26" s="1360"/>
      <c r="RNN26" s="1360"/>
      <c r="RNO26" s="1360"/>
      <c r="RNP26" s="1360"/>
      <c r="RNQ26" s="1360"/>
      <c r="RNR26" s="1360"/>
      <c r="RNS26" s="1360"/>
      <c r="RNT26" s="1360"/>
      <c r="RNU26" s="1360"/>
      <c r="RNV26" s="1360"/>
      <c r="RNW26" s="1360"/>
      <c r="RNX26" s="1360"/>
      <c r="RNY26" s="1360"/>
      <c r="RNZ26" s="1360"/>
      <c r="ROA26" s="1360"/>
      <c r="ROB26" s="1360"/>
      <c r="ROC26" s="1360"/>
      <c r="ROD26" s="1360"/>
      <c r="ROE26" s="1360"/>
      <c r="ROF26" s="1360"/>
      <c r="ROG26" s="1360"/>
      <c r="ROH26" s="1360"/>
      <c r="ROI26" s="1360"/>
      <c r="ROJ26" s="1360"/>
      <c r="ROK26" s="1360"/>
      <c r="ROL26" s="1360"/>
      <c r="ROM26" s="1360"/>
      <c r="RON26" s="1360"/>
      <c r="ROO26" s="1360"/>
      <c r="ROP26" s="1360"/>
      <c r="ROQ26" s="1360"/>
      <c r="ROR26" s="1360"/>
      <c r="ROS26" s="1360"/>
      <c r="ROT26" s="1360"/>
      <c r="ROU26" s="1360"/>
      <c r="ROV26" s="1360"/>
      <c r="ROW26" s="1360"/>
      <c r="ROX26" s="1360"/>
      <c r="ROY26" s="1360"/>
      <c r="ROZ26" s="1360"/>
      <c r="RPA26" s="1360"/>
      <c r="RPB26" s="1360"/>
      <c r="RPC26" s="1360"/>
      <c r="RPD26" s="1360"/>
      <c r="RPE26" s="1360"/>
      <c r="RPF26" s="1360"/>
      <c r="RPG26" s="1360"/>
      <c r="RPH26" s="1360"/>
      <c r="RPI26" s="1360"/>
      <c r="RPJ26" s="1360"/>
      <c r="RPK26" s="1360"/>
      <c r="RPL26" s="1360"/>
      <c r="RPM26" s="1360"/>
      <c r="RPN26" s="1360"/>
      <c r="RPO26" s="1360"/>
      <c r="RPP26" s="1360"/>
      <c r="RPQ26" s="1360"/>
      <c r="RPR26" s="1360"/>
      <c r="RPS26" s="1360"/>
      <c r="RPT26" s="1360"/>
      <c r="RPU26" s="1360"/>
      <c r="RPV26" s="1360"/>
      <c r="RPW26" s="1360"/>
      <c r="RPX26" s="1360"/>
      <c r="RPY26" s="1360"/>
      <c r="RPZ26" s="1360"/>
      <c r="RQA26" s="1360"/>
      <c r="RQB26" s="1360"/>
      <c r="RQC26" s="1360"/>
      <c r="RQD26" s="1360"/>
      <c r="RQE26" s="1360"/>
      <c r="RQF26" s="1360"/>
      <c r="RQG26" s="1360"/>
      <c r="RQH26" s="1360"/>
      <c r="RQI26" s="1360"/>
      <c r="RQJ26" s="1360"/>
      <c r="RQK26" s="1360"/>
      <c r="RQL26" s="1360"/>
      <c r="RQM26" s="1360"/>
      <c r="RQN26" s="1360"/>
      <c r="RQO26" s="1360"/>
      <c r="RQP26" s="1360"/>
      <c r="RQQ26" s="1360"/>
      <c r="RQR26" s="1360"/>
      <c r="RQS26" s="1360"/>
      <c r="RQT26" s="1360"/>
      <c r="RQU26" s="1360"/>
      <c r="RQV26" s="1360"/>
      <c r="RQW26" s="1360"/>
      <c r="RQX26" s="1360"/>
      <c r="RQY26" s="1360"/>
      <c r="RQZ26" s="1360"/>
      <c r="RRA26" s="1360"/>
      <c r="RRB26" s="1360"/>
      <c r="RRC26" s="1360"/>
      <c r="RRD26" s="1360"/>
      <c r="RRE26" s="1360"/>
      <c r="RRF26" s="1360"/>
      <c r="RRG26" s="1360"/>
      <c r="RRH26" s="1360"/>
      <c r="RRI26" s="1360"/>
      <c r="RRJ26" s="1360"/>
      <c r="RRK26" s="1360"/>
      <c r="RRL26" s="1360"/>
      <c r="RRM26" s="1360"/>
      <c r="RRN26" s="1360"/>
      <c r="RRO26" s="1360"/>
      <c r="RRP26" s="1360"/>
      <c r="RRQ26" s="1360"/>
      <c r="RRR26" s="1360"/>
      <c r="RRS26" s="1360"/>
      <c r="RRT26" s="1360"/>
      <c r="RRU26" s="1360"/>
      <c r="RRV26" s="1360"/>
      <c r="RRW26" s="1360"/>
      <c r="RRX26" s="1360"/>
      <c r="RRY26" s="1360"/>
      <c r="RRZ26" s="1360"/>
      <c r="RSA26" s="1360"/>
      <c r="RSB26" s="1360"/>
      <c r="RSC26" s="1360"/>
      <c r="RSD26" s="1360"/>
      <c r="RSE26" s="1360"/>
      <c r="RSF26" s="1360"/>
      <c r="RSG26" s="1360"/>
      <c r="RSH26" s="1360"/>
      <c r="RSI26" s="1360"/>
      <c r="RSJ26" s="1360"/>
      <c r="RSK26" s="1360"/>
      <c r="RSL26" s="1360"/>
      <c r="RSM26" s="1360"/>
      <c r="RSN26" s="1360"/>
      <c r="RSO26" s="1360"/>
      <c r="RSP26" s="1360"/>
      <c r="RSQ26" s="1360"/>
      <c r="RSR26" s="1360"/>
      <c r="RSS26" s="1360"/>
      <c r="RST26" s="1360"/>
      <c r="RSU26" s="1360"/>
      <c r="RSV26" s="1360"/>
      <c r="RSW26" s="1360"/>
      <c r="RSX26" s="1360"/>
      <c r="RSY26" s="1360"/>
      <c r="RSZ26" s="1360"/>
      <c r="RTA26" s="1360"/>
      <c r="RTB26" s="1360"/>
      <c r="RTC26" s="1360"/>
      <c r="RTD26" s="1360"/>
      <c r="RTE26" s="1360"/>
      <c r="RTF26" s="1360"/>
      <c r="RTG26" s="1360"/>
      <c r="RTH26" s="1360"/>
      <c r="RTI26" s="1360"/>
      <c r="RTJ26" s="1360"/>
      <c r="RTK26" s="1360"/>
      <c r="RTL26" s="1360"/>
      <c r="RTM26" s="1360"/>
      <c r="RTN26" s="1360"/>
      <c r="RTO26" s="1360"/>
      <c r="RTP26" s="1360"/>
      <c r="RTQ26" s="1360"/>
      <c r="RTR26" s="1360"/>
      <c r="RTS26" s="1360"/>
      <c r="RTT26" s="1360"/>
      <c r="RTU26" s="1360"/>
      <c r="RTV26" s="1360"/>
      <c r="RTW26" s="1360"/>
      <c r="RTX26" s="1360"/>
      <c r="RTY26" s="1360"/>
      <c r="RTZ26" s="1360"/>
      <c r="RUA26" s="1360"/>
      <c r="RUB26" s="1360"/>
      <c r="RUC26" s="1360"/>
      <c r="RUD26" s="1360"/>
      <c r="RUE26" s="1360"/>
      <c r="RUF26" s="1360"/>
      <c r="RUG26" s="1360"/>
      <c r="RUH26" s="1360"/>
      <c r="RUI26" s="1360"/>
      <c r="RUJ26" s="1360"/>
      <c r="RUK26" s="1360"/>
      <c r="RUL26" s="1360"/>
      <c r="RUM26" s="1360"/>
      <c r="RUN26" s="1360"/>
      <c r="RUO26" s="1360"/>
      <c r="RUP26" s="1360"/>
      <c r="RUQ26" s="1360"/>
      <c r="RUR26" s="1360"/>
      <c r="RUS26" s="1360"/>
      <c r="RUT26" s="1360"/>
      <c r="RUU26" s="1360"/>
      <c r="RUV26" s="1360"/>
      <c r="RUW26" s="1360"/>
      <c r="RUX26" s="1360"/>
      <c r="RUY26" s="1360"/>
      <c r="RUZ26" s="1360"/>
      <c r="RVA26" s="1360"/>
      <c r="RVB26" s="1360"/>
      <c r="RVC26" s="1360"/>
      <c r="RVD26" s="1360"/>
      <c r="RVE26" s="1360"/>
      <c r="RVF26" s="1360"/>
      <c r="RVG26" s="1360"/>
      <c r="RVH26" s="1360"/>
      <c r="RVI26" s="1360"/>
      <c r="RVJ26" s="1360"/>
      <c r="RVK26" s="1360"/>
      <c r="RVL26" s="1360"/>
      <c r="RVM26" s="1360"/>
      <c r="RVN26" s="1360"/>
      <c r="RVO26" s="1360"/>
      <c r="RVP26" s="1360"/>
      <c r="RVQ26" s="1360"/>
      <c r="RVR26" s="1360"/>
      <c r="RVS26" s="1360"/>
      <c r="RVT26" s="1360"/>
      <c r="RVU26" s="1360"/>
      <c r="RVV26" s="1360"/>
      <c r="RVW26" s="1360"/>
      <c r="RVX26" s="1360"/>
      <c r="RVY26" s="1360"/>
      <c r="RVZ26" s="1360"/>
      <c r="RWA26" s="1360"/>
      <c r="RWB26" s="1360"/>
      <c r="RWC26" s="1360"/>
      <c r="RWD26" s="1360"/>
      <c r="RWE26" s="1360"/>
      <c r="RWF26" s="1360"/>
      <c r="RWG26" s="1360"/>
      <c r="RWH26" s="1360"/>
      <c r="RWI26" s="1360"/>
      <c r="RWJ26" s="1360"/>
      <c r="RWK26" s="1360"/>
      <c r="RWL26" s="1360"/>
      <c r="RWM26" s="1360"/>
      <c r="RWN26" s="1360"/>
      <c r="RWO26" s="1360"/>
      <c r="RWP26" s="1360"/>
      <c r="RWQ26" s="1360"/>
      <c r="RWR26" s="1360"/>
      <c r="RWS26" s="1360"/>
      <c r="RWT26" s="1360"/>
      <c r="RWU26" s="1360"/>
      <c r="RWV26" s="1360"/>
      <c r="RWW26" s="1360"/>
      <c r="RWX26" s="1360"/>
      <c r="RWY26" s="1360"/>
      <c r="RWZ26" s="1360"/>
      <c r="RXA26" s="1360"/>
      <c r="RXB26" s="1360"/>
      <c r="RXC26" s="1360"/>
      <c r="RXD26" s="1360"/>
      <c r="RXE26" s="1360"/>
      <c r="RXF26" s="1360"/>
      <c r="RXG26" s="1360"/>
      <c r="RXH26" s="1360"/>
      <c r="RXI26" s="1360"/>
      <c r="RXJ26" s="1360"/>
      <c r="RXK26" s="1360"/>
      <c r="RXL26" s="1360"/>
      <c r="RXM26" s="1360"/>
      <c r="RXN26" s="1360"/>
      <c r="RXO26" s="1360"/>
      <c r="RXP26" s="1360"/>
      <c r="RXQ26" s="1360"/>
      <c r="RXR26" s="1360"/>
      <c r="RXS26" s="1360"/>
      <c r="RXT26" s="1360"/>
      <c r="RXU26" s="1360"/>
      <c r="RXV26" s="1360"/>
      <c r="RXW26" s="1360"/>
      <c r="RXX26" s="1360"/>
      <c r="RXY26" s="1360"/>
      <c r="RXZ26" s="1360"/>
      <c r="RYA26" s="1360"/>
      <c r="RYB26" s="1360"/>
      <c r="RYC26" s="1360"/>
      <c r="RYD26" s="1360"/>
      <c r="RYE26" s="1360"/>
      <c r="RYF26" s="1360"/>
      <c r="RYG26" s="1360"/>
      <c r="RYH26" s="1360"/>
      <c r="RYI26" s="1360"/>
      <c r="RYJ26" s="1360"/>
      <c r="RYK26" s="1360"/>
      <c r="RYL26" s="1360"/>
      <c r="RYM26" s="1360"/>
      <c r="RYN26" s="1360"/>
      <c r="RYO26" s="1360"/>
      <c r="RYP26" s="1360"/>
      <c r="RYQ26" s="1360"/>
      <c r="RYR26" s="1360"/>
      <c r="RYS26" s="1360"/>
      <c r="RYT26" s="1360"/>
      <c r="RYU26" s="1360"/>
      <c r="RYV26" s="1360"/>
      <c r="RYW26" s="1360"/>
      <c r="RYX26" s="1360"/>
      <c r="RYY26" s="1360"/>
      <c r="RYZ26" s="1360"/>
      <c r="RZA26" s="1360"/>
      <c r="RZB26" s="1360"/>
      <c r="RZC26" s="1360"/>
      <c r="RZD26" s="1360"/>
      <c r="RZE26" s="1360"/>
      <c r="RZF26" s="1360"/>
      <c r="RZG26" s="1360"/>
      <c r="RZH26" s="1360"/>
      <c r="RZI26" s="1360"/>
      <c r="RZJ26" s="1360"/>
      <c r="RZK26" s="1360"/>
      <c r="RZL26" s="1360"/>
      <c r="RZM26" s="1360"/>
      <c r="RZN26" s="1360"/>
      <c r="RZO26" s="1360"/>
      <c r="RZP26" s="1360"/>
      <c r="RZQ26" s="1360"/>
      <c r="RZR26" s="1360"/>
      <c r="RZS26" s="1360"/>
      <c r="RZT26" s="1360"/>
      <c r="RZU26" s="1360"/>
      <c r="RZV26" s="1360"/>
      <c r="RZW26" s="1360"/>
      <c r="RZX26" s="1360"/>
      <c r="RZY26" s="1360"/>
      <c r="RZZ26" s="1360"/>
      <c r="SAA26" s="1360"/>
      <c r="SAB26" s="1360"/>
      <c r="SAC26" s="1360"/>
      <c r="SAD26" s="1360"/>
      <c r="SAE26" s="1360"/>
      <c r="SAF26" s="1360"/>
      <c r="SAG26" s="1360"/>
      <c r="SAH26" s="1360"/>
      <c r="SAI26" s="1360"/>
      <c r="SAJ26" s="1360"/>
      <c r="SAK26" s="1360"/>
      <c r="SAL26" s="1360"/>
      <c r="SAM26" s="1360"/>
      <c r="SAN26" s="1360"/>
      <c r="SAO26" s="1360"/>
      <c r="SAP26" s="1360"/>
      <c r="SAQ26" s="1360"/>
      <c r="SAR26" s="1360"/>
      <c r="SAS26" s="1360"/>
      <c r="SAT26" s="1360"/>
      <c r="SAU26" s="1360"/>
      <c r="SAV26" s="1360"/>
      <c r="SAW26" s="1360"/>
      <c r="SAX26" s="1360"/>
      <c r="SAY26" s="1360"/>
      <c r="SAZ26" s="1360"/>
      <c r="SBA26" s="1360"/>
      <c r="SBB26" s="1360"/>
      <c r="SBC26" s="1360"/>
      <c r="SBD26" s="1360"/>
      <c r="SBE26" s="1360"/>
      <c r="SBF26" s="1360"/>
      <c r="SBG26" s="1360"/>
      <c r="SBH26" s="1360"/>
      <c r="SBI26" s="1360"/>
      <c r="SBJ26" s="1360"/>
      <c r="SBK26" s="1360"/>
      <c r="SBL26" s="1360"/>
      <c r="SBM26" s="1360"/>
      <c r="SBN26" s="1360"/>
      <c r="SBO26" s="1360"/>
      <c r="SBP26" s="1360"/>
      <c r="SBQ26" s="1360"/>
      <c r="SBR26" s="1360"/>
      <c r="SBS26" s="1360"/>
      <c r="SBT26" s="1360"/>
      <c r="SBU26" s="1360"/>
      <c r="SBV26" s="1360"/>
      <c r="SBW26" s="1360"/>
      <c r="SBX26" s="1360"/>
      <c r="SBY26" s="1360"/>
      <c r="SBZ26" s="1360"/>
      <c r="SCA26" s="1360"/>
      <c r="SCB26" s="1360"/>
      <c r="SCC26" s="1360"/>
      <c r="SCD26" s="1360"/>
      <c r="SCE26" s="1360"/>
      <c r="SCF26" s="1360"/>
      <c r="SCG26" s="1360"/>
      <c r="SCH26" s="1360"/>
      <c r="SCI26" s="1360"/>
      <c r="SCJ26" s="1360"/>
      <c r="SCK26" s="1360"/>
      <c r="SCL26" s="1360"/>
      <c r="SCM26" s="1360"/>
      <c r="SCN26" s="1360"/>
      <c r="SCO26" s="1360"/>
      <c r="SCP26" s="1360"/>
      <c r="SCQ26" s="1360"/>
      <c r="SCR26" s="1360"/>
      <c r="SCS26" s="1360"/>
      <c r="SCT26" s="1360"/>
      <c r="SCU26" s="1360"/>
      <c r="SCV26" s="1360"/>
      <c r="SCW26" s="1360"/>
      <c r="SCX26" s="1360"/>
      <c r="SCY26" s="1360"/>
      <c r="SCZ26" s="1360"/>
      <c r="SDA26" s="1360"/>
      <c r="SDB26" s="1360"/>
      <c r="SDC26" s="1360"/>
      <c r="SDD26" s="1360"/>
      <c r="SDE26" s="1360"/>
      <c r="SDF26" s="1360"/>
      <c r="SDG26" s="1360"/>
      <c r="SDH26" s="1360"/>
      <c r="SDI26" s="1360"/>
      <c r="SDJ26" s="1360"/>
      <c r="SDK26" s="1360"/>
      <c r="SDL26" s="1360"/>
      <c r="SDM26" s="1360"/>
      <c r="SDN26" s="1360"/>
      <c r="SDO26" s="1360"/>
      <c r="SDP26" s="1360"/>
      <c r="SDQ26" s="1360"/>
      <c r="SDR26" s="1360"/>
      <c r="SDS26" s="1360"/>
      <c r="SDT26" s="1360"/>
      <c r="SDU26" s="1360"/>
      <c r="SDV26" s="1360"/>
      <c r="SDW26" s="1360"/>
      <c r="SDX26" s="1360"/>
      <c r="SDY26" s="1360"/>
      <c r="SDZ26" s="1360"/>
      <c r="SEA26" s="1360"/>
      <c r="SEB26" s="1360"/>
      <c r="SEC26" s="1360"/>
      <c r="SED26" s="1360"/>
      <c r="SEE26" s="1360"/>
      <c r="SEF26" s="1360"/>
      <c r="SEG26" s="1360"/>
      <c r="SEH26" s="1360"/>
      <c r="SEI26" s="1360"/>
      <c r="SEJ26" s="1360"/>
      <c r="SEK26" s="1360"/>
      <c r="SEL26" s="1360"/>
      <c r="SEM26" s="1360"/>
      <c r="SEN26" s="1360"/>
      <c r="SEO26" s="1360"/>
      <c r="SEP26" s="1360"/>
      <c r="SEQ26" s="1360"/>
      <c r="SER26" s="1360"/>
      <c r="SES26" s="1360"/>
      <c r="SET26" s="1360"/>
      <c r="SEU26" s="1360"/>
      <c r="SEV26" s="1360"/>
      <c r="SEW26" s="1360"/>
      <c r="SEX26" s="1360"/>
      <c r="SEY26" s="1360"/>
      <c r="SEZ26" s="1360"/>
      <c r="SFA26" s="1360"/>
      <c r="SFB26" s="1360"/>
      <c r="SFC26" s="1360"/>
      <c r="SFD26" s="1360"/>
      <c r="SFE26" s="1360"/>
      <c r="SFF26" s="1360"/>
      <c r="SFG26" s="1360"/>
      <c r="SFH26" s="1360"/>
      <c r="SFI26" s="1360"/>
      <c r="SFJ26" s="1360"/>
      <c r="SFK26" s="1360"/>
      <c r="SFL26" s="1360"/>
      <c r="SFM26" s="1360"/>
      <c r="SFN26" s="1360"/>
      <c r="SFO26" s="1360"/>
      <c r="SFP26" s="1360"/>
      <c r="SFQ26" s="1360"/>
      <c r="SFR26" s="1360"/>
      <c r="SFS26" s="1360"/>
      <c r="SFT26" s="1360"/>
      <c r="SFU26" s="1360"/>
      <c r="SFV26" s="1360"/>
      <c r="SFW26" s="1360"/>
      <c r="SFX26" s="1360"/>
      <c r="SFY26" s="1360"/>
      <c r="SFZ26" s="1360"/>
      <c r="SGA26" s="1360"/>
      <c r="SGB26" s="1360"/>
      <c r="SGC26" s="1360"/>
      <c r="SGD26" s="1360"/>
      <c r="SGE26" s="1360"/>
      <c r="SGF26" s="1360"/>
      <c r="SGG26" s="1360"/>
      <c r="SGH26" s="1360"/>
      <c r="SGI26" s="1360"/>
      <c r="SGJ26" s="1360"/>
      <c r="SGK26" s="1360"/>
      <c r="SGL26" s="1360"/>
      <c r="SGM26" s="1360"/>
      <c r="SGN26" s="1360"/>
      <c r="SGO26" s="1360"/>
      <c r="SGP26" s="1360"/>
      <c r="SGQ26" s="1360"/>
      <c r="SGR26" s="1360"/>
      <c r="SGS26" s="1360"/>
      <c r="SGT26" s="1360"/>
      <c r="SGU26" s="1360"/>
      <c r="SGV26" s="1360"/>
      <c r="SGW26" s="1360"/>
      <c r="SGX26" s="1360"/>
      <c r="SGY26" s="1360"/>
      <c r="SGZ26" s="1360"/>
      <c r="SHA26" s="1360"/>
      <c r="SHB26" s="1360"/>
      <c r="SHC26" s="1360"/>
      <c r="SHD26" s="1360"/>
      <c r="SHE26" s="1360"/>
      <c r="SHF26" s="1360"/>
      <c r="SHG26" s="1360"/>
      <c r="SHH26" s="1360"/>
      <c r="SHI26" s="1360"/>
      <c r="SHJ26" s="1360"/>
      <c r="SHK26" s="1360"/>
      <c r="SHL26" s="1360"/>
      <c r="SHM26" s="1360"/>
      <c r="SHN26" s="1360"/>
      <c r="SHO26" s="1360"/>
      <c r="SHP26" s="1360"/>
      <c r="SHQ26" s="1360"/>
      <c r="SHR26" s="1360"/>
      <c r="SHS26" s="1360"/>
      <c r="SHT26" s="1360"/>
      <c r="SHU26" s="1360"/>
      <c r="SHV26" s="1360"/>
      <c r="SHW26" s="1360"/>
      <c r="SHX26" s="1360"/>
      <c r="SHY26" s="1360"/>
      <c r="SHZ26" s="1360"/>
      <c r="SIA26" s="1360"/>
      <c r="SIB26" s="1360"/>
      <c r="SIC26" s="1360"/>
      <c r="SID26" s="1360"/>
      <c r="SIE26" s="1360"/>
      <c r="SIF26" s="1360"/>
      <c r="SIG26" s="1360"/>
      <c r="SIH26" s="1360"/>
      <c r="SII26" s="1360"/>
      <c r="SIJ26" s="1360"/>
      <c r="SIK26" s="1360"/>
      <c r="SIL26" s="1360"/>
      <c r="SIM26" s="1360"/>
      <c r="SIN26" s="1360"/>
      <c r="SIO26" s="1360"/>
      <c r="SIP26" s="1360"/>
      <c r="SIQ26" s="1360"/>
      <c r="SIR26" s="1360"/>
      <c r="SIS26" s="1360"/>
      <c r="SIT26" s="1360"/>
      <c r="SIU26" s="1360"/>
      <c r="SIV26" s="1360"/>
      <c r="SIW26" s="1360"/>
      <c r="SIX26" s="1360"/>
      <c r="SIY26" s="1360"/>
      <c r="SIZ26" s="1360"/>
      <c r="SJA26" s="1360"/>
      <c r="SJB26" s="1360"/>
      <c r="SJC26" s="1360"/>
      <c r="SJD26" s="1360"/>
      <c r="SJE26" s="1360"/>
      <c r="SJF26" s="1360"/>
      <c r="SJG26" s="1360"/>
      <c r="SJH26" s="1360"/>
      <c r="SJI26" s="1360"/>
      <c r="SJJ26" s="1360"/>
      <c r="SJK26" s="1360"/>
      <c r="SJL26" s="1360"/>
      <c r="SJM26" s="1360"/>
      <c r="SJN26" s="1360"/>
      <c r="SJO26" s="1360"/>
      <c r="SJP26" s="1360"/>
      <c r="SJQ26" s="1360"/>
      <c r="SJR26" s="1360"/>
      <c r="SJS26" s="1360"/>
      <c r="SJT26" s="1360"/>
      <c r="SJU26" s="1360"/>
      <c r="SJV26" s="1360"/>
      <c r="SJW26" s="1360"/>
      <c r="SJX26" s="1360"/>
      <c r="SJY26" s="1360"/>
      <c r="SJZ26" s="1360"/>
      <c r="SKA26" s="1360"/>
      <c r="SKB26" s="1360"/>
      <c r="SKC26" s="1360"/>
      <c r="SKD26" s="1360"/>
      <c r="SKE26" s="1360"/>
      <c r="SKF26" s="1360"/>
      <c r="SKG26" s="1360"/>
      <c r="SKH26" s="1360"/>
      <c r="SKI26" s="1360"/>
      <c r="SKJ26" s="1360"/>
      <c r="SKK26" s="1360"/>
      <c r="SKL26" s="1360"/>
      <c r="SKM26" s="1360"/>
      <c r="SKN26" s="1360"/>
      <c r="SKO26" s="1360"/>
      <c r="SKP26" s="1360"/>
      <c r="SKQ26" s="1360"/>
      <c r="SKR26" s="1360"/>
      <c r="SKS26" s="1360"/>
      <c r="SKT26" s="1360"/>
      <c r="SKU26" s="1360"/>
      <c r="SKV26" s="1360"/>
      <c r="SKW26" s="1360"/>
      <c r="SKX26" s="1360"/>
      <c r="SKY26" s="1360"/>
      <c r="SKZ26" s="1360"/>
      <c r="SLA26" s="1360"/>
      <c r="SLB26" s="1360"/>
      <c r="SLC26" s="1360"/>
      <c r="SLD26" s="1360"/>
      <c r="SLE26" s="1360"/>
      <c r="SLF26" s="1360"/>
      <c r="SLG26" s="1360"/>
      <c r="SLH26" s="1360"/>
      <c r="SLI26" s="1360"/>
      <c r="SLJ26" s="1360"/>
      <c r="SLK26" s="1360"/>
      <c r="SLL26" s="1360"/>
      <c r="SLM26" s="1360"/>
      <c r="SLN26" s="1360"/>
      <c r="SLO26" s="1360"/>
      <c r="SLP26" s="1360"/>
      <c r="SLQ26" s="1360"/>
      <c r="SLR26" s="1360"/>
      <c r="SLS26" s="1360"/>
      <c r="SLT26" s="1360"/>
      <c r="SLU26" s="1360"/>
      <c r="SLV26" s="1360"/>
      <c r="SLW26" s="1360"/>
      <c r="SLX26" s="1360"/>
      <c r="SLY26" s="1360"/>
      <c r="SLZ26" s="1360"/>
      <c r="SMA26" s="1360"/>
      <c r="SMB26" s="1360"/>
      <c r="SMC26" s="1360"/>
      <c r="SMD26" s="1360"/>
      <c r="SME26" s="1360"/>
      <c r="SMF26" s="1360"/>
      <c r="SMG26" s="1360"/>
      <c r="SMH26" s="1360"/>
      <c r="SMI26" s="1360"/>
      <c r="SMJ26" s="1360"/>
      <c r="SMK26" s="1360"/>
      <c r="SML26" s="1360"/>
      <c r="SMM26" s="1360"/>
      <c r="SMN26" s="1360"/>
      <c r="SMO26" s="1360"/>
      <c r="SMP26" s="1360"/>
      <c r="SMQ26" s="1360"/>
      <c r="SMR26" s="1360"/>
      <c r="SMS26" s="1360"/>
      <c r="SMT26" s="1360"/>
      <c r="SMU26" s="1360"/>
      <c r="SMV26" s="1360"/>
      <c r="SMW26" s="1360"/>
      <c r="SMX26" s="1360"/>
      <c r="SMY26" s="1360"/>
      <c r="SMZ26" s="1360"/>
      <c r="SNA26" s="1360"/>
      <c r="SNB26" s="1360"/>
      <c r="SNC26" s="1360"/>
      <c r="SND26" s="1360"/>
      <c r="SNE26" s="1360"/>
      <c r="SNF26" s="1360"/>
      <c r="SNG26" s="1360"/>
      <c r="SNH26" s="1360"/>
      <c r="SNI26" s="1360"/>
      <c r="SNJ26" s="1360"/>
      <c r="SNK26" s="1360"/>
      <c r="SNL26" s="1360"/>
      <c r="SNM26" s="1360"/>
      <c r="SNN26" s="1360"/>
      <c r="SNO26" s="1360"/>
      <c r="SNP26" s="1360"/>
      <c r="SNQ26" s="1360"/>
      <c r="SNR26" s="1360"/>
      <c r="SNS26" s="1360"/>
      <c r="SNT26" s="1360"/>
      <c r="SNU26" s="1360"/>
      <c r="SNV26" s="1360"/>
      <c r="SNW26" s="1360"/>
      <c r="SNX26" s="1360"/>
      <c r="SNY26" s="1360"/>
      <c r="SNZ26" s="1360"/>
      <c r="SOA26" s="1360"/>
      <c r="SOB26" s="1360"/>
      <c r="SOC26" s="1360"/>
      <c r="SOD26" s="1360"/>
      <c r="SOE26" s="1360"/>
      <c r="SOF26" s="1360"/>
      <c r="SOG26" s="1360"/>
      <c r="SOH26" s="1360"/>
      <c r="SOI26" s="1360"/>
      <c r="SOJ26" s="1360"/>
      <c r="SOK26" s="1360"/>
      <c r="SOL26" s="1360"/>
      <c r="SOM26" s="1360"/>
      <c r="SON26" s="1360"/>
      <c r="SOO26" s="1360"/>
      <c r="SOP26" s="1360"/>
      <c r="SOQ26" s="1360"/>
      <c r="SOR26" s="1360"/>
      <c r="SOS26" s="1360"/>
      <c r="SOT26" s="1360"/>
      <c r="SOU26" s="1360"/>
      <c r="SOV26" s="1360"/>
      <c r="SOW26" s="1360"/>
      <c r="SOX26" s="1360"/>
      <c r="SOY26" s="1360"/>
      <c r="SOZ26" s="1360"/>
      <c r="SPA26" s="1360"/>
      <c r="SPB26" s="1360"/>
      <c r="SPC26" s="1360"/>
      <c r="SPD26" s="1360"/>
      <c r="SPE26" s="1360"/>
      <c r="SPF26" s="1360"/>
      <c r="SPG26" s="1360"/>
      <c r="SPH26" s="1360"/>
      <c r="SPI26" s="1360"/>
      <c r="SPJ26" s="1360"/>
      <c r="SPK26" s="1360"/>
      <c r="SPL26" s="1360"/>
      <c r="SPM26" s="1360"/>
      <c r="SPN26" s="1360"/>
      <c r="SPO26" s="1360"/>
      <c r="SPP26" s="1360"/>
      <c r="SPQ26" s="1360"/>
      <c r="SPR26" s="1360"/>
      <c r="SPS26" s="1360"/>
      <c r="SPT26" s="1360"/>
      <c r="SPU26" s="1360"/>
      <c r="SPV26" s="1360"/>
      <c r="SPW26" s="1360"/>
      <c r="SPX26" s="1360"/>
      <c r="SPY26" s="1360"/>
      <c r="SPZ26" s="1360"/>
      <c r="SQA26" s="1360"/>
      <c r="SQB26" s="1360"/>
      <c r="SQC26" s="1360"/>
      <c r="SQD26" s="1360"/>
      <c r="SQE26" s="1360"/>
      <c r="SQF26" s="1360"/>
      <c r="SQG26" s="1360"/>
      <c r="SQH26" s="1360"/>
      <c r="SQI26" s="1360"/>
      <c r="SQJ26" s="1360"/>
      <c r="SQK26" s="1360"/>
      <c r="SQL26" s="1360"/>
      <c r="SQM26" s="1360"/>
      <c r="SQN26" s="1360"/>
      <c r="SQO26" s="1360"/>
      <c r="SQP26" s="1360"/>
      <c r="SQQ26" s="1360"/>
      <c r="SQR26" s="1360"/>
      <c r="SQS26" s="1360"/>
      <c r="SQT26" s="1360"/>
      <c r="SQU26" s="1360"/>
      <c r="SQV26" s="1360"/>
      <c r="SQW26" s="1360"/>
      <c r="SQX26" s="1360"/>
      <c r="SQY26" s="1360"/>
      <c r="SQZ26" s="1360"/>
      <c r="SRA26" s="1360"/>
      <c r="SRB26" s="1360"/>
      <c r="SRC26" s="1360"/>
      <c r="SRD26" s="1360"/>
      <c r="SRE26" s="1360"/>
      <c r="SRF26" s="1360"/>
      <c r="SRG26" s="1360"/>
      <c r="SRH26" s="1360"/>
      <c r="SRI26" s="1360"/>
      <c r="SRJ26" s="1360"/>
      <c r="SRK26" s="1360"/>
      <c r="SRL26" s="1360"/>
      <c r="SRM26" s="1360"/>
      <c r="SRN26" s="1360"/>
      <c r="SRO26" s="1360"/>
      <c r="SRP26" s="1360"/>
      <c r="SRQ26" s="1360"/>
      <c r="SRR26" s="1360"/>
      <c r="SRS26" s="1360"/>
      <c r="SRT26" s="1360"/>
      <c r="SRU26" s="1360"/>
      <c r="SRV26" s="1360"/>
      <c r="SRW26" s="1360"/>
      <c r="SRX26" s="1360"/>
      <c r="SRY26" s="1360"/>
      <c r="SRZ26" s="1360"/>
      <c r="SSA26" s="1360"/>
      <c r="SSB26" s="1360"/>
      <c r="SSC26" s="1360"/>
      <c r="SSD26" s="1360"/>
      <c r="SSE26" s="1360"/>
      <c r="SSF26" s="1360"/>
      <c r="SSG26" s="1360"/>
      <c r="SSH26" s="1360"/>
      <c r="SSI26" s="1360"/>
      <c r="SSJ26" s="1360"/>
      <c r="SSK26" s="1360"/>
      <c r="SSL26" s="1360"/>
      <c r="SSM26" s="1360"/>
      <c r="SSN26" s="1360"/>
      <c r="SSO26" s="1360"/>
      <c r="SSP26" s="1360"/>
      <c r="SSQ26" s="1360"/>
      <c r="SSR26" s="1360"/>
      <c r="SSS26" s="1360"/>
      <c r="SST26" s="1360"/>
      <c r="SSU26" s="1360"/>
      <c r="SSV26" s="1360"/>
      <c r="SSW26" s="1360"/>
      <c r="SSX26" s="1360"/>
      <c r="SSY26" s="1360"/>
      <c r="SSZ26" s="1360"/>
      <c r="STA26" s="1360"/>
      <c r="STB26" s="1360"/>
      <c r="STC26" s="1360"/>
      <c r="STD26" s="1360"/>
      <c r="STE26" s="1360"/>
      <c r="STF26" s="1360"/>
      <c r="STG26" s="1360"/>
      <c r="STH26" s="1360"/>
      <c r="STI26" s="1360"/>
      <c r="STJ26" s="1360"/>
      <c r="STK26" s="1360"/>
      <c r="STL26" s="1360"/>
      <c r="STM26" s="1360"/>
      <c r="STN26" s="1360"/>
      <c r="STO26" s="1360"/>
      <c r="STP26" s="1360"/>
      <c r="STQ26" s="1360"/>
      <c r="STR26" s="1360"/>
      <c r="STS26" s="1360"/>
      <c r="STT26" s="1360"/>
      <c r="STU26" s="1360"/>
      <c r="STV26" s="1360"/>
      <c r="STW26" s="1360"/>
      <c r="STX26" s="1360"/>
      <c r="STY26" s="1360"/>
      <c r="STZ26" s="1360"/>
      <c r="SUA26" s="1360"/>
      <c r="SUB26" s="1360"/>
      <c r="SUC26" s="1360"/>
      <c r="SUD26" s="1360"/>
      <c r="SUE26" s="1360"/>
      <c r="SUF26" s="1360"/>
      <c r="SUG26" s="1360"/>
      <c r="SUH26" s="1360"/>
      <c r="SUI26" s="1360"/>
      <c r="SUJ26" s="1360"/>
      <c r="SUK26" s="1360"/>
      <c r="SUL26" s="1360"/>
      <c r="SUM26" s="1360"/>
      <c r="SUN26" s="1360"/>
      <c r="SUO26" s="1360"/>
      <c r="SUP26" s="1360"/>
      <c r="SUQ26" s="1360"/>
      <c r="SUR26" s="1360"/>
      <c r="SUS26" s="1360"/>
      <c r="SUT26" s="1360"/>
      <c r="SUU26" s="1360"/>
      <c r="SUV26" s="1360"/>
      <c r="SUW26" s="1360"/>
      <c r="SUX26" s="1360"/>
      <c r="SUY26" s="1360"/>
      <c r="SUZ26" s="1360"/>
      <c r="SVA26" s="1360"/>
      <c r="SVB26" s="1360"/>
      <c r="SVC26" s="1360"/>
      <c r="SVD26" s="1360"/>
      <c r="SVE26" s="1360"/>
      <c r="SVF26" s="1360"/>
      <c r="SVG26" s="1360"/>
      <c r="SVH26" s="1360"/>
      <c r="SVI26" s="1360"/>
      <c r="SVJ26" s="1360"/>
      <c r="SVK26" s="1360"/>
      <c r="SVL26" s="1360"/>
      <c r="SVM26" s="1360"/>
      <c r="SVN26" s="1360"/>
      <c r="SVO26" s="1360"/>
      <c r="SVP26" s="1360"/>
      <c r="SVQ26" s="1360"/>
      <c r="SVR26" s="1360"/>
      <c r="SVS26" s="1360"/>
      <c r="SVT26" s="1360"/>
      <c r="SVU26" s="1360"/>
      <c r="SVV26" s="1360"/>
      <c r="SVW26" s="1360"/>
      <c r="SVX26" s="1360"/>
      <c r="SVY26" s="1360"/>
      <c r="SVZ26" s="1360"/>
      <c r="SWA26" s="1360"/>
      <c r="SWB26" s="1360"/>
      <c r="SWC26" s="1360"/>
      <c r="SWD26" s="1360"/>
      <c r="SWE26" s="1360"/>
      <c r="SWF26" s="1360"/>
      <c r="SWG26" s="1360"/>
      <c r="SWH26" s="1360"/>
      <c r="SWI26" s="1360"/>
      <c r="SWJ26" s="1360"/>
      <c r="SWK26" s="1360"/>
      <c r="SWL26" s="1360"/>
      <c r="SWM26" s="1360"/>
      <c r="SWN26" s="1360"/>
      <c r="SWO26" s="1360"/>
      <c r="SWP26" s="1360"/>
      <c r="SWQ26" s="1360"/>
      <c r="SWR26" s="1360"/>
      <c r="SWS26" s="1360"/>
      <c r="SWT26" s="1360"/>
      <c r="SWU26" s="1360"/>
      <c r="SWV26" s="1360"/>
      <c r="SWW26" s="1360"/>
      <c r="SWX26" s="1360"/>
      <c r="SWY26" s="1360"/>
      <c r="SWZ26" s="1360"/>
      <c r="SXA26" s="1360"/>
      <c r="SXB26" s="1360"/>
      <c r="SXC26" s="1360"/>
      <c r="SXD26" s="1360"/>
      <c r="SXE26" s="1360"/>
      <c r="SXF26" s="1360"/>
      <c r="SXG26" s="1360"/>
      <c r="SXH26" s="1360"/>
      <c r="SXI26" s="1360"/>
      <c r="SXJ26" s="1360"/>
      <c r="SXK26" s="1360"/>
      <c r="SXL26" s="1360"/>
      <c r="SXM26" s="1360"/>
      <c r="SXN26" s="1360"/>
      <c r="SXO26" s="1360"/>
      <c r="SXP26" s="1360"/>
      <c r="SXQ26" s="1360"/>
      <c r="SXR26" s="1360"/>
      <c r="SXS26" s="1360"/>
      <c r="SXT26" s="1360"/>
      <c r="SXU26" s="1360"/>
      <c r="SXV26" s="1360"/>
      <c r="SXW26" s="1360"/>
      <c r="SXX26" s="1360"/>
      <c r="SXY26" s="1360"/>
      <c r="SXZ26" s="1360"/>
      <c r="SYA26" s="1360"/>
      <c r="SYB26" s="1360"/>
      <c r="SYC26" s="1360"/>
      <c r="SYD26" s="1360"/>
      <c r="SYE26" s="1360"/>
      <c r="SYF26" s="1360"/>
      <c r="SYG26" s="1360"/>
      <c r="SYH26" s="1360"/>
      <c r="SYI26" s="1360"/>
      <c r="SYJ26" s="1360"/>
      <c r="SYK26" s="1360"/>
      <c r="SYL26" s="1360"/>
      <c r="SYM26" s="1360"/>
      <c r="SYN26" s="1360"/>
      <c r="SYO26" s="1360"/>
      <c r="SYP26" s="1360"/>
      <c r="SYQ26" s="1360"/>
      <c r="SYR26" s="1360"/>
      <c r="SYS26" s="1360"/>
      <c r="SYT26" s="1360"/>
      <c r="SYU26" s="1360"/>
      <c r="SYV26" s="1360"/>
      <c r="SYW26" s="1360"/>
      <c r="SYX26" s="1360"/>
      <c r="SYY26" s="1360"/>
      <c r="SYZ26" s="1360"/>
      <c r="SZA26" s="1360"/>
      <c r="SZB26" s="1360"/>
      <c r="SZC26" s="1360"/>
      <c r="SZD26" s="1360"/>
      <c r="SZE26" s="1360"/>
      <c r="SZF26" s="1360"/>
      <c r="SZG26" s="1360"/>
      <c r="SZH26" s="1360"/>
      <c r="SZI26" s="1360"/>
      <c r="SZJ26" s="1360"/>
      <c r="SZK26" s="1360"/>
      <c r="SZL26" s="1360"/>
      <c r="SZM26" s="1360"/>
      <c r="SZN26" s="1360"/>
      <c r="SZO26" s="1360"/>
      <c r="SZP26" s="1360"/>
      <c r="SZQ26" s="1360"/>
      <c r="SZR26" s="1360"/>
      <c r="SZS26" s="1360"/>
      <c r="SZT26" s="1360"/>
      <c r="SZU26" s="1360"/>
      <c r="SZV26" s="1360"/>
      <c r="SZW26" s="1360"/>
      <c r="SZX26" s="1360"/>
      <c r="SZY26" s="1360"/>
      <c r="SZZ26" s="1360"/>
      <c r="TAA26" s="1360"/>
      <c r="TAB26" s="1360"/>
      <c r="TAC26" s="1360"/>
      <c r="TAD26" s="1360"/>
      <c r="TAE26" s="1360"/>
      <c r="TAF26" s="1360"/>
      <c r="TAG26" s="1360"/>
      <c r="TAH26" s="1360"/>
      <c r="TAI26" s="1360"/>
      <c r="TAJ26" s="1360"/>
      <c r="TAK26" s="1360"/>
      <c r="TAL26" s="1360"/>
      <c r="TAM26" s="1360"/>
      <c r="TAN26" s="1360"/>
      <c r="TAO26" s="1360"/>
      <c r="TAP26" s="1360"/>
      <c r="TAQ26" s="1360"/>
      <c r="TAR26" s="1360"/>
      <c r="TAS26" s="1360"/>
      <c r="TAT26" s="1360"/>
      <c r="TAU26" s="1360"/>
      <c r="TAV26" s="1360"/>
      <c r="TAW26" s="1360"/>
      <c r="TAX26" s="1360"/>
      <c r="TAY26" s="1360"/>
      <c r="TAZ26" s="1360"/>
      <c r="TBA26" s="1360"/>
      <c r="TBB26" s="1360"/>
      <c r="TBC26" s="1360"/>
      <c r="TBD26" s="1360"/>
      <c r="TBE26" s="1360"/>
      <c r="TBF26" s="1360"/>
      <c r="TBG26" s="1360"/>
      <c r="TBH26" s="1360"/>
      <c r="TBI26" s="1360"/>
      <c r="TBJ26" s="1360"/>
      <c r="TBK26" s="1360"/>
      <c r="TBL26" s="1360"/>
      <c r="TBM26" s="1360"/>
      <c r="TBN26" s="1360"/>
      <c r="TBO26" s="1360"/>
      <c r="TBP26" s="1360"/>
      <c r="TBQ26" s="1360"/>
      <c r="TBR26" s="1360"/>
      <c r="TBS26" s="1360"/>
      <c r="TBT26" s="1360"/>
      <c r="TBU26" s="1360"/>
      <c r="TBV26" s="1360"/>
      <c r="TBW26" s="1360"/>
      <c r="TBX26" s="1360"/>
      <c r="TBY26" s="1360"/>
      <c r="TBZ26" s="1360"/>
      <c r="TCA26" s="1360"/>
      <c r="TCB26" s="1360"/>
      <c r="TCC26" s="1360"/>
      <c r="TCD26" s="1360"/>
      <c r="TCE26" s="1360"/>
      <c r="TCF26" s="1360"/>
      <c r="TCG26" s="1360"/>
      <c r="TCH26" s="1360"/>
      <c r="TCI26" s="1360"/>
      <c r="TCJ26" s="1360"/>
      <c r="TCK26" s="1360"/>
      <c r="TCL26" s="1360"/>
      <c r="TCM26" s="1360"/>
      <c r="TCN26" s="1360"/>
      <c r="TCO26" s="1360"/>
      <c r="TCP26" s="1360"/>
      <c r="TCQ26" s="1360"/>
      <c r="TCR26" s="1360"/>
      <c r="TCS26" s="1360"/>
      <c r="TCT26" s="1360"/>
      <c r="TCU26" s="1360"/>
      <c r="TCV26" s="1360"/>
      <c r="TCW26" s="1360"/>
      <c r="TCX26" s="1360"/>
      <c r="TCY26" s="1360"/>
      <c r="TCZ26" s="1360"/>
      <c r="TDA26" s="1360"/>
      <c r="TDB26" s="1360"/>
      <c r="TDC26" s="1360"/>
      <c r="TDD26" s="1360"/>
      <c r="TDE26" s="1360"/>
      <c r="TDF26" s="1360"/>
      <c r="TDG26" s="1360"/>
      <c r="TDH26" s="1360"/>
      <c r="TDI26" s="1360"/>
      <c r="TDJ26" s="1360"/>
      <c r="TDK26" s="1360"/>
      <c r="TDL26" s="1360"/>
      <c r="TDM26" s="1360"/>
      <c r="TDN26" s="1360"/>
      <c r="TDO26" s="1360"/>
      <c r="TDP26" s="1360"/>
      <c r="TDQ26" s="1360"/>
      <c r="TDR26" s="1360"/>
      <c r="TDS26" s="1360"/>
      <c r="TDT26" s="1360"/>
      <c r="TDU26" s="1360"/>
      <c r="TDV26" s="1360"/>
      <c r="TDW26" s="1360"/>
      <c r="TDX26" s="1360"/>
      <c r="TDY26" s="1360"/>
      <c r="TDZ26" s="1360"/>
      <c r="TEA26" s="1360"/>
      <c r="TEB26" s="1360"/>
      <c r="TEC26" s="1360"/>
      <c r="TED26" s="1360"/>
      <c r="TEE26" s="1360"/>
      <c r="TEF26" s="1360"/>
      <c r="TEG26" s="1360"/>
      <c r="TEH26" s="1360"/>
      <c r="TEI26" s="1360"/>
      <c r="TEJ26" s="1360"/>
      <c r="TEK26" s="1360"/>
      <c r="TEL26" s="1360"/>
      <c r="TEM26" s="1360"/>
      <c r="TEN26" s="1360"/>
      <c r="TEO26" s="1360"/>
      <c r="TEP26" s="1360"/>
      <c r="TEQ26" s="1360"/>
      <c r="TER26" s="1360"/>
      <c r="TES26" s="1360"/>
      <c r="TET26" s="1360"/>
      <c r="TEU26" s="1360"/>
      <c r="TEV26" s="1360"/>
      <c r="TEW26" s="1360"/>
      <c r="TEX26" s="1360"/>
      <c r="TEY26" s="1360"/>
      <c r="TEZ26" s="1360"/>
      <c r="TFA26" s="1360"/>
      <c r="TFB26" s="1360"/>
      <c r="TFC26" s="1360"/>
      <c r="TFD26" s="1360"/>
      <c r="TFE26" s="1360"/>
      <c r="TFF26" s="1360"/>
      <c r="TFG26" s="1360"/>
      <c r="TFH26" s="1360"/>
      <c r="TFI26" s="1360"/>
      <c r="TFJ26" s="1360"/>
      <c r="TFK26" s="1360"/>
      <c r="TFL26" s="1360"/>
      <c r="TFM26" s="1360"/>
      <c r="TFN26" s="1360"/>
      <c r="TFO26" s="1360"/>
      <c r="TFP26" s="1360"/>
      <c r="TFQ26" s="1360"/>
      <c r="TFR26" s="1360"/>
      <c r="TFS26" s="1360"/>
      <c r="TFT26" s="1360"/>
      <c r="TFU26" s="1360"/>
      <c r="TFV26" s="1360"/>
      <c r="TFW26" s="1360"/>
      <c r="TFX26" s="1360"/>
      <c r="TFY26" s="1360"/>
      <c r="TFZ26" s="1360"/>
      <c r="TGA26" s="1360"/>
      <c r="TGB26" s="1360"/>
      <c r="TGC26" s="1360"/>
      <c r="TGD26" s="1360"/>
      <c r="TGE26" s="1360"/>
      <c r="TGF26" s="1360"/>
      <c r="TGG26" s="1360"/>
      <c r="TGH26" s="1360"/>
      <c r="TGI26" s="1360"/>
      <c r="TGJ26" s="1360"/>
      <c r="TGK26" s="1360"/>
      <c r="TGL26" s="1360"/>
      <c r="TGM26" s="1360"/>
      <c r="TGN26" s="1360"/>
      <c r="TGO26" s="1360"/>
      <c r="TGP26" s="1360"/>
      <c r="TGQ26" s="1360"/>
      <c r="TGR26" s="1360"/>
      <c r="TGS26" s="1360"/>
      <c r="TGT26" s="1360"/>
      <c r="TGU26" s="1360"/>
      <c r="TGV26" s="1360"/>
      <c r="TGW26" s="1360"/>
      <c r="TGX26" s="1360"/>
      <c r="TGY26" s="1360"/>
      <c r="TGZ26" s="1360"/>
      <c r="THA26" s="1360"/>
      <c r="THB26" s="1360"/>
      <c r="THC26" s="1360"/>
      <c r="THD26" s="1360"/>
      <c r="THE26" s="1360"/>
      <c r="THF26" s="1360"/>
      <c r="THG26" s="1360"/>
      <c r="THH26" s="1360"/>
      <c r="THI26" s="1360"/>
      <c r="THJ26" s="1360"/>
      <c r="THK26" s="1360"/>
      <c r="THL26" s="1360"/>
      <c r="THM26" s="1360"/>
      <c r="THN26" s="1360"/>
      <c r="THO26" s="1360"/>
      <c r="THP26" s="1360"/>
      <c r="THQ26" s="1360"/>
      <c r="THR26" s="1360"/>
      <c r="THS26" s="1360"/>
      <c r="THT26" s="1360"/>
      <c r="THU26" s="1360"/>
      <c r="THV26" s="1360"/>
      <c r="THW26" s="1360"/>
      <c r="THX26" s="1360"/>
      <c r="THY26" s="1360"/>
      <c r="THZ26" s="1360"/>
      <c r="TIA26" s="1360"/>
      <c r="TIB26" s="1360"/>
      <c r="TIC26" s="1360"/>
      <c r="TID26" s="1360"/>
      <c r="TIE26" s="1360"/>
      <c r="TIF26" s="1360"/>
      <c r="TIG26" s="1360"/>
      <c r="TIH26" s="1360"/>
      <c r="TII26" s="1360"/>
      <c r="TIJ26" s="1360"/>
      <c r="TIK26" s="1360"/>
      <c r="TIL26" s="1360"/>
      <c r="TIM26" s="1360"/>
      <c r="TIN26" s="1360"/>
      <c r="TIO26" s="1360"/>
      <c r="TIP26" s="1360"/>
      <c r="TIQ26" s="1360"/>
      <c r="TIR26" s="1360"/>
      <c r="TIS26" s="1360"/>
      <c r="TIT26" s="1360"/>
      <c r="TIU26" s="1360"/>
      <c r="TIV26" s="1360"/>
      <c r="TIW26" s="1360"/>
      <c r="TIX26" s="1360"/>
      <c r="TIY26" s="1360"/>
      <c r="TIZ26" s="1360"/>
      <c r="TJA26" s="1360"/>
      <c r="TJB26" s="1360"/>
      <c r="TJC26" s="1360"/>
      <c r="TJD26" s="1360"/>
      <c r="TJE26" s="1360"/>
      <c r="TJF26" s="1360"/>
      <c r="TJG26" s="1360"/>
      <c r="TJH26" s="1360"/>
      <c r="TJI26" s="1360"/>
      <c r="TJJ26" s="1360"/>
      <c r="TJK26" s="1360"/>
      <c r="TJL26" s="1360"/>
      <c r="TJM26" s="1360"/>
      <c r="TJN26" s="1360"/>
      <c r="TJO26" s="1360"/>
      <c r="TJP26" s="1360"/>
      <c r="TJQ26" s="1360"/>
      <c r="TJR26" s="1360"/>
      <c r="TJS26" s="1360"/>
      <c r="TJT26" s="1360"/>
      <c r="TJU26" s="1360"/>
      <c r="TJV26" s="1360"/>
      <c r="TJW26" s="1360"/>
      <c r="TJX26" s="1360"/>
      <c r="TJY26" s="1360"/>
      <c r="TJZ26" s="1360"/>
      <c r="TKA26" s="1360"/>
      <c r="TKB26" s="1360"/>
      <c r="TKC26" s="1360"/>
      <c r="TKD26" s="1360"/>
      <c r="TKE26" s="1360"/>
      <c r="TKF26" s="1360"/>
      <c r="TKG26" s="1360"/>
      <c r="TKH26" s="1360"/>
      <c r="TKI26" s="1360"/>
      <c r="TKJ26" s="1360"/>
      <c r="TKK26" s="1360"/>
      <c r="TKL26" s="1360"/>
      <c r="TKM26" s="1360"/>
      <c r="TKN26" s="1360"/>
      <c r="TKO26" s="1360"/>
      <c r="TKP26" s="1360"/>
      <c r="TKQ26" s="1360"/>
      <c r="TKR26" s="1360"/>
      <c r="TKS26" s="1360"/>
      <c r="TKT26" s="1360"/>
      <c r="TKU26" s="1360"/>
      <c r="TKV26" s="1360"/>
      <c r="TKW26" s="1360"/>
      <c r="TKX26" s="1360"/>
      <c r="TKY26" s="1360"/>
      <c r="TKZ26" s="1360"/>
      <c r="TLA26" s="1360"/>
      <c r="TLB26" s="1360"/>
      <c r="TLC26" s="1360"/>
      <c r="TLD26" s="1360"/>
      <c r="TLE26" s="1360"/>
      <c r="TLF26" s="1360"/>
      <c r="TLG26" s="1360"/>
      <c r="TLH26" s="1360"/>
      <c r="TLI26" s="1360"/>
      <c r="TLJ26" s="1360"/>
      <c r="TLK26" s="1360"/>
      <c r="TLL26" s="1360"/>
      <c r="TLM26" s="1360"/>
      <c r="TLN26" s="1360"/>
      <c r="TLO26" s="1360"/>
      <c r="TLP26" s="1360"/>
      <c r="TLQ26" s="1360"/>
      <c r="TLR26" s="1360"/>
      <c r="TLS26" s="1360"/>
      <c r="TLT26" s="1360"/>
      <c r="TLU26" s="1360"/>
      <c r="TLV26" s="1360"/>
      <c r="TLW26" s="1360"/>
      <c r="TLX26" s="1360"/>
      <c r="TLY26" s="1360"/>
      <c r="TLZ26" s="1360"/>
      <c r="TMA26" s="1360"/>
      <c r="TMB26" s="1360"/>
      <c r="TMC26" s="1360"/>
      <c r="TMD26" s="1360"/>
      <c r="TME26" s="1360"/>
      <c r="TMF26" s="1360"/>
      <c r="TMG26" s="1360"/>
      <c r="TMH26" s="1360"/>
      <c r="TMI26" s="1360"/>
      <c r="TMJ26" s="1360"/>
      <c r="TMK26" s="1360"/>
      <c r="TML26" s="1360"/>
      <c r="TMM26" s="1360"/>
      <c r="TMN26" s="1360"/>
      <c r="TMO26" s="1360"/>
      <c r="TMP26" s="1360"/>
      <c r="TMQ26" s="1360"/>
      <c r="TMR26" s="1360"/>
      <c r="TMS26" s="1360"/>
      <c r="TMT26" s="1360"/>
      <c r="TMU26" s="1360"/>
      <c r="TMV26" s="1360"/>
      <c r="TMW26" s="1360"/>
      <c r="TMX26" s="1360"/>
      <c r="TMY26" s="1360"/>
      <c r="TMZ26" s="1360"/>
      <c r="TNA26" s="1360"/>
      <c r="TNB26" s="1360"/>
      <c r="TNC26" s="1360"/>
      <c r="TND26" s="1360"/>
      <c r="TNE26" s="1360"/>
      <c r="TNF26" s="1360"/>
      <c r="TNG26" s="1360"/>
      <c r="TNH26" s="1360"/>
      <c r="TNI26" s="1360"/>
      <c r="TNJ26" s="1360"/>
      <c r="TNK26" s="1360"/>
      <c r="TNL26" s="1360"/>
      <c r="TNM26" s="1360"/>
      <c r="TNN26" s="1360"/>
      <c r="TNO26" s="1360"/>
      <c r="TNP26" s="1360"/>
      <c r="TNQ26" s="1360"/>
      <c r="TNR26" s="1360"/>
      <c r="TNS26" s="1360"/>
      <c r="TNT26" s="1360"/>
      <c r="TNU26" s="1360"/>
      <c r="TNV26" s="1360"/>
      <c r="TNW26" s="1360"/>
      <c r="TNX26" s="1360"/>
      <c r="TNY26" s="1360"/>
      <c r="TNZ26" s="1360"/>
      <c r="TOA26" s="1360"/>
      <c r="TOB26" s="1360"/>
      <c r="TOC26" s="1360"/>
      <c r="TOD26" s="1360"/>
      <c r="TOE26" s="1360"/>
      <c r="TOF26" s="1360"/>
      <c r="TOG26" s="1360"/>
      <c r="TOH26" s="1360"/>
      <c r="TOI26" s="1360"/>
      <c r="TOJ26" s="1360"/>
      <c r="TOK26" s="1360"/>
      <c r="TOL26" s="1360"/>
      <c r="TOM26" s="1360"/>
      <c r="TON26" s="1360"/>
      <c r="TOO26" s="1360"/>
      <c r="TOP26" s="1360"/>
      <c r="TOQ26" s="1360"/>
      <c r="TOR26" s="1360"/>
      <c r="TOS26" s="1360"/>
      <c r="TOT26" s="1360"/>
      <c r="TOU26" s="1360"/>
      <c r="TOV26" s="1360"/>
      <c r="TOW26" s="1360"/>
      <c r="TOX26" s="1360"/>
      <c r="TOY26" s="1360"/>
      <c r="TOZ26" s="1360"/>
      <c r="TPA26" s="1360"/>
      <c r="TPB26" s="1360"/>
      <c r="TPC26" s="1360"/>
      <c r="TPD26" s="1360"/>
      <c r="TPE26" s="1360"/>
      <c r="TPF26" s="1360"/>
      <c r="TPG26" s="1360"/>
      <c r="TPH26" s="1360"/>
      <c r="TPI26" s="1360"/>
      <c r="TPJ26" s="1360"/>
      <c r="TPK26" s="1360"/>
      <c r="TPL26" s="1360"/>
      <c r="TPM26" s="1360"/>
      <c r="TPN26" s="1360"/>
      <c r="TPO26" s="1360"/>
      <c r="TPP26" s="1360"/>
      <c r="TPQ26" s="1360"/>
      <c r="TPR26" s="1360"/>
      <c r="TPS26" s="1360"/>
      <c r="TPT26" s="1360"/>
      <c r="TPU26" s="1360"/>
      <c r="TPV26" s="1360"/>
      <c r="TPW26" s="1360"/>
      <c r="TPX26" s="1360"/>
      <c r="TPY26" s="1360"/>
      <c r="TPZ26" s="1360"/>
      <c r="TQA26" s="1360"/>
      <c r="TQB26" s="1360"/>
      <c r="TQC26" s="1360"/>
      <c r="TQD26" s="1360"/>
      <c r="TQE26" s="1360"/>
      <c r="TQF26" s="1360"/>
      <c r="TQG26" s="1360"/>
      <c r="TQH26" s="1360"/>
      <c r="TQI26" s="1360"/>
      <c r="TQJ26" s="1360"/>
      <c r="TQK26" s="1360"/>
      <c r="TQL26" s="1360"/>
      <c r="TQM26" s="1360"/>
      <c r="TQN26" s="1360"/>
      <c r="TQO26" s="1360"/>
      <c r="TQP26" s="1360"/>
      <c r="TQQ26" s="1360"/>
      <c r="TQR26" s="1360"/>
      <c r="TQS26" s="1360"/>
      <c r="TQT26" s="1360"/>
      <c r="TQU26" s="1360"/>
      <c r="TQV26" s="1360"/>
      <c r="TQW26" s="1360"/>
      <c r="TQX26" s="1360"/>
      <c r="TQY26" s="1360"/>
      <c r="TQZ26" s="1360"/>
      <c r="TRA26" s="1360"/>
      <c r="TRB26" s="1360"/>
      <c r="TRC26" s="1360"/>
      <c r="TRD26" s="1360"/>
      <c r="TRE26" s="1360"/>
      <c r="TRF26" s="1360"/>
      <c r="TRG26" s="1360"/>
      <c r="TRH26" s="1360"/>
      <c r="TRI26" s="1360"/>
      <c r="TRJ26" s="1360"/>
      <c r="TRK26" s="1360"/>
      <c r="TRL26" s="1360"/>
      <c r="TRM26" s="1360"/>
      <c r="TRN26" s="1360"/>
      <c r="TRO26" s="1360"/>
      <c r="TRP26" s="1360"/>
      <c r="TRQ26" s="1360"/>
      <c r="TRR26" s="1360"/>
      <c r="TRS26" s="1360"/>
      <c r="TRT26" s="1360"/>
      <c r="TRU26" s="1360"/>
      <c r="TRV26" s="1360"/>
      <c r="TRW26" s="1360"/>
      <c r="TRX26" s="1360"/>
      <c r="TRY26" s="1360"/>
      <c r="TRZ26" s="1360"/>
      <c r="TSA26" s="1360"/>
      <c r="TSB26" s="1360"/>
      <c r="TSC26" s="1360"/>
      <c r="TSD26" s="1360"/>
      <c r="TSE26" s="1360"/>
      <c r="TSF26" s="1360"/>
      <c r="TSG26" s="1360"/>
      <c r="TSH26" s="1360"/>
      <c r="TSI26" s="1360"/>
      <c r="TSJ26" s="1360"/>
      <c r="TSK26" s="1360"/>
      <c r="TSL26" s="1360"/>
      <c r="TSM26" s="1360"/>
      <c r="TSN26" s="1360"/>
      <c r="TSO26" s="1360"/>
      <c r="TSP26" s="1360"/>
      <c r="TSQ26" s="1360"/>
      <c r="TSR26" s="1360"/>
      <c r="TSS26" s="1360"/>
      <c r="TST26" s="1360"/>
      <c r="TSU26" s="1360"/>
      <c r="TSV26" s="1360"/>
      <c r="TSW26" s="1360"/>
      <c r="TSX26" s="1360"/>
      <c r="TSY26" s="1360"/>
      <c r="TSZ26" s="1360"/>
      <c r="TTA26" s="1360"/>
      <c r="TTB26" s="1360"/>
      <c r="TTC26" s="1360"/>
      <c r="TTD26" s="1360"/>
      <c r="TTE26" s="1360"/>
      <c r="TTF26" s="1360"/>
      <c r="TTG26" s="1360"/>
      <c r="TTH26" s="1360"/>
      <c r="TTI26" s="1360"/>
      <c r="TTJ26" s="1360"/>
      <c r="TTK26" s="1360"/>
      <c r="TTL26" s="1360"/>
      <c r="TTM26" s="1360"/>
      <c r="TTN26" s="1360"/>
      <c r="TTO26" s="1360"/>
      <c r="TTP26" s="1360"/>
      <c r="TTQ26" s="1360"/>
      <c r="TTR26" s="1360"/>
      <c r="TTS26" s="1360"/>
      <c r="TTT26" s="1360"/>
      <c r="TTU26" s="1360"/>
      <c r="TTV26" s="1360"/>
      <c r="TTW26" s="1360"/>
      <c r="TTX26" s="1360"/>
      <c r="TTY26" s="1360"/>
      <c r="TTZ26" s="1360"/>
      <c r="TUA26" s="1360"/>
      <c r="TUB26" s="1360"/>
      <c r="TUC26" s="1360"/>
      <c r="TUD26" s="1360"/>
      <c r="TUE26" s="1360"/>
      <c r="TUF26" s="1360"/>
      <c r="TUG26" s="1360"/>
      <c r="TUH26" s="1360"/>
      <c r="TUI26" s="1360"/>
      <c r="TUJ26" s="1360"/>
      <c r="TUK26" s="1360"/>
      <c r="TUL26" s="1360"/>
      <c r="TUM26" s="1360"/>
      <c r="TUN26" s="1360"/>
      <c r="TUO26" s="1360"/>
      <c r="TUP26" s="1360"/>
      <c r="TUQ26" s="1360"/>
      <c r="TUR26" s="1360"/>
      <c r="TUS26" s="1360"/>
      <c r="TUT26" s="1360"/>
      <c r="TUU26" s="1360"/>
      <c r="TUV26" s="1360"/>
      <c r="TUW26" s="1360"/>
      <c r="TUX26" s="1360"/>
      <c r="TUY26" s="1360"/>
      <c r="TUZ26" s="1360"/>
      <c r="TVA26" s="1360"/>
      <c r="TVB26" s="1360"/>
      <c r="TVC26" s="1360"/>
      <c r="TVD26" s="1360"/>
      <c r="TVE26" s="1360"/>
      <c r="TVF26" s="1360"/>
      <c r="TVG26" s="1360"/>
      <c r="TVH26" s="1360"/>
      <c r="TVI26" s="1360"/>
      <c r="TVJ26" s="1360"/>
      <c r="TVK26" s="1360"/>
      <c r="TVL26" s="1360"/>
      <c r="TVM26" s="1360"/>
      <c r="TVN26" s="1360"/>
      <c r="TVO26" s="1360"/>
      <c r="TVP26" s="1360"/>
      <c r="TVQ26" s="1360"/>
      <c r="TVR26" s="1360"/>
      <c r="TVS26" s="1360"/>
      <c r="TVT26" s="1360"/>
      <c r="TVU26" s="1360"/>
      <c r="TVV26" s="1360"/>
      <c r="TVW26" s="1360"/>
      <c r="TVX26" s="1360"/>
      <c r="TVY26" s="1360"/>
      <c r="TVZ26" s="1360"/>
      <c r="TWA26" s="1360"/>
      <c r="TWB26" s="1360"/>
      <c r="TWC26" s="1360"/>
      <c r="TWD26" s="1360"/>
      <c r="TWE26" s="1360"/>
      <c r="TWF26" s="1360"/>
      <c r="TWG26" s="1360"/>
      <c r="TWH26" s="1360"/>
      <c r="TWI26" s="1360"/>
      <c r="TWJ26" s="1360"/>
      <c r="TWK26" s="1360"/>
      <c r="TWL26" s="1360"/>
      <c r="TWM26" s="1360"/>
      <c r="TWN26" s="1360"/>
      <c r="TWO26" s="1360"/>
      <c r="TWP26" s="1360"/>
      <c r="TWQ26" s="1360"/>
      <c r="TWR26" s="1360"/>
      <c r="TWS26" s="1360"/>
      <c r="TWT26" s="1360"/>
      <c r="TWU26" s="1360"/>
      <c r="TWV26" s="1360"/>
      <c r="TWW26" s="1360"/>
      <c r="TWX26" s="1360"/>
      <c r="TWY26" s="1360"/>
      <c r="TWZ26" s="1360"/>
      <c r="TXA26" s="1360"/>
      <c r="TXB26" s="1360"/>
      <c r="TXC26" s="1360"/>
      <c r="TXD26" s="1360"/>
      <c r="TXE26" s="1360"/>
      <c r="TXF26" s="1360"/>
      <c r="TXG26" s="1360"/>
      <c r="TXH26" s="1360"/>
      <c r="TXI26" s="1360"/>
      <c r="TXJ26" s="1360"/>
      <c r="TXK26" s="1360"/>
      <c r="TXL26" s="1360"/>
      <c r="TXM26" s="1360"/>
      <c r="TXN26" s="1360"/>
      <c r="TXO26" s="1360"/>
      <c r="TXP26" s="1360"/>
      <c r="TXQ26" s="1360"/>
      <c r="TXR26" s="1360"/>
      <c r="TXS26" s="1360"/>
      <c r="TXT26" s="1360"/>
      <c r="TXU26" s="1360"/>
      <c r="TXV26" s="1360"/>
      <c r="TXW26" s="1360"/>
      <c r="TXX26" s="1360"/>
      <c r="TXY26" s="1360"/>
      <c r="TXZ26" s="1360"/>
      <c r="TYA26" s="1360"/>
      <c r="TYB26" s="1360"/>
      <c r="TYC26" s="1360"/>
      <c r="TYD26" s="1360"/>
      <c r="TYE26" s="1360"/>
      <c r="TYF26" s="1360"/>
      <c r="TYG26" s="1360"/>
      <c r="TYH26" s="1360"/>
      <c r="TYI26" s="1360"/>
      <c r="TYJ26" s="1360"/>
      <c r="TYK26" s="1360"/>
      <c r="TYL26" s="1360"/>
      <c r="TYM26" s="1360"/>
      <c r="TYN26" s="1360"/>
      <c r="TYO26" s="1360"/>
      <c r="TYP26" s="1360"/>
      <c r="TYQ26" s="1360"/>
      <c r="TYR26" s="1360"/>
      <c r="TYS26" s="1360"/>
      <c r="TYT26" s="1360"/>
      <c r="TYU26" s="1360"/>
      <c r="TYV26" s="1360"/>
      <c r="TYW26" s="1360"/>
      <c r="TYX26" s="1360"/>
      <c r="TYY26" s="1360"/>
      <c r="TYZ26" s="1360"/>
      <c r="TZA26" s="1360"/>
      <c r="TZB26" s="1360"/>
      <c r="TZC26" s="1360"/>
      <c r="TZD26" s="1360"/>
      <c r="TZE26" s="1360"/>
      <c r="TZF26" s="1360"/>
      <c r="TZG26" s="1360"/>
      <c r="TZH26" s="1360"/>
      <c r="TZI26" s="1360"/>
      <c r="TZJ26" s="1360"/>
      <c r="TZK26" s="1360"/>
      <c r="TZL26" s="1360"/>
      <c r="TZM26" s="1360"/>
      <c r="TZN26" s="1360"/>
      <c r="TZO26" s="1360"/>
      <c r="TZP26" s="1360"/>
      <c r="TZQ26" s="1360"/>
      <c r="TZR26" s="1360"/>
      <c r="TZS26" s="1360"/>
      <c r="TZT26" s="1360"/>
      <c r="TZU26" s="1360"/>
      <c r="TZV26" s="1360"/>
      <c r="TZW26" s="1360"/>
      <c r="TZX26" s="1360"/>
      <c r="TZY26" s="1360"/>
      <c r="TZZ26" s="1360"/>
      <c r="UAA26" s="1360"/>
      <c r="UAB26" s="1360"/>
      <c r="UAC26" s="1360"/>
      <c r="UAD26" s="1360"/>
      <c r="UAE26" s="1360"/>
      <c r="UAF26" s="1360"/>
      <c r="UAG26" s="1360"/>
      <c r="UAH26" s="1360"/>
      <c r="UAI26" s="1360"/>
      <c r="UAJ26" s="1360"/>
      <c r="UAK26" s="1360"/>
      <c r="UAL26" s="1360"/>
      <c r="UAM26" s="1360"/>
      <c r="UAN26" s="1360"/>
      <c r="UAO26" s="1360"/>
      <c r="UAP26" s="1360"/>
      <c r="UAQ26" s="1360"/>
      <c r="UAR26" s="1360"/>
      <c r="UAS26" s="1360"/>
      <c r="UAT26" s="1360"/>
      <c r="UAU26" s="1360"/>
      <c r="UAV26" s="1360"/>
      <c r="UAW26" s="1360"/>
      <c r="UAX26" s="1360"/>
      <c r="UAY26" s="1360"/>
      <c r="UAZ26" s="1360"/>
      <c r="UBA26" s="1360"/>
      <c r="UBB26" s="1360"/>
      <c r="UBC26" s="1360"/>
      <c r="UBD26" s="1360"/>
      <c r="UBE26" s="1360"/>
      <c r="UBF26" s="1360"/>
      <c r="UBG26" s="1360"/>
      <c r="UBH26" s="1360"/>
      <c r="UBI26" s="1360"/>
      <c r="UBJ26" s="1360"/>
      <c r="UBK26" s="1360"/>
      <c r="UBL26" s="1360"/>
      <c r="UBM26" s="1360"/>
      <c r="UBN26" s="1360"/>
      <c r="UBO26" s="1360"/>
      <c r="UBP26" s="1360"/>
      <c r="UBQ26" s="1360"/>
      <c r="UBR26" s="1360"/>
      <c r="UBS26" s="1360"/>
      <c r="UBT26" s="1360"/>
      <c r="UBU26" s="1360"/>
      <c r="UBV26" s="1360"/>
      <c r="UBW26" s="1360"/>
      <c r="UBX26" s="1360"/>
      <c r="UBY26" s="1360"/>
      <c r="UBZ26" s="1360"/>
      <c r="UCA26" s="1360"/>
      <c r="UCB26" s="1360"/>
      <c r="UCC26" s="1360"/>
      <c r="UCD26" s="1360"/>
      <c r="UCE26" s="1360"/>
      <c r="UCF26" s="1360"/>
      <c r="UCG26" s="1360"/>
      <c r="UCH26" s="1360"/>
      <c r="UCI26" s="1360"/>
      <c r="UCJ26" s="1360"/>
      <c r="UCK26" s="1360"/>
      <c r="UCL26" s="1360"/>
      <c r="UCM26" s="1360"/>
      <c r="UCN26" s="1360"/>
      <c r="UCO26" s="1360"/>
      <c r="UCP26" s="1360"/>
      <c r="UCQ26" s="1360"/>
      <c r="UCR26" s="1360"/>
      <c r="UCS26" s="1360"/>
      <c r="UCT26" s="1360"/>
      <c r="UCU26" s="1360"/>
      <c r="UCV26" s="1360"/>
      <c r="UCW26" s="1360"/>
      <c r="UCX26" s="1360"/>
      <c r="UCY26" s="1360"/>
      <c r="UCZ26" s="1360"/>
      <c r="UDA26" s="1360"/>
      <c r="UDB26" s="1360"/>
      <c r="UDC26" s="1360"/>
      <c r="UDD26" s="1360"/>
      <c r="UDE26" s="1360"/>
      <c r="UDF26" s="1360"/>
      <c r="UDG26" s="1360"/>
      <c r="UDH26" s="1360"/>
      <c r="UDI26" s="1360"/>
      <c r="UDJ26" s="1360"/>
      <c r="UDK26" s="1360"/>
      <c r="UDL26" s="1360"/>
      <c r="UDM26" s="1360"/>
      <c r="UDN26" s="1360"/>
      <c r="UDO26" s="1360"/>
      <c r="UDP26" s="1360"/>
      <c r="UDQ26" s="1360"/>
      <c r="UDR26" s="1360"/>
      <c r="UDS26" s="1360"/>
      <c r="UDT26" s="1360"/>
      <c r="UDU26" s="1360"/>
      <c r="UDV26" s="1360"/>
      <c r="UDW26" s="1360"/>
      <c r="UDX26" s="1360"/>
      <c r="UDY26" s="1360"/>
      <c r="UDZ26" s="1360"/>
      <c r="UEA26" s="1360"/>
      <c r="UEB26" s="1360"/>
      <c r="UEC26" s="1360"/>
      <c r="UED26" s="1360"/>
      <c r="UEE26" s="1360"/>
      <c r="UEF26" s="1360"/>
      <c r="UEG26" s="1360"/>
      <c r="UEH26" s="1360"/>
      <c r="UEI26" s="1360"/>
      <c r="UEJ26" s="1360"/>
      <c r="UEK26" s="1360"/>
      <c r="UEL26" s="1360"/>
      <c r="UEM26" s="1360"/>
      <c r="UEN26" s="1360"/>
      <c r="UEO26" s="1360"/>
      <c r="UEP26" s="1360"/>
      <c r="UEQ26" s="1360"/>
      <c r="UER26" s="1360"/>
      <c r="UES26" s="1360"/>
      <c r="UET26" s="1360"/>
      <c r="UEU26" s="1360"/>
      <c r="UEV26" s="1360"/>
      <c r="UEW26" s="1360"/>
      <c r="UEX26" s="1360"/>
      <c r="UEY26" s="1360"/>
      <c r="UEZ26" s="1360"/>
      <c r="UFA26" s="1360"/>
      <c r="UFB26" s="1360"/>
      <c r="UFC26" s="1360"/>
      <c r="UFD26" s="1360"/>
      <c r="UFE26" s="1360"/>
      <c r="UFF26" s="1360"/>
      <c r="UFG26" s="1360"/>
      <c r="UFH26" s="1360"/>
      <c r="UFI26" s="1360"/>
      <c r="UFJ26" s="1360"/>
      <c r="UFK26" s="1360"/>
      <c r="UFL26" s="1360"/>
      <c r="UFM26" s="1360"/>
      <c r="UFN26" s="1360"/>
      <c r="UFO26" s="1360"/>
      <c r="UFP26" s="1360"/>
      <c r="UFQ26" s="1360"/>
      <c r="UFR26" s="1360"/>
      <c r="UFS26" s="1360"/>
      <c r="UFT26" s="1360"/>
      <c r="UFU26" s="1360"/>
      <c r="UFV26" s="1360"/>
      <c r="UFW26" s="1360"/>
      <c r="UFX26" s="1360"/>
      <c r="UFY26" s="1360"/>
      <c r="UFZ26" s="1360"/>
      <c r="UGA26" s="1360"/>
      <c r="UGB26" s="1360"/>
      <c r="UGC26" s="1360"/>
      <c r="UGD26" s="1360"/>
      <c r="UGE26" s="1360"/>
      <c r="UGF26" s="1360"/>
      <c r="UGG26" s="1360"/>
      <c r="UGH26" s="1360"/>
      <c r="UGI26" s="1360"/>
      <c r="UGJ26" s="1360"/>
      <c r="UGK26" s="1360"/>
      <c r="UGL26" s="1360"/>
      <c r="UGM26" s="1360"/>
      <c r="UGN26" s="1360"/>
      <c r="UGO26" s="1360"/>
      <c r="UGP26" s="1360"/>
      <c r="UGQ26" s="1360"/>
      <c r="UGR26" s="1360"/>
      <c r="UGS26" s="1360"/>
      <c r="UGT26" s="1360"/>
      <c r="UGU26" s="1360"/>
      <c r="UGV26" s="1360"/>
      <c r="UGW26" s="1360"/>
      <c r="UGX26" s="1360"/>
      <c r="UGY26" s="1360"/>
      <c r="UGZ26" s="1360"/>
      <c r="UHA26" s="1360"/>
      <c r="UHB26" s="1360"/>
      <c r="UHC26" s="1360"/>
      <c r="UHD26" s="1360"/>
      <c r="UHE26" s="1360"/>
      <c r="UHF26" s="1360"/>
      <c r="UHG26" s="1360"/>
      <c r="UHH26" s="1360"/>
      <c r="UHI26" s="1360"/>
      <c r="UHJ26" s="1360"/>
      <c r="UHK26" s="1360"/>
      <c r="UHL26" s="1360"/>
      <c r="UHM26" s="1360"/>
      <c r="UHN26" s="1360"/>
      <c r="UHO26" s="1360"/>
      <c r="UHP26" s="1360"/>
      <c r="UHQ26" s="1360"/>
      <c r="UHR26" s="1360"/>
      <c r="UHS26" s="1360"/>
      <c r="UHT26" s="1360"/>
      <c r="UHU26" s="1360"/>
      <c r="UHV26" s="1360"/>
      <c r="UHW26" s="1360"/>
      <c r="UHX26" s="1360"/>
      <c r="UHY26" s="1360"/>
      <c r="UHZ26" s="1360"/>
      <c r="UIA26" s="1360"/>
      <c r="UIB26" s="1360"/>
      <c r="UIC26" s="1360"/>
      <c r="UID26" s="1360"/>
      <c r="UIE26" s="1360"/>
      <c r="UIF26" s="1360"/>
      <c r="UIG26" s="1360"/>
      <c r="UIH26" s="1360"/>
      <c r="UII26" s="1360"/>
      <c r="UIJ26" s="1360"/>
      <c r="UIK26" s="1360"/>
      <c r="UIL26" s="1360"/>
      <c r="UIM26" s="1360"/>
      <c r="UIN26" s="1360"/>
      <c r="UIO26" s="1360"/>
      <c r="UIP26" s="1360"/>
      <c r="UIQ26" s="1360"/>
      <c r="UIR26" s="1360"/>
      <c r="UIS26" s="1360"/>
      <c r="UIT26" s="1360"/>
      <c r="UIU26" s="1360"/>
      <c r="UIV26" s="1360"/>
      <c r="UIW26" s="1360"/>
      <c r="UIX26" s="1360"/>
      <c r="UIY26" s="1360"/>
      <c r="UIZ26" s="1360"/>
      <c r="UJA26" s="1360"/>
      <c r="UJB26" s="1360"/>
      <c r="UJC26" s="1360"/>
      <c r="UJD26" s="1360"/>
      <c r="UJE26" s="1360"/>
      <c r="UJF26" s="1360"/>
      <c r="UJG26" s="1360"/>
      <c r="UJH26" s="1360"/>
      <c r="UJI26" s="1360"/>
      <c r="UJJ26" s="1360"/>
      <c r="UJK26" s="1360"/>
      <c r="UJL26" s="1360"/>
      <c r="UJM26" s="1360"/>
      <c r="UJN26" s="1360"/>
      <c r="UJO26" s="1360"/>
      <c r="UJP26" s="1360"/>
      <c r="UJQ26" s="1360"/>
      <c r="UJR26" s="1360"/>
      <c r="UJS26" s="1360"/>
      <c r="UJT26" s="1360"/>
      <c r="UJU26" s="1360"/>
      <c r="UJV26" s="1360"/>
      <c r="UJW26" s="1360"/>
      <c r="UJX26" s="1360"/>
      <c r="UJY26" s="1360"/>
      <c r="UJZ26" s="1360"/>
      <c r="UKA26" s="1360"/>
      <c r="UKB26" s="1360"/>
      <c r="UKC26" s="1360"/>
      <c r="UKD26" s="1360"/>
      <c r="UKE26" s="1360"/>
      <c r="UKF26" s="1360"/>
      <c r="UKG26" s="1360"/>
      <c r="UKH26" s="1360"/>
      <c r="UKI26" s="1360"/>
      <c r="UKJ26" s="1360"/>
      <c r="UKK26" s="1360"/>
      <c r="UKL26" s="1360"/>
      <c r="UKM26" s="1360"/>
      <c r="UKN26" s="1360"/>
      <c r="UKO26" s="1360"/>
      <c r="UKP26" s="1360"/>
      <c r="UKQ26" s="1360"/>
      <c r="UKR26" s="1360"/>
      <c r="UKS26" s="1360"/>
      <c r="UKT26" s="1360"/>
      <c r="UKU26" s="1360"/>
      <c r="UKV26" s="1360"/>
      <c r="UKW26" s="1360"/>
      <c r="UKX26" s="1360"/>
      <c r="UKY26" s="1360"/>
      <c r="UKZ26" s="1360"/>
      <c r="ULA26" s="1360"/>
      <c r="ULB26" s="1360"/>
      <c r="ULC26" s="1360"/>
      <c r="ULD26" s="1360"/>
      <c r="ULE26" s="1360"/>
      <c r="ULF26" s="1360"/>
      <c r="ULG26" s="1360"/>
      <c r="ULH26" s="1360"/>
      <c r="ULI26" s="1360"/>
      <c r="ULJ26" s="1360"/>
      <c r="ULK26" s="1360"/>
      <c r="ULL26" s="1360"/>
      <c r="ULM26" s="1360"/>
      <c r="ULN26" s="1360"/>
      <c r="ULO26" s="1360"/>
      <c r="ULP26" s="1360"/>
      <c r="ULQ26" s="1360"/>
      <c r="ULR26" s="1360"/>
      <c r="ULS26" s="1360"/>
      <c r="ULT26" s="1360"/>
      <c r="ULU26" s="1360"/>
      <c r="ULV26" s="1360"/>
      <c r="ULW26" s="1360"/>
      <c r="ULX26" s="1360"/>
      <c r="ULY26" s="1360"/>
      <c r="ULZ26" s="1360"/>
      <c r="UMA26" s="1360"/>
      <c r="UMB26" s="1360"/>
      <c r="UMC26" s="1360"/>
      <c r="UMD26" s="1360"/>
      <c r="UME26" s="1360"/>
      <c r="UMF26" s="1360"/>
      <c r="UMG26" s="1360"/>
      <c r="UMH26" s="1360"/>
      <c r="UMI26" s="1360"/>
      <c r="UMJ26" s="1360"/>
      <c r="UMK26" s="1360"/>
      <c r="UML26" s="1360"/>
      <c r="UMM26" s="1360"/>
      <c r="UMN26" s="1360"/>
      <c r="UMO26" s="1360"/>
      <c r="UMP26" s="1360"/>
      <c r="UMQ26" s="1360"/>
      <c r="UMR26" s="1360"/>
      <c r="UMS26" s="1360"/>
      <c r="UMT26" s="1360"/>
      <c r="UMU26" s="1360"/>
      <c r="UMV26" s="1360"/>
      <c r="UMW26" s="1360"/>
      <c r="UMX26" s="1360"/>
      <c r="UMY26" s="1360"/>
      <c r="UMZ26" s="1360"/>
      <c r="UNA26" s="1360"/>
      <c r="UNB26" s="1360"/>
      <c r="UNC26" s="1360"/>
      <c r="UND26" s="1360"/>
      <c r="UNE26" s="1360"/>
      <c r="UNF26" s="1360"/>
      <c r="UNG26" s="1360"/>
      <c r="UNH26" s="1360"/>
      <c r="UNI26" s="1360"/>
      <c r="UNJ26" s="1360"/>
      <c r="UNK26" s="1360"/>
      <c r="UNL26" s="1360"/>
      <c r="UNM26" s="1360"/>
      <c r="UNN26" s="1360"/>
      <c r="UNO26" s="1360"/>
      <c r="UNP26" s="1360"/>
      <c r="UNQ26" s="1360"/>
      <c r="UNR26" s="1360"/>
      <c r="UNS26" s="1360"/>
      <c r="UNT26" s="1360"/>
      <c r="UNU26" s="1360"/>
      <c r="UNV26" s="1360"/>
      <c r="UNW26" s="1360"/>
      <c r="UNX26" s="1360"/>
      <c r="UNY26" s="1360"/>
      <c r="UNZ26" s="1360"/>
      <c r="UOA26" s="1360"/>
      <c r="UOB26" s="1360"/>
      <c r="UOC26" s="1360"/>
      <c r="UOD26" s="1360"/>
      <c r="UOE26" s="1360"/>
      <c r="UOF26" s="1360"/>
      <c r="UOG26" s="1360"/>
      <c r="UOH26" s="1360"/>
      <c r="UOI26" s="1360"/>
      <c r="UOJ26" s="1360"/>
      <c r="UOK26" s="1360"/>
      <c r="UOL26" s="1360"/>
      <c r="UOM26" s="1360"/>
      <c r="UON26" s="1360"/>
      <c r="UOO26" s="1360"/>
      <c r="UOP26" s="1360"/>
      <c r="UOQ26" s="1360"/>
      <c r="UOR26" s="1360"/>
      <c r="UOS26" s="1360"/>
      <c r="UOT26" s="1360"/>
      <c r="UOU26" s="1360"/>
      <c r="UOV26" s="1360"/>
      <c r="UOW26" s="1360"/>
      <c r="UOX26" s="1360"/>
      <c r="UOY26" s="1360"/>
      <c r="UOZ26" s="1360"/>
      <c r="UPA26" s="1360"/>
      <c r="UPB26" s="1360"/>
      <c r="UPC26" s="1360"/>
      <c r="UPD26" s="1360"/>
      <c r="UPE26" s="1360"/>
      <c r="UPF26" s="1360"/>
      <c r="UPG26" s="1360"/>
      <c r="UPH26" s="1360"/>
      <c r="UPI26" s="1360"/>
      <c r="UPJ26" s="1360"/>
      <c r="UPK26" s="1360"/>
      <c r="UPL26" s="1360"/>
      <c r="UPM26" s="1360"/>
      <c r="UPN26" s="1360"/>
      <c r="UPO26" s="1360"/>
      <c r="UPP26" s="1360"/>
      <c r="UPQ26" s="1360"/>
      <c r="UPR26" s="1360"/>
      <c r="UPS26" s="1360"/>
      <c r="UPT26" s="1360"/>
      <c r="UPU26" s="1360"/>
      <c r="UPV26" s="1360"/>
      <c r="UPW26" s="1360"/>
      <c r="UPX26" s="1360"/>
      <c r="UPY26" s="1360"/>
      <c r="UPZ26" s="1360"/>
      <c r="UQA26" s="1360"/>
      <c r="UQB26" s="1360"/>
      <c r="UQC26" s="1360"/>
      <c r="UQD26" s="1360"/>
      <c r="UQE26" s="1360"/>
      <c r="UQF26" s="1360"/>
      <c r="UQG26" s="1360"/>
      <c r="UQH26" s="1360"/>
      <c r="UQI26" s="1360"/>
      <c r="UQJ26" s="1360"/>
      <c r="UQK26" s="1360"/>
      <c r="UQL26" s="1360"/>
      <c r="UQM26" s="1360"/>
      <c r="UQN26" s="1360"/>
      <c r="UQO26" s="1360"/>
      <c r="UQP26" s="1360"/>
      <c r="UQQ26" s="1360"/>
      <c r="UQR26" s="1360"/>
      <c r="UQS26" s="1360"/>
      <c r="UQT26" s="1360"/>
      <c r="UQU26" s="1360"/>
      <c r="UQV26" s="1360"/>
      <c r="UQW26" s="1360"/>
      <c r="UQX26" s="1360"/>
      <c r="UQY26" s="1360"/>
      <c r="UQZ26" s="1360"/>
      <c r="URA26" s="1360"/>
      <c r="URB26" s="1360"/>
      <c r="URC26" s="1360"/>
      <c r="URD26" s="1360"/>
      <c r="URE26" s="1360"/>
      <c r="URF26" s="1360"/>
      <c r="URG26" s="1360"/>
      <c r="URH26" s="1360"/>
      <c r="URI26" s="1360"/>
      <c r="URJ26" s="1360"/>
      <c r="URK26" s="1360"/>
      <c r="URL26" s="1360"/>
      <c r="URM26" s="1360"/>
      <c r="URN26" s="1360"/>
      <c r="URO26" s="1360"/>
      <c r="URP26" s="1360"/>
      <c r="URQ26" s="1360"/>
      <c r="URR26" s="1360"/>
      <c r="URS26" s="1360"/>
      <c r="URT26" s="1360"/>
      <c r="URU26" s="1360"/>
      <c r="URV26" s="1360"/>
      <c r="URW26" s="1360"/>
      <c r="URX26" s="1360"/>
      <c r="URY26" s="1360"/>
      <c r="URZ26" s="1360"/>
      <c r="USA26" s="1360"/>
      <c r="USB26" s="1360"/>
      <c r="USC26" s="1360"/>
      <c r="USD26" s="1360"/>
      <c r="USE26" s="1360"/>
      <c r="USF26" s="1360"/>
      <c r="USG26" s="1360"/>
      <c r="USH26" s="1360"/>
      <c r="USI26" s="1360"/>
      <c r="USJ26" s="1360"/>
      <c r="USK26" s="1360"/>
      <c r="USL26" s="1360"/>
      <c r="USM26" s="1360"/>
      <c r="USN26" s="1360"/>
      <c r="USO26" s="1360"/>
      <c r="USP26" s="1360"/>
      <c r="USQ26" s="1360"/>
      <c r="USR26" s="1360"/>
      <c r="USS26" s="1360"/>
      <c r="UST26" s="1360"/>
      <c r="USU26" s="1360"/>
      <c r="USV26" s="1360"/>
      <c r="USW26" s="1360"/>
      <c r="USX26" s="1360"/>
      <c r="USY26" s="1360"/>
      <c r="USZ26" s="1360"/>
      <c r="UTA26" s="1360"/>
      <c r="UTB26" s="1360"/>
      <c r="UTC26" s="1360"/>
      <c r="UTD26" s="1360"/>
      <c r="UTE26" s="1360"/>
      <c r="UTF26" s="1360"/>
      <c r="UTG26" s="1360"/>
      <c r="UTH26" s="1360"/>
      <c r="UTI26" s="1360"/>
      <c r="UTJ26" s="1360"/>
      <c r="UTK26" s="1360"/>
      <c r="UTL26" s="1360"/>
      <c r="UTM26" s="1360"/>
      <c r="UTN26" s="1360"/>
      <c r="UTO26" s="1360"/>
      <c r="UTP26" s="1360"/>
      <c r="UTQ26" s="1360"/>
      <c r="UTR26" s="1360"/>
      <c r="UTS26" s="1360"/>
      <c r="UTT26" s="1360"/>
      <c r="UTU26" s="1360"/>
      <c r="UTV26" s="1360"/>
      <c r="UTW26" s="1360"/>
      <c r="UTX26" s="1360"/>
      <c r="UTY26" s="1360"/>
      <c r="UTZ26" s="1360"/>
      <c r="UUA26" s="1360"/>
      <c r="UUB26" s="1360"/>
      <c r="UUC26" s="1360"/>
      <c r="UUD26" s="1360"/>
      <c r="UUE26" s="1360"/>
      <c r="UUF26" s="1360"/>
      <c r="UUG26" s="1360"/>
      <c r="UUH26" s="1360"/>
      <c r="UUI26" s="1360"/>
      <c r="UUJ26" s="1360"/>
      <c r="UUK26" s="1360"/>
      <c r="UUL26" s="1360"/>
      <c r="UUM26" s="1360"/>
      <c r="UUN26" s="1360"/>
      <c r="UUO26" s="1360"/>
      <c r="UUP26" s="1360"/>
      <c r="UUQ26" s="1360"/>
      <c r="UUR26" s="1360"/>
      <c r="UUS26" s="1360"/>
      <c r="UUT26" s="1360"/>
      <c r="UUU26" s="1360"/>
      <c r="UUV26" s="1360"/>
      <c r="UUW26" s="1360"/>
      <c r="UUX26" s="1360"/>
      <c r="UUY26" s="1360"/>
      <c r="UUZ26" s="1360"/>
      <c r="UVA26" s="1360"/>
      <c r="UVB26" s="1360"/>
      <c r="UVC26" s="1360"/>
      <c r="UVD26" s="1360"/>
      <c r="UVE26" s="1360"/>
      <c r="UVF26" s="1360"/>
      <c r="UVG26" s="1360"/>
      <c r="UVH26" s="1360"/>
      <c r="UVI26" s="1360"/>
      <c r="UVJ26" s="1360"/>
      <c r="UVK26" s="1360"/>
      <c r="UVL26" s="1360"/>
      <c r="UVM26" s="1360"/>
      <c r="UVN26" s="1360"/>
      <c r="UVO26" s="1360"/>
      <c r="UVP26" s="1360"/>
      <c r="UVQ26" s="1360"/>
      <c r="UVR26" s="1360"/>
      <c r="UVS26" s="1360"/>
      <c r="UVT26" s="1360"/>
      <c r="UVU26" s="1360"/>
      <c r="UVV26" s="1360"/>
      <c r="UVW26" s="1360"/>
      <c r="UVX26" s="1360"/>
      <c r="UVY26" s="1360"/>
      <c r="UVZ26" s="1360"/>
      <c r="UWA26" s="1360"/>
      <c r="UWB26" s="1360"/>
      <c r="UWC26" s="1360"/>
      <c r="UWD26" s="1360"/>
      <c r="UWE26" s="1360"/>
      <c r="UWF26" s="1360"/>
      <c r="UWG26" s="1360"/>
      <c r="UWH26" s="1360"/>
      <c r="UWI26" s="1360"/>
      <c r="UWJ26" s="1360"/>
      <c r="UWK26" s="1360"/>
      <c r="UWL26" s="1360"/>
      <c r="UWM26" s="1360"/>
      <c r="UWN26" s="1360"/>
      <c r="UWO26" s="1360"/>
      <c r="UWP26" s="1360"/>
      <c r="UWQ26" s="1360"/>
      <c r="UWR26" s="1360"/>
      <c r="UWS26" s="1360"/>
      <c r="UWT26" s="1360"/>
      <c r="UWU26" s="1360"/>
      <c r="UWV26" s="1360"/>
      <c r="UWW26" s="1360"/>
      <c r="UWX26" s="1360"/>
      <c r="UWY26" s="1360"/>
      <c r="UWZ26" s="1360"/>
      <c r="UXA26" s="1360"/>
      <c r="UXB26" s="1360"/>
      <c r="UXC26" s="1360"/>
      <c r="UXD26" s="1360"/>
      <c r="UXE26" s="1360"/>
      <c r="UXF26" s="1360"/>
      <c r="UXG26" s="1360"/>
      <c r="UXH26" s="1360"/>
      <c r="UXI26" s="1360"/>
      <c r="UXJ26" s="1360"/>
      <c r="UXK26" s="1360"/>
      <c r="UXL26" s="1360"/>
      <c r="UXM26" s="1360"/>
      <c r="UXN26" s="1360"/>
      <c r="UXO26" s="1360"/>
      <c r="UXP26" s="1360"/>
      <c r="UXQ26" s="1360"/>
      <c r="UXR26" s="1360"/>
      <c r="UXS26" s="1360"/>
      <c r="UXT26" s="1360"/>
      <c r="UXU26" s="1360"/>
      <c r="UXV26" s="1360"/>
      <c r="UXW26" s="1360"/>
      <c r="UXX26" s="1360"/>
      <c r="UXY26" s="1360"/>
      <c r="UXZ26" s="1360"/>
      <c r="UYA26" s="1360"/>
      <c r="UYB26" s="1360"/>
      <c r="UYC26" s="1360"/>
      <c r="UYD26" s="1360"/>
      <c r="UYE26" s="1360"/>
      <c r="UYF26" s="1360"/>
      <c r="UYG26" s="1360"/>
      <c r="UYH26" s="1360"/>
      <c r="UYI26" s="1360"/>
      <c r="UYJ26" s="1360"/>
      <c r="UYK26" s="1360"/>
      <c r="UYL26" s="1360"/>
      <c r="UYM26" s="1360"/>
      <c r="UYN26" s="1360"/>
      <c r="UYO26" s="1360"/>
      <c r="UYP26" s="1360"/>
      <c r="UYQ26" s="1360"/>
      <c r="UYR26" s="1360"/>
      <c r="UYS26" s="1360"/>
      <c r="UYT26" s="1360"/>
      <c r="UYU26" s="1360"/>
      <c r="UYV26" s="1360"/>
      <c r="UYW26" s="1360"/>
      <c r="UYX26" s="1360"/>
      <c r="UYY26" s="1360"/>
      <c r="UYZ26" s="1360"/>
      <c r="UZA26" s="1360"/>
      <c r="UZB26" s="1360"/>
      <c r="UZC26" s="1360"/>
      <c r="UZD26" s="1360"/>
      <c r="UZE26" s="1360"/>
      <c r="UZF26" s="1360"/>
      <c r="UZG26" s="1360"/>
      <c r="UZH26" s="1360"/>
      <c r="UZI26" s="1360"/>
      <c r="UZJ26" s="1360"/>
      <c r="UZK26" s="1360"/>
      <c r="UZL26" s="1360"/>
      <c r="UZM26" s="1360"/>
      <c r="UZN26" s="1360"/>
      <c r="UZO26" s="1360"/>
      <c r="UZP26" s="1360"/>
      <c r="UZQ26" s="1360"/>
      <c r="UZR26" s="1360"/>
      <c r="UZS26" s="1360"/>
      <c r="UZT26" s="1360"/>
      <c r="UZU26" s="1360"/>
      <c r="UZV26" s="1360"/>
      <c r="UZW26" s="1360"/>
      <c r="UZX26" s="1360"/>
      <c r="UZY26" s="1360"/>
      <c r="UZZ26" s="1360"/>
      <c r="VAA26" s="1360"/>
      <c r="VAB26" s="1360"/>
      <c r="VAC26" s="1360"/>
      <c r="VAD26" s="1360"/>
      <c r="VAE26" s="1360"/>
      <c r="VAF26" s="1360"/>
      <c r="VAG26" s="1360"/>
      <c r="VAH26" s="1360"/>
      <c r="VAI26" s="1360"/>
      <c r="VAJ26" s="1360"/>
      <c r="VAK26" s="1360"/>
      <c r="VAL26" s="1360"/>
      <c r="VAM26" s="1360"/>
      <c r="VAN26" s="1360"/>
      <c r="VAO26" s="1360"/>
      <c r="VAP26" s="1360"/>
      <c r="VAQ26" s="1360"/>
      <c r="VAR26" s="1360"/>
      <c r="VAS26" s="1360"/>
      <c r="VAT26" s="1360"/>
      <c r="VAU26" s="1360"/>
      <c r="VAV26" s="1360"/>
      <c r="VAW26" s="1360"/>
      <c r="VAX26" s="1360"/>
      <c r="VAY26" s="1360"/>
      <c r="VAZ26" s="1360"/>
      <c r="VBA26" s="1360"/>
      <c r="VBB26" s="1360"/>
      <c r="VBC26" s="1360"/>
      <c r="VBD26" s="1360"/>
      <c r="VBE26" s="1360"/>
      <c r="VBF26" s="1360"/>
      <c r="VBG26" s="1360"/>
      <c r="VBH26" s="1360"/>
      <c r="VBI26" s="1360"/>
      <c r="VBJ26" s="1360"/>
      <c r="VBK26" s="1360"/>
      <c r="VBL26" s="1360"/>
      <c r="VBM26" s="1360"/>
      <c r="VBN26" s="1360"/>
      <c r="VBO26" s="1360"/>
      <c r="VBP26" s="1360"/>
      <c r="VBQ26" s="1360"/>
      <c r="VBR26" s="1360"/>
      <c r="VBS26" s="1360"/>
      <c r="VBT26" s="1360"/>
      <c r="VBU26" s="1360"/>
      <c r="VBV26" s="1360"/>
      <c r="VBW26" s="1360"/>
      <c r="VBX26" s="1360"/>
      <c r="VBY26" s="1360"/>
      <c r="VBZ26" s="1360"/>
      <c r="VCA26" s="1360"/>
      <c r="VCB26" s="1360"/>
      <c r="VCC26" s="1360"/>
      <c r="VCD26" s="1360"/>
      <c r="VCE26" s="1360"/>
      <c r="VCF26" s="1360"/>
      <c r="VCG26" s="1360"/>
      <c r="VCH26" s="1360"/>
      <c r="VCI26" s="1360"/>
      <c r="VCJ26" s="1360"/>
      <c r="VCK26" s="1360"/>
      <c r="VCL26" s="1360"/>
      <c r="VCM26" s="1360"/>
      <c r="VCN26" s="1360"/>
      <c r="VCO26" s="1360"/>
      <c r="VCP26" s="1360"/>
      <c r="VCQ26" s="1360"/>
      <c r="VCR26" s="1360"/>
      <c r="VCS26" s="1360"/>
      <c r="VCT26" s="1360"/>
      <c r="VCU26" s="1360"/>
      <c r="VCV26" s="1360"/>
      <c r="VCW26" s="1360"/>
      <c r="VCX26" s="1360"/>
      <c r="VCY26" s="1360"/>
      <c r="VCZ26" s="1360"/>
      <c r="VDA26" s="1360"/>
      <c r="VDB26" s="1360"/>
      <c r="VDC26" s="1360"/>
      <c r="VDD26" s="1360"/>
      <c r="VDE26" s="1360"/>
      <c r="VDF26" s="1360"/>
      <c r="VDG26" s="1360"/>
      <c r="VDH26" s="1360"/>
      <c r="VDI26" s="1360"/>
      <c r="VDJ26" s="1360"/>
      <c r="VDK26" s="1360"/>
      <c r="VDL26" s="1360"/>
      <c r="VDM26" s="1360"/>
      <c r="VDN26" s="1360"/>
      <c r="VDO26" s="1360"/>
      <c r="VDP26" s="1360"/>
      <c r="VDQ26" s="1360"/>
      <c r="VDR26" s="1360"/>
      <c r="VDS26" s="1360"/>
      <c r="VDT26" s="1360"/>
      <c r="VDU26" s="1360"/>
      <c r="VDV26" s="1360"/>
      <c r="VDW26" s="1360"/>
      <c r="VDX26" s="1360"/>
      <c r="VDY26" s="1360"/>
      <c r="VDZ26" s="1360"/>
      <c r="VEA26" s="1360"/>
      <c r="VEB26" s="1360"/>
      <c r="VEC26" s="1360"/>
      <c r="VED26" s="1360"/>
      <c r="VEE26" s="1360"/>
      <c r="VEF26" s="1360"/>
      <c r="VEG26" s="1360"/>
      <c r="VEH26" s="1360"/>
      <c r="VEI26" s="1360"/>
      <c r="VEJ26" s="1360"/>
      <c r="VEK26" s="1360"/>
      <c r="VEL26" s="1360"/>
      <c r="VEM26" s="1360"/>
      <c r="VEN26" s="1360"/>
      <c r="VEO26" s="1360"/>
      <c r="VEP26" s="1360"/>
      <c r="VEQ26" s="1360"/>
      <c r="VER26" s="1360"/>
      <c r="VES26" s="1360"/>
      <c r="VET26" s="1360"/>
      <c r="VEU26" s="1360"/>
      <c r="VEV26" s="1360"/>
      <c r="VEW26" s="1360"/>
      <c r="VEX26" s="1360"/>
      <c r="VEY26" s="1360"/>
      <c r="VEZ26" s="1360"/>
      <c r="VFA26" s="1360"/>
      <c r="VFB26" s="1360"/>
      <c r="VFC26" s="1360"/>
      <c r="VFD26" s="1360"/>
      <c r="VFE26" s="1360"/>
      <c r="VFF26" s="1360"/>
      <c r="VFG26" s="1360"/>
      <c r="VFH26" s="1360"/>
      <c r="VFI26" s="1360"/>
      <c r="VFJ26" s="1360"/>
      <c r="VFK26" s="1360"/>
      <c r="VFL26" s="1360"/>
      <c r="VFM26" s="1360"/>
      <c r="VFN26" s="1360"/>
      <c r="VFO26" s="1360"/>
      <c r="VFP26" s="1360"/>
      <c r="VFQ26" s="1360"/>
      <c r="VFR26" s="1360"/>
      <c r="VFS26" s="1360"/>
      <c r="VFT26" s="1360"/>
      <c r="VFU26" s="1360"/>
      <c r="VFV26" s="1360"/>
      <c r="VFW26" s="1360"/>
      <c r="VFX26" s="1360"/>
      <c r="VFY26" s="1360"/>
      <c r="VFZ26" s="1360"/>
      <c r="VGA26" s="1360"/>
      <c r="VGB26" s="1360"/>
      <c r="VGC26" s="1360"/>
      <c r="VGD26" s="1360"/>
      <c r="VGE26" s="1360"/>
      <c r="VGF26" s="1360"/>
      <c r="VGG26" s="1360"/>
      <c r="VGH26" s="1360"/>
      <c r="VGI26" s="1360"/>
      <c r="VGJ26" s="1360"/>
      <c r="VGK26" s="1360"/>
      <c r="VGL26" s="1360"/>
      <c r="VGM26" s="1360"/>
      <c r="VGN26" s="1360"/>
      <c r="VGO26" s="1360"/>
      <c r="VGP26" s="1360"/>
      <c r="VGQ26" s="1360"/>
      <c r="VGR26" s="1360"/>
      <c r="VGS26" s="1360"/>
      <c r="VGT26" s="1360"/>
      <c r="VGU26" s="1360"/>
      <c r="VGV26" s="1360"/>
      <c r="VGW26" s="1360"/>
      <c r="VGX26" s="1360"/>
      <c r="VGY26" s="1360"/>
      <c r="VGZ26" s="1360"/>
      <c r="VHA26" s="1360"/>
      <c r="VHB26" s="1360"/>
      <c r="VHC26" s="1360"/>
      <c r="VHD26" s="1360"/>
      <c r="VHE26" s="1360"/>
      <c r="VHF26" s="1360"/>
      <c r="VHG26" s="1360"/>
      <c r="VHH26" s="1360"/>
      <c r="VHI26" s="1360"/>
      <c r="VHJ26" s="1360"/>
      <c r="VHK26" s="1360"/>
      <c r="VHL26" s="1360"/>
      <c r="VHM26" s="1360"/>
      <c r="VHN26" s="1360"/>
      <c r="VHO26" s="1360"/>
      <c r="VHP26" s="1360"/>
      <c r="VHQ26" s="1360"/>
      <c r="VHR26" s="1360"/>
      <c r="VHS26" s="1360"/>
      <c r="VHT26" s="1360"/>
      <c r="VHU26" s="1360"/>
      <c r="VHV26" s="1360"/>
      <c r="VHW26" s="1360"/>
      <c r="VHX26" s="1360"/>
      <c r="VHY26" s="1360"/>
      <c r="VHZ26" s="1360"/>
      <c r="VIA26" s="1360"/>
      <c r="VIB26" s="1360"/>
      <c r="VIC26" s="1360"/>
      <c r="VID26" s="1360"/>
      <c r="VIE26" s="1360"/>
      <c r="VIF26" s="1360"/>
      <c r="VIG26" s="1360"/>
      <c r="VIH26" s="1360"/>
      <c r="VII26" s="1360"/>
      <c r="VIJ26" s="1360"/>
      <c r="VIK26" s="1360"/>
      <c r="VIL26" s="1360"/>
      <c r="VIM26" s="1360"/>
      <c r="VIN26" s="1360"/>
      <c r="VIO26" s="1360"/>
      <c r="VIP26" s="1360"/>
      <c r="VIQ26" s="1360"/>
      <c r="VIR26" s="1360"/>
      <c r="VIS26" s="1360"/>
      <c r="VIT26" s="1360"/>
      <c r="VIU26" s="1360"/>
      <c r="VIV26" s="1360"/>
      <c r="VIW26" s="1360"/>
      <c r="VIX26" s="1360"/>
      <c r="VIY26" s="1360"/>
      <c r="VIZ26" s="1360"/>
      <c r="VJA26" s="1360"/>
      <c r="VJB26" s="1360"/>
      <c r="VJC26" s="1360"/>
      <c r="VJD26" s="1360"/>
      <c r="VJE26" s="1360"/>
      <c r="VJF26" s="1360"/>
      <c r="VJG26" s="1360"/>
      <c r="VJH26" s="1360"/>
      <c r="VJI26" s="1360"/>
      <c r="VJJ26" s="1360"/>
      <c r="VJK26" s="1360"/>
      <c r="VJL26" s="1360"/>
      <c r="VJM26" s="1360"/>
      <c r="VJN26" s="1360"/>
      <c r="VJO26" s="1360"/>
      <c r="VJP26" s="1360"/>
      <c r="VJQ26" s="1360"/>
      <c r="VJR26" s="1360"/>
      <c r="VJS26" s="1360"/>
      <c r="VJT26" s="1360"/>
      <c r="VJU26" s="1360"/>
      <c r="VJV26" s="1360"/>
      <c r="VJW26" s="1360"/>
      <c r="VJX26" s="1360"/>
      <c r="VJY26" s="1360"/>
      <c r="VJZ26" s="1360"/>
      <c r="VKA26" s="1360"/>
      <c r="VKB26" s="1360"/>
      <c r="VKC26" s="1360"/>
      <c r="VKD26" s="1360"/>
      <c r="VKE26" s="1360"/>
      <c r="VKF26" s="1360"/>
      <c r="VKG26" s="1360"/>
      <c r="VKH26" s="1360"/>
      <c r="VKI26" s="1360"/>
      <c r="VKJ26" s="1360"/>
      <c r="VKK26" s="1360"/>
      <c r="VKL26" s="1360"/>
      <c r="VKM26" s="1360"/>
      <c r="VKN26" s="1360"/>
      <c r="VKO26" s="1360"/>
      <c r="VKP26" s="1360"/>
      <c r="VKQ26" s="1360"/>
      <c r="VKR26" s="1360"/>
      <c r="VKS26" s="1360"/>
      <c r="VKT26" s="1360"/>
      <c r="VKU26" s="1360"/>
      <c r="VKV26" s="1360"/>
      <c r="VKW26" s="1360"/>
      <c r="VKX26" s="1360"/>
      <c r="VKY26" s="1360"/>
      <c r="VKZ26" s="1360"/>
      <c r="VLA26" s="1360"/>
      <c r="VLB26" s="1360"/>
      <c r="VLC26" s="1360"/>
      <c r="VLD26" s="1360"/>
      <c r="VLE26" s="1360"/>
      <c r="VLF26" s="1360"/>
      <c r="VLG26" s="1360"/>
      <c r="VLH26" s="1360"/>
      <c r="VLI26" s="1360"/>
      <c r="VLJ26" s="1360"/>
      <c r="VLK26" s="1360"/>
      <c r="VLL26" s="1360"/>
      <c r="VLM26" s="1360"/>
      <c r="VLN26" s="1360"/>
      <c r="VLO26" s="1360"/>
      <c r="VLP26" s="1360"/>
      <c r="VLQ26" s="1360"/>
      <c r="VLR26" s="1360"/>
      <c r="VLS26" s="1360"/>
      <c r="VLT26" s="1360"/>
      <c r="VLU26" s="1360"/>
      <c r="VLV26" s="1360"/>
      <c r="VLW26" s="1360"/>
      <c r="VLX26" s="1360"/>
      <c r="VLY26" s="1360"/>
      <c r="VLZ26" s="1360"/>
      <c r="VMA26" s="1360"/>
      <c r="VMB26" s="1360"/>
      <c r="VMC26" s="1360"/>
      <c r="VMD26" s="1360"/>
      <c r="VME26" s="1360"/>
      <c r="VMF26" s="1360"/>
      <c r="VMG26" s="1360"/>
      <c r="VMH26" s="1360"/>
      <c r="VMI26" s="1360"/>
      <c r="VMJ26" s="1360"/>
      <c r="VMK26" s="1360"/>
      <c r="VML26" s="1360"/>
      <c r="VMM26" s="1360"/>
      <c r="VMN26" s="1360"/>
      <c r="VMO26" s="1360"/>
      <c r="VMP26" s="1360"/>
      <c r="VMQ26" s="1360"/>
      <c r="VMR26" s="1360"/>
      <c r="VMS26" s="1360"/>
      <c r="VMT26" s="1360"/>
      <c r="VMU26" s="1360"/>
      <c r="VMV26" s="1360"/>
      <c r="VMW26" s="1360"/>
      <c r="VMX26" s="1360"/>
      <c r="VMY26" s="1360"/>
      <c r="VMZ26" s="1360"/>
      <c r="VNA26" s="1360"/>
      <c r="VNB26" s="1360"/>
      <c r="VNC26" s="1360"/>
      <c r="VND26" s="1360"/>
      <c r="VNE26" s="1360"/>
      <c r="VNF26" s="1360"/>
      <c r="VNG26" s="1360"/>
      <c r="VNH26" s="1360"/>
      <c r="VNI26" s="1360"/>
      <c r="VNJ26" s="1360"/>
      <c r="VNK26" s="1360"/>
      <c r="VNL26" s="1360"/>
      <c r="VNM26" s="1360"/>
      <c r="VNN26" s="1360"/>
      <c r="VNO26" s="1360"/>
      <c r="VNP26" s="1360"/>
      <c r="VNQ26" s="1360"/>
      <c r="VNR26" s="1360"/>
      <c r="VNS26" s="1360"/>
      <c r="VNT26" s="1360"/>
      <c r="VNU26" s="1360"/>
      <c r="VNV26" s="1360"/>
      <c r="VNW26" s="1360"/>
      <c r="VNX26" s="1360"/>
      <c r="VNY26" s="1360"/>
      <c r="VNZ26" s="1360"/>
      <c r="VOA26" s="1360"/>
      <c r="VOB26" s="1360"/>
      <c r="VOC26" s="1360"/>
      <c r="VOD26" s="1360"/>
      <c r="VOE26" s="1360"/>
      <c r="VOF26" s="1360"/>
      <c r="VOG26" s="1360"/>
      <c r="VOH26" s="1360"/>
      <c r="VOI26" s="1360"/>
      <c r="VOJ26" s="1360"/>
      <c r="VOK26" s="1360"/>
      <c r="VOL26" s="1360"/>
      <c r="VOM26" s="1360"/>
      <c r="VON26" s="1360"/>
      <c r="VOO26" s="1360"/>
      <c r="VOP26" s="1360"/>
      <c r="VOQ26" s="1360"/>
      <c r="VOR26" s="1360"/>
      <c r="VOS26" s="1360"/>
      <c r="VOT26" s="1360"/>
      <c r="VOU26" s="1360"/>
      <c r="VOV26" s="1360"/>
      <c r="VOW26" s="1360"/>
      <c r="VOX26" s="1360"/>
      <c r="VOY26" s="1360"/>
      <c r="VOZ26" s="1360"/>
      <c r="VPA26" s="1360"/>
      <c r="VPB26" s="1360"/>
      <c r="VPC26" s="1360"/>
      <c r="VPD26" s="1360"/>
      <c r="VPE26" s="1360"/>
      <c r="VPF26" s="1360"/>
      <c r="VPG26" s="1360"/>
      <c r="VPH26" s="1360"/>
      <c r="VPI26" s="1360"/>
      <c r="VPJ26" s="1360"/>
      <c r="VPK26" s="1360"/>
      <c r="VPL26" s="1360"/>
      <c r="VPM26" s="1360"/>
      <c r="VPN26" s="1360"/>
      <c r="VPO26" s="1360"/>
      <c r="VPP26" s="1360"/>
      <c r="VPQ26" s="1360"/>
      <c r="VPR26" s="1360"/>
      <c r="VPS26" s="1360"/>
      <c r="VPT26" s="1360"/>
      <c r="VPU26" s="1360"/>
      <c r="VPV26" s="1360"/>
      <c r="VPW26" s="1360"/>
      <c r="VPX26" s="1360"/>
      <c r="VPY26" s="1360"/>
      <c r="VPZ26" s="1360"/>
      <c r="VQA26" s="1360"/>
      <c r="VQB26" s="1360"/>
      <c r="VQC26" s="1360"/>
      <c r="VQD26" s="1360"/>
      <c r="VQE26" s="1360"/>
      <c r="VQF26" s="1360"/>
      <c r="VQG26" s="1360"/>
      <c r="VQH26" s="1360"/>
      <c r="VQI26" s="1360"/>
      <c r="VQJ26" s="1360"/>
      <c r="VQK26" s="1360"/>
      <c r="VQL26" s="1360"/>
      <c r="VQM26" s="1360"/>
      <c r="VQN26" s="1360"/>
      <c r="VQO26" s="1360"/>
      <c r="VQP26" s="1360"/>
      <c r="VQQ26" s="1360"/>
      <c r="VQR26" s="1360"/>
      <c r="VQS26" s="1360"/>
      <c r="VQT26" s="1360"/>
      <c r="VQU26" s="1360"/>
      <c r="VQV26" s="1360"/>
      <c r="VQW26" s="1360"/>
      <c r="VQX26" s="1360"/>
      <c r="VQY26" s="1360"/>
      <c r="VQZ26" s="1360"/>
      <c r="VRA26" s="1360"/>
      <c r="VRB26" s="1360"/>
      <c r="VRC26" s="1360"/>
      <c r="VRD26" s="1360"/>
      <c r="VRE26" s="1360"/>
      <c r="VRF26" s="1360"/>
      <c r="VRG26" s="1360"/>
      <c r="VRH26" s="1360"/>
      <c r="VRI26" s="1360"/>
      <c r="VRJ26" s="1360"/>
      <c r="VRK26" s="1360"/>
      <c r="VRL26" s="1360"/>
      <c r="VRM26" s="1360"/>
      <c r="VRN26" s="1360"/>
      <c r="VRO26" s="1360"/>
      <c r="VRP26" s="1360"/>
      <c r="VRQ26" s="1360"/>
      <c r="VRR26" s="1360"/>
      <c r="VRS26" s="1360"/>
      <c r="VRT26" s="1360"/>
      <c r="VRU26" s="1360"/>
      <c r="VRV26" s="1360"/>
      <c r="VRW26" s="1360"/>
      <c r="VRX26" s="1360"/>
      <c r="VRY26" s="1360"/>
      <c r="VRZ26" s="1360"/>
      <c r="VSA26" s="1360"/>
      <c r="VSB26" s="1360"/>
      <c r="VSC26" s="1360"/>
      <c r="VSD26" s="1360"/>
      <c r="VSE26" s="1360"/>
      <c r="VSF26" s="1360"/>
      <c r="VSG26" s="1360"/>
      <c r="VSH26" s="1360"/>
      <c r="VSI26" s="1360"/>
      <c r="VSJ26" s="1360"/>
      <c r="VSK26" s="1360"/>
      <c r="VSL26" s="1360"/>
      <c r="VSM26" s="1360"/>
      <c r="VSN26" s="1360"/>
      <c r="VSO26" s="1360"/>
      <c r="VSP26" s="1360"/>
      <c r="VSQ26" s="1360"/>
      <c r="VSR26" s="1360"/>
      <c r="VSS26" s="1360"/>
      <c r="VST26" s="1360"/>
      <c r="VSU26" s="1360"/>
      <c r="VSV26" s="1360"/>
      <c r="VSW26" s="1360"/>
      <c r="VSX26" s="1360"/>
      <c r="VSY26" s="1360"/>
      <c r="VSZ26" s="1360"/>
      <c r="VTA26" s="1360"/>
      <c r="VTB26" s="1360"/>
      <c r="VTC26" s="1360"/>
      <c r="VTD26" s="1360"/>
      <c r="VTE26" s="1360"/>
      <c r="VTF26" s="1360"/>
      <c r="VTG26" s="1360"/>
      <c r="VTH26" s="1360"/>
      <c r="VTI26" s="1360"/>
      <c r="VTJ26" s="1360"/>
      <c r="VTK26" s="1360"/>
      <c r="VTL26" s="1360"/>
      <c r="VTM26" s="1360"/>
      <c r="VTN26" s="1360"/>
      <c r="VTO26" s="1360"/>
      <c r="VTP26" s="1360"/>
      <c r="VTQ26" s="1360"/>
      <c r="VTR26" s="1360"/>
      <c r="VTS26" s="1360"/>
      <c r="VTT26" s="1360"/>
      <c r="VTU26" s="1360"/>
      <c r="VTV26" s="1360"/>
      <c r="VTW26" s="1360"/>
      <c r="VTX26" s="1360"/>
      <c r="VTY26" s="1360"/>
      <c r="VTZ26" s="1360"/>
      <c r="VUA26" s="1360"/>
      <c r="VUB26" s="1360"/>
      <c r="VUC26" s="1360"/>
      <c r="VUD26" s="1360"/>
      <c r="VUE26" s="1360"/>
      <c r="VUF26" s="1360"/>
      <c r="VUG26" s="1360"/>
      <c r="VUH26" s="1360"/>
      <c r="VUI26" s="1360"/>
      <c r="VUJ26" s="1360"/>
      <c r="VUK26" s="1360"/>
      <c r="VUL26" s="1360"/>
      <c r="VUM26" s="1360"/>
      <c r="VUN26" s="1360"/>
      <c r="VUO26" s="1360"/>
      <c r="VUP26" s="1360"/>
      <c r="VUQ26" s="1360"/>
      <c r="VUR26" s="1360"/>
      <c r="VUS26" s="1360"/>
      <c r="VUT26" s="1360"/>
      <c r="VUU26" s="1360"/>
      <c r="VUV26" s="1360"/>
      <c r="VUW26" s="1360"/>
      <c r="VUX26" s="1360"/>
      <c r="VUY26" s="1360"/>
      <c r="VUZ26" s="1360"/>
      <c r="VVA26" s="1360"/>
      <c r="VVB26" s="1360"/>
      <c r="VVC26" s="1360"/>
      <c r="VVD26" s="1360"/>
      <c r="VVE26" s="1360"/>
      <c r="VVF26" s="1360"/>
      <c r="VVG26" s="1360"/>
      <c r="VVH26" s="1360"/>
      <c r="VVI26" s="1360"/>
      <c r="VVJ26" s="1360"/>
      <c r="VVK26" s="1360"/>
      <c r="VVL26" s="1360"/>
      <c r="VVM26" s="1360"/>
      <c r="VVN26" s="1360"/>
      <c r="VVO26" s="1360"/>
      <c r="VVP26" s="1360"/>
      <c r="VVQ26" s="1360"/>
      <c r="VVR26" s="1360"/>
      <c r="VVS26" s="1360"/>
      <c r="VVT26" s="1360"/>
      <c r="VVU26" s="1360"/>
      <c r="VVV26" s="1360"/>
      <c r="VVW26" s="1360"/>
      <c r="VVX26" s="1360"/>
      <c r="VVY26" s="1360"/>
      <c r="VVZ26" s="1360"/>
      <c r="VWA26" s="1360"/>
      <c r="VWB26" s="1360"/>
      <c r="VWC26" s="1360"/>
      <c r="VWD26" s="1360"/>
      <c r="VWE26" s="1360"/>
      <c r="VWF26" s="1360"/>
      <c r="VWG26" s="1360"/>
      <c r="VWH26" s="1360"/>
      <c r="VWI26" s="1360"/>
      <c r="VWJ26" s="1360"/>
      <c r="VWK26" s="1360"/>
      <c r="VWL26" s="1360"/>
      <c r="VWM26" s="1360"/>
      <c r="VWN26" s="1360"/>
      <c r="VWO26" s="1360"/>
      <c r="VWP26" s="1360"/>
      <c r="VWQ26" s="1360"/>
      <c r="VWR26" s="1360"/>
      <c r="VWS26" s="1360"/>
      <c r="VWT26" s="1360"/>
      <c r="VWU26" s="1360"/>
      <c r="VWV26" s="1360"/>
      <c r="VWW26" s="1360"/>
      <c r="VWX26" s="1360"/>
      <c r="VWY26" s="1360"/>
      <c r="VWZ26" s="1360"/>
      <c r="VXA26" s="1360"/>
      <c r="VXB26" s="1360"/>
      <c r="VXC26" s="1360"/>
      <c r="VXD26" s="1360"/>
      <c r="VXE26" s="1360"/>
      <c r="VXF26" s="1360"/>
      <c r="VXG26" s="1360"/>
      <c r="VXH26" s="1360"/>
      <c r="VXI26" s="1360"/>
      <c r="VXJ26" s="1360"/>
      <c r="VXK26" s="1360"/>
      <c r="VXL26" s="1360"/>
      <c r="VXM26" s="1360"/>
      <c r="VXN26" s="1360"/>
      <c r="VXO26" s="1360"/>
      <c r="VXP26" s="1360"/>
      <c r="VXQ26" s="1360"/>
      <c r="VXR26" s="1360"/>
      <c r="VXS26" s="1360"/>
      <c r="VXT26" s="1360"/>
      <c r="VXU26" s="1360"/>
      <c r="VXV26" s="1360"/>
      <c r="VXW26" s="1360"/>
      <c r="VXX26" s="1360"/>
      <c r="VXY26" s="1360"/>
      <c r="VXZ26" s="1360"/>
      <c r="VYA26" s="1360"/>
      <c r="VYB26" s="1360"/>
      <c r="VYC26" s="1360"/>
      <c r="VYD26" s="1360"/>
      <c r="VYE26" s="1360"/>
      <c r="VYF26" s="1360"/>
      <c r="VYG26" s="1360"/>
      <c r="VYH26" s="1360"/>
      <c r="VYI26" s="1360"/>
      <c r="VYJ26" s="1360"/>
      <c r="VYK26" s="1360"/>
      <c r="VYL26" s="1360"/>
      <c r="VYM26" s="1360"/>
      <c r="VYN26" s="1360"/>
      <c r="VYO26" s="1360"/>
      <c r="VYP26" s="1360"/>
      <c r="VYQ26" s="1360"/>
      <c r="VYR26" s="1360"/>
      <c r="VYS26" s="1360"/>
      <c r="VYT26" s="1360"/>
      <c r="VYU26" s="1360"/>
      <c r="VYV26" s="1360"/>
      <c r="VYW26" s="1360"/>
      <c r="VYX26" s="1360"/>
      <c r="VYY26" s="1360"/>
      <c r="VYZ26" s="1360"/>
      <c r="VZA26" s="1360"/>
      <c r="VZB26" s="1360"/>
      <c r="VZC26" s="1360"/>
      <c r="VZD26" s="1360"/>
      <c r="VZE26" s="1360"/>
      <c r="VZF26" s="1360"/>
      <c r="VZG26" s="1360"/>
      <c r="VZH26" s="1360"/>
      <c r="VZI26" s="1360"/>
      <c r="VZJ26" s="1360"/>
      <c r="VZK26" s="1360"/>
      <c r="VZL26" s="1360"/>
      <c r="VZM26" s="1360"/>
      <c r="VZN26" s="1360"/>
      <c r="VZO26" s="1360"/>
      <c r="VZP26" s="1360"/>
      <c r="VZQ26" s="1360"/>
      <c r="VZR26" s="1360"/>
      <c r="VZS26" s="1360"/>
      <c r="VZT26" s="1360"/>
      <c r="VZU26" s="1360"/>
      <c r="VZV26" s="1360"/>
      <c r="VZW26" s="1360"/>
      <c r="VZX26" s="1360"/>
      <c r="VZY26" s="1360"/>
      <c r="VZZ26" s="1360"/>
      <c r="WAA26" s="1360"/>
      <c r="WAB26" s="1360"/>
      <c r="WAC26" s="1360"/>
      <c r="WAD26" s="1360"/>
      <c r="WAE26" s="1360"/>
      <c r="WAF26" s="1360"/>
      <c r="WAG26" s="1360"/>
      <c r="WAH26" s="1360"/>
      <c r="WAI26" s="1360"/>
      <c r="WAJ26" s="1360"/>
      <c r="WAK26" s="1360"/>
      <c r="WAL26" s="1360"/>
      <c r="WAM26" s="1360"/>
      <c r="WAN26" s="1360"/>
      <c r="WAO26" s="1360"/>
      <c r="WAP26" s="1360"/>
      <c r="WAQ26" s="1360"/>
      <c r="WAR26" s="1360"/>
      <c r="WAS26" s="1360"/>
      <c r="WAT26" s="1360"/>
      <c r="WAU26" s="1360"/>
      <c r="WAV26" s="1360"/>
      <c r="WAW26" s="1360"/>
      <c r="WAX26" s="1360"/>
      <c r="WAY26" s="1360"/>
      <c r="WAZ26" s="1360"/>
      <c r="WBA26" s="1360"/>
      <c r="WBB26" s="1360"/>
      <c r="WBC26" s="1360"/>
      <c r="WBD26" s="1360"/>
      <c r="WBE26" s="1360"/>
      <c r="WBF26" s="1360"/>
      <c r="WBG26" s="1360"/>
      <c r="WBH26" s="1360"/>
      <c r="WBI26" s="1360"/>
      <c r="WBJ26" s="1360"/>
      <c r="WBK26" s="1360"/>
      <c r="WBL26" s="1360"/>
      <c r="WBM26" s="1360"/>
      <c r="WBN26" s="1360"/>
      <c r="WBO26" s="1360"/>
      <c r="WBP26" s="1360"/>
      <c r="WBQ26" s="1360"/>
      <c r="WBR26" s="1360"/>
      <c r="WBS26" s="1360"/>
      <c r="WBT26" s="1360"/>
      <c r="WBU26" s="1360"/>
      <c r="WBV26" s="1360"/>
      <c r="WBW26" s="1360"/>
      <c r="WBX26" s="1360"/>
      <c r="WBY26" s="1360"/>
      <c r="WBZ26" s="1360"/>
      <c r="WCA26" s="1360"/>
      <c r="WCB26" s="1360"/>
      <c r="WCC26" s="1360"/>
      <c r="WCD26" s="1360"/>
      <c r="WCE26" s="1360"/>
      <c r="WCF26" s="1360"/>
      <c r="WCG26" s="1360"/>
      <c r="WCH26" s="1360"/>
      <c r="WCI26" s="1360"/>
      <c r="WCJ26" s="1360"/>
      <c r="WCK26" s="1360"/>
      <c r="WCL26" s="1360"/>
      <c r="WCM26" s="1360"/>
      <c r="WCN26" s="1360"/>
      <c r="WCO26" s="1360"/>
      <c r="WCP26" s="1360"/>
      <c r="WCQ26" s="1360"/>
      <c r="WCR26" s="1360"/>
      <c r="WCS26" s="1360"/>
      <c r="WCT26" s="1360"/>
      <c r="WCU26" s="1360"/>
      <c r="WCV26" s="1360"/>
      <c r="WCW26" s="1360"/>
      <c r="WCX26" s="1360"/>
      <c r="WCY26" s="1360"/>
      <c r="WCZ26" s="1360"/>
      <c r="WDA26" s="1360"/>
      <c r="WDB26" s="1360"/>
      <c r="WDC26" s="1360"/>
      <c r="WDD26" s="1360"/>
      <c r="WDE26" s="1360"/>
      <c r="WDF26" s="1360"/>
      <c r="WDG26" s="1360"/>
      <c r="WDH26" s="1360"/>
      <c r="WDI26" s="1360"/>
      <c r="WDJ26" s="1360"/>
      <c r="WDK26" s="1360"/>
      <c r="WDL26" s="1360"/>
      <c r="WDM26" s="1360"/>
      <c r="WDN26" s="1360"/>
      <c r="WDO26" s="1360"/>
      <c r="WDP26" s="1360"/>
      <c r="WDQ26" s="1360"/>
      <c r="WDR26" s="1360"/>
      <c r="WDS26" s="1360"/>
      <c r="WDT26" s="1360"/>
      <c r="WDU26" s="1360"/>
      <c r="WDV26" s="1360"/>
      <c r="WDW26" s="1360"/>
      <c r="WDX26" s="1360"/>
      <c r="WDY26" s="1360"/>
      <c r="WDZ26" s="1360"/>
      <c r="WEA26" s="1360"/>
      <c r="WEB26" s="1360"/>
      <c r="WEC26" s="1360"/>
      <c r="WED26" s="1360"/>
      <c r="WEE26" s="1360"/>
      <c r="WEF26" s="1360"/>
      <c r="WEG26" s="1360"/>
      <c r="WEH26" s="1360"/>
      <c r="WEI26" s="1360"/>
      <c r="WEJ26" s="1360"/>
      <c r="WEK26" s="1360"/>
      <c r="WEL26" s="1360"/>
      <c r="WEM26" s="1360"/>
      <c r="WEN26" s="1360"/>
      <c r="WEO26" s="1360"/>
      <c r="WEP26" s="1360"/>
      <c r="WEQ26" s="1360"/>
      <c r="WER26" s="1360"/>
      <c r="WES26" s="1360"/>
      <c r="WET26" s="1360"/>
      <c r="WEU26" s="1360"/>
      <c r="WEV26" s="1360"/>
      <c r="WEW26" s="1360"/>
      <c r="WEX26" s="1360"/>
      <c r="WEY26" s="1360"/>
      <c r="WEZ26" s="1360"/>
      <c r="WFA26" s="1360"/>
      <c r="WFB26" s="1360"/>
      <c r="WFC26" s="1360"/>
      <c r="WFD26" s="1360"/>
      <c r="WFE26" s="1360"/>
      <c r="WFF26" s="1360"/>
      <c r="WFG26" s="1360"/>
      <c r="WFH26" s="1360"/>
      <c r="WFI26" s="1360"/>
      <c r="WFJ26" s="1360"/>
      <c r="WFK26" s="1360"/>
      <c r="WFL26" s="1360"/>
      <c r="WFM26" s="1360"/>
      <c r="WFN26" s="1360"/>
      <c r="WFO26" s="1360"/>
      <c r="WFP26" s="1360"/>
      <c r="WFQ26" s="1360"/>
      <c r="WFR26" s="1360"/>
      <c r="WFS26" s="1360"/>
      <c r="WFT26" s="1360"/>
      <c r="WFU26" s="1360"/>
      <c r="WFV26" s="1360"/>
      <c r="WFW26" s="1360"/>
      <c r="WFX26" s="1360"/>
      <c r="WFY26" s="1360"/>
      <c r="WFZ26" s="1360"/>
      <c r="WGA26" s="1360"/>
      <c r="WGB26" s="1360"/>
      <c r="WGC26" s="1360"/>
      <c r="WGD26" s="1360"/>
      <c r="WGE26" s="1360"/>
      <c r="WGF26" s="1360"/>
      <c r="WGG26" s="1360"/>
      <c r="WGH26" s="1360"/>
      <c r="WGI26" s="1360"/>
      <c r="WGJ26" s="1360"/>
      <c r="WGK26" s="1360"/>
      <c r="WGL26" s="1360"/>
      <c r="WGM26" s="1360"/>
      <c r="WGN26" s="1360"/>
      <c r="WGO26" s="1360"/>
      <c r="WGP26" s="1360"/>
      <c r="WGQ26" s="1360"/>
      <c r="WGR26" s="1360"/>
      <c r="WGS26" s="1360"/>
      <c r="WGT26" s="1360"/>
      <c r="WGU26" s="1360"/>
      <c r="WGV26" s="1360"/>
      <c r="WGW26" s="1360"/>
      <c r="WGX26" s="1360"/>
      <c r="WGY26" s="1360"/>
      <c r="WGZ26" s="1360"/>
      <c r="WHA26" s="1360"/>
      <c r="WHB26" s="1360"/>
      <c r="WHC26" s="1360"/>
      <c r="WHD26" s="1360"/>
      <c r="WHE26" s="1360"/>
      <c r="WHF26" s="1360"/>
      <c r="WHG26" s="1360"/>
      <c r="WHH26" s="1360"/>
      <c r="WHI26" s="1360"/>
      <c r="WHJ26" s="1360"/>
      <c r="WHK26" s="1360"/>
      <c r="WHL26" s="1360"/>
      <c r="WHM26" s="1360"/>
      <c r="WHN26" s="1360"/>
      <c r="WHO26" s="1360"/>
      <c r="WHP26" s="1360"/>
      <c r="WHQ26" s="1360"/>
      <c r="WHR26" s="1360"/>
      <c r="WHS26" s="1360"/>
      <c r="WHT26" s="1360"/>
      <c r="WHU26" s="1360"/>
      <c r="WHV26" s="1360"/>
      <c r="WHW26" s="1360"/>
      <c r="WHX26" s="1360"/>
      <c r="WHY26" s="1360"/>
      <c r="WHZ26" s="1360"/>
      <c r="WIA26" s="1360"/>
      <c r="WIB26" s="1360"/>
      <c r="WIC26" s="1360"/>
      <c r="WID26" s="1360"/>
      <c r="WIE26" s="1360"/>
      <c r="WIF26" s="1360"/>
      <c r="WIG26" s="1360"/>
      <c r="WIH26" s="1360"/>
      <c r="WII26" s="1360"/>
      <c r="WIJ26" s="1360"/>
      <c r="WIK26" s="1360"/>
      <c r="WIL26" s="1360"/>
      <c r="WIM26" s="1360"/>
      <c r="WIN26" s="1360"/>
      <c r="WIO26" s="1360"/>
      <c r="WIP26" s="1360"/>
      <c r="WIQ26" s="1360"/>
      <c r="WIR26" s="1360"/>
      <c r="WIS26" s="1360"/>
      <c r="WIT26" s="1360"/>
      <c r="WIU26" s="1360"/>
      <c r="WIV26" s="1360"/>
      <c r="WIW26" s="1360"/>
      <c r="WIX26" s="1360"/>
      <c r="WIY26" s="1360"/>
      <c r="WIZ26" s="1360"/>
      <c r="WJA26" s="1360"/>
      <c r="WJB26" s="1360"/>
      <c r="WJC26" s="1360"/>
      <c r="WJD26" s="1360"/>
      <c r="WJE26" s="1360"/>
      <c r="WJF26" s="1360"/>
      <c r="WJG26" s="1360"/>
      <c r="WJH26" s="1360"/>
      <c r="WJI26" s="1360"/>
      <c r="WJJ26" s="1360"/>
      <c r="WJK26" s="1360"/>
      <c r="WJL26" s="1360"/>
      <c r="WJM26" s="1360"/>
      <c r="WJN26" s="1360"/>
      <c r="WJO26" s="1360"/>
      <c r="WJP26" s="1360"/>
      <c r="WJQ26" s="1360"/>
      <c r="WJR26" s="1360"/>
      <c r="WJS26" s="1360"/>
      <c r="WJT26" s="1360"/>
      <c r="WJU26" s="1360"/>
      <c r="WJV26" s="1360"/>
      <c r="WJW26" s="1360"/>
      <c r="WJX26" s="1360"/>
      <c r="WJY26" s="1360"/>
      <c r="WJZ26" s="1360"/>
      <c r="WKA26" s="1360"/>
      <c r="WKB26" s="1360"/>
      <c r="WKC26" s="1360"/>
      <c r="WKD26" s="1360"/>
      <c r="WKE26" s="1360"/>
      <c r="WKF26" s="1360"/>
      <c r="WKG26" s="1360"/>
      <c r="WKH26" s="1360"/>
      <c r="WKI26" s="1360"/>
      <c r="WKJ26" s="1360"/>
      <c r="WKK26" s="1360"/>
      <c r="WKL26" s="1360"/>
      <c r="WKM26" s="1360"/>
      <c r="WKN26" s="1360"/>
      <c r="WKO26" s="1360"/>
      <c r="WKP26" s="1360"/>
      <c r="WKQ26" s="1360"/>
      <c r="WKR26" s="1360"/>
      <c r="WKS26" s="1360"/>
      <c r="WKT26" s="1360"/>
      <c r="WKU26" s="1360"/>
      <c r="WKV26" s="1360"/>
      <c r="WKW26" s="1360"/>
      <c r="WKX26" s="1360"/>
      <c r="WKY26" s="1360"/>
      <c r="WKZ26" s="1360"/>
      <c r="WLA26" s="1360"/>
      <c r="WLB26" s="1360"/>
      <c r="WLC26" s="1360"/>
      <c r="WLD26" s="1360"/>
      <c r="WLE26" s="1360"/>
      <c r="WLF26" s="1360"/>
      <c r="WLG26" s="1360"/>
      <c r="WLH26" s="1360"/>
      <c r="WLI26" s="1360"/>
      <c r="WLJ26" s="1360"/>
      <c r="WLK26" s="1360"/>
      <c r="WLL26" s="1360"/>
      <c r="WLM26" s="1360"/>
      <c r="WLN26" s="1360"/>
      <c r="WLO26" s="1360"/>
      <c r="WLP26" s="1360"/>
      <c r="WLQ26" s="1360"/>
      <c r="WLR26" s="1360"/>
      <c r="WLS26" s="1360"/>
      <c r="WLT26" s="1360"/>
      <c r="WLU26" s="1360"/>
      <c r="WLV26" s="1360"/>
      <c r="WLW26" s="1360"/>
      <c r="WLX26" s="1360"/>
      <c r="WLY26" s="1360"/>
      <c r="WLZ26" s="1360"/>
      <c r="WMA26" s="1360"/>
      <c r="WMB26" s="1360"/>
      <c r="WMC26" s="1360"/>
      <c r="WMD26" s="1360"/>
      <c r="WME26" s="1360"/>
      <c r="WMF26" s="1360"/>
      <c r="WMG26" s="1360"/>
      <c r="WMH26" s="1360"/>
      <c r="WMI26" s="1360"/>
      <c r="WMJ26" s="1360"/>
      <c r="WMK26" s="1360"/>
      <c r="WML26" s="1360"/>
      <c r="WMM26" s="1360"/>
      <c r="WMN26" s="1360"/>
      <c r="WMO26" s="1360"/>
      <c r="WMP26" s="1360"/>
      <c r="WMQ26" s="1360"/>
      <c r="WMR26" s="1360"/>
      <c r="WMS26" s="1360"/>
      <c r="WMT26" s="1360"/>
      <c r="WMU26" s="1360"/>
      <c r="WMV26" s="1360"/>
      <c r="WMW26" s="1360"/>
      <c r="WMX26" s="1360"/>
      <c r="WMY26" s="1360"/>
      <c r="WMZ26" s="1360"/>
      <c r="WNA26" s="1360"/>
      <c r="WNB26" s="1360"/>
      <c r="WNC26" s="1360"/>
      <c r="WND26" s="1360"/>
      <c r="WNE26" s="1360"/>
      <c r="WNF26" s="1360"/>
      <c r="WNG26" s="1360"/>
      <c r="WNH26" s="1360"/>
      <c r="WNI26" s="1360"/>
      <c r="WNJ26" s="1360"/>
      <c r="WNK26" s="1360"/>
      <c r="WNL26" s="1360"/>
      <c r="WNM26" s="1360"/>
      <c r="WNN26" s="1360"/>
      <c r="WNO26" s="1360"/>
      <c r="WNP26" s="1360"/>
      <c r="WNQ26" s="1360"/>
      <c r="WNR26" s="1360"/>
      <c r="WNS26" s="1360"/>
      <c r="WNT26" s="1360"/>
      <c r="WNU26" s="1360"/>
      <c r="WNV26" s="1360"/>
      <c r="WNW26" s="1360"/>
      <c r="WNX26" s="1360"/>
      <c r="WNY26" s="1360"/>
      <c r="WNZ26" s="1360"/>
      <c r="WOA26" s="1360"/>
      <c r="WOB26" s="1360"/>
      <c r="WOC26" s="1360"/>
      <c r="WOD26" s="1360"/>
      <c r="WOE26" s="1360"/>
      <c r="WOF26" s="1360"/>
      <c r="WOG26" s="1360"/>
      <c r="WOH26" s="1360"/>
      <c r="WOI26" s="1360"/>
      <c r="WOJ26" s="1360"/>
      <c r="WOK26" s="1360"/>
      <c r="WOL26" s="1360"/>
      <c r="WOM26" s="1360"/>
      <c r="WON26" s="1360"/>
      <c r="WOO26" s="1360"/>
      <c r="WOP26" s="1360"/>
      <c r="WOQ26" s="1360"/>
      <c r="WOR26" s="1360"/>
      <c r="WOS26" s="1360"/>
      <c r="WOT26" s="1360"/>
      <c r="WOU26" s="1360"/>
      <c r="WOV26" s="1360"/>
      <c r="WOW26" s="1360"/>
      <c r="WOX26" s="1360"/>
      <c r="WOY26" s="1360"/>
      <c r="WOZ26" s="1360"/>
      <c r="WPA26" s="1360"/>
      <c r="WPB26" s="1360"/>
      <c r="WPC26" s="1360"/>
      <c r="WPD26" s="1360"/>
      <c r="WPE26" s="1360"/>
      <c r="WPF26" s="1360"/>
      <c r="WPG26" s="1360"/>
      <c r="WPH26" s="1360"/>
      <c r="WPI26" s="1360"/>
      <c r="WPJ26" s="1360"/>
      <c r="WPK26" s="1360"/>
      <c r="WPL26" s="1360"/>
      <c r="WPM26" s="1360"/>
      <c r="WPN26" s="1360"/>
      <c r="WPO26" s="1360"/>
      <c r="WPP26" s="1360"/>
      <c r="WPQ26" s="1360"/>
      <c r="WPR26" s="1360"/>
      <c r="WPS26" s="1360"/>
      <c r="WPT26" s="1360"/>
      <c r="WPU26" s="1360"/>
      <c r="WPV26" s="1360"/>
      <c r="WPW26" s="1360"/>
      <c r="WPX26" s="1360"/>
      <c r="WPY26" s="1360"/>
      <c r="WPZ26" s="1360"/>
      <c r="WQA26" s="1360"/>
      <c r="WQB26" s="1360"/>
      <c r="WQC26" s="1360"/>
      <c r="WQD26" s="1360"/>
      <c r="WQE26" s="1360"/>
      <c r="WQF26" s="1360"/>
      <c r="WQG26" s="1360"/>
      <c r="WQH26" s="1360"/>
      <c r="WQI26" s="1360"/>
      <c r="WQJ26" s="1360"/>
      <c r="WQK26" s="1360"/>
      <c r="WQL26" s="1360"/>
      <c r="WQM26" s="1360"/>
      <c r="WQN26" s="1360"/>
      <c r="WQO26" s="1360"/>
      <c r="WQP26" s="1360"/>
      <c r="WQQ26" s="1360"/>
      <c r="WQR26" s="1360"/>
      <c r="WQS26" s="1360"/>
      <c r="WQT26" s="1360"/>
      <c r="WQU26" s="1360"/>
      <c r="WQV26" s="1360"/>
      <c r="WQW26" s="1360"/>
      <c r="WQX26" s="1360"/>
      <c r="WQY26" s="1360"/>
      <c r="WQZ26" s="1360"/>
      <c r="WRA26" s="1360"/>
      <c r="WRB26" s="1360"/>
      <c r="WRC26" s="1360"/>
      <c r="WRD26" s="1360"/>
      <c r="WRE26" s="1360"/>
      <c r="WRF26" s="1360"/>
      <c r="WRG26" s="1360"/>
      <c r="WRH26" s="1360"/>
      <c r="WRI26" s="1360"/>
      <c r="WRJ26" s="1360"/>
      <c r="WRK26" s="1360"/>
      <c r="WRL26" s="1360"/>
      <c r="WRM26" s="1360"/>
      <c r="WRN26" s="1360"/>
      <c r="WRO26" s="1360"/>
      <c r="WRP26" s="1360"/>
      <c r="WRQ26" s="1360"/>
      <c r="WRR26" s="1360"/>
      <c r="WRS26" s="1360"/>
      <c r="WRT26" s="1360"/>
      <c r="WRU26" s="1360"/>
      <c r="WRV26" s="1360"/>
      <c r="WRW26" s="1360"/>
      <c r="WRX26" s="1360"/>
      <c r="WRY26" s="1360"/>
      <c r="WRZ26" s="1360"/>
      <c r="WSA26" s="1360"/>
      <c r="WSB26" s="1360"/>
      <c r="WSC26" s="1360"/>
      <c r="WSD26" s="1360"/>
      <c r="WSE26" s="1360"/>
      <c r="WSF26" s="1360"/>
      <c r="WSG26" s="1360"/>
      <c r="WSH26" s="1360"/>
      <c r="WSI26" s="1360"/>
      <c r="WSJ26" s="1360"/>
      <c r="WSK26" s="1360"/>
      <c r="WSL26" s="1360"/>
      <c r="WSM26" s="1360"/>
      <c r="WSN26" s="1360"/>
      <c r="WSO26" s="1360"/>
      <c r="WSP26" s="1360"/>
      <c r="WSQ26" s="1360"/>
      <c r="WSR26" s="1360"/>
      <c r="WSS26" s="1360"/>
      <c r="WST26" s="1360"/>
      <c r="WSU26" s="1360"/>
      <c r="WSV26" s="1360"/>
      <c r="WSW26" s="1360"/>
      <c r="WSX26" s="1360"/>
      <c r="WSY26" s="1360"/>
      <c r="WSZ26" s="1360"/>
      <c r="WTA26" s="1360"/>
      <c r="WTB26" s="1360"/>
      <c r="WTC26" s="1360"/>
      <c r="WTD26" s="1360"/>
      <c r="WTE26" s="1360"/>
      <c r="WTF26" s="1360"/>
      <c r="WTG26" s="1360"/>
      <c r="WTH26" s="1360"/>
      <c r="WTI26" s="1360"/>
      <c r="WTJ26" s="1360"/>
      <c r="WTK26" s="1360"/>
      <c r="WTL26" s="1360"/>
      <c r="WTM26" s="1360"/>
      <c r="WTN26" s="1360"/>
      <c r="WTO26" s="1360"/>
      <c r="WTP26" s="1360"/>
      <c r="WTQ26" s="1360"/>
      <c r="WTR26" s="1360"/>
      <c r="WTS26" s="1360"/>
      <c r="WTT26" s="1360"/>
      <c r="WTU26" s="1360"/>
      <c r="WTV26" s="1360"/>
      <c r="WTW26" s="1360"/>
      <c r="WTX26" s="1360"/>
      <c r="WTY26" s="1360"/>
      <c r="WTZ26" s="1360"/>
      <c r="WUA26" s="1360"/>
      <c r="WUB26" s="1360"/>
      <c r="WUC26" s="1360"/>
      <c r="WUD26" s="1360"/>
      <c r="WUE26" s="1360"/>
      <c r="WUF26" s="1360"/>
      <c r="WUG26" s="1360"/>
      <c r="WUH26" s="1360"/>
      <c r="WUI26" s="1360"/>
      <c r="WUJ26" s="1360"/>
      <c r="WUK26" s="1360"/>
      <c r="WUL26" s="1360"/>
      <c r="WUM26" s="1360"/>
      <c r="WUN26" s="1360"/>
      <c r="WUO26" s="1360"/>
      <c r="WUP26" s="1360"/>
      <c r="WUQ26" s="1360"/>
      <c r="WUR26" s="1360"/>
      <c r="WUS26" s="1360"/>
      <c r="WUT26" s="1360"/>
      <c r="WUU26" s="1360"/>
      <c r="WUV26" s="1360"/>
      <c r="WUW26" s="1360"/>
      <c r="WUX26" s="1360"/>
      <c r="WUY26" s="1360"/>
      <c r="WUZ26" s="1360"/>
      <c r="WVA26" s="1360"/>
      <c r="WVB26" s="1360"/>
      <c r="WVC26" s="1360"/>
      <c r="WVD26" s="1360"/>
      <c r="WVE26" s="1360"/>
      <c r="WVF26" s="1360"/>
      <c r="WVG26" s="1360"/>
      <c r="WVH26" s="1360"/>
      <c r="WVI26" s="1360"/>
      <c r="WVJ26" s="1360"/>
      <c r="WVK26" s="1360"/>
      <c r="WVL26" s="1360"/>
      <c r="WVM26" s="1360"/>
      <c r="WVN26" s="1360"/>
      <c r="WVO26" s="1360"/>
      <c r="WVP26" s="1360"/>
      <c r="WVQ26" s="1360"/>
      <c r="WVR26" s="1360"/>
      <c r="WVS26" s="1360"/>
      <c r="WVT26" s="1360"/>
      <c r="WVU26" s="1360"/>
      <c r="WVV26" s="1360"/>
      <c r="WVW26" s="1360"/>
      <c r="WVX26" s="1360"/>
      <c r="WVY26" s="1360"/>
      <c r="WVZ26" s="1360"/>
      <c r="WWA26" s="1360"/>
      <c r="WWB26" s="1360"/>
      <c r="WWC26" s="1360"/>
      <c r="WWD26" s="1360"/>
      <c r="WWE26" s="1360"/>
      <c r="WWF26" s="1360"/>
      <c r="WWG26" s="1360"/>
      <c r="WWH26" s="1360"/>
      <c r="WWI26" s="1360"/>
      <c r="WWJ26" s="1360"/>
      <c r="WWK26" s="1360"/>
      <c r="WWL26" s="1360"/>
      <c r="WWM26" s="1360"/>
      <c r="WWN26" s="1360"/>
      <c r="WWO26" s="1360"/>
      <c r="WWP26" s="1360"/>
      <c r="WWQ26" s="1360"/>
      <c r="WWR26" s="1360"/>
      <c r="WWS26" s="1360"/>
      <c r="WWT26" s="1360"/>
      <c r="WWU26" s="1360"/>
      <c r="WWV26" s="1360"/>
      <c r="WWW26" s="1360"/>
      <c r="WWX26" s="1360"/>
      <c r="WWY26" s="1360"/>
      <c r="WWZ26" s="1360"/>
      <c r="WXA26" s="1360"/>
      <c r="WXB26" s="1360"/>
      <c r="WXC26" s="1360"/>
      <c r="WXD26" s="1360"/>
      <c r="WXE26" s="1360"/>
      <c r="WXF26" s="1360"/>
      <c r="WXG26" s="1360"/>
      <c r="WXH26" s="1360"/>
      <c r="WXI26" s="1360"/>
      <c r="WXJ26" s="1360"/>
      <c r="WXK26" s="1360"/>
      <c r="WXL26" s="1360"/>
      <c r="WXM26" s="1360"/>
      <c r="WXN26" s="1360"/>
      <c r="WXO26" s="1360"/>
      <c r="WXP26" s="1360"/>
      <c r="WXQ26" s="1360"/>
      <c r="WXR26" s="1360"/>
      <c r="WXS26" s="1360"/>
      <c r="WXT26" s="1360"/>
      <c r="WXU26" s="1360"/>
      <c r="WXV26" s="1360"/>
      <c r="WXW26" s="1360"/>
      <c r="WXX26" s="1360"/>
      <c r="WXY26" s="1360"/>
      <c r="WXZ26" s="1360"/>
      <c r="WYA26" s="1360"/>
      <c r="WYB26" s="1360"/>
      <c r="WYC26" s="1360"/>
      <c r="WYD26" s="1360"/>
      <c r="WYE26" s="1360"/>
      <c r="WYF26" s="1360"/>
      <c r="WYG26" s="1360"/>
      <c r="WYH26" s="1360"/>
      <c r="WYI26" s="1360"/>
      <c r="WYJ26" s="1360"/>
      <c r="WYK26" s="1360"/>
      <c r="WYL26" s="1360"/>
      <c r="WYM26" s="1360"/>
      <c r="WYN26" s="1360"/>
      <c r="WYO26" s="1360"/>
      <c r="WYP26" s="1360"/>
      <c r="WYQ26" s="1360"/>
      <c r="WYR26" s="1360"/>
      <c r="WYS26" s="1360"/>
      <c r="WYT26" s="1360"/>
      <c r="WYU26" s="1360"/>
      <c r="WYV26" s="1360"/>
      <c r="WYW26" s="1360"/>
      <c r="WYX26" s="1360"/>
      <c r="WYY26" s="1360"/>
      <c r="WYZ26" s="1360"/>
      <c r="WZA26" s="1360"/>
      <c r="WZB26" s="1360"/>
      <c r="WZC26" s="1360"/>
      <c r="WZD26" s="1360"/>
      <c r="WZE26" s="1360"/>
      <c r="WZF26" s="1360"/>
      <c r="WZG26" s="1360"/>
      <c r="WZH26" s="1360"/>
      <c r="WZI26" s="1360"/>
      <c r="WZJ26" s="1360"/>
      <c r="WZK26" s="1360"/>
      <c r="WZL26" s="1360"/>
      <c r="WZM26" s="1360"/>
      <c r="WZN26" s="1360"/>
      <c r="WZO26" s="1360"/>
      <c r="WZP26" s="1360"/>
      <c r="WZQ26" s="1360"/>
      <c r="WZR26" s="1360"/>
      <c r="WZS26" s="1360"/>
      <c r="WZT26" s="1360"/>
      <c r="WZU26" s="1360"/>
      <c r="WZV26" s="1360"/>
      <c r="WZW26" s="1360"/>
      <c r="WZX26" s="1360"/>
      <c r="WZY26" s="1360"/>
      <c r="WZZ26" s="1360"/>
      <c r="XAA26" s="1360"/>
      <c r="XAB26" s="1360"/>
      <c r="XAC26" s="1360"/>
      <c r="XAD26" s="1360"/>
      <c r="XAE26" s="1360"/>
      <c r="XAF26" s="1360"/>
      <c r="XAG26" s="1360"/>
      <c r="XAH26" s="1360"/>
      <c r="XAI26" s="1360"/>
      <c r="XAJ26" s="1360"/>
      <c r="XAK26" s="1360"/>
      <c r="XAL26" s="1360"/>
      <c r="XAM26" s="1360"/>
      <c r="XAN26" s="1360"/>
      <c r="XAO26" s="1360"/>
      <c r="XAP26" s="1360"/>
      <c r="XAQ26" s="1360"/>
      <c r="XAR26" s="1360"/>
      <c r="XAS26" s="1360"/>
      <c r="XAT26" s="1360"/>
      <c r="XAU26" s="1360"/>
      <c r="XAV26" s="1360"/>
      <c r="XAW26" s="1360"/>
      <c r="XAX26" s="1360"/>
      <c r="XAY26" s="1360"/>
      <c r="XAZ26" s="1360"/>
      <c r="XBA26" s="1360"/>
      <c r="XBB26" s="1360"/>
      <c r="XBC26" s="1360"/>
      <c r="XBD26" s="1360"/>
      <c r="XBE26" s="1360"/>
      <c r="XBF26" s="1360"/>
      <c r="XBG26" s="1360"/>
      <c r="XBH26" s="1360"/>
      <c r="XBI26" s="1360"/>
      <c r="XBJ26" s="1360"/>
      <c r="XBK26" s="1360"/>
      <c r="XBL26" s="1360"/>
      <c r="XBM26" s="1360"/>
      <c r="XBN26" s="1360"/>
      <c r="XBO26" s="1360"/>
      <c r="XBP26" s="1360"/>
      <c r="XBQ26" s="1360"/>
      <c r="XBR26" s="1360"/>
      <c r="XBS26" s="1360"/>
      <c r="XBT26" s="1360"/>
      <c r="XBU26" s="1360"/>
      <c r="XBV26" s="1360"/>
      <c r="XBW26" s="1360"/>
      <c r="XBX26" s="1360"/>
      <c r="XBY26" s="1360"/>
      <c r="XBZ26" s="1360"/>
      <c r="XCA26" s="1360"/>
      <c r="XCB26" s="1360"/>
      <c r="XCC26" s="1360"/>
      <c r="XCD26" s="1360"/>
      <c r="XCE26" s="1360"/>
      <c r="XCF26" s="1360"/>
      <c r="XCG26" s="1360"/>
      <c r="XCH26" s="1360"/>
      <c r="XCI26" s="1360"/>
      <c r="XCJ26" s="1360"/>
      <c r="XCK26" s="1360"/>
      <c r="XCL26" s="1360"/>
      <c r="XCM26" s="1360"/>
      <c r="XCN26" s="1360"/>
      <c r="XCO26" s="1360"/>
      <c r="XCP26" s="1360"/>
      <c r="XCQ26" s="1360"/>
      <c r="XCR26" s="1360"/>
      <c r="XCS26" s="1360"/>
      <c r="XCT26" s="1360"/>
      <c r="XCU26" s="1360"/>
      <c r="XCV26" s="1360"/>
      <c r="XCW26" s="1360"/>
      <c r="XCX26" s="1360"/>
      <c r="XCY26" s="1360"/>
      <c r="XCZ26" s="1360"/>
      <c r="XDA26" s="1360"/>
      <c r="XDB26" s="1360"/>
      <c r="XDC26" s="1360"/>
      <c r="XDD26" s="1360"/>
      <c r="XDE26" s="1360"/>
      <c r="XDF26" s="1360"/>
      <c r="XDG26" s="1360"/>
      <c r="XDH26" s="1360"/>
      <c r="XDI26" s="1360"/>
      <c r="XDJ26" s="1360"/>
      <c r="XDK26" s="1360"/>
      <c r="XDL26" s="1360"/>
      <c r="XDM26" s="1360"/>
      <c r="XDN26" s="1360"/>
      <c r="XDO26" s="1360"/>
      <c r="XDP26" s="1360"/>
      <c r="XDQ26" s="1360"/>
      <c r="XDR26" s="1360"/>
      <c r="XDS26" s="1360"/>
      <c r="XDT26" s="1360"/>
      <c r="XDU26" s="1360"/>
      <c r="XDV26" s="1360"/>
      <c r="XDW26" s="1360"/>
      <c r="XDX26" s="1360"/>
      <c r="XDY26" s="1360"/>
      <c r="XDZ26" s="1360"/>
      <c r="XEA26" s="1360"/>
      <c r="XEB26" s="1360"/>
      <c r="XEC26" s="1360"/>
      <c r="XED26" s="1360"/>
      <c r="XEE26" s="1360"/>
      <c r="XEF26" s="1360"/>
      <c r="XEG26" s="1360"/>
      <c r="XEH26" s="1360"/>
      <c r="XEI26" s="1360"/>
      <c r="XEJ26" s="1360"/>
      <c r="XEK26" s="1360"/>
      <c r="XEL26" s="1360"/>
      <c r="XEM26" s="1360"/>
      <c r="XEN26" s="1360"/>
      <c r="XEO26" s="1360"/>
      <c r="XEP26" s="1360"/>
      <c r="XEQ26" s="1360"/>
      <c r="XER26" s="1360"/>
      <c r="XES26" s="1360"/>
      <c r="XET26" s="1360"/>
      <c r="XEU26" s="1360"/>
      <c r="XEV26" s="1360"/>
      <c r="XEW26" s="1360"/>
      <c r="XEX26" s="1360"/>
      <c r="XEY26" s="1360"/>
      <c r="XEZ26" s="1360"/>
      <c r="XFA26" s="1360"/>
      <c r="XFB26" s="1360"/>
      <c r="XFC26" s="1360"/>
    </row>
    <row r="27" spans="1:16383" s="691" customFormat="1" ht="16.5" customHeight="1" x14ac:dyDescent="0.45">
      <c r="A27" s="705"/>
      <c r="B27" s="705"/>
      <c r="C27" s="705"/>
      <c r="D27" s="705"/>
      <c r="E27" s="705"/>
      <c r="F27" s="705"/>
      <c r="G27" s="705"/>
      <c r="H27" s="717"/>
      <c r="I27" s="717"/>
      <c r="J27" s="695"/>
    </row>
    <row r="32" spans="1:16383" s="723" customFormat="1" ht="21" x14ac:dyDescent="0.55000000000000004">
      <c r="A32" s="721"/>
      <c r="B32" s="721"/>
      <c r="C32" s="721"/>
      <c r="D32" s="721"/>
      <c r="E32" s="721"/>
      <c r="F32" s="721"/>
      <c r="G32" s="721"/>
      <c r="H32" s="721"/>
      <c r="I32" s="721"/>
      <c r="J32" s="722"/>
    </row>
    <row r="33" spans="1:13" s="723" customFormat="1" ht="21" x14ac:dyDescent="0.55000000000000004">
      <c r="A33" s="721"/>
      <c r="B33" s="721"/>
      <c r="C33" s="721"/>
      <c r="D33" s="721"/>
      <c r="E33" s="721"/>
      <c r="F33" s="721"/>
      <c r="G33" s="721"/>
      <c r="H33" s="721"/>
      <c r="I33" s="721"/>
      <c r="J33" s="722"/>
    </row>
    <row r="34" spans="1:13" s="723" customFormat="1" ht="21" x14ac:dyDescent="0.55000000000000004">
      <c r="A34" s="721"/>
      <c r="B34" s="721"/>
      <c r="C34" s="721"/>
      <c r="D34" s="721"/>
      <c r="E34" s="721"/>
      <c r="F34" s="721"/>
      <c r="G34" s="721"/>
      <c r="H34" s="721"/>
      <c r="I34" s="721"/>
      <c r="J34" s="722"/>
    </row>
    <row r="35" spans="1:13" s="723" customFormat="1" ht="21" x14ac:dyDescent="0.55000000000000004">
      <c r="A35" s="721"/>
      <c r="B35" s="721"/>
      <c r="C35" s="721"/>
      <c r="D35" s="721"/>
      <c r="E35" s="721"/>
      <c r="F35" s="721"/>
      <c r="G35" s="721"/>
      <c r="H35" s="721"/>
      <c r="I35" s="721"/>
      <c r="J35" s="722"/>
    </row>
    <row r="36" spans="1:13" s="723" customFormat="1" ht="21" x14ac:dyDescent="0.55000000000000004">
      <c r="A36" s="721"/>
      <c r="B36" s="721"/>
      <c r="C36" s="721"/>
      <c r="D36" s="721"/>
      <c r="E36" s="721"/>
      <c r="F36" s="721"/>
      <c r="G36" s="721"/>
      <c r="H36" s="721"/>
      <c r="I36" s="721"/>
      <c r="J36" s="722"/>
    </row>
    <row r="37" spans="1:13" ht="17.25" customHeight="1" x14ac:dyDescent="0.45">
      <c r="A37" s="1355" t="s">
        <v>24</v>
      </c>
      <c r="B37" s="1355"/>
      <c r="C37" s="1355"/>
      <c r="D37" s="1355"/>
      <c r="E37" s="1355"/>
      <c r="F37" s="1355"/>
      <c r="G37" s="1355"/>
      <c r="H37" s="1355"/>
      <c r="I37" s="1355"/>
    </row>
    <row r="38" spans="1:13" ht="0.75" customHeight="1" x14ac:dyDescent="0.45">
      <c r="A38" s="1356"/>
      <c r="B38" s="1356"/>
      <c r="C38" s="1356"/>
      <c r="D38" s="1356"/>
      <c r="E38" s="1356"/>
      <c r="F38" s="1356"/>
      <c r="G38" s="1356"/>
      <c r="H38" s="1356"/>
      <c r="I38" s="1356"/>
    </row>
    <row r="39" spans="1:13" s="723" customFormat="1" ht="21" x14ac:dyDescent="0.55000000000000004">
      <c r="A39" s="1357"/>
      <c r="B39" s="1357"/>
      <c r="C39" s="1357"/>
      <c r="D39" s="1357"/>
      <c r="E39" s="1357"/>
      <c r="F39" s="1357"/>
      <c r="G39" s="1357"/>
      <c r="H39" s="1357"/>
      <c r="I39" s="1357"/>
      <c r="J39" s="722"/>
    </row>
    <row r="40" spans="1:13" s="725" customFormat="1" ht="28.5" customHeight="1" x14ac:dyDescent="0.25">
      <c r="A40" s="1354">
        <v>2</v>
      </c>
      <c r="B40" s="1354"/>
      <c r="C40" s="1354"/>
      <c r="D40" s="1354"/>
      <c r="E40" s="1354"/>
      <c r="F40" s="1354"/>
      <c r="G40" s="1354"/>
      <c r="H40" s="1354"/>
      <c r="I40" s="1354"/>
      <c r="J40" s="724"/>
      <c r="K40" s="724"/>
      <c r="L40" s="724"/>
      <c r="M40" s="724"/>
    </row>
  </sheetData>
  <customSheetViews>
    <customSheetView guid="{39716EAB-185B-4ADF-90CF-1B1041867F58}" showPageBreaks="1" printArea="1" topLeftCell="B13">
      <selection activeCell="F10" sqref="F10"/>
      <pageMargins left="0.39370078740157483" right="0.78740157480314965" top="0.39370078740157483" bottom="0.39370078740157483" header="0.31496062992125984" footer="0.31496062992125984"/>
      <pageSetup paperSize="9" scale="84" orientation="portrait" r:id="rId1"/>
    </customSheetView>
    <customSheetView guid="{5CB8382F-C212-4512-9396-17792C62978E}" showPageBreaks="1" printArea="1" hiddenRows="1" topLeftCell="B7">
      <selection activeCell="F23" sqref="F23"/>
      <pageMargins left="0.39370078740157483" right="0.78740157480314965" top="0.39370078740157483" bottom="0.39370078740157483" header="0.31496062992125984" footer="0.31496062992125984"/>
      <pageSetup paperSize="9" scale="84" orientation="portrait" r:id="rId2"/>
    </customSheetView>
    <customSheetView guid="{184BCED3-EADB-44CF-BFDA-DA8D3E7206C0}" showPageBreaks="1" printArea="1" topLeftCell="A22">
      <selection activeCell="D24" sqref="D24"/>
      <pageMargins left="0.39370078740157483" right="0.78740157480314965" top="0.39370078740157483" bottom="0.39370078740157483" header="0.31496062992125984" footer="0.31496062992125984"/>
      <pageSetup paperSize="9" scale="84" orientation="portrait" r:id="rId3"/>
    </customSheetView>
  </customSheetViews>
  <mergeCells count="1829">
    <mergeCell ref="XDY26:XEG26"/>
    <mergeCell ref="XEH26:XEP26"/>
    <mergeCell ref="XEQ26:XEY26"/>
    <mergeCell ref="XEZ26:XFC26"/>
    <mergeCell ref="XCF26:XCN26"/>
    <mergeCell ref="XCO26:XCW26"/>
    <mergeCell ref="XCX26:XDF26"/>
    <mergeCell ref="XDG26:XDO26"/>
    <mergeCell ref="XDP26:XDX26"/>
    <mergeCell ref="XAM26:XAU26"/>
    <mergeCell ref="XAV26:XBD26"/>
    <mergeCell ref="XBE26:XBM26"/>
    <mergeCell ref="XBN26:XBV26"/>
    <mergeCell ref="XBW26:XCE26"/>
    <mergeCell ref="WYT26:WZB26"/>
    <mergeCell ref="WZC26:WZK26"/>
    <mergeCell ref="WZL26:WZT26"/>
    <mergeCell ref="WZU26:XAC26"/>
    <mergeCell ref="XAD26:XAL26"/>
    <mergeCell ref="WXA26:WXI26"/>
    <mergeCell ref="WXJ26:WXR26"/>
    <mergeCell ref="WXS26:WYA26"/>
    <mergeCell ref="WYB26:WYJ26"/>
    <mergeCell ref="WYK26:WYS26"/>
    <mergeCell ref="WVH26:WVP26"/>
    <mergeCell ref="WVQ26:WVY26"/>
    <mergeCell ref="WVZ26:WWH26"/>
    <mergeCell ref="WWI26:WWQ26"/>
    <mergeCell ref="WWR26:WWZ26"/>
    <mergeCell ref="WTO26:WTW26"/>
    <mergeCell ref="WTX26:WUF26"/>
    <mergeCell ref="WUG26:WUO26"/>
    <mergeCell ref="WUP26:WUX26"/>
    <mergeCell ref="WUY26:WVG26"/>
    <mergeCell ref="WRV26:WSD26"/>
    <mergeCell ref="WSE26:WSM26"/>
    <mergeCell ref="WSN26:WSV26"/>
    <mergeCell ref="WSW26:WTE26"/>
    <mergeCell ref="WTF26:WTN26"/>
    <mergeCell ref="WQC26:WQK26"/>
    <mergeCell ref="WQL26:WQT26"/>
    <mergeCell ref="WQU26:WRC26"/>
    <mergeCell ref="WRD26:WRL26"/>
    <mergeCell ref="WRM26:WRU26"/>
    <mergeCell ref="WOJ26:WOR26"/>
    <mergeCell ref="WOS26:WPA26"/>
    <mergeCell ref="WPB26:WPJ26"/>
    <mergeCell ref="WPK26:WPS26"/>
    <mergeCell ref="WPT26:WQB26"/>
    <mergeCell ref="WMQ26:WMY26"/>
    <mergeCell ref="WMZ26:WNH26"/>
    <mergeCell ref="WNI26:WNQ26"/>
    <mergeCell ref="WNR26:WNZ26"/>
    <mergeCell ref="WOA26:WOI26"/>
    <mergeCell ref="WKX26:WLF26"/>
    <mergeCell ref="WLG26:WLO26"/>
    <mergeCell ref="WLP26:WLX26"/>
    <mergeCell ref="WLY26:WMG26"/>
    <mergeCell ref="WMH26:WMP26"/>
    <mergeCell ref="WJE26:WJM26"/>
    <mergeCell ref="WJN26:WJV26"/>
    <mergeCell ref="WJW26:WKE26"/>
    <mergeCell ref="WKF26:WKN26"/>
    <mergeCell ref="WKO26:WKW26"/>
    <mergeCell ref="WHL26:WHT26"/>
    <mergeCell ref="WHU26:WIC26"/>
    <mergeCell ref="WID26:WIL26"/>
    <mergeCell ref="WIM26:WIU26"/>
    <mergeCell ref="WIV26:WJD26"/>
    <mergeCell ref="WFS26:WGA26"/>
    <mergeCell ref="WGB26:WGJ26"/>
    <mergeCell ref="WGK26:WGS26"/>
    <mergeCell ref="WGT26:WHB26"/>
    <mergeCell ref="WHC26:WHK26"/>
    <mergeCell ref="WDZ26:WEH26"/>
    <mergeCell ref="WEI26:WEQ26"/>
    <mergeCell ref="WER26:WEZ26"/>
    <mergeCell ref="WFA26:WFI26"/>
    <mergeCell ref="WFJ26:WFR26"/>
    <mergeCell ref="WCG26:WCO26"/>
    <mergeCell ref="WCP26:WCX26"/>
    <mergeCell ref="WCY26:WDG26"/>
    <mergeCell ref="WDH26:WDP26"/>
    <mergeCell ref="WDQ26:WDY26"/>
    <mergeCell ref="WAN26:WAV26"/>
    <mergeCell ref="WAW26:WBE26"/>
    <mergeCell ref="WBF26:WBN26"/>
    <mergeCell ref="WBO26:WBW26"/>
    <mergeCell ref="WBX26:WCF26"/>
    <mergeCell ref="VYU26:VZC26"/>
    <mergeCell ref="VZD26:VZL26"/>
    <mergeCell ref="VZM26:VZU26"/>
    <mergeCell ref="VZV26:WAD26"/>
    <mergeCell ref="WAE26:WAM26"/>
    <mergeCell ref="VXB26:VXJ26"/>
    <mergeCell ref="VXK26:VXS26"/>
    <mergeCell ref="VXT26:VYB26"/>
    <mergeCell ref="VYC26:VYK26"/>
    <mergeCell ref="VYL26:VYT26"/>
    <mergeCell ref="VVI26:VVQ26"/>
    <mergeCell ref="VVR26:VVZ26"/>
    <mergeCell ref="VWA26:VWI26"/>
    <mergeCell ref="VWJ26:VWR26"/>
    <mergeCell ref="VWS26:VXA26"/>
    <mergeCell ref="VTP26:VTX26"/>
    <mergeCell ref="VTY26:VUG26"/>
    <mergeCell ref="VUH26:VUP26"/>
    <mergeCell ref="VUQ26:VUY26"/>
    <mergeCell ref="VUZ26:VVH26"/>
    <mergeCell ref="VRW26:VSE26"/>
    <mergeCell ref="VSF26:VSN26"/>
    <mergeCell ref="VSO26:VSW26"/>
    <mergeCell ref="VSX26:VTF26"/>
    <mergeCell ref="VTG26:VTO26"/>
    <mergeCell ref="VQD26:VQL26"/>
    <mergeCell ref="VQM26:VQU26"/>
    <mergeCell ref="VQV26:VRD26"/>
    <mergeCell ref="VRE26:VRM26"/>
    <mergeCell ref="VRN26:VRV26"/>
    <mergeCell ref="VOK26:VOS26"/>
    <mergeCell ref="VOT26:VPB26"/>
    <mergeCell ref="VPC26:VPK26"/>
    <mergeCell ref="VPL26:VPT26"/>
    <mergeCell ref="VPU26:VQC26"/>
    <mergeCell ref="VMR26:VMZ26"/>
    <mergeCell ref="VNA26:VNI26"/>
    <mergeCell ref="VNJ26:VNR26"/>
    <mergeCell ref="VNS26:VOA26"/>
    <mergeCell ref="VOB26:VOJ26"/>
    <mergeCell ref="VKY26:VLG26"/>
    <mergeCell ref="VLH26:VLP26"/>
    <mergeCell ref="VLQ26:VLY26"/>
    <mergeCell ref="VLZ26:VMH26"/>
    <mergeCell ref="VMI26:VMQ26"/>
    <mergeCell ref="VJF26:VJN26"/>
    <mergeCell ref="VJO26:VJW26"/>
    <mergeCell ref="VJX26:VKF26"/>
    <mergeCell ref="VKG26:VKO26"/>
    <mergeCell ref="VKP26:VKX26"/>
    <mergeCell ref="VHM26:VHU26"/>
    <mergeCell ref="VHV26:VID26"/>
    <mergeCell ref="VIE26:VIM26"/>
    <mergeCell ref="VIN26:VIV26"/>
    <mergeCell ref="VIW26:VJE26"/>
    <mergeCell ref="VFT26:VGB26"/>
    <mergeCell ref="VGC26:VGK26"/>
    <mergeCell ref="VGL26:VGT26"/>
    <mergeCell ref="VGU26:VHC26"/>
    <mergeCell ref="VHD26:VHL26"/>
    <mergeCell ref="VEA26:VEI26"/>
    <mergeCell ref="VEJ26:VER26"/>
    <mergeCell ref="VES26:VFA26"/>
    <mergeCell ref="VFB26:VFJ26"/>
    <mergeCell ref="VFK26:VFS26"/>
    <mergeCell ref="VCH26:VCP26"/>
    <mergeCell ref="VCQ26:VCY26"/>
    <mergeCell ref="VCZ26:VDH26"/>
    <mergeCell ref="VDI26:VDQ26"/>
    <mergeCell ref="VDR26:VDZ26"/>
    <mergeCell ref="VAO26:VAW26"/>
    <mergeCell ref="VAX26:VBF26"/>
    <mergeCell ref="VBG26:VBO26"/>
    <mergeCell ref="VBP26:VBX26"/>
    <mergeCell ref="VBY26:VCG26"/>
    <mergeCell ref="UYV26:UZD26"/>
    <mergeCell ref="UZE26:UZM26"/>
    <mergeCell ref="UZN26:UZV26"/>
    <mergeCell ref="UZW26:VAE26"/>
    <mergeCell ref="VAF26:VAN26"/>
    <mergeCell ref="UXC26:UXK26"/>
    <mergeCell ref="UXL26:UXT26"/>
    <mergeCell ref="UXU26:UYC26"/>
    <mergeCell ref="UYD26:UYL26"/>
    <mergeCell ref="UYM26:UYU26"/>
    <mergeCell ref="UVJ26:UVR26"/>
    <mergeCell ref="UVS26:UWA26"/>
    <mergeCell ref="UWB26:UWJ26"/>
    <mergeCell ref="UWK26:UWS26"/>
    <mergeCell ref="UWT26:UXB26"/>
    <mergeCell ref="UTQ26:UTY26"/>
    <mergeCell ref="UTZ26:UUH26"/>
    <mergeCell ref="UUI26:UUQ26"/>
    <mergeCell ref="UUR26:UUZ26"/>
    <mergeCell ref="UVA26:UVI26"/>
    <mergeCell ref="URX26:USF26"/>
    <mergeCell ref="USG26:USO26"/>
    <mergeCell ref="USP26:USX26"/>
    <mergeCell ref="USY26:UTG26"/>
    <mergeCell ref="UTH26:UTP26"/>
    <mergeCell ref="UQE26:UQM26"/>
    <mergeCell ref="UQN26:UQV26"/>
    <mergeCell ref="UQW26:URE26"/>
    <mergeCell ref="URF26:URN26"/>
    <mergeCell ref="URO26:URW26"/>
    <mergeCell ref="UOL26:UOT26"/>
    <mergeCell ref="UOU26:UPC26"/>
    <mergeCell ref="UPD26:UPL26"/>
    <mergeCell ref="UPM26:UPU26"/>
    <mergeCell ref="UPV26:UQD26"/>
    <mergeCell ref="UMS26:UNA26"/>
    <mergeCell ref="UNB26:UNJ26"/>
    <mergeCell ref="UNK26:UNS26"/>
    <mergeCell ref="UNT26:UOB26"/>
    <mergeCell ref="UOC26:UOK26"/>
    <mergeCell ref="UKZ26:ULH26"/>
    <mergeCell ref="ULI26:ULQ26"/>
    <mergeCell ref="ULR26:ULZ26"/>
    <mergeCell ref="UMA26:UMI26"/>
    <mergeCell ref="UMJ26:UMR26"/>
    <mergeCell ref="UJG26:UJO26"/>
    <mergeCell ref="UJP26:UJX26"/>
    <mergeCell ref="UJY26:UKG26"/>
    <mergeCell ref="UKH26:UKP26"/>
    <mergeCell ref="UKQ26:UKY26"/>
    <mergeCell ref="UHN26:UHV26"/>
    <mergeCell ref="UHW26:UIE26"/>
    <mergeCell ref="UIF26:UIN26"/>
    <mergeCell ref="UIO26:UIW26"/>
    <mergeCell ref="UIX26:UJF26"/>
    <mergeCell ref="UFU26:UGC26"/>
    <mergeCell ref="UGD26:UGL26"/>
    <mergeCell ref="UGM26:UGU26"/>
    <mergeCell ref="UGV26:UHD26"/>
    <mergeCell ref="UHE26:UHM26"/>
    <mergeCell ref="UEB26:UEJ26"/>
    <mergeCell ref="UEK26:UES26"/>
    <mergeCell ref="UET26:UFB26"/>
    <mergeCell ref="UFC26:UFK26"/>
    <mergeCell ref="UFL26:UFT26"/>
    <mergeCell ref="UCI26:UCQ26"/>
    <mergeCell ref="UCR26:UCZ26"/>
    <mergeCell ref="UDA26:UDI26"/>
    <mergeCell ref="UDJ26:UDR26"/>
    <mergeCell ref="UDS26:UEA26"/>
    <mergeCell ref="UAP26:UAX26"/>
    <mergeCell ref="UAY26:UBG26"/>
    <mergeCell ref="UBH26:UBP26"/>
    <mergeCell ref="UBQ26:UBY26"/>
    <mergeCell ref="UBZ26:UCH26"/>
    <mergeCell ref="TYW26:TZE26"/>
    <mergeCell ref="TZF26:TZN26"/>
    <mergeCell ref="TZO26:TZW26"/>
    <mergeCell ref="TZX26:UAF26"/>
    <mergeCell ref="UAG26:UAO26"/>
    <mergeCell ref="TXD26:TXL26"/>
    <mergeCell ref="TXM26:TXU26"/>
    <mergeCell ref="TXV26:TYD26"/>
    <mergeCell ref="TYE26:TYM26"/>
    <mergeCell ref="TYN26:TYV26"/>
    <mergeCell ref="TVK26:TVS26"/>
    <mergeCell ref="TVT26:TWB26"/>
    <mergeCell ref="TWC26:TWK26"/>
    <mergeCell ref="TWL26:TWT26"/>
    <mergeCell ref="TWU26:TXC26"/>
    <mergeCell ref="TTR26:TTZ26"/>
    <mergeCell ref="TUA26:TUI26"/>
    <mergeCell ref="TUJ26:TUR26"/>
    <mergeCell ref="TUS26:TVA26"/>
    <mergeCell ref="TVB26:TVJ26"/>
    <mergeCell ref="TRY26:TSG26"/>
    <mergeCell ref="TSH26:TSP26"/>
    <mergeCell ref="TSQ26:TSY26"/>
    <mergeCell ref="TSZ26:TTH26"/>
    <mergeCell ref="TTI26:TTQ26"/>
    <mergeCell ref="TQF26:TQN26"/>
    <mergeCell ref="TQO26:TQW26"/>
    <mergeCell ref="TQX26:TRF26"/>
    <mergeCell ref="TRG26:TRO26"/>
    <mergeCell ref="TRP26:TRX26"/>
    <mergeCell ref="TOM26:TOU26"/>
    <mergeCell ref="TOV26:TPD26"/>
    <mergeCell ref="TPE26:TPM26"/>
    <mergeCell ref="TPN26:TPV26"/>
    <mergeCell ref="TPW26:TQE26"/>
    <mergeCell ref="TMT26:TNB26"/>
    <mergeCell ref="TNC26:TNK26"/>
    <mergeCell ref="TNL26:TNT26"/>
    <mergeCell ref="TNU26:TOC26"/>
    <mergeCell ref="TOD26:TOL26"/>
    <mergeCell ref="TLA26:TLI26"/>
    <mergeCell ref="TLJ26:TLR26"/>
    <mergeCell ref="TLS26:TMA26"/>
    <mergeCell ref="TMB26:TMJ26"/>
    <mergeCell ref="TMK26:TMS26"/>
    <mergeCell ref="TJH26:TJP26"/>
    <mergeCell ref="TJQ26:TJY26"/>
    <mergeCell ref="TJZ26:TKH26"/>
    <mergeCell ref="TKI26:TKQ26"/>
    <mergeCell ref="TKR26:TKZ26"/>
    <mergeCell ref="THO26:THW26"/>
    <mergeCell ref="THX26:TIF26"/>
    <mergeCell ref="TIG26:TIO26"/>
    <mergeCell ref="TIP26:TIX26"/>
    <mergeCell ref="TIY26:TJG26"/>
    <mergeCell ref="TFV26:TGD26"/>
    <mergeCell ref="TGE26:TGM26"/>
    <mergeCell ref="TGN26:TGV26"/>
    <mergeCell ref="TGW26:THE26"/>
    <mergeCell ref="THF26:THN26"/>
    <mergeCell ref="TEC26:TEK26"/>
    <mergeCell ref="TEL26:TET26"/>
    <mergeCell ref="TEU26:TFC26"/>
    <mergeCell ref="TFD26:TFL26"/>
    <mergeCell ref="TFM26:TFU26"/>
    <mergeCell ref="TCJ26:TCR26"/>
    <mergeCell ref="TCS26:TDA26"/>
    <mergeCell ref="TDB26:TDJ26"/>
    <mergeCell ref="TDK26:TDS26"/>
    <mergeCell ref="TDT26:TEB26"/>
    <mergeCell ref="TAQ26:TAY26"/>
    <mergeCell ref="TAZ26:TBH26"/>
    <mergeCell ref="TBI26:TBQ26"/>
    <mergeCell ref="TBR26:TBZ26"/>
    <mergeCell ref="TCA26:TCI26"/>
    <mergeCell ref="SYX26:SZF26"/>
    <mergeCell ref="SZG26:SZO26"/>
    <mergeCell ref="SZP26:SZX26"/>
    <mergeCell ref="SZY26:TAG26"/>
    <mergeCell ref="TAH26:TAP26"/>
    <mergeCell ref="SXE26:SXM26"/>
    <mergeCell ref="SXN26:SXV26"/>
    <mergeCell ref="SXW26:SYE26"/>
    <mergeCell ref="SYF26:SYN26"/>
    <mergeCell ref="SYO26:SYW26"/>
    <mergeCell ref="SVL26:SVT26"/>
    <mergeCell ref="SVU26:SWC26"/>
    <mergeCell ref="SWD26:SWL26"/>
    <mergeCell ref="SWM26:SWU26"/>
    <mergeCell ref="SWV26:SXD26"/>
    <mergeCell ref="STS26:SUA26"/>
    <mergeCell ref="SUB26:SUJ26"/>
    <mergeCell ref="SUK26:SUS26"/>
    <mergeCell ref="SUT26:SVB26"/>
    <mergeCell ref="SVC26:SVK26"/>
    <mergeCell ref="SRZ26:SSH26"/>
    <mergeCell ref="SSI26:SSQ26"/>
    <mergeCell ref="SSR26:SSZ26"/>
    <mergeCell ref="STA26:STI26"/>
    <mergeCell ref="STJ26:STR26"/>
    <mergeCell ref="SQG26:SQO26"/>
    <mergeCell ref="SQP26:SQX26"/>
    <mergeCell ref="SQY26:SRG26"/>
    <mergeCell ref="SRH26:SRP26"/>
    <mergeCell ref="SRQ26:SRY26"/>
    <mergeCell ref="SON26:SOV26"/>
    <mergeCell ref="SOW26:SPE26"/>
    <mergeCell ref="SPF26:SPN26"/>
    <mergeCell ref="SPO26:SPW26"/>
    <mergeCell ref="SPX26:SQF26"/>
    <mergeCell ref="SMU26:SNC26"/>
    <mergeCell ref="SND26:SNL26"/>
    <mergeCell ref="SNM26:SNU26"/>
    <mergeCell ref="SNV26:SOD26"/>
    <mergeCell ref="SOE26:SOM26"/>
    <mergeCell ref="SLB26:SLJ26"/>
    <mergeCell ref="SLK26:SLS26"/>
    <mergeCell ref="SLT26:SMB26"/>
    <mergeCell ref="SMC26:SMK26"/>
    <mergeCell ref="SML26:SMT26"/>
    <mergeCell ref="SJI26:SJQ26"/>
    <mergeCell ref="SJR26:SJZ26"/>
    <mergeCell ref="SKA26:SKI26"/>
    <mergeCell ref="SKJ26:SKR26"/>
    <mergeCell ref="SKS26:SLA26"/>
    <mergeCell ref="SHP26:SHX26"/>
    <mergeCell ref="SHY26:SIG26"/>
    <mergeCell ref="SIH26:SIP26"/>
    <mergeCell ref="SIQ26:SIY26"/>
    <mergeCell ref="SIZ26:SJH26"/>
    <mergeCell ref="SFW26:SGE26"/>
    <mergeCell ref="SGF26:SGN26"/>
    <mergeCell ref="SGO26:SGW26"/>
    <mergeCell ref="SGX26:SHF26"/>
    <mergeCell ref="SHG26:SHO26"/>
    <mergeCell ref="SED26:SEL26"/>
    <mergeCell ref="SEM26:SEU26"/>
    <mergeCell ref="SEV26:SFD26"/>
    <mergeCell ref="SFE26:SFM26"/>
    <mergeCell ref="SFN26:SFV26"/>
    <mergeCell ref="SCK26:SCS26"/>
    <mergeCell ref="SCT26:SDB26"/>
    <mergeCell ref="SDC26:SDK26"/>
    <mergeCell ref="SDL26:SDT26"/>
    <mergeCell ref="SDU26:SEC26"/>
    <mergeCell ref="SAR26:SAZ26"/>
    <mergeCell ref="SBA26:SBI26"/>
    <mergeCell ref="SBJ26:SBR26"/>
    <mergeCell ref="SBS26:SCA26"/>
    <mergeCell ref="SCB26:SCJ26"/>
    <mergeCell ref="RYY26:RZG26"/>
    <mergeCell ref="RZH26:RZP26"/>
    <mergeCell ref="RZQ26:RZY26"/>
    <mergeCell ref="RZZ26:SAH26"/>
    <mergeCell ref="SAI26:SAQ26"/>
    <mergeCell ref="RXF26:RXN26"/>
    <mergeCell ref="RXO26:RXW26"/>
    <mergeCell ref="RXX26:RYF26"/>
    <mergeCell ref="RYG26:RYO26"/>
    <mergeCell ref="RYP26:RYX26"/>
    <mergeCell ref="RVM26:RVU26"/>
    <mergeCell ref="RVV26:RWD26"/>
    <mergeCell ref="RWE26:RWM26"/>
    <mergeCell ref="RWN26:RWV26"/>
    <mergeCell ref="RWW26:RXE26"/>
    <mergeCell ref="RTT26:RUB26"/>
    <mergeCell ref="RUC26:RUK26"/>
    <mergeCell ref="RUL26:RUT26"/>
    <mergeCell ref="RUU26:RVC26"/>
    <mergeCell ref="RVD26:RVL26"/>
    <mergeCell ref="RSA26:RSI26"/>
    <mergeCell ref="RSJ26:RSR26"/>
    <mergeCell ref="RSS26:RTA26"/>
    <mergeCell ref="RTB26:RTJ26"/>
    <mergeCell ref="RTK26:RTS26"/>
    <mergeCell ref="RQH26:RQP26"/>
    <mergeCell ref="RQQ26:RQY26"/>
    <mergeCell ref="RQZ26:RRH26"/>
    <mergeCell ref="RRI26:RRQ26"/>
    <mergeCell ref="RRR26:RRZ26"/>
    <mergeCell ref="ROO26:ROW26"/>
    <mergeCell ref="ROX26:RPF26"/>
    <mergeCell ref="RPG26:RPO26"/>
    <mergeCell ref="RPP26:RPX26"/>
    <mergeCell ref="RPY26:RQG26"/>
    <mergeCell ref="RMV26:RND26"/>
    <mergeCell ref="RNE26:RNM26"/>
    <mergeCell ref="RNN26:RNV26"/>
    <mergeCell ref="RNW26:ROE26"/>
    <mergeCell ref="ROF26:RON26"/>
    <mergeCell ref="RLC26:RLK26"/>
    <mergeCell ref="RLL26:RLT26"/>
    <mergeCell ref="RLU26:RMC26"/>
    <mergeCell ref="RMD26:RML26"/>
    <mergeCell ref="RMM26:RMU26"/>
    <mergeCell ref="RJJ26:RJR26"/>
    <mergeCell ref="RJS26:RKA26"/>
    <mergeCell ref="RKB26:RKJ26"/>
    <mergeCell ref="RKK26:RKS26"/>
    <mergeCell ref="RKT26:RLB26"/>
    <mergeCell ref="RHQ26:RHY26"/>
    <mergeCell ref="RHZ26:RIH26"/>
    <mergeCell ref="RII26:RIQ26"/>
    <mergeCell ref="RIR26:RIZ26"/>
    <mergeCell ref="RJA26:RJI26"/>
    <mergeCell ref="RFX26:RGF26"/>
    <mergeCell ref="RGG26:RGO26"/>
    <mergeCell ref="RGP26:RGX26"/>
    <mergeCell ref="RGY26:RHG26"/>
    <mergeCell ref="RHH26:RHP26"/>
    <mergeCell ref="REE26:REM26"/>
    <mergeCell ref="REN26:REV26"/>
    <mergeCell ref="REW26:RFE26"/>
    <mergeCell ref="RFF26:RFN26"/>
    <mergeCell ref="RFO26:RFW26"/>
    <mergeCell ref="RCL26:RCT26"/>
    <mergeCell ref="RCU26:RDC26"/>
    <mergeCell ref="RDD26:RDL26"/>
    <mergeCell ref="RDM26:RDU26"/>
    <mergeCell ref="RDV26:RED26"/>
    <mergeCell ref="RAS26:RBA26"/>
    <mergeCell ref="RBB26:RBJ26"/>
    <mergeCell ref="RBK26:RBS26"/>
    <mergeCell ref="RBT26:RCB26"/>
    <mergeCell ref="RCC26:RCK26"/>
    <mergeCell ref="QYZ26:QZH26"/>
    <mergeCell ref="QZI26:QZQ26"/>
    <mergeCell ref="QZR26:QZZ26"/>
    <mergeCell ref="RAA26:RAI26"/>
    <mergeCell ref="RAJ26:RAR26"/>
    <mergeCell ref="QXG26:QXO26"/>
    <mergeCell ref="QXP26:QXX26"/>
    <mergeCell ref="QXY26:QYG26"/>
    <mergeCell ref="QYH26:QYP26"/>
    <mergeCell ref="QYQ26:QYY26"/>
    <mergeCell ref="QVN26:QVV26"/>
    <mergeCell ref="QVW26:QWE26"/>
    <mergeCell ref="QWF26:QWN26"/>
    <mergeCell ref="QWO26:QWW26"/>
    <mergeCell ref="QWX26:QXF26"/>
    <mergeCell ref="QTU26:QUC26"/>
    <mergeCell ref="QUD26:QUL26"/>
    <mergeCell ref="QUM26:QUU26"/>
    <mergeCell ref="QUV26:QVD26"/>
    <mergeCell ref="QVE26:QVM26"/>
    <mergeCell ref="QSB26:QSJ26"/>
    <mergeCell ref="QSK26:QSS26"/>
    <mergeCell ref="QST26:QTB26"/>
    <mergeCell ref="QTC26:QTK26"/>
    <mergeCell ref="QTL26:QTT26"/>
    <mergeCell ref="QQI26:QQQ26"/>
    <mergeCell ref="QQR26:QQZ26"/>
    <mergeCell ref="QRA26:QRI26"/>
    <mergeCell ref="QRJ26:QRR26"/>
    <mergeCell ref="QRS26:QSA26"/>
    <mergeCell ref="QOP26:QOX26"/>
    <mergeCell ref="QOY26:QPG26"/>
    <mergeCell ref="QPH26:QPP26"/>
    <mergeCell ref="QPQ26:QPY26"/>
    <mergeCell ref="QPZ26:QQH26"/>
    <mergeCell ref="QMW26:QNE26"/>
    <mergeCell ref="QNF26:QNN26"/>
    <mergeCell ref="QNO26:QNW26"/>
    <mergeCell ref="QNX26:QOF26"/>
    <mergeCell ref="QOG26:QOO26"/>
    <mergeCell ref="QLD26:QLL26"/>
    <mergeCell ref="QLM26:QLU26"/>
    <mergeCell ref="QLV26:QMD26"/>
    <mergeCell ref="QME26:QMM26"/>
    <mergeCell ref="QMN26:QMV26"/>
    <mergeCell ref="QJK26:QJS26"/>
    <mergeCell ref="QJT26:QKB26"/>
    <mergeCell ref="QKC26:QKK26"/>
    <mergeCell ref="QKL26:QKT26"/>
    <mergeCell ref="QKU26:QLC26"/>
    <mergeCell ref="QHR26:QHZ26"/>
    <mergeCell ref="QIA26:QII26"/>
    <mergeCell ref="QIJ26:QIR26"/>
    <mergeCell ref="QIS26:QJA26"/>
    <mergeCell ref="QJB26:QJJ26"/>
    <mergeCell ref="QFY26:QGG26"/>
    <mergeCell ref="QGH26:QGP26"/>
    <mergeCell ref="QGQ26:QGY26"/>
    <mergeCell ref="QGZ26:QHH26"/>
    <mergeCell ref="QHI26:QHQ26"/>
    <mergeCell ref="QEF26:QEN26"/>
    <mergeCell ref="QEO26:QEW26"/>
    <mergeCell ref="QEX26:QFF26"/>
    <mergeCell ref="QFG26:QFO26"/>
    <mergeCell ref="QFP26:QFX26"/>
    <mergeCell ref="QCM26:QCU26"/>
    <mergeCell ref="QCV26:QDD26"/>
    <mergeCell ref="QDE26:QDM26"/>
    <mergeCell ref="QDN26:QDV26"/>
    <mergeCell ref="QDW26:QEE26"/>
    <mergeCell ref="QAT26:QBB26"/>
    <mergeCell ref="QBC26:QBK26"/>
    <mergeCell ref="QBL26:QBT26"/>
    <mergeCell ref="QBU26:QCC26"/>
    <mergeCell ref="QCD26:QCL26"/>
    <mergeCell ref="PZA26:PZI26"/>
    <mergeCell ref="PZJ26:PZR26"/>
    <mergeCell ref="PZS26:QAA26"/>
    <mergeCell ref="QAB26:QAJ26"/>
    <mergeCell ref="QAK26:QAS26"/>
    <mergeCell ref="PXH26:PXP26"/>
    <mergeCell ref="PXQ26:PXY26"/>
    <mergeCell ref="PXZ26:PYH26"/>
    <mergeCell ref="PYI26:PYQ26"/>
    <mergeCell ref="PYR26:PYZ26"/>
    <mergeCell ref="PVO26:PVW26"/>
    <mergeCell ref="PVX26:PWF26"/>
    <mergeCell ref="PWG26:PWO26"/>
    <mergeCell ref="PWP26:PWX26"/>
    <mergeCell ref="PWY26:PXG26"/>
    <mergeCell ref="PTV26:PUD26"/>
    <mergeCell ref="PUE26:PUM26"/>
    <mergeCell ref="PUN26:PUV26"/>
    <mergeCell ref="PUW26:PVE26"/>
    <mergeCell ref="PVF26:PVN26"/>
    <mergeCell ref="PSC26:PSK26"/>
    <mergeCell ref="PSL26:PST26"/>
    <mergeCell ref="PSU26:PTC26"/>
    <mergeCell ref="PTD26:PTL26"/>
    <mergeCell ref="PTM26:PTU26"/>
    <mergeCell ref="PQJ26:PQR26"/>
    <mergeCell ref="PQS26:PRA26"/>
    <mergeCell ref="PRB26:PRJ26"/>
    <mergeCell ref="PRK26:PRS26"/>
    <mergeCell ref="PRT26:PSB26"/>
    <mergeCell ref="POQ26:POY26"/>
    <mergeCell ref="POZ26:PPH26"/>
    <mergeCell ref="PPI26:PPQ26"/>
    <mergeCell ref="PPR26:PPZ26"/>
    <mergeCell ref="PQA26:PQI26"/>
    <mergeCell ref="PMX26:PNF26"/>
    <mergeCell ref="PNG26:PNO26"/>
    <mergeCell ref="PNP26:PNX26"/>
    <mergeCell ref="PNY26:POG26"/>
    <mergeCell ref="POH26:POP26"/>
    <mergeCell ref="PLE26:PLM26"/>
    <mergeCell ref="PLN26:PLV26"/>
    <mergeCell ref="PLW26:PME26"/>
    <mergeCell ref="PMF26:PMN26"/>
    <mergeCell ref="PMO26:PMW26"/>
    <mergeCell ref="PJL26:PJT26"/>
    <mergeCell ref="PJU26:PKC26"/>
    <mergeCell ref="PKD26:PKL26"/>
    <mergeCell ref="PKM26:PKU26"/>
    <mergeCell ref="PKV26:PLD26"/>
    <mergeCell ref="PHS26:PIA26"/>
    <mergeCell ref="PIB26:PIJ26"/>
    <mergeCell ref="PIK26:PIS26"/>
    <mergeCell ref="PIT26:PJB26"/>
    <mergeCell ref="PJC26:PJK26"/>
    <mergeCell ref="PFZ26:PGH26"/>
    <mergeCell ref="PGI26:PGQ26"/>
    <mergeCell ref="PGR26:PGZ26"/>
    <mergeCell ref="PHA26:PHI26"/>
    <mergeCell ref="PHJ26:PHR26"/>
    <mergeCell ref="PEG26:PEO26"/>
    <mergeCell ref="PEP26:PEX26"/>
    <mergeCell ref="PEY26:PFG26"/>
    <mergeCell ref="PFH26:PFP26"/>
    <mergeCell ref="PFQ26:PFY26"/>
    <mergeCell ref="PCN26:PCV26"/>
    <mergeCell ref="PCW26:PDE26"/>
    <mergeCell ref="PDF26:PDN26"/>
    <mergeCell ref="PDO26:PDW26"/>
    <mergeCell ref="PDX26:PEF26"/>
    <mergeCell ref="PAU26:PBC26"/>
    <mergeCell ref="PBD26:PBL26"/>
    <mergeCell ref="PBM26:PBU26"/>
    <mergeCell ref="PBV26:PCD26"/>
    <mergeCell ref="PCE26:PCM26"/>
    <mergeCell ref="OZB26:OZJ26"/>
    <mergeCell ref="OZK26:OZS26"/>
    <mergeCell ref="OZT26:PAB26"/>
    <mergeCell ref="PAC26:PAK26"/>
    <mergeCell ref="PAL26:PAT26"/>
    <mergeCell ref="OXI26:OXQ26"/>
    <mergeCell ref="OXR26:OXZ26"/>
    <mergeCell ref="OYA26:OYI26"/>
    <mergeCell ref="OYJ26:OYR26"/>
    <mergeCell ref="OYS26:OZA26"/>
    <mergeCell ref="OVP26:OVX26"/>
    <mergeCell ref="OVY26:OWG26"/>
    <mergeCell ref="OWH26:OWP26"/>
    <mergeCell ref="OWQ26:OWY26"/>
    <mergeCell ref="OWZ26:OXH26"/>
    <mergeCell ref="OTW26:OUE26"/>
    <mergeCell ref="OUF26:OUN26"/>
    <mergeCell ref="OUO26:OUW26"/>
    <mergeCell ref="OUX26:OVF26"/>
    <mergeCell ref="OVG26:OVO26"/>
    <mergeCell ref="OSD26:OSL26"/>
    <mergeCell ref="OSM26:OSU26"/>
    <mergeCell ref="OSV26:OTD26"/>
    <mergeCell ref="OTE26:OTM26"/>
    <mergeCell ref="OTN26:OTV26"/>
    <mergeCell ref="OQK26:OQS26"/>
    <mergeCell ref="OQT26:ORB26"/>
    <mergeCell ref="ORC26:ORK26"/>
    <mergeCell ref="ORL26:ORT26"/>
    <mergeCell ref="ORU26:OSC26"/>
    <mergeCell ref="OOR26:OOZ26"/>
    <mergeCell ref="OPA26:OPI26"/>
    <mergeCell ref="OPJ26:OPR26"/>
    <mergeCell ref="OPS26:OQA26"/>
    <mergeCell ref="OQB26:OQJ26"/>
    <mergeCell ref="OMY26:ONG26"/>
    <mergeCell ref="ONH26:ONP26"/>
    <mergeCell ref="ONQ26:ONY26"/>
    <mergeCell ref="ONZ26:OOH26"/>
    <mergeCell ref="OOI26:OOQ26"/>
    <mergeCell ref="OLF26:OLN26"/>
    <mergeCell ref="OLO26:OLW26"/>
    <mergeCell ref="OLX26:OMF26"/>
    <mergeCell ref="OMG26:OMO26"/>
    <mergeCell ref="OMP26:OMX26"/>
    <mergeCell ref="OJM26:OJU26"/>
    <mergeCell ref="OJV26:OKD26"/>
    <mergeCell ref="OKE26:OKM26"/>
    <mergeCell ref="OKN26:OKV26"/>
    <mergeCell ref="OKW26:OLE26"/>
    <mergeCell ref="OHT26:OIB26"/>
    <mergeCell ref="OIC26:OIK26"/>
    <mergeCell ref="OIL26:OIT26"/>
    <mergeCell ref="OIU26:OJC26"/>
    <mergeCell ref="OJD26:OJL26"/>
    <mergeCell ref="OGA26:OGI26"/>
    <mergeCell ref="OGJ26:OGR26"/>
    <mergeCell ref="OGS26:OHA26"/>
    <mergeCell ref="OHB26:OHJ26"/>
    <mergeCell ref="OHK26:OHS26"/>
    <mergeCell ref="OEH26:OEP26"/>
    <mergeCell ref="OEQ26:OEY26"/>
    <mergeCell ref="OEZ26:OFH26"/>
    <mergeCell ref="OFI26:OFQ26"/>
    <mergeCell ref="OFR26:OFZ26"/>
    <mergeCell ref="OCO26:OCW26"/>
    <mergeCell ref="OCX26:ODF26"/>
    <mergeCell ref="ODG26:ODO26"/>
    <mergeCell ref="ODP26:ODX26"/>
    <mergeCell ref="ODY26:OEG26"/>
    <mergeCell ref="OAV26:OBD26"/>
    <mergeCell ref="OBE26:OBM26"/>
    <mergeCell ref="OBN26:OBV26"/>
    <mergeCell ref="OBW26:OCE26"/>
    <mergeCell ref="OCF26:OCN26"/>
    <mergeCell ref="NZC26:NZK26"/>
    <mergeCell ref="NZL26:NZT26"/>
    <mergeCell ref="NZU26:OAC26"/>
    <mergeCell ref="OAD26:OAL26"/>
    <mergeCell ref="OAM26:OAU26"/>
    <mergeCell ref="NXJ26:NXR26"/>
    <mergeCell ref="NXS26:NYA26"/>
    <mergeCell ref="NYB26:NYJ26"/>
    <mergeCell ref="NYK26:NYS26"/>
    <mergeCell ref="NYT26:NZB26"/>
    <mergeCell ref="NVQ26:NVY26"/>
    <mergeCell ref="NVZ26:NWH26"/>
    <mergeCell ref="NWI26:NWQ26"/>
    <mergeCell ref="NWR26:NWZ26"/>
    <mergeCell ref="NXA26:NXI26"/>
    <mergeCell ref="NTX26:NUF26"/>
    <mergeCell ref="NUG26:NUO26"/>
    <mergeCell ref="NUP26:NUX26"/>
    <mergeCell ref="NUY26:NVG26"/>
    <mergeCell ref="NVH26:NVP26"/>
    <mergeCell ref="NSE26:NSM26"/>
    <mergeCell ref="NSN26:NSV26"/>
    <mergeCell ref="NSW26:NTE26"/>
    <mergeCell ref="NTF26:NTN26"/>
    <mergeCell ref="NTO26:NTW26"/>
    <mergeCell ref="NQL26:NQT26"/>
    <mergeCell ref="NQU26:NRC26"/>
    <mergeCell ref="NRD26:NRL26"/>
    <mergeCell ref="NRM26:NRU26"/>
    <mergeCell ref="NRV26:NSD26"/>
    <mergeCell ref="NOS26:NPA26"/>
    <mergeCell ref="NPB26:NPJ26"/>
    <mergeCell ref="NPK26:NPS26"/>
    <mergeCell ref="NPT26:NQB26"/>
    <mergeCell ref="NQC26:NQK26"/>
    <mergeCell ref="NMZ26:NNH26"/>
    <mergeCell ref="NNI26:NNQ26"/>
    <mergeCell ref="NNR26:NNZ26"/>
    <mergeCell ref="NOA26:NOI26"/>
    <mergeCell ref="NOJ26:NOR26"/>
    <mergeCell ref="NLG26:NLO26"/>
    <mergeCell ref="NLP26:NLX26"/>
    <mergeCell ref="NLY26:NMG26"/>
    <mergeCell ref="NMH26:NMP26"/>
    <mergeCell ref="NMQ26:NMY26"/>
    <mergeCell ref="NJN26:NJV26"/>
    <mergeCell ref="NJW26:NKE26"/>
    <mergeCell ref="NKF26:NKN26"/>
    <mergeCell ref="NKO26:NKW26"/>
    <mergeCell ref="NKX26:NLF26"/>
    <mergeCell ref="NHU26:NIC26"/>
    <mergeCell ref="NID26:NIL26"/>
    <mergeCell ref="NIM26:NIU26"/>
    <mergeCell ref="NIV26:NJD26"/>
    <mergeCell ref="NJE26:NJM26"/>
    <mergeCell ref="NGB26:NGJ26"/>
    <mergeCell ref="NGK26:NGS26"/>
    <mergeCell ref="NGT26:NHB26"/>
    <mergeCell ref="NHC26:NHK26"/>
    <mergeCell ref="NHL26:NHT26"/>
    <mergeCell ref="NEI26:NEQ26"/>
    <mergeCell ref="NER26:NEZ26"/>
    <mergeCell ref="NFA26:NFI26"/>
    <mergeCell ref="NFJ26:NFR26"/>
    <mergeCell ref="NFS26:NGA26"/>
    <mergeCell ref="NCP26:NCX26"/>
    <mergeCell ref="NCY26:NDG26"/>
    <mergeCell ref="NDH26:NDP26"/>
    <mergeCell ref="NDQ26:NDY26"/>
    <mergeCell ref="NDZ26:NEH26"/>
    <mergeCell ref="NAW26:NBE26"/>
    <mergeCell ref="NBF26:NBN26"/>
    <mergeCell ref="NBO26:NBW26"/>
    <mergeCell ref="NBX26:NCF26"/>
    <mergeCell ref="NCG26:NCO26"/>
    <mergeCell ref="MZD26:MZL26"/>
    <mergeCell ref="MZM26:MZU26"/>
    <mergeCell ref="MZV26:NAD26"/>
    <mergeCell ref="NAE26:NAM26"/>
    <mergeCell ref="NAN26:NAV26"/>
    <mergeCell ref="MXK26:MXS26"/>
    <mergeCell ref="MXT26:MYB26"/>
    <mergeCell ref="MYC26:MYK26"/>
    <mergeCell ref="MYL26:MYT26"/>
    <mergeCell ref="MYU26:MZC26"/>
    <mergeCell ref="MVR26:MVZ26"/>
    <mergeCell ref="MWA26:MWI26"/>
    <mergeCell ref="MWJ26:MWR26"/>
    <mergeCell ref="MWS26:MXA26"/>
    <mergeCell ref="MXB26:MXJ26"/>
    <mergeCell ref="MTY26:MUG26"/>
    <mergeCell ref="MUH26:MUP26"/>
    <mergeCell ref="MUQ26:MUY26"/>
    <mergeCell ref="MUZ26:MVH26"/>
    <mergeCell ref="MVI26:MVQ26"/>
    <mergeCell ref="MSF26:MSN26"/>
    <mergeCell ref="MSO26:MSW26"/>
    <mergeCell ref="MSX26:MTF26"/>
    <mergeCell ref="MTG26:MTO26"/>
    <mergeCell ref="MTP26:MTX26"/>
    <mergeCell ref="MQM26:MQU26"/>
    <mergeCell ref="MQV26:MRD26"/>
    <mergeCell ref="MRE26:MRM26"/>
    <mergeCell ref="MRN26:MRV26"/>
    <mergeCell ref="MRW26:MSE26"/>
    <mergeCell ref="MOT26:MPB26"/>
    <mergeCell ref="MPC26:MPK26"/>
    <mergeCell ref="MPL26:MPT26"/>
    <mergeCell ref="MPU26:MQC26"/>
    <mergeCell ref="MQD26:MQL26"/>
    <mergeCell ref="MNA26:MNI26"/>
    <mergeCell ref="MNJ26:MNR26"/>
    <mergeCell ref="MNS26:MOA26"/>
    <mergeCell ref="MOB26:MOJ26"/>
    <mergeCell ref="MOK26:MOS26"/>
    <mergeCell ref="MLH26:MLP26"/>
    <mergeCell ref="MLQ26:MLY26"/>
    <mergeCell ref="MLZ26:MMH26"/>
    <mergeCell ref="MMI26:MMQ26"/>
    <mergeCell ref="MMR26:MMZ26"/>
    <mergeCell ref="MJO26:MJW26"/>
    <mergeCell ref="MJX26:MKF26"/>
    <mergeCell ref="MKG26:MKO26"/>
    <mergeCell ref="MKP26:MKX26"/>
    <mergeCell ref="MKY26:MLG26"/>
    <mergeCell ref="MHV26:MID26"/>
    <mergeCell ref="MIE26:MIM26"/>
    <mergeCell ref="MIN26:MIV26"/>
    <mergeCell ref="MIW26:MJE26"/>
    <mergeCell ref="MJF26:MJN26"/>
    <mergeCell ref="MGC26:MGK26"/>
    <mergeCell ref="MGL26:MGT26"/>
    <mergeCell ref="MGU26:MHC26"/>
    <mergeCell ref="MHD26:MHL26"/>
    <mergeCell ref="MHM26:MHU26"/>
    <mergeCell ref="MEJ26:MER26"/>
    <mergeCell ref="MES26:MFA26"/>
    <mergeCell ref="MFB26:MFJ26"/>
    <mergeCell ref="MFK26:MFS26"/>
    <mergeCell ref="MFT26:MGB26"/>
    <mergeCell ref="MCQ26:MCY26"/>
    <mergeCell ref="MCZ26:MDH26"/>
    <mergeCell ref="MDI26:MDQ26"/>
    <mergeCell ref="MDR26:MDZ26"/>
    <mergeCell ref="MEA26:MEI26"/>
    <mergeCell ref="MAX26:MBF26"/>
    <mergeCell ref="MBG26:MBO26"/>
    <mergeCell ref="MBP26:MBX26"/>
    <mergeCell ref="MBY26:MCG26"/>
    <mergeCell ref="MCH26:MCP26"/>
    <mergeCell ref="LZE26:LZM26"/>
    <mergeCell ref="LZN26:LZV26"/>
    <mergeCell ref="LZW26:MAE26"/>
    <mergeCell ref="MAF26:MAN26"/>
    <mergeCell ref="MAO26:MAW26"/>
    <mergeCell ref="LXL26:LXT26"/>
    <mergeCell ref="LXU26:LYC26"/>
    <mergeCell ref="LYD26:LYL26"/>
    <mergeCell ref="LYM26:LYU26"/>
    <mergeCell ref="LYV26:LZD26"/>
    <mergeCell ref="LVS26:LWA26"/>
    <mergeCell ref="LWB26:LWJ26"/>
    <mergeCell ref="LWK26:LWS26"/>
    <mergeCell ref="LWT26:LXB26"/>
    <mergeCell ref="LXC26:LXK26"/>
    <mergeCell ref="LTZ26:LUH26"/>
    <mergeCell ref="LUI26:LUQ26"/>
    <mergeCell ref="LUR26:LUZ26"/>
    <mergeCell ref="LVA26:LVI26"/>
    <mergeCell ref="LVJ26:LVR26"/>
    <mergeCell ref="LSG26:LSO26"/>
    <mergeCell ref="LSP26:LSX26"/>
    <mergeCell ref="LSY26:LTG26"/>
    <mergeCell ref="LTH26:LTP26"/>
    <mergeCell ref="LTQ26:LTY26"/>
    <mergeCell ref="LQN26:LQV26"/>
    <mergeCell ref="LQW26:LRE26"/>
    <mergeCell ref="LRF26:LRN26"/>
    <mergeCell ref="LRO26:LRW26"/>
    <mergeCell ref="LRX26:LSF26"/>
    <mergeCell ref="LOU26:LPC26"/>
    <mergeCell ref="LPD26:LPL26"/>
    <mergeCell ref="LPM26:LPU26"/>
    <mergeCell ref="LPV26:LQD26"/>
    <mergeCell ref="LQE26:LQM26"/>
    <mergeCell ref="LNB26:LNJ26"/>
    <mergeCell ref="LNK26:LNS26"/>
    <mergeCell ref="LNT26:LOB26"/>
    <mergeCell ref="LOC26:LOK26"/>
    <mergeCell ref="LOL26:LOT26"/>
    <mergeCell ref="LLI26:LLQ26"/>
    <mergeCell ref="LLR26:LLZ26"/>
    <mergeCell ref="LMA26:LMI26"/>
    <mergeCell ref="LMJ26:LMR26"/>
    <mergeCell ref="LMS26:LNA26"/>
    <mergeCell ref="LJP26:LJX26"/>
    <mergeCell ref="LJY26:LKG26"/>
    <mergeCell ref="LKH26:LKP26"/>
    <mergeCell ref="LKQ26:LKY26"/>
    <mergeCell ref="LKZ26:LLH26"/>
    <mergeCell ref="LHW26:LIE26"/>
    <mergeCell ref="LIF26:LIN26"/>
    <mergeCell ref="LIO26:LIW26"/>
    <mergeCell ref="LIX26:LJF26"/>
    <mergeCell ref="LJG26:LJO26"/>
    <mergeCell ref="LGD26:LGL26"/>
    <mergeCell ref="LGM26:LGU26"/>
    <mergeCell ref="LGV26:LHD26"/>
    <mergeCell ref="LHE26:LHM26"/>
    <mergeCell ref="LHN26:LHV26"/>
    <mergeCell ref="LEK26:LES26"/>
    <mergeCell ref="LET26:LFB26"/>
    <mergeCell ref="LFC26:LFK26"/>
    <mergeCell ref="LFL26:LFT26"/>
    <mergeCell ref="LFU26:LGC26"/>
    <mergeCell ref="LCR26:LCZ26"/>
    <mergeCell ref="LDA26:LDI26"/>
    <mergeCell ref="LDJ26:LDR26"/>
    <mergeCell ref="LDS26:LEA26"/>
    <mergeCell ref="LEB26:LEJ26"/>
    <mergeCell ref="LAY26:LBG26"/>
    <mergeCell ref="LBH26:LBP26"/>
    <mergeCell ref="LBQ26:LBY26"/>
    <mergeCell ref="LBZ26:LCH26"/>
    <mergeCell ref="LCI26:LCQ26"/>
    <mergeCell ref="KZF26:KZN26"/>
    <mergeCell ref="KZO26:KZW26"/>
    <mergeCell ref="KZX26:LAF26"/>
    <mergeCell ref="LAG26:LAO26"/>
    <mergeCell ref="LAP26:LAX26"/>
    <mergeCell ref="KXM26:KXU26"/>
    <mergeCell ref="KXV26:KYD26"/>
    <mergeCell ref="KYE26:KYM26"/>
    <mergeCell ref="KYN26:KYV26"/>
    <mergeCell ref="KYW26:KZE26"/>
    <mergeCell ref="KVT26:KWB26"/>
    <mergeCell ref="KWC26:KWK26"/>
    <mergeCell ref="KWL26:KWT26"/>
    <mergeCell ref="KWU26:KXC26"/>
    <mergeCell ref="KXD26:KXL26"/>
    <mergeCell ref="KUA26:KUI26"/>
    <mergeCell ref="KUJ26:KUR26"/>
    <mergeCell ref="KUS26:KVA26"/>
    <mergeCell ref="KVB26:KVJ26"/>
    <mergeCell ref="KVK26:KVS26"/>
    <mergeCell ref="KSH26:KSP26"/>
    <mergeCell ref="KSQ26:KSY26"/>
    <mergeCell ref="KSZ26:KTH26"/>
    <mergeCell ref="KTI26:KTQ26"/>
    <mergeCell ref="KTR26:KTZ26"/>
    <mergeCell ref="KQO26:KQW26"/>
    <mergeCell ref="KQX26:KRF26"/>
    <mergeCell ref="KRG26:KRO26"/>
    <mergeCell ref="KRP26:KRX26"/>
    <mergeCell ref="KRY26:KSG26"/>
    <mergeCell ref="KOV26:KPD26"/>
    <mergeCell ref="KPE26:KPM26"/>
    <mergeCell ref="KPN26:KPV26"/>
    <mergeCell ref="KPW26:KQE26"/>
    <mergeCell ref="KQF26:KQN26"/>
    <mergeCell ref="KNC26:KNK26"/>
    <mergeCell ref="KNL26:KNT26"/>
    <mergeCell ref="KNU26:KOC26"/>
    <mergeCell ref="KOD26:KOL26"/>
    <mergeCell ref="KOM26:KOU26"/>
    <mergeCell ref="KLJ26:KLR26"/>
    <mergeCell ref="KLS26:KMA26"/>
    <mergeCell ref="KMB26:KMJ26"/>
    <mergeCell ref="KMK26:KMS26"/>
    <mergeCell ref="KMT26:KNB26"/>
    <mergeCell ref="KJQ26:KJY26"/>
    <mergeCell ref="KJZ26:KKH26"/>
    <mergeCell ref="KKI26:KKQ26"/>
    <mergeCell ref="KKR26:KKZ26"/>
    <mergeCell ref="KLA26:KLI26"/>
    <mergeCell ref="KHX26:KIF26"/>
    <mergeCell ref="KIG26:KIO26"/>
    <mergeCell ref="KIP26:KIX26"/>
    <mergeCell ref="KIY26:KJG26"/>
    <mergeCell ref="KJH26:KJP26"/>
    <mergeCell ref="KGE26:KGM26"/>
    <mergeCell ref="KGN26:KGV26"/>
    <mergeCell ref="KGW26:KHE26"/>
    <mergeCell ref="KHF26:KHN26"/>
    <mergeCell ref="KHO26:KHW26"/>
    <mergeCell ref="KEL26:KET26"/>
    <mergeCell ref="KEU26:KFC26"/>
    <mergeCell ref="KFD26:KFL26"/>
    <mergeCell ref="KFM26:KFU26"/>
    <mergeCell ref="KFV26:KGD26"/>
    <mergeCell ref="KCS26:KDA26"/>
    <mergeCell ref="KDB26:KDJ26"/>
    <mergeCell ref="KDK26:KDS26"/>
    <mergeCell ref="KDT26:KEB26"/>
    <mergeCell ref="KEC26:KEK26"/>
    <mergeCell ref="KAZ26:KBH26"/>
    <mergeCell ref="KBI26:KBQ26"/>
    <mergeCell ref="KBR26:KBZ26"/>
    <mergeCell ref="KCA26:KCI26"/>
    <mergeCell ref="KCJ26:KCR26"/>
    <mergeCell ref="JZG26:JZO26"/>
    <mergeCell ref="JZP26:JZX26"/>
    <mergeCell ref="JZY26:KAG26"/>
    <mergeCell ref="KAH26:KAP26"/>
    <mergeCell ref="KAQ26:KAY26"/>
    <mergeCell ref="JXN26:JXV26"/>
    <mergeCell ref="JXW26:JYE26"/>
    <mergeCell ref="JYF26:JYN26"/>
    <mergeCell ref="JYO26:JYW26"/>
    <mergeCell ref="JYX26:JZF26"/>
    <mergeCell ref="JVU26:JWC26"/>
    <mergeCell ref="JWD26:JWL26"/>
    <mergeCell ref="JWM26:JWU26"/>
    <mergeCell ref="JWV26:JXD26"/>
    <mergeCell ref="JXE26:JXM26"/>
    <mergeCell ref="JUB26:JUJ26"/>
    <mergeCell ref="JUK26:JUS26"/>
    <mergeCell ref="JUT26:JVB26"/>
    <mergeCell ref="JVC26:JVK26"/>
    <mergeCell ref="JVL26:JVT26"/>
    <mergeCell ref="JSI26:JSQ26"/>
    <mergeCell ref="JSR26:JSZ26"/>
    <mergeCell ref="JTA26:JTI26"/>
    <mergeCell ref="JTJ26:JTR26"/>
    <mergeCell ref="JTS26:JUA26"/>
    <mergeCell ref="JQP26:JQX26"/>
    <mergeCell ref="JQY26:JRG26"/>
    <mergeCell ref="JRH26:JRP26"/>
    <mergeCell ref="JRQ26:JRY26"/>
    <mergeCell ref="JRZ26:JSH26"/>
    <mergeCell ref="JOW26:JPE26"/>
    <mergeCell ref="JPF26:JPN26"/>
    <mergeCell ref="JPO26:JPW26"/>
    <mergeCell ref="JPX26:JQF26"/>
    <mergeCell ref="JQG26:JQO26"/>
    <mergeCell ref="JND26:JNL26"/>
    <mergeCell ref="JNM26:JNU26"/>
    <mergeCell ref="JNV26:JOD26"/>
    <mergeCell ref="JOE26:JOM26"/>
    <mergeCell ref="JON26:JOV26"/>
    <mergeCell ref="JLK26:JLS26"/>
    <mergeCell ref="JLT26:JMB26"/>
    <mergeCell ref="JMC26:JMK26"/>
    <mergeCell ref="JML26:JMT26"/>
    <mergeCell ref="JMU26:JNC26"/>
    <mergeCell ref="JJR26:JJZ26"/>
    <mergeCell ref="JKA26:JKI26"/>
    <mergeCell ref="JKJ26:JKR26"/>
    <mergeCell ref="JKS26:JLA26"/>
    <mergeCell ref="JLB26:JLJ26"/>
    <mergeCell ref="JHY26:JIG26"/>
    <mergeCell ref="JIH26:JIP26"/>
    <mergeCell ref="JIQ26:JIY26"/>
    <mergeCell ref="JIZ26:JJH26"/>
    <mergeCell ref="JJI26:JJQ26"/>
    <mergeCell ref="JGF26:JGN26"/>
    <mergeCell ref="JGO26:JGW26"/>
    <mergeCell ref="JGX26:JHF26"/>
    <mergeCell ref="JHG26:JHO26"/>
    <mergeCell ref="JHP26:JHX26"/>
    <mergeCell ref="JEM26:JEU26"/>
    <mergeCell ref="JEV26:JFD26"/>
    <mergeCell ref="JFE26:JFM26"/>
    <mergeCell ref="JFN26:JFV26"/>
    <mergeCell ref="JFW26:JGE26"/>
    <mergeCell ref="JCT26:JDB26"/>
    <mergeCell ref="JDC26:JDK26"/>
    <mergeCell ref="JDL26:JDT26"/>
    <mergeCell ref="JDU26:JEC26"/>
    <mergeCell ref="JED26:JEL26"/>
    <mergeCell ref="JBA26:JBI26"/>
    <mergeCell ref="JBJ26:JBR26"/>
    <mergeCell ref="JBS26:JCA26"/>
    <mergeCell ref="JCB26:JCJ26"/>
    <mergeCell ref="JCK26:JCS26"/>
    <mergeCell ref="IZH26:IZP26"/>
    <mergeCell ref="IZQ26:IZY26"/>
    <mergeCell ref="IZZ26:JAH26"/>
    <mergeCell ref="JAI26:JAQ26"/>
    <mergeCell ref="JAR26:JAZ26"/>
    <mergeCell ref="IXO26:IXW26"/>
    <mergeCell ref="IXX26:IYF26"/>
    <mergeCell ref="IYG26:IYO26"/>
    <mergeCell ref="IYP26:IYX26"/>
    <mergeCell ref="IYY26:IZG26"/>
    <mergeCell ref="IVV26:IWD26"/>
    <mergeCell ref="IWE26:IWM26"/>
    <mergeCell ref="IWN26:IWV26"/>
    <mergeCell ref="IWW26:IXE26"/>
    <mergeCell ref="IXF26:IXN26"/>
    <mergeCell ref="IUC26:IUK26"/>
    <mergeCell ref="IUL26:IUT26"/>
    <mergeCell ref="IUU26:IVC26"/>
    <mergeCell ref="IVD26:IVL26"/>
    <mergeCell ref="IVM26:IVU26"/>
    <mergeCell ref="ISJ26:ISR26"/>
    <mergeCell ref="ISS26:ITA26"/>
    <mergeCell ref="ITB26:ITJ26"/>
    <mergeCell ref="ITK26:ITS26"/>
    <mergeCell ref="ITT26:IUB26"/>
    <mergeCell ref="IQQ26:IQY26"/>
    <mergeCell ref="IQZ26:IRH26"/>
    <mergeCell ref="IRI26:IRQ26"/>
    <mergeCell ref="IRR26:IRZ26"/>
    <mergeCell ref="ISA26:ISI26"/>
    <mergeCell ref="IOX26:IPF26"/>
    <mergeCell ref="IPG26:IPO26"/>
    <mergeCell ref="IPP26:IPX26"/>
    <mergeCell ref="IPY26:IQG26"/>
    <mergeCell ref="IQH26:IQP26"/>
    <mergeCell ref="INE26:INM26"/>
    <mergeCell ref="INN26:INV26"/>
    <mergeCell ref="INW26:IOE26"/>
    <mergeCell ref="IOF26:ION26"/>
    <mergeCell ref="IOO26:IOW26"/>
    <mergeCell ref="ILL26:ILT26"/>
    <mergeCell ref="ILU26:IMC26"/>
    <mergeCell ref="IMD26:IML26"/>
    <mergeCell ref="IMM26:IMU26"/>
    <mergeCell ref="IMV26:IND26"/>
    <mergeCell ref="IJS26:IKA26"/>
    <mergeCell ref="IKB26:IKJ26"/>
    <mergeCell ref="IKK26:IKS26"/>
    <mergeCell ref="IKT26:ILB26"/>
    <mergeCell ref="ILC26:ILK26"/>
    <mergeCell ref="IHZ26:IIH26"/>
    <mergeCell ref="III26:IIQ26"/>
    <mergeCell ref="IIR26:IIZ26"/>
    <mergeCell ref="IJA26:IJI26"/>
    <mergeCell ref="IJJ26:IJR26"/>
    <mergeCell ref="IGG26:IGO26"/>
    <mergeCell ref="IGP26:IGX26"/>
    <mergeCell ref="IGY26:IHG26"/>
    <mergeCell ref="IHH26:IHP26"/>
    <mergeCell ref="IHQ26:IHY26"/>
    <mergeCell ref="IEN26:IEV26"/>
    <mergeCell ref="IEW26:IFE26"/>
    <mergeCell ref="IFF26:IFN26"/>
    <mergeCell ref="IFO26:IFW26"/>
    <mergeCell ref="IFX26:IGF26"/>
    <mergeCell ref="ICU26:IDC26"/>
    <mergeCell ref="IDD26:IDL26"/>
    <mergeCell ref="IDM26:IDU26"/>
    <mergeCell ref="IDV26:IED26"/>
    <mergeCell ref="IEE26:IEM26"/>
    <mergeCell ref="IBB26:IBJ26"/>
    <mergeCell ref="IBK26:IBS26"/>
    <mergeCell ref="IBT26:ICB26"/>
    <mergeCell ref="ICC26:ICK26"/>
    <mergeCell ref="ICL26:ICT26"/>
    <mergeCell ref="HZI26:HZQ26"/>
    <mergeCell ref="HZR26:HZZ26"/>
    <mergeCell ref="IAA26:IAI26"/>
    <mergeCell ref="IAJ26:IAR26"/>
    <mergeCell ref="IAS26:IBA26"/>
    <mergeCell ref="HXP26:HXX26"/>
    <mergeCell ref="HXY26:HYG26"/>
    <mergeCell ref="HYH26:HYP26"/>
    <mergeCell ref="HYQ26:HYY26"/>
    <mergeCell ref="HYZ26:HZH26"/>
    <mergeCell ref="HVW26:HWE26"/>
    <mergeCell ref="HWF26:HWN26"/>
    <mergeCell ref="HWO26:HWW26"/>
    <mergeCell ref="HWX26:HXF26"/>
    <mergeCell ref="HXG26:HXO26"/>
    <mergeCell ref="HUD26:HUL26"/>
    <mergeCell ref="HUM26:HUU26"/>
    <mergeCell ref="HUV26:HVD26"/>
    <mergeCell ref="HVE26:HVM26"/>
    <mergeCell ref="HVN26:HVV26"/>
    <mergeCell ref="HSK26:HSS26"/>
    <mergeCell ref="HST26:HTB26"/>
    <mergeCell ref="HTC26:HTK26"/>
    <mergeCell ref="HTL26:HTT26"/>
    <mergeCell ref="HTU26:HUC26"/>
    <mergeCell ref="HQR26:HQZ26"/>
    <mergeCell ref="HRA26:HRI26"/>
    <mergeCell ref="HRJ26:HRR26"/>
    <mergeCell ref="HRS26:HSA26"/>
    <mergeCell ref="HSB26:HSJ26"/>
    <mergeCell ref="HOY26:HPG26"/>
    <mergeCell ref="HPH26:HPP26"/>
    <mergeCell ref="HPQ26:HPY26"/>
    <mergeCell ref="HPZ26:HQH26"/>
    <mergeCell ref="HQI26:HQQ26"/>
    <mergeCell ref="HNF26:HNN26"/>
    <mergeCell ref="HNO26:HNW26"/>
    <mergeCell ref="HNX26:HOF26"/>
    <mergeCell ref="HOG26:HOO26"/>
    <mergeCell ref="HOP26:HOX26"/>
    <mergeCell ref="HLM26:HLU26"/>
    <mergeCell ref="HLV26:HMD26"/>
    <mergeCell ref="HME26:HMM26"/>
    <mergeCell ref="HMN26:HMV26"/>
    <mergeCell ref="HMW26:HNE26"/>
    <mergeCell ref="HJT26:HKB26"/>
    <mergeCell ref="HKC26:HKK26"/>
    <mergeCell ref="HKL26:HKT26"/>
    <mergeCell ref="HKU26:HLC26"/>
    <mergeCell ref="HLD26:HLL26"/>
    <mergeCell ref="HIA26:HII26"/>
    <mergeCell ref="HIJ26:HIR26"/>
    <mergeCell ref="HIS26:HJA26"/>
    <mergeCell ref="HJB26:HJJ26"/>
    <mergeCell ref="HJK26:HJS26"/>
    <mergeCell ref="HGH26:HGP26"/>
    <mergeCell ref="HGQ26:HGY26"/>
    <mergeCell ref="HGZ26:HHH26"/>
    <mergeCell ref="HHI26:HHQ26"/>
    <mergeCell ref="HHR26:HHZ26"/>
    <mergeCell ref="HEO26:HEW26"/>
    <mergeCell ref="HEX26:HFF26"/>
    <mergeCell ref="HFG26:HFO26"/>
    <mergeCell ref="HFP26:HFX26"/>
    <mergeCell ref="HFY26:HGG26"/>
    <mergeCell ref="HCV26:HDD26"/>
    <mergeCell ref="HDE26:HDM26"/>
    <mergeCell ref="HDN26:HDV26"/>
    <mergeCell ref="HDW26:HEE26"/>
    <mergeCell ref="HEF26:HEN26"/>
    <mergeCell ref="HBC26:HBK26"/>
    <mergeCell ref="HBL26:HBT26"/>
    <mergeCell ref="HBU26:HCC26"/>
    <mergeCell ref="HCD26:HCL26"/>
    <mergeCell ref="HCM26:HCU26"/>
    <mergeCell ref="GZJ26:GZR26"/>
    <mergeCell ref="GZS26:HAA26"/>
    <mergeCell ref="HAB26:HAJ26"/>
    <mergeCell ref="HAK26:HAS26"/>
    <mergeCell ref="HAT26:HBB26"/>
    <mergeCell ref="GXQ26:GXY26"/>
    <mergeCell ref="GXZ26:GYH26"/>
    <mergeCell ref="GYI26:GYQ26"/>
    <mergeCell ref="GYR26:GYZ26"/>
    <mergeCell ref="GZA26:GZI26"/>
    <mergeCell ref="GVX26:GWF26"/>
    <mergeCell ref="GWG26:GWO26"/>
    <mergeCell ref="GWP26:GWX26"/>
    <mergeCell ref="GWY26:GXG26"/>
    <mergeCell ref="GXH26:GXP26"/>
    <mergeCell ref="GUE26:GUM26"/>
    <mergeCell ref="GUN26:GUV26"/>
    <mergeCell ref="GUW26:GVE26"/>
    <mergeCell ref="GVF26:GVN26"/>
    <mergeCell ref="GVO26:GVW26"/>
    <mergeCell ref="GSL26:GST26"/>
    <mergeCell ref="GSU26:GTC26"/>
    <mergeCell ref="GTD26:GTL26"/>
    <mergeCell ref="GTM26:GTU26"/>
    <mergeCell ref="GTV26:GUD26"/>
    <mergeCell ref="GQS26:GRA26"/>
    <mergeCell ref="GRB26:GRJ26"/>
    <mergeCell ref="GRK26:GRS26"/>
    <mergeCell ref="GRT26:GSB26"/>
    <mergeCell ref="GSC26:GSK26"/>
    <mergeCell ref="GOZ26:GPH26"/>
    <mergeCell ref="GPI26:GPQ26"/>
    <mergeCell ref="GPR26:GPZ26"/>
    <mergeCell ref="GQA26:GQI26"/>
    <mergeCell ref="GQJ26:GQR26"/>
    <mergeCell ref="GNG26:GNO26"/>
    <mergeCell ref="GNP26:GNX26"/>
    <mergeCell ref="GNY26:GOG26"/>
    <mergeCell ref="GOH26:GOP26"/>
    <mergeCell ref="GOQ26:GOY26"/>
    <mergeCell ref="GLN26:GLV26"/>
    <mergeCell ref="GLW26:GME26"/>
    <mergeCell ref="GMF26:GMN26"/>
    <mergeCell ref="GMO26:GMW26"/>
    <mergeCell ref="GMX26:GNF26"/>
    <mergeCell ref="GJU26:GKC26"/>
    <mergeCell ref="GKD26:GKL26"/>
    <mergeCell ref="GKM26:GKU26"/>
    <mergeCell ref="GKV26:GLD26"/>
    <mergeCell ref="GLE26:GLM26"/>
    <mergeCell ref="GIB26:GIJ26"/>
    <mergeCell ref="GIK26:GIS26"/>
    <mergeCell ref="GIT26:GJB26"/>
    <mergeCell ref="GJC26:GJK26"/>
    <mergeCell ref="GJL26:GJT26"/>
    <mergeCell ref="GGI26:GGQ26"/>
    <mergeCell ref="GGR26:GGZ26"/>
    <mergeCell ref="GHA26:GHI26"/>
    <mergeCell ref="GHJ26:GHR26"/>
    <mergeCell ref="GHS26:GIA26"/>
    <mergeCell ref="GEP26:GEX26"/>
    <mergeCell ref="GEY26:GFG26"/>
    <mergeCell ref="GFH26:GFP26"/>
    <mergeCell ref="GFQ26:GFY26"/>
    <mergeCell ref="GFZ26:GGH26"/>
    <mergeCell ref="GCW26:GDE26"/>
    <mergeCell ref="GDF26:GDN26"/>
    <mergeCell ref="GDO26:GDW26"/>
    <mergeCell ref="GDX26:GEF26"/>
    <mergeCell ref="GEG26:GEO26"/>
    <mergeCell ref="GBD26:GBL26"/>
    <mergeCell ref="GBM26:GBU26"/>
    <mergeCell ref="GBV26:GCD26"/>
    <mergeCell ref="GCE26:GCM26"/>
    <mergeCell ref="GCN26:GCV26"/>
    <mergeCell ref="FZK26:FZS26"/>
    <mergeCell ref="FZT26:GAB26"/>
    <mergeCell ref="GAC26:GAK26"/>
    <mergeCell ref="GAL26:GAT26"/>
    <mergeCell ref="GAU26:GBC26"/>
    <mergeCell ref="FXR26:FXZ26"/>
    <mergeCell ref="FYA26:FYI26"/>
    <mergeCell ref="FYJ26:FYR26"/>
    <mergeCell ref="FYS26:FZA26"/>
    <mergeCell ref="FZB26:FZJ26"/>
    <mergeCell ref="FVY26:FWG26"/>
    <mergeCell ref="FWH26:FWP26"/>
    <mergeCell ref="FWQ26:FWY26"/>
    <mergeCell ref="FWZ26:FXH26"/>
    <mergeCell ref="FXI26:FXQ26"/>
    <mergeCell ref="FUF26:FUN26"/>
    <mergeCell ref="FUO26:FUW26"/>
    <mergeCell ref="FUX26:FVF26"/>
    <mergeCell ref="FVG26:FVO26"/>
    <mergeCell ref="FVP26:FVX26"/>
    <mergeCell ref="FSM26:FSU26"/>
    <mergeCell ref="FSV26:FTD26"/>
    <mergeCell ref="FTE26:FTM26"/>
    <mergeCell ref="FTN26:FTV26"/>
    <mergeCell ref="FTW26:FUE26"/>
    <mergeCell ref="FQT26:FRB26"/>
    <mergeCell ref="FRC26:FRK26"/>
    <mergeCell ref="FRL26:FRT26"/>
    <mergeCell ref="FRU26:FSC26"/>
    <mergeCell ref="FSD26:FSL26"/>
    <mergeCell ref="FPA26:FPI26"/>
    <mergeCell ref="FPJ26:FPR26"/>
    <mergeCell ref="FPS26:FQA26"/>
    <mergeCell ref="FQB26:FQJ26"/>
    <mergeCell ref="FQK26:FQS26"/>
    <mergeCell ref="FNH26:FNP26"/>
    <mergeCell ref="FNQ26:FNY26"/>
    <mergeCell ref="FNZ26:FOH26"/>
    <mergeCell ref="FOI26:FOQ26"/>
    <mergeCell ref="FOR26:FOZ26"/>
    <mergeCell ref="FLO26:FLW26"/>
    <mergeCell ref="FLX26:FMF26"/>
    <mergeCell ref="FMG26:FMO26"/>
    <mergeCell ref="FMP26:FMX26"/>
    <mergeCell ref="FMY26:FNG26"/>
    <mergeCell ref="FJV26:FKD26"/>
    <mergeCell ref="FKE26:FKM26"/>
    <mergeCell ref="FKN26:FKV26"/>
    <mergeCell ref="FKW26:FLE26"/>
    <mergeCell ref="FLF26:FLN26"/>
    <mergeCell ref="FIC26:FIK26"/>
    <mergeCell ref="FIL26:FIT26"/>
    <mergeCell ref="FIU26:FJC26"/>
    <mergeCell ref="FJD26:FJL26"/>
    <mergeCell ref="FJM26:FJU26"/>
    <mergeCell ref="FGJ26:FGR26"/>
    <mergeCell ref="FGS26:FHA26"/>
    <mergeCell ref="FHB26:FHJ26"/>
    <mergeCell ref="FHK26:FHS26"/>
    <mergeCell ref="FHT26:FIB26"/>
    <mergeCell ref="FEQ26:FEY26"/>
    <mergeCell ref="FEZ26:FFH26"/>
    <mergeCell ref="FFI26:FFQ26"/>
    <mergeCell ref="FFR26:FFZ26"/>
    <mergeCell ref="FGA26:FGI26"/>
    <mergeCell ref="FCX26:FDF26"/>
    <mergeCell ref="FDG26:FDO26"/>
    <mergeCell ref="FDP26:FDX26"/>
    <mergeCell ref="FDY26:FEG26"/>
    <mergeCell ref="FEH26:FEP26"/>
    <mergeCell ref="FBE26:FBM26"/>
    <mergeCell ref="FBN26:FBV26"/>
    <mergeCell ref="FBW26:FCE26"/>
    <mergeCell ref="FCF26:FCN26"/>
    <mergeCell ref="FCO26:FCW26"/>
    <mergeCell ref="EZL26:EZT26"/>
    <mergeCell ref="EZU26:FAC26"/>
    <mergeCell ref="FAD26:FAL26"/>
    <mergeCell ref="FAM26:FAU26"/>
    <mergeCell ref="FAV26:FBD26"/>
    <mergeCell ref="EXS26:EYA26"/>
    <mergeCell ref="EYB26:EYJ26"/>
    <mergeCell ref="EYK26:EYS26"/>
    <mergeCell ref="EYT26:EZB26"/>
    <mergeCell ref="EZC26:EZK26"/>
    <mergeCell ref="EVZ26:EWH26"/>
    <mergeCell ref="EWI26:EWQ26"/>
    <mergeCell ref="EWR26:EWZ26"/>
    <mergeCell ref="EXA26:EXI26"/>
    <mergeCell ref="EXJ26:EXR26"/>
    <mergeCell ref="EUG26:EUO26"/>
    <mergeCell ref="EUP26:EUX26"/>
    <mergeCell ref="EUY26:EVG26"/>
    <mergeCell ref="EVH26:EVP26"/>
    <mergeCell ref="EVQ26:EVY26"/>
    <mergeCell ref="ESN26:ESV26"/>
    <mergeCell ref="ESW26:ETE26"/>
    <mergeCell ref="ETF26:ETN26"/>
    <mergeCell ref="ETO26:ETW26"/>
    <mergeCell ref="ETX26:EUF26"/>
    <mergeCell ref="EQU26:ERC26"/>
    <mergeCell ref="ERD26:ERL26"/>
    <mergeCell ref="ERM26:ERU26"/>
    <mergeCell ref="ERV26:ESD26"/>
    <mergeCell ref="ESE26:ESM26"/>
    <mergeCell ref="EPB26:EPJ26"/>
    <mergeCell ref="EPK26:EPS26"/>
    <mergeCell ref="EPT26:EQB26"/>
    <mergeCell ref="EQC26:EQK26"/>
    <mergeCell ref="EQL26:EQT26"/>
    <mergeCell ref="ENI26:ENQ26"/>
    <mergeCell ref="ENR26:ENZ26"/>
    <mergeCell ref="EOA26:EOI26"/>
    <mergeCell ref="EOJ26:EOR26"/>
    <mergeCell ref="EOS26:EPA26"/>
    <mergeCell ref="ELP26:ELX26"/>
    <mergeCell ref="ELY26:EMG26"/>
    <mergeCell ref="EMH26:EMP26"/>
    <mergeCell ref="EMQ26:EMY26"/>
    <mergeCell ref="EMZ26:ENH26"/>
    <mergeCell ref="EJW26:EKE26"/>
    <mergeCell ref="EKF26:EKN26"/>
    <mergeCell ref="EKO26:EKW26"/>
    <mergeCell ref="EKX26:ELF26"/>
    <mergeCell ref="ELG26:ELO26"/>
    <mergeCell ref="EID26:EIL26"/>
    <mergeCell ref="EIM26:EIU26"/>
    <mergeCell ref="EIV26:EJD26"/>
    <mergeCell ref="EJE26:EJM26"/>
    <mergeCell ref="EJN26:EJV26"/>
    <mergeCell ref="EGK26:EGS26"/>
    <mergeCell ref="EGT26:EHB26"/>
    <mergeCell ref="EHC26:EHK26"/>
    <mergeCell ref="EHL26:EHT26"/>
    <mergeCell ref="EHU26:EIC26"/>
    <mergeCell ref="EER26:EEZ26"/>
    <mergeCell ref="EFA26:EFI26"/>
    <mergeCell ref="EFJ26:EFR26"/>
    <mergeCell ref="EFS26:EGA26"/>
    <mergeCell ref="EGB26:EGJ26"/>
    <mergeCell ref="ECY26:EDG26"/>
    <mergeCell ref="EDH26:EDP26"/>
    <mergeCell ref="EDQ26:EDY26"/>
    <mergeCell ref="EDZ26:EEH26"/>
    <mergeCell ref="EEI26:EEQ26"/>
    <mergeCell ref="EBF26:EBN26"/>
    <mergeCell ref="EBO26:EBW26"/>
    <mergeCell ref="EBX26:ECF26"/>
    <mergeCell ref="ECG26:ECO26"/>
    <mergeCell ref="ECP26:ECX26"/>
    <mergeCell ref="DZM26:DZU26"/>
    <mergeCell ref="DZV26:EAD26"/>
    <mergeCell ref="EAE26:EAM26"/>
    <mergeCell ref="EAN26:EAV26"/>
    <mergeCell ref="EAW26:EBE26"/>
    <mergeCell ref="DXT26:DYB26"/>
    <mergeCell ref="DYC26:DYK26"/>
    <mergeCell ref="DYL26:DYT26"/>
    <mergeCell ref="DYU26:DZC26"/>
    <mergeCell ref="DZD26:DZL26"/>
    <mergeCell ref="DWA26:DWI26"/>
    <mergeCell ref="DWJ26:DWR26"/>
    <mergeCell ref="DWS26:DXA26"/>
    <mergeCell ref="DXB26:DXJ26"/>
    <mergeCell ref="DXK26:DXS26"/>
    <mergeCell ref="DUH26:DUP26"/>
    <mergeCell ref="DUQ26:DUY26"/>
    <mergeCell ref="DUZ26:DVH26"/>
    <mergeCell ref="DVI26:DVQ26"/>
    <mergeCell ref="DVR26:DVZ26"/>
    <mergeCell ref="DSO26:DSW26"/>
    <mergeCell ref="DSX26:DTF26"/>
    <mergeCell ref="DTG26:DTO26"/>
    <mergeCell ref="DTP26:DTX26"/>
    <mergeCell ref="DTY26:DUG26"/>
    <mergeCell ref="DQV26:DRD26"/>
    <mergeCell ref="DRE26:DRM26"/>
    <mergeCell ref="DRN26:DRV26"/>
    <mergeCell ref="DRW26:DSE26"/>
    <mergeCell ref="DSF26:DSN26"/>
    <mergeCell ref="DPC26:DPK26"/>
    <mergeCell ref="DPL26:DPT26"/>
    <mergeCell ref="DPU26:DQC26"/>
    <mergeCell ref="DQD26:DQL26"/>
    <mergeCell ref="DQM26:DQU26"/>
    <mergeCell ref="DNJ26:DNR26"/>
    <mergeCell ref="DNS26:DOA26"/>
    <mergeCell ref="DOB26:DOJ26"/>
    <mergeCell ref="DOK26:DOS26"/>
    <mergeCell ref="DOT26:DPB26"/>
    <mergeCell ref="DLQ26:DLY26"/>
    <mergeCell ref="DLZ26:DMH26"/>
    <mergeCell ref="DMI26:DMQ26"/>
    <mergeCell ref="DMR26:DMZ26"/>
    <mergeCell ref="DNA26:DNI26"/>
    <mergeCell ref="DJX26:DKF26"/>
    <mergeCell ref="DKG26:DKO26"/>
    <mergeCell ref="DKP26:DKX26"/>
    <mergeCell ref="DKY26:DLG26"/>
    <mergeCell ref="DLH26:DLP26"/>
    <mergeCell ref="DIE26:DIM26"/>
    <mergeCell ref="DIN26:DIV26"/>
    <mergeCell ref="DIW26:DJE26"/>
    <mergeCell ref="DJF26:DJN26"/>
    <mergeCell ref="DJO26:DJW26"/>
    <mergeCell ref="DGL26:DGT26"/>
    <mergeCell ref="DGU26:DHC26"/>
    <mergeCell ref="DHD26:DHL26"/>
    <mergeCell ref="DHM26:DHU26"/>
    <mergeCell ref="DHV26:DID26"/>
    <mergeCell ref="DES26:DFA26"/>
    <mergeCell ref="DFB26:DFJ26"/>
    <mergeCell ref="DFK26:DFS26"/>
    <mergeCell ref="DFT26:DGB26"/>
    <mergeCell ref="DGC26:DGK26"/>
    <mergeCell ref="DCZ26:DDH26"/>
    <mergeCell ref="DDI26:DDQ26"/>
    <mergeCell ref="DDR26:DDZ26"/>
    <mergeCell ref="DEA26:DEI26"/>
    <mergeCell ref="DEJ26:DER26"/>
    <mergeCell ref="DBG26:DBO26"/>
    <mergeCell ref="DBP26:DBX26"/>
    <mergeCell ref="DBY26:DCG26"/>
    <mergeCell ref="DCH26:DCP26"/>
    <mergeCell ref="DCQ26:DCY26"/>
    <mergeCell ref="CZN26:CZV26"/>
    <mergeCell ref="CZW26:DAE26"/>
    <mergeCell ref="DAF26:DAN26"/>
    <mergeCell ref="DAO26:DAW26"/>
    <mergeCell ref="DAX26:DBF26"/>
    <mergeCell ref="CXU26:CYC26"/>
    <mergeCell ref="CYD26:CYL26"/>
    <mergeCell ref="CYM26:CYU26"/>
    <mergeCell ref="CYV26:CZD26"/>
    <mergeCell ref="CZE26:CZM26"/>
    <mergeCell ref="CWB26:CWJ26"/>
    <mergeCell ref="CWK26:CWS26"/>
    <mergeCell ref="CWT26:CXB26"/>
    <mergeCell ref="CXC26:CXK26"/>
    <mergeCell ref="CXL26:CXT26"/>
    <mergeCell ref="CUI26:CUQ26"/>
    <mergeCell ref="CUR26:CUZ26"/>
    <mergeCell ref="CVA26:CVI26"/>
    <mergeCell ref="CVJ26:CVR26"/>
    <mergeCell ref="CVS26:CWA26"/>
    <mergeCell ref="CSP26:CSX26"/>
    <mergeCell ref="CSY26:CTG26"/>
    <mergeCell ref="CTH26:CTP26"/>
    <mergeCell ref="CTQ26:CTY26"/>
    <mergeCell ref="CTZ26:CUH26"/>
    <mergeCell ref="CQW26:CRE26"/>
    <mergeCell ref="CRF26:CRN26"/>
    <mergeCell ref="CRO26:CRW26"/>
    <mergeCell ref="CRX26:CSF26"/>
    <mergeCell ref="CSG26:CSO26"/>
    <mergeCell ref="CPD26:CPL26"/>
    <mergeCell ref="CPM26:CPU26"/>
    <mergeCell ref="CPV26:CQD26"/>
    <mergeCell ref="CQE26:CQM26"/>
    <mergeCell ref="CQN26:CQV26"/>
    <mergeCell ref="CNK26:CNS26"/>
    <mergeCell ref="CNT26:COB26"/>
    <mergeCell ref="COC26:COK26"/>
    <mergeCell ref="COL26:COT26"/>
    <mergeCell ref="COU26:CPC26"/>
    <mergeCell ref="CLR26:CLZ26"/>
    <mergeCell ref="CMA26:CMI26"/>
    <mergeCell ref="CMJ26:CMR26"/>
    <mergeCell ref="CMS26:CNA26"/>
    <mergeCell ref="CNB26:CNJ26"/>
    <mergeCell ref="CJY26:CKG26"/>
    <mergeCell ref="CKH26:CKP26"/>
    <mergeCell ref="CKQ26:CKY26"/>
    <mergeCell ref="CKZ26:CLH26"/>
    <mergeCell ref="CLI26:CLQ26"/>
    <mergeCell ref="CIF26:CIN26"/>
    <mergeCell ref="CIO26:CIW26"/>
    <mergeCell ref="CIX26:CJF26"/>
    <mergeCell ref="CJG26:CJO26"/>
    <mergeCell ref="CJP26:CJX26"/>
    <mergeCell ref="CGM26:CGU26"/>
    <mergeCell ref="CGV26:CHD26"/>
    <mergeCell ref="CHE26:CHM26"/>
    <mergeCell ref="CHN26:CHV26"/>
    <mergeCell ref="CHW26:CIE26"/>
    <mergeCell ref="CET26:CFB26"/>
    <mergeCell ref="CFC26:CFK26"/>
    <mergeCell ref="CFL26:CFT26"/>
    <mergeCell ref="CFU26:CGC26"/>
    <mergeCell ref="CGD26:CGL26"/>
    <mergeCell ref="CDA26:CDI26"/>
    <mergeCell ref="CDJ26:CDR26"/>
    <mergeCell ref="CDS26:CEA26"/>
    <mergeCell ref="CEB26:CEJ26"/>
    <mergeCell ref="CEK26:CES26"/>
    <mergeCell ref="CBH26:CBP26"/>
    <mergeCell ref="CBQ26:CBY26"/>
    <mergeCell ref="CBZ26:CCH26"/>
    <mergeCell ref="CCI26:CCQ26"/>
    <mergeCell ref="CCR26:CCZ26"/>
    <mergeCell ref="BZO26:BZW26"/>
    <mergeCell ref="BZX26:CAF26"/>
    <mergeCell ref="CAG26:CAO26"/>
    <mergeCell ref="CAP26:CAX26"/>
    <mergeCell ref="CAY26:CBG26"/>
    <mergeCell ref="BXV26:BYD26"/>
    <mergeCell ref="BYE26:BYM26"/>
    <mergeCell ref="BYN26:BYV26"/>
    <mergeCell ref="BYW26:BZE26"/>
    <mergeCell ref="BZF26:BZN26"/>
    <mergeCell ref="BWC26:BWK26"/>
    <mergeCell ref="BWL26:BWT26"/>
    <mergeCell ref="BWU26:BXC26"/>
    <mergeCell ref="BXD26:BXL26"/>
    <mergeCell ref="BXM26:BXU26"/>
    <mergeCell ref="BUJ26:BUR26"/>
    <mergeCell ref="BUS26:BVA26"/>
    <mergeCell ref="BVB26:BVJ26"/>
    <mergeCell ref="BVK26:BVS26"/>
    <mergeCell ref="BVT26:BWB26"/>
    <mergeCell ref="BSQ26:BSY26"/>
    <mergeCell ref="BSZ26:BTH26"/>
    <mergeCell ref="BTI26:BTQ26"/>
    <mergeCell ref="BTR26:BTZ26"/>
    <mergeCell ref="BUA26:BUI26"/>
    <mergeCell ref="BQX26:BRF26"/>
    <mergeCell ref="BRG26:BRO26"/>
    <mergeCell ref="BRP26:BRX26"/>
    <mergeCell ref="BRY26:BSG26"/>
    <mergeCell ref="BSH26:BSP26"/>
    <mergeCell ref="BPE26:BPM26"/>
    <mergeCell ref="BPN26:BPV26"/>
    <mergeCell ref="BPW26:BQE26"/>
    <mergeCell ref="BQF26:BQN26"/>
    <mergeCell ref="BQO26:BQW26"/>
    <mergeCell ref="BNL26:BNT26"/>
    <mergeCell ref="BNU26:BOC26"/>
    <mergeCell ref="BOD26:BOL26"/>
    <mergeCell ref="BOM26:BOU26"/>
    <mergeCell ref="BOV26:BPD26"/>
    <mergeCell ref="BLS26:BMA26"/>
    <mergeCell ref="BMB26:BMJ26"/>
    <mergeCell ref="BMK26:BMS26"/>
    <mergeCell ref="BMT26:BNB26"/>
    <mergeCell ref="BNC26:BNK26"/>
    <mergeCell ref="BJZ26:BKH26"/>
    <mergeCell ref="BKI26:BKQ26"/>
    <mergeCell ref="BKR26:BKZ26"/>
    <mergeCell ref="BLA26:BLI26"/>
    <mergeCell ref="BLJ26:BLR26"/>
    <mergeCell ref="BIG26:BIO26"/>
    <mergeCell ref="BIP26:BIX26"/>
    <mergeCell ref="BIY26:BJG26"/>
    <mergeCell ref="BJH26:BJP26"/>
    <mergeCell ref="BJQ26:BJY26"/>
    <mergeCell ref="BGN26:BGV26"/>
    <mergeCell ref="BGW26:BHE26"/>
    <mergeCell ref="BHF26:BHN26"/>
    <mergeCell ref="BHO26:BHW26"/>
    <mergeCell ref="BHX26:BIF26"/>
    <mergeCell ref="BEU26:BFC26"/>
    <mergeCell ref="BFD26:BFL26"/>
    <mergeCell ref="BFM26:BFU26"/>
    <mergeCell ref="BFV26:BGD26"/>
    <mergeCell ref="BGE26:BGM26"/>
    <mergeCell ref="BDB26:BDJ26"/>
    <mergeCell ref="BDK26:BDS26"/>
    <mergeCell ref="BDT26:BEB26"/>
    <mergeCell ref="BEC26:BEK26"/>
    <mergeCell ref="BEL26:BET26"/>
    <mergeCell ref="BBI26:BBQ26"/>
    <mergeCell ref="BBR26:BBZ26"/>
    <mergeCell ref="BCA26:BCI26"/>
    <mergeCell ref="BCJ26:BCR26"/>
    <mergeCell ref="BCS26:BDA26"/>
    <mergeCell ref="AZP26:AZX26"/>
    <mergeCell ref="AZY26:BAG26"/>
    <mergeCell ref="BAH26:BAP26"/>
    <mergeCell ref="BAQ26:BAY26"/>
    <mergeCell ref="BAZ26:BBH26"/>
    <mergeCell ref="AXW26:AYE26"/>
    <mergeCell ref="AYF26:AYN26"/>
    <mergeCell ref="AYO26:AYW26"/>
    <mergeCell ref="AYX26:AZF26"/>
    <mergeCell ref="AZG26:AZO26"/>
    <mergeCell ref="AWD26:AWL26"/>
    <mergeCell ref="AWM26:AWU26"/>
    <mergeCell ref="AWV26:AXD26"/>
    <mergeCell ref="AXE26:AXM26"/>
    <mergeCell ref="AXN26:AXV26"/>
    <mergeCell ref="AUK26:AUS26"/>
    <mergeCell ref="AUT26:AVB26"/>
    <mergeCell ref="AVC26:AVK26"/>
    <mergeCell ref="AVL26:AVT26"/>
    <mergeCell ref="AVU26:AWC26"/>
    <mergeCell ref="ASR26:ASZ26"/>
    <mergeCell ref="ATA26:ATI26"/>
    <mergeCell ref="ATJ26:ATR26"/>
    <mergeCell ref="ATS26:AUA26"/>
    <mergeCell ref="AUB26:AUJ26"/>
    <mergeCell ref="AQY26:ARG26"/>
    <mergeCell ref="ARH26:ARP26"/>
    <mergeCell ref="ARQ26:ARY26"/>
    <mergeCell ref="ARZ26:ASH26"/>
    <mergeCell ref="ASI26:ASQ26"/>
    <mergeCell ref="APF26:APN26"/>
    <mergeCell ref="APO26:APW26"/>
    <mergeCell ref="APX26:AQF26"/>
    <mergeCell ref="AQG26:AQO26"/>
    <mergeCell ref="AQP26:AQX26"/>
    <mergeCell ref="ANM26:ANU26"/>
    <mergeCell ref="ANV26:AOD26"/>
    <mergeCell ref="AOE26:AOM26"/>
    <mergeCell ref="AON26:AOV26"/>
    <mergeCell ref="AOW26:APE26"/>
    <mergeCell ref="ALT26:AMB26"/>
    <mergeCell ref="AMC26:AMK26"/>
    <mergeCell ref="AML26:AMT26"/>
    <mergeCell ref="AMU26:ANC26"/>
    <mergeCell ref="AND26:ANL26"/>
    <mergeCell ref="AKA26:AKI26"/>
    <mergeCell ref="AKJ26:AKR26"/>
    <mergeCell ref="AKS26:ALA26"/>
    <mergeCell ref="ALB26:ALJ26"/>
    <mergeCell ref="ALK26:ALS26"/>
    <mergeCell ref="AIH26:AIP26"/>
    <mergeCell ref="AIQ26:AIY26"/>
    <mergeCell ref="AIZ26:AJH26"/>
    <mergeCell ref="AJI26:AJQ26"/>
    <mergeCell ref="AJR26:AJZ26"/>
    <mergeCell ref="AGO26:AGW26"/>
    <mergeCell ref="AGX26:AHF26"/>
    <mergeCell ref="AHG26:AHO26"/>
    <mergeCell ref="AHP26:AHX26"/>
    <mergeCell ref="AHY26:AIG26"/>
    <mergeCell ref="AEV26:AFD26"/>
    <mergeCell ref="AFE26:AFM26"/>
    <mergeCell ref="AFN26:AFV26"/>
    <mergeCell ref="AFW26:AGE26"/>
    <mergeCell ref="AGF26:AGN26"/>
    <mergeCell ref="ADC26:ADK26"/>
    <mergeCell ref="ADL26:ADT26"/>
    <mergeCell ref="ADU26:AEC26"/>
    <mergeCell ref="AED26:AEL26"/>
    <mergeCell ref="AEM26:AEU26"/>
    <mergeCell ref="ABJ26:ABR26"/>
    <mergeCell ref="ABS26:ACA26"/>
    <mergeCell ref="ACB26:ACJ26"/>
    <mergeCell ref="ACK26:ACS26"/>
    <mergeCell ref="ACT26:ADB26"/>
    <mergeCell ref="ZQ26:ZY26"/>
    <mergeCell ref="ZZ26:AAH26"/>
    <mergeCell ref="AAI26:AAQ26"/>
    <mergeCell ref="AAR26:AAZ26"/>
    <mergeCell ref="ABA26:ABI26"/>
    <mergeCell ref="XX26:YF26"/>
    <mergeCell ref="YG26:YO26"/>
    <mergeCell ref="YP26:YX26"/>
    <mergeCell ref="YY26:ZG26"/>
    <mergeCell ref="ZH26:ZP26"/>
    <mergeCell ref="WE26:WM26"/>
    <mergeCell ref="WN26:WV26"/>
    <mergeCell ref="WW26:XE26"/>
    <mergeCell ref="XF26:XN26"/>
    <mergeCell ref="XO26:XW26"/>
    <mergeCell ref="UL26:UT26"/>
    <mergeCell ref="UU26:VC26"/>
    <mergeCell ref="VD26:VL26"/>
    <mergeCell ref="VM26:VU26"/>
    <mergeCell ref="VV26:WD26"/>
    <mergeCell ref="SS26:TA26"/>
    <mergeCell ref="TB26:TJ26"/>
    <mergeCell ref="TK26:TS26"/>
    <mergeCell ref="TT26:UB26"/>
    <mergeCell ref="UC26:UK26"/>
    <mergeCell ref="QZ26:RH26"/>
    <mergeCell ref="RI26:RQ26"/>
    <mergeCell ref="RR26:RZ26"/>
    <mergeCell ref="SA26:SI26"/>
    <mergeCell ref="SJ26:SR26"/>
    <mergeCell ref="PG26:PO26"/>
    <mergeCell ref="PP26:PX26"/>
    <mergeCell ref="PY26:QG26"/>
    <mergeCell ref="QH26:QP26"/>
    <mergeCell ref="QQ26:QY26"/>
    <mergeCell ref="NN26:NV26"/>
    <mergeCell ref="NW26:OE26"/>
    <mergeCell ref="OF26:ON26"/>
    <mergeCell ref="OO26:OW26"/>
    <mergeCell ref="OX26:PF26"/>
    <mergeCell ref="LU26:MC26"/>
    <mergeCell ref="MD26:ML26"/>
    <mergeCell ref="MM26:MU26"/>
    <mergeCell ref="MV26:ND26"/>
    <mergeCell ref="NE26:NM26"/>
    <mergeCell ref="KB26:KJ26"/>
    <mergeCell ref="KK26:KS26"/>
    <mergeCell ref="KT26:LB26"/>
    <mergeCell ref="LC26:LK26"/>
    <mergeCell ref="LL26:LT26"/>
    <mergeCell ref="II26:IQ26"/>
    <mergeCell ref="IR26:IZ26"/>
    <mergeCell ref="JA26:JI26"/>
    <mergeCell ref="JJ26:JR26"/>
    <mergeCell ref="JS26:KA26"/>
    <mergeCell ref="GP26:GX26"/>
    <mergeCell ref="GY26:HG26"/>
    <mergeCell ref="HH26:HP26"/>
    <mergeCell ref="HQ26:HY26"/>
    <mergeCell ref="HZ26:IH26"/>
    <mergeCell ref="A1:I1"/>
    <mergeCell ref="A2:I2"/>
    <mergeCell ref="A3:I3"/>
    <mergeCell ref="A40:I40"/>
    <mergeCell ref="A37:I37"/>
    <mergeCell ref="A38:I38"/>
    <mergeCell ref="A39:I39"/>
    <mergeCell ref="F5:G5"/>
    <mergeCell ref="A26:I26"/>
    <mergeCell ref="J26:Q26"/>
    <mergeCell ref="EW26:FE26"/>
    <mergeCell ref="FF26:FN26"/>
    <mergeCell ref="FO26:FW26"/>
    <mergeCell ref="FX26:GF26"/>
    <mergeCell ref="GG26:GO26"/>
    <mergeCell ref="DD26:DL26"/>
    <mergeCell ref="DM26:DU26"/>
    <mergeCell ref="DV26:ED26"/>
    <mergeCell ref="EE26:EM26"/>
    <mergeCell ref="EN26:EV26"/>
    <mergeCell ref="BK26:BS26"/>
    <mergeCell ref="BT26:CB26"/>
    <mergeCell ref="CC26:CK26"/>
    <mergeCell ref="CL26:CT26"/>
    <mergeCell ref="CU26:DC26"/>
    <mergeCell ref="R26:Z26"/>
    <mergeCell ref="AA26:AI26"/>
    <mergeCell ref="AJ26:AR26"/>
    <mergeCell ref="AS26:BA26"/>
    <mergeCell ref="BB26:BJ26"/>
  </mergeCells>
  <conditionalFormatting sqref="G9 G10:I10 H11 F11:F12 G12 H12:I17 F13:G14 F15 F16:G17 F18:I25">
    <cfRule type="cellIs" dxfId="156" priority="4" stopIfTrue="1" operator="lessThan">
      <formula>0</formula>
    </cfRule>
  </conditionalFormatting>
  <conditionalFormatting sqref="J11">
    <cfRule type="cellIs" dxfId="155" priority="2" stopIfTrue="1" operator="lessThan">
      <formula>0</formula>
    </cfRule>
  </conditionalFormatting>
  <conditionalFormatting sqref="J15">
    <cfRule type="cellIs" dxfId="154" priority="1" stopIfTrue="1" operator="lessThan">
      <formula>0</formula>
    </cfRule>
  </conditionalFormatting>
  <hyperlinks>
    <hyperlink ref="A1:I3" r:id="rId4" display="http://modiriatmali.com/" xr:uid="{00000000-0004-0000-0100-000000000000}"/>
  </hyperlinks>
  <pageMargins left="0.39370078740157499" right="0.78740157480314998" top="0.39370078740157499" bottom="0.39370078740157499" header="0.31496062992126" footer="0.31496062992126"/>
  <pageSetup paperSize="9" scale="9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N58"/>
  <sheetViews>
    <sheetView rightToLeft="1" view="pageBreakPreview" topLeftCell="A16" zoomScale="90" zoomScaleNormal="100" zoomScaleSheetLayoutView="90" workbookViewId="0">
      <selection activeCell="F31" sqref="F31"/>
    </sheetView>
  </sheetViews>
  <sheetFormatPr defaultRowHeight="24.75" customHeight="1" x14ac:dyDescent="0.55000000000000004"/>
  <cols>
    <col min="1" max="1" width="1.85546875" style="738" customWidth="1"/>
    <col min="2" max="2" width="38" style="738" customWidth="1"/>
    <col min="3" max="3" width="1.42578125" style="738" customWidth="1"/>
    <col min="4" max="4" width="11.5703125" style="738" customWidth="1"/>
    <col min="5" max="5" width="5.5703125" style="738" customWidth="1"/>
    <col min="6" max="6" width="27.5703125" style="734" bestFit="1" customWidth="1"/>
    <col min="7" max="7" width="3.7109375" style="737" customWidth="1"/>
    <col min="8" max="8" width="27.5703125" style="737" bestFit="1" customWidth="1"/>
    <col min="9" max="10" width="1.42578125" style="737" customWidth="1"/>
    <col min="11" max="11" width="4.42578125" style="738" customWidth="1"/>
    <col min="12" max="12" width="24.7109375" style="738" bestFit="1" customWidth="1"/>
    <col min="13" max="13" width="16.28515625" style="1154" customWidth="1"/>
    <col min="14" max="14" width="23.140625" style="1165" bestFit="1" customWidth="1"/>
    <col min="15" max="220" width="9" style="738"/>
    <col min="221" max="221" width="2.85546875" style="738" customWidth="1"/>
    <col min="222" max="222" width="21.5703125" style="738" customWidth="1"/>
    <col min="223" max="223" width="2.140625" style="738" customWidth="1"/>
    <col min="224" max="224" width="7.85546875" style="738" customWidth="1"/>
    <col min="225" max="225" width="2.140625" style="738" customWidth="1"/>
    <col min="226" max="226" width="12.7109375" style="738" customWidth="1"/>
    <col min="227" max="227" width="2.140625" style="738" customWidth="1"/>
    <col min="228" max="228" width="12.7109375" style="738" customWidth="1"/>
    <col min="229" max="229" width="2.140625" style="738" customWidth="1"/>
    <col min="230" max="230" width="23.5703125" style="738" customWidth="1"/>
    <col min="231" max="231" width="2.140625" style="738" customWidth="1"/>
    <col min="232" max="232" width="7.140625" style="738" customWidth="1"/>
    <col min="233" max="233" width="2.140625" style="738" customWidth="1"/>
    <col min="234" max="234" width="12.7109375" style="738" customWidth="1"/>
    <col min="235" max="235" width="2.140625" style="738" customWidth="1"/>
    <col min="236" max="236" width="12.7109375" style="738" customWidth="1"/>
    <col min="237" max="237" width="1.85546875" style="738" customWidth="1"/>
    <col min="238" max="239" width="5.85546875" style="738" customWidth="1"/>
    <col min="240" max="241" width="7.85546875" style="738" customWidth="1"/>
    <col min="242" max="242" width="14.7109375" style="738" customWidth="1"/>
    <col min="243" max="476" width="9" style="738"/>
    <col min="477" max="477" width="2.85546875" style="738" customWidth="1"/>
    <col min="478" max="478" width="21.5703125" style="738" customWidth="1"/>
    <col min="479" max="479" width="2.140625" style="738" customWidth="1"/>
    <col min="480" max="480" width="7.85546875" style="738" customWidth="1"/>
    <col min="481" max="481" width="2.140625" style="738" customWidth="1"/>
    <col min="482" max="482" width="12.7109375" style="738" customWidth="1"/>
    <col min="483" max="483" width="2.140625" style="738" customWidth="1"/>
    <col min="484" max="484" width="12.7109375" style="738" customWidth="1"/>
    <col min="485" max="485" width="2.140625" style="738" customWidth="1"/>
    <col min="486" max="486" width="23.5703125" style="738" customWidth="1"/>
    <col min="487" max="487" width="2.140625" style="738" customWidth="1"/>
    <col min="488" max="488" width="7.140625" style="738" customWidth="1"/>
    <col min="489" max="489" width="2.140625" style="738" customWidth="1"/>
    <col min="490" max="490" width="12.7109375" style="738" customWidth="1"/>
    <col min="491" max="491" width="2.140625" style="738" customWidth="1"/>
    <col min="492" max="492" width="12.7109375" style="738" customWidth="1"/>
    <col min="493" max="493" width="1.85546875" style="738" customWidth="1"/>
    <col min="494" max="495" width="5.85546875" style="738" customWidth="1"/>
    <col min="496" max="497" width="7.85546875" style="738" customWidth="1"/>
    <col min="498" max="498" width="14.7109375" style="738" customWidth="1"/>
    <col min="499" max="732" width="9" style="738"/>
    <col min="733" max="733" width="2.85546875" style="738" customWidth="1"/>
    <col min="734" max="734" width="21.5703125" style="738" customWidth="1"/>
    <col min="735" max="735" width="2.140625" style="738" customWidth="1"/>
    <col min="736" max="736" width="7.85546875" style="738" customWidth="1"/>
    <col min="737" max="737" width="2.140625" style="738" customWidth="1"/>
    <col min="738" max="738" width="12.7109375" style="738" customWidth="1"/>
    <col min="739" max="739" width="2.140625" style="738" customWidth="1"/>
    <col min="740" max="740" width="12.7109375" style="738" customWidth="1"/>
    <col min="741" max="741" width="2.140625" style="738" customWidth="1"/>
    <col min="742" max="742" width="23.5703125" style="738" customWidth="1"/>
    <col min="743" max="743" width="2.140625" style="738" customWidth="1"/>
    <col min="744" max="744" width="7.140625" style="738" customWidth="1"/>
    <col min="745" max="745" width="2.140625" style="738" customWidth="1"/>
    <col min="746" max="746" width="12.7109375" style="738" customWidth="1"/>
    <col min="747" max="747" width="2.140625" style="738" customWidth="1"/>
    <col min="748" max="748" width="12.7109375" style="738" customWidth="1"/>
    <col min="749" max="749" width="1.85546875" style="738" customWidth="1"/>
    <col min="750" max="751" width="5.85546875" style="738" customWidth="1"/>
    <col min="752" max="753" width="7.85546875" style="738" customWidth="1"/>
    <col min="754" max="754" width="14.7109375" style="738" customWidth="1"/>
    <col min="755" max="988" width="9" style="738"/>
    <col min="989" max="989" width="2.85546875" style="738" customWidth="1"/>
    <col min="990" max="990" width="21.5703125" style="738" customWidth="1"/>
    <col min="991" max="991" width="2.140625" style="738" customWidth="1"/>
    <col min="992" max="992" width="7.85546875" style="738" customWidth="1"/>
    <col min="993" max="993" width="2.140625" style="738" customWidth="1"/>
    <col min="994" max="994" width="12.7109375" style="738" customWidth="1"/>
    <col min="995" max="995" width="2.140625" style="738" customWidth="1"/>
    <col min="996" max="996" width="12.7109375" style="738" customWidth="1"/>
    <col min="997" max="997" width="2.140625" style="738" customWidth="1"/>
    <col min="998" max="998" width="23.5703125" style="738" customWidth="1"/>
    <col min="999" max="999" width="2.140625" style="738" customWidth="1"/>
    <col min="1000" max="1000" width="7.140625" style="738" customWidth="1"/>
    <col min="1001" max="1001" width="2.140625" style="738" customWidth="1"/>
    <col min="1002" max="1002" width="12.7109375" style="738" customWidth="1"/>
    <col min="1003" max="1003" width="2.140625" style="738" customWidth="1"/>
    <col min="1004" max="1004" width="12.7109375" style="738" customWidth="1"/>
    <col min="1005" max="1005" width="1.85546875" style="738" customWidth="1"/>
    <col min="1006" max="1007" width="5.85546875" style="738" customWidth="1"/>
    <col min="1008" max="1009" width="7.85546875" style="738" customWidth="1"/>
    <col min="1010" max="1010" width="14.7109375" style="738" customWidth="1"/>
    <col min="1011" max="1244" width="9" style="738"/>
    <col min="1245" max="1245" width="2.85546875" style="738" customWidth="1"/>
    <col min="1246" max="1246" width="21.5703125" style="738" customWidth="1"/>
    <col min="1247" max="1247" width="2.140625" style="738" customWidth="1"/>
    <col min="1248" max="1248" width="7.85546875" style="738" customWidth="1"/>
    <col min="1249" max="1249" width="2.140625" style="738" customWidth="1"/>
    <col min="1250" max="1250" width="12.7109375" style="738" customWidth="1"/>
    <col min="1251" max="1251" width="2.140625" style="738" customWidth="1"/>
    <col min="1252" max="1252" width="12.7109375" style="738" customWidth="1"/>
    <col min="1253" max="1253" width="2.140625" style="738" customWidth="1"/>
    <col min="1254" max="1254" width="23.5703125" style="738" customWidth="1"/>
    <col min="1255" max="1255" width="2.140625" style="738" customWidth="1"/>
    <col min="1256" max="1256" width="7.140625" style="738" customWidth="1"/>
    <col min="1257" max="1257" width="2.140625" style="738" customWidth="1"/>
    <col min="1258" max="1258" width="12.7109375" style="738" customWidth="1"/>
    <col min="1259" max="1259" width="2.140625" style="738" customWidth="1"/>
    <col min="1260" max="1260" width="12.7109375" style="738" customWidth="1"/>
    <col min="1261" max="1261" width="1.85546875" style="738" customWidth="1"/>
    <col min="1262" max="1263" width="5.85546875" style="738" customWidth="1"/>
    <col min="1264" max="1265" width="7.85546875" style="738" customWidth="1"/>
    <col min="1266" max="1266" width="14.7109375" style="738" customWidth="1"/>
    <col min="1267" max="1500" width="9" style="738"/>
    <col min="1501" max="1501" width="2.85546875" style="738" customWidth="1"/>
    <col min="1502" max="1502" width="21.5703125" style="738" customWidth="1"/>
    <col min="1503" max="1503" width="2.140625" style="738" customWidth="1"/>
    <col min="1504" max="1504" width="7.85546875" style="738" customWidth="1"/>
    <col min="1505" max="1505" width="2.140625" style="738" customWidth="1"/>
    <col min="1506" max="1506" width="12.7109375" style="738" customWidth="1"/>
    <col min="1507" max="1507" width="2.140625" style="738" customWidth="1"/>
    <col min="1508" max="1508" width="12.7109375" style="738" customWidth="1"/>
    <col min="1509" max="1509" width="2.140625" style="738" customWidth="1"/>
    <col min="1510" max="1510" width="23.5703125" style="738" customWidth="1"/>
    <col min="1511" max="1511" width="2.140625" style="738" customWidth="1"/>
    <col min="1512" max="1512" width="7.140625" style="738" customWidth="1"/>
    <col min="1513" max="1513" width="2.140625" style="738" customWidth="1"/>
    <col min="1514" max="1514" width="12.7109375" style="738" customWidth="1"/>
    <col min="1515" max="1515" width="2.140625" style="738" customWidth="1"/>
    <col min="1516" max="1516" width="12.7109375" style="738" customWidth="1"/>
    <col min="1517" max="1517" width="1.85546875" style="738" customWidth="1"/>
    <col min="1518" max="1519" width="5.85546875" style="738" customWidth="1"/>
    <col min="1520" max="1521" width="7.85546875" style="738" customWidth="1"/>
    <col min="1522" max="1522" width="14.7109375" style="738" customWidth="1"/>
    <col min="1523" max="1756" width="9" style="738"/>
    <col min="1757" max="1757" width="2.85546875" style="738" customWidth="1"/>
    <col min="1758" max="1758" width="21.5703125" style="738" customWidth="1"/>
    <col min="1759" max="1759" width="2.140625" style="738" customWidth="1"/>
    <col min="1760" max="1760" width="7.85546875" style="738" customWidth="1"/>
    <col min="1761" max="1761" width="2.140625" style="738" customWidth="1"/>
    <col min="1762" max="1762" width="12.7109375" style="738" customWidth="1"/>
    <col min="1763" max="1763" width="2.140625" style="738" customWidth="1"/>
    <col min="1764" max="1764" width="12.7109375" style="738" customWidth="1"/>
    <col min="1765" max="1765" width="2.140625" style="738" customWidth="1"/>
    <col min="1766" max="1766" width="23.5703125" style="738" customWidth="1"/>
    <col min="1767" max="1767" width="2.140625" style="738" customWidth="1"/>
    <col min="1768" max="1768" width="7.140625" style="738" customWidth="1"/>
    <col min="1769" max="1769" width="2.140625" style="738" customWidth="1"/>
    <col min="1770" max="1770" width="12.7109375" style="738" customWidth="1"/>
    <col min="1771" max="1771" width="2.140625" style="738" customWidth="1"/>
    <col min="1772" max="1772" width="12.7109375" style="738" customWidth="1"/>
    <col min="1773" max="1773" width="1.85546875" style="738" customWidth="1"/>
    <col min="1774" max="1775" width="5.85546875" style="738" customWidth="1"/>
    <col min="1776" max="1777" width="7.85546875" style="738" customWidth="1"/>
    <col min="1778" max="1778" width="14.7109375" style="738" customWidth="1"/>
    <col min="1779" max="2012" width="9" style="738"/>
    <col min="2013" max="2013" width="2.85546875" style="738" customWidth="1"/>
    <col min="2014" max="2014" width="21.5703125" style="738" customWidth="1"/>
    <col min="2015" max="2015" width="2.140625" style="738" customWidth="1"/>
    <col min="2016" max="2016" width="7.85546875" style="738" customWidth="1"/>
    <col min="2017" max="2017" width="2.140625" style="738" customWidth="1"/>
    <col min="2018" max="2018" width="12.7109375" style="738" customWidth="1"/>
    <col min="2019" max="2019" width="2.140625" style="738" customWidth="1"/>
    <col min="2020" max="2020" width="12.7109375" style="738" customWidth="1"/>
    <col min="2021" max="2021" width="2.140625" style="738" customWidth="1"/>
    <col min="2022" max="2022" width="23.5703125" style="738" customWidth="1"/>
    <col min="2023" max="2023" width="2.140625" style="738" customWidth="1"/>
    <col min="2024" max="2024" width="7.140625" style="738" customWidth="1"/>
    <col min="2025" max="2025" width="2.140625" style="738" customWidth="1"/>
    <col min="2026" max="2026" width="12.7109375" style="738" customWidth="1"/>
    <col min="2027" max="2027" width="2.140625" style="738" customWidth="1"/>
    <col min="2028" max="2028" width="12.7109375" style="738" customWidth="1"/>
    <col min="2029" max="2029" width="1.85546875" style="738" customWidth="1"/>
    <col min="2030" max="2031" width="5.85546875" style="738" customWidth="1"/>
    <col min="2032" max="2033" width="7.85546875" style="738" customWidth="1"/>
    <col min="2034" max="2034" width="14.7109375" style="738" customWidth="1"/>
    <col min="2035" max="2268" width="9" style="738"/>
    <col min="2269" max="2269" width="2.85546875" style="738" customWidth="1"/>
    <col min="2270" max="2270" width="21.5703125" style="738" customWidth="1"/>
    <col min="2271" max="2271" width="2.140625" style="738" customWidth="1"/>
    <col min="2272" max="2272" width="7.85546875" style="738" customWidth="1"/>
    <col min="2273" max="2273" width="2.140625" style="738" customWidth="1"/>
    <col min="2274" max="2274" width="12.7109375" style="738" customWidth="1"/>
    <col min="2275" max="2275" width="2.140625" style="738" customWidth="1"/>
    <col min="2276" max="2276" width="12.7109375" style="738" customWidth="1"/>
    <col min="2277" max="2277" width="2.140625" style="738" customWidth="1"/>
    <col min="2278" max="2278" width="23.5703125" style="738" customWidth="1"/>
    <col min="2279" max="2279" width="2.140625" style="738" customWidth="1"/>
    <col min="2280" max="2280" width="7.140625" style="738" customWidth="1"/>
    <col min="2281" max="2281" width="2.140625" style="738" customWidth="1"/>
    <col min="2282" max="2282" width="12.7109375" style="738" customWidth="1"/>
    <col min="2283" max="2283" width="2.140625" style="738" customWidth="1"/>
    <col min="2284" max="2284" width="12.7109375" style="738" customWidth="1"/>
    <col min="2285" max="2285" width="1.85546875" style="738" customWidth="1"/>
    <col min="2286" max="2287" width="5.85546875" style="738" customWidth="1"/>
    <col min="2288" max="2289" width="7.85546875" style="738" customWidth="1"/>
    <col min="2290" max="2290" width="14.7109375" style="738" customWidth="1"/>
    <col min="2291" max="2524" width="9" style="738"/>
    <col min="2525" max="2525" width="2.85546875" style="738" customWidth="1"/>
    <col min="2526" max="2526" width="21.5703125" style="738" customWidth="1"/>
    <col min="2527" max="2527" width="2.140625" style="738" customWidth="1"/>
    <col min="2528" max="2528" width="7.85546875" style="738" customWidth="1"/>
    <col min="2529" max="2529" width="2.140625" style="738" customWidth="1"/>
    <col min="2530" max="2530" width="12.7109375" style="738" customWidth="1"/>
    <col min="2531" max="2531" width="2.140625" style="738" customWidth="1"/>
    <col min="2532" max="2532" width="12.7109375" style="738" customWidth="1"/>
    <col min="2533" max="2533" width="2.140625" style="738" customWidth="1"/>
    <col min="2534" max="2534" width="23.5703125" style="738" customWidth="1"/>
    <col min="2535" max="2535" width="2.140625" style="738" customWidth="1"/>
    <col min="2536" max="2536" width="7.140625" style="738" customWidth="1"/>
    <col min="2537" max="2537" width="2.140625" style="738" customWidth="1"/>
    <col min="2538" max="2538" width="12.7109375" style="738" customWidth="1"/>
    <col min="2539" max="2539" width="2.140625" style="738" customWidth="1"/>
    <col min="2540" max="2540" width="12.7109375" style="738" customWidth="1"/>
    <col min="2541" max="2541" width="1.85546875" style="738" customWidth="1"/>
    <col min="2542" max="2543" width="5.85546875" style="738" customWidth="1"/>
    <col min="2544" max="2545" width="7.85546875" style="738" customWidth="1"/>
    <col min="2546" max="2546" width="14.7109375" style="738" customWidth="1"/>
    <col min="2547" max="2780" width="9" style="738"/>
    <col min="2781" max="2781" width="2.85546875" style="738" customWidth="1"/>
    <col min="2782" max="2782" width="21.5703125" style="738" customWidth="1"/>
    <col min="2783" max="2783" width="2.140625" style="738" customWidth="1"/>
    <col min="2784" max="2784" width="7.85546875" style="738" customWidth="1"/>
    <col min="2785" max="2785" width="2.140625" style="738" customWidth="1"/>
    <col min="2786" max="2786" width="12.7109375" style="738" customWidth="1"/>
    <col min="2787" max="2787" width="2.140625" style="738" customWidth="1"/>
    <col min="2788" max="2788" width="12.7109375" style="738" customWidth="1"/>
    <col min="2789" max="2789" width="2.140625" style="738" customWidth="1"/>
    <col min="2790" max="2790" width="23.5703125" style="738" customWidth="1"/>
    <col min="2791" max="2791" width="2.140625" style="738" customWidth="1"/>
    <col min="2792" max="2792" width="7.140625" style="738" customWidth="1"/>
    <col min="2793" max="2793" width="2.140625" style="738" customWidth="1"/>
    <col min="2794" max="2794" width="12.7109375" style="738" customWidth="1"/>
    <col min="2795" max="2795" width="2.140625" style="738" customWidth="1"/>
    <col min="2796" max="2796" width="12.7109375" style="738" customWidth="1"/>
    <col min="2797" max="2797" width="1.85546875" style="738" customWidth="1"/>
    <col min="2798" max="2799" width="5.85546875" style="738" customWidth="1"/>
    <col min="2800" max="2801" width="7.85546875" style="738" customWidth="1"/>
    <col min="2802" max="2802" width="14.7109375" style="738" customWidth="1"/>
    <col min="2803" max="3036" width="9" style="738"/>
    <col min="3037" max="3037" width="2.85546875" style="738" customWidth="1"/>
    <col min="3038" max="3038" width="21.5703125" style="738" customWidth="1"/>
    <col min="3039" max="3039" width="2.140625" style="738" customWidth="1"/>
    <col min="3040" max="3040" width="7.85546875" style="738" customWidth="1"/>
    <col min="3041" max="3041" width="2.140625" style="738" customWidth="1"/>
    <col min="3042" max="3042" width="12.7109375" style="738" customWidth="1"/>
    <col min="3043" max="3043" width="2.140625" style="738" customWidth="1"/>
    <col min="3044" max="3044" width="12.7109375" style="738" customWidth="1"/>
    <col min="3045" max="3045" width="2.140625" style="738" customWidth="1"/>
    <col min="3046" max="3046" width="23.5703125" style="738" customWidth="1"/>
    <col min="3047" max="3047" width="2.140625" style="738" customWidth="1"/>
    <col min="3048" max="3048" width="7.140625" style="738" customWidth="1"/>
    <col min="3049" max="3049" width="2.140625" style="738" customWidth="1"/>
    <col min="3050" max="3050" width="12.7109375" style="738" customWidth="1"/>
    <col min="3051" max="3051" width="2.140625" style="738" customWidth="1"/>
    <col min="3052" max="3052" width="12.7109375" style="738" customWidth="1"/>
    <col min="3053" max="3053" width="1.85546875" style="738" customWidth="1"/>
    <col min="3054" max="3055" width="5.85546875" style="738" customWidth="1"/>
    <col min="3056" max="3057" width="7.85546875" style="738" customWidth="1"/>
    <col min="3058" max="3058" width="14.7109375" style="738" customWidth="1"/>
    <col min="3059" max="3292" width="9" style="738"/>
    <col min="3293" max="3293" width="2.85546875" style="738" customWidth="1"/>
    <col min="3294" max="3294" width="21.5703125" style="738" customWidth="1"/>
    <col min="3295" max="3295" width="2.140625" style="738" customWidth="1"/>
    <col min="3296" max="3296" width="7.85546875" style="738" customWidth="1"/>
    <col min="3297" max="3297" width="2.140625" style="738" customWidth="1"/>
    <col min="3298" max="3298" width="12.7109375" style="738" customWidth="1"/>
    <col min="3299" max="3299" width="2.140625" style="738" customWidth="1"/>
    <col min="3300" max="3300" width="12.7109375" style="738" customWidth="1"/>
    <col min="3301" max="3301" width="2.140625" style="738" customWidth="1"/>
    <col min="3302" max="3302" width="23.5703125" style="738" customWidth="1"/>
    <col min="3303" max="3303" width="2.140625" style="738" customWidth="1"/>
    <col min="3304" max="3304" width="7.140625" style="738" customWidth="1"/>
    <col min="3305" max="3305" width="2.140625" style="738" customWidth="1"/>
    <col min="3306" max="3306" width="12.7109375" style="738" customWidth="1"/>
    <col min="3307" max="3307" width="2.140625" style="738" customWidth="1"/>
    <col min="3308" max="3308" width="12.7109375" style="738" customWidth="1"/>
    <col min="3309" max="3309" width="1.85546875" style="738" customWidth="1"/>
    <col min="3310" max="3311" width="5.85546875" style="738" customWidth="1"/>
    <col min="3312" max="3313" width="7.85546875" style="738" customWidth="1"/>
    <col min="3314" max="3314" width="14.7109375" style="738" customWidth="1"/>
    <col min="3315" max="3548" width="9" style="738"/>
    <col min="3549" max="3549" width="2.85546875" style="738" customWidth="1"/>
    <col min="3550" max="3550" width="21.5703125" style="738" customWidth="1"/>
    <col min="3551" max="3551" width="2.140625" style="738" customWidth="1"/>
    <col min="3552" max="3552" width="7.85546875" style="738" customWidth="1"/>
    <col min="3553" max="3553" width="2.140625" style="738" customWidth="1"/>
    <col min="3554" max="3554" width="12.7109375" style="738" customWidth="1"/>
    <col min="3555" max="3555" width="2.140625" style="738" customWidth="1"/>
    <col min="3556" max="3556" width="12.7109375" style="738" customWidth="1"/>
    <col min="3557" max="3557" width="2.140625" style="738" customWidth="1"/>
    <col min="3558" max="3558" width="23.5703125" style="738" customWidth="1"/>
    <col min="3559" max="3559" width="2.140625" style="738" customWidth="1"/>
    <col min="3560" max="3560" width="7.140625" style="738" customWidth="1"/>
    <col min="3561" max="3561" width="2.140625" style="738" customWidth="1"/>
    <col min="3562" max="3562" width="12.7109375" style="738" customWidth="1"/>
    <col min="3563" max="3563" width="2.140625" style="738" customWidth="1"/>
    <col min="3564" max="3564" width="12.7109375" style="738" customWidth="1"/>
    <col min="3565" max="3565" width="1.85546875" style="738" customWidth="1"/>
    <col min="3566" max="3567" width="5.85546875" style="738" customWidth="1"/>
    <col min="3568" max="3569" width="7.85546875" style="738" customWidth="1"/>
    <col min="3570" max="3570" width="14.7109375" style="738" customWidth="1"/>
    <col min="3571" max="3804" width="9" style="738"/>
    <col min="3805" max="3805" width="2.85546875" style="738" customWidth="1"/>
    <col min="3806" max="3806" width="21.5703125" style="738" customWidth="1"/>
    <col min="3807" max="3807" width="2.140625" style="738" customWidth="1"/>
    <col min="3808" max="3808" width="7.85546875" style="738" customWidth="1"/>
    <col min="3809" max="3809" width="2.140625" style="738" customWidth="1"/>
    <col min="3810" max="3810" width="12.7109375" style="738" customWidth="1"/>
    <col min="3811" max="3811" width="2.140625" style="738" customWidth="1"/>
    <col min="3812" max="3812" width="12.7109375" style="738" customWidth="1"/>
    <col min="3813" max="3813" width="2.140625" style="738" customWidth="1"/>
    <col min="3814" max="3814" width="23.5703125" style="738" customWidth="1"/>
    <col min="3815" max="3815" width="2.140625" style="738" customWidth="1"/>
    <col min="3816" max="3816" width="7.140625" style="738" customWidth="1"/>
    <col min="3817" max="3817" width="2.140625" style="738" customWidth="1"/>
    <col min="3818" max="3818" width="12.7109375" style="738" customWidth="1"/>
    <col min="3819" max="3819" width="2.140625" style="738" customWidth="1"/>
    <col min="3820" max="3820" width="12.7109375" style="738" customWidth="1"/>
    <col min="3821" max="3821" width="1.85546875" style="738" customWidth="1"/>
    <col min="3822" max="3823" width="5.85546875" style="738" customWidth="1"/>
    <col min="3824" max="3825" width="7.85546875" style="738" customWidth="1"/>
    <col min="3826" max="3826" width="14.7109375" style="738" customWidth="1"/>
    <col min="3827" max="4060" width="9" style="738"/>
    <col min="4061" max="4061" width="2.85546875" style="738" customWidth="1"/>
    <col min="4062" max="4062" width="21.5703125" style="738" customWidth="1"/>
    <col min="4063" max="4063" width="2.140625" style="738" customWidth="1"/>
    <col min="4064" max="4064" width="7.85546875" style="738" customWidth="1"/>
    <col min="4065" max="4065" width="2.140625" style="738" customWidth="1"/>
    <col min="4066" max="4066" width="12.7109375" style="738" customWidth="1"/>
    <col min="4067" max="4067" width="2.140625" style="738" customWidth="1"/>
    <col min="4068" max="4068" width="12.7109375" style="738" customWidth="1"/>
    <col min="4069" max="4069" width="2.140625" style="738" customWidth="1"/>
    <col min="4070" max="4070" width="23.5703125" style="738" customWidth="1"/>
    <col min="4071" max="4071" width="2.140625" style="738" customWidth="1"/>
    <col min="4072" max="4072" width="7.140625" style="738" customWidth="1"/>
    <col min="4073" max="4073" width="2.140625" style="738" customWidth="1"/>
    <col min="4074" max="4074" width="12.7109375" style="738" customWidth="1"/>
    <col min="4075" max="4075" width="2.140625" style="738" customWidth="1"/>
    <col min="4076" max="4076" width="12.7109375" style="738" customWidth="1"/>
    <col min="4077" max="4077" width="1.85546875" style="738" customWidth="1"/>
    <col min="4078" max="4079" width="5.85546875" style="738" customWidth="1"/>
    <col min="4080" max="4081" width="7.85546875" style="738" customWidth="1"/>
    <col min="4082" max="4082" width="14.7109375" style="738" customWidth="1"/>
    <col min="4083" max="4316" width="9" style="738"/>
    <col min="4317" max="4317" width="2.85546875" style="738" customWidth="1"/>
    <col min="4318" max="4318" width="21.5703125" style="738" customWidth="1"/>
    <col min="4319" max="4319" width="2.140625" style="738" customWidth="1"/>
    <col min="4320" max="4320" width="7.85546875" style="738" customWidth="1"/>
    <col min="4321" max="4321" width="2.140625" style="738" customWidth="1"/>
    <col min="4322" max="4322" width="12.7109375" style="738" customWidth="1"/>
    <col min="4323" max="4323" width="2.140625" style="738" customWidth="1"/>
    <col min="4324" max="4324" width="12.7109375" style="738" customWidth="1"/>
    <col min="4325" max="4325" width="2.140625" style="738" customWidth="1"/>
    <col min="4326" max="4326" width="23.5703125" style="738" customWidth="1"/>
    <col min="4327" max="4327" width="2.140625" style="738" customWidth="1"/>
    <col min="4328" max="4328" width="7.140625" style="738" customWidth="1"/>
    <col min="4329" max="4329" width="2.140625" style="738" customWidth="1"/>
    <col min="4330" max="4330" width="12.7109375" style="738" customWidth="1"/>
    <col min="4331" max="4331" width="2.140625" style="738" customWidth="1"/>
    <col min="4332" max="4332" width="12.7109375" style="738" customWidth="1"/>
    <col min="4333" max="4333" width="1.85546875" style="738" customWidth="1"/>
    <col min="4334" max="4335" width="5.85546875" style="738" customWidth="1"/>
    <col min="4336" max="4337" width="7.85546875" style="738" customWidth="1"/>
    <col min="4338" max="4338" width="14.7109375" style="738" customWidth="1"/>
    <col min="4339" max="4572" width="9" style="738"/>
    <col min="4573" max="4573" width="2.85546875" style="738" customWidth="1"/>
    <col min="4574" max="4574" width="21.5703125" style="738" customWidth="1"/>
    <col min="4575" max="4575" width="2.140625" style="738" customWidth="1"/>
    <col min="4576" max="4576" width="7.85546875" style="738" customWidth="1"/>
    <col min="4577" max="4577" width="2.140625" style="738" customWidth="1"/>
    <col min="4578" max="4578" width="12.7109375" style="738" customWidth="1"/>
    <col min="4579" max="4579" width="2.140625" style="738" customWidth="1"/>
    <col min="4580" max="4580" width="12.7109375" style="738" customWidth="1"/>
    <col min="4581" max="4581" width="2.140625" style="738" customWidth="1"/>
    <col min="4582" max="4582" width="23.5703125" style="738" customWidth="1"/>
    <col min="4583" max="4583" width="2.140625" style="738" customWidth="1"/>
    <col min="4584" max="4584" width="7.140625" style="738" customWidth="1"/>
    <col min="4585" max="4585" width="2.140625" style="738" customWidth="1"/>
    <col min="4586" max="4586" width="12.7109375" style="738" customWidth="1"/>
    <col min="4587" max="4587" width="2.140625" style="738" customWidth="1"/>
    <col min="4588" max="4588" width="12.7109375" style="738" customWidth="1"/>
    <col min="4589" max="4589" width="1.85546875" style="738" customWidth="1"/>
    <col min="4590" max="4591" width="5.85546875" style="738" customWidth="1"/>
    <col min="4592" max="4593" width="7.85546875" style="738" customWidth="1"/>
    <col min="4594" max="4594" width="14.7109375" style="738" customWidth="1"/>
    <col min="4595" max="4828" width="9" style="738"/>
    <col min="4829" max="4829" width="2.85546875" style="738" customWidth="1"/>
    <col min="4830" max="4830" width="21.5703125" style="738" customWidth="1"/>
    <col min="4831" max="4831" width="2.140625" style="738" customWidth="1"/>
    <col min="4832" max="4832" width="7.85546875" style="738" customWidth="1"/>
    <col min="4833" max="4833" width="2.140625" style="738" customWidth="1"/>
    <col min="4834" max="4834" width="12.7109375" style="738" customWidth="1"/>
    <col min="4835" max="4835" width="2.140625" style="738" customWidth="1"/>
    <col min="4836" max="4836" width="12.7109375" style="738" customWidth="1"/>
    <col min="4837" max="4837" width="2.140625" style="738" customWidth="1"/>
    <col min="4838" max="4838" width="23.5703125" style="738" customWidth="1"/>
    <col min="4839" max="4839" width="2.140625" style="738" customWidth="1"/>
    <col min="4840" max="4840" width="7.140625" style="738" customWidth="1"/>
    <col min="4841" max="4841" width="2.140625" style="738" customWidth="1"/>
    <col min="4842" max="4842" width="12.7109375" style="738" customWidth="1"/>
    <col min="4843" max="4843" width="2.140625" style="738" customWidth="1"/>
    <col min="4844" max="4844" width="12.7109375" style="738" customWidth="1"/>
    <col min="4845" max="4845" width="1.85546875" style="738" customWidth="1"/>
    <col min="4846" max="4847" width="5.85546875" style="738" customWidth="1"/>
    <col min="4848" max="4849" width="7.85546875" style="738" customWidth="1"/>
    <col min="4850" max="4850" width="14.7109375" style="738" customWidth="1"/>
    <col min="4851" max="5084" width="9" style="738"/>
    <col min="5085" max="5085" width="2.85546875" style="738" customWidth="1"/>
    <col min="5086" max="5086" width="21.5703125" style="738" customWidth="1"/>
    <col min="5087" max="5087" width="2.140625" style="738" customWidth="1"/>
    <col min="5088" max="5088" width="7.85546875" style="738" customWidth="1"/>
    <col min="5089" max="5089" width="2.140625" style="738" customWidth="1"/>
    <col min="5090" max="5090" width="12.7109375" style="738" customWidth="1"/>
    <col min="5091" max="5091" width="2.140625" style="738" customWidth="1"/>
    <col min="5092" max="5092" width="12.7109375" style="738" customWidth="1"/>
    <col min="5093" max="5093" width="2.140625" style="738" customWidth="1"/>
    <col min="5094" max="5094" width="23.5703125" style="738" customWidth="1"/>
    <col min="5095" max="5095" width="2.140625" style="738" customWidth="1"/>
    <col min="5096" max="5096" width="7.140625" style="738" customWidth="1"/>
    <col min="5097" max="5097" width="2.140625" style="738" customWidth="1"/>
    <col min="5098" max="5098" width="12.7109375" style="738" customWidth="1"/>
    <col min="5099" max="5099" width="2.140625" style="738" customWidth="1"/>
    <col min="5100" max="5100" width="12.7109375" style="738" customWidth="1"/>
    <col min="5101" max="5101" width="1.85546875" style="738" customWidth="1"/>
    <col min="5102" max="5103" width="5.85546875" style="738" customWidth="1"/>
    <col min="5104" max="5105" width="7.85546875" style="738" customWidth="1"/>
    <col min="5106" max="5106" width="14.7109375" style="738" customWidth="1"/>
    <col min="5107" max="5340" width="9" style="738"/>
    <col min="5341" max="5341" width="2.85546875" style="738" customWidth="1"/>
    <col min="5342" max="5342" width="21.5703125" style="738" customWidth="1"/>
    <col min="5343" max="5343" width="2.140625" style="738" customWidth="1"/>
    <col min="5344" max="5344" width="7.85546875" style="738" customWidth="1"/>
    <col min="5345" max="5345" width="2.140625" style="738" customWidth="1"/>
    <col min="5346" max="5346" width="12.7109375" style="738" customWidth="1"/>
    <col min="5347" max="5347" width="2.140625" style="738" customWidth="1"/>
    <col min="5348" max="5348" width="12.7109375" style="738" customWidth="1"/>
    <col min="5349" max="5349" width="2.140625" style="738" customWidth="1"/>
    <col min="5350" max="5350" width="23.5703125" style="738" customWidth="1"/>
    <col min="5351" max="5351" width="2.140625" style="738" customWidth="1"/>
    <col min="5352" max="5352" width="7.140625" style="738" customWidth="1"/>
    <col min="5353" max="5353" width="2.140625" style="738" customWidth="1"/>
    <col min="5354" max="5354" width="12.7109375" style="738" customWidth="1"/>
    <col min="5355" max="5355" width="2.140625" style="738" customWidth="1"/>
    <col min="5356" max="5356" width="12.7109375" style="738" customWidth="1"/>
    <col min="5357" max="5357" width="1.85546875" style="738" customWidth="1"/>
    <col min="5358" max="5359" width="5.85546875" style="738" customWidth="1"/>
    <col min="5360" max="5361" width="7.85546875" style="738" customWidth="1"/>
    <col min="5362" max="5362" width="14.7109375" style="738" customWidth="1"/>
    <col min="5363" max="5596" width="9" style="738"/>
    <col min="5597" max="5597" width="2.85546875" style="738" customWidth="1"/>
    <col min="5598" max="5598" width="21.5703125" style="738" customWidth="1"/>
    <col min="5599" max="5599" width="2.140625" style="738" customWidth="1"/>
    <col min="5600" max="5600" width="7.85546875" style="738" customWidth="1"/>
    <col min="5601" max="5601" width="2.140625" style="738" customWidth="1"/>
    <col min="5602" max="5602" width="12.7109375" style="738" customWidth="1"/>
    <col min="5603" max="5603" width="2.140625" style="738" customWidth="1"/>
    <col min="5604" max="5604" width="12.7109375" style="738" customWidth="1"/>
    <col min="5605" max="5605" width="2.140625" style="738" customWidth="1"/>
    <col min="5606" max="5606" width="23.5703125" style="738" customWidth="1"/>
    <col min="5607" max="5607" width="2.140625" style="738" customWidth="1"/>
    <col min="5608" max="5608" width="7.140625" style="738" customWidth="1"/>
    <col min="5609" max="5609" width="2.140625" style="738" customWidth="1"/>
    <col min="5610" max="5610" width="12.7109375" style="738" customWidth="1"/>
    <col min="5611" max="5611" width="2.140625" style="738" customWidth="1"/>
    <col min="5612" max="5612" width="12.7109375" style="738" customWidth="1"/>
    <col min="5613" max="5613" width="1.85546875" style="738" customWidth="1"/>
    <col min="5614" max="5615" width="5.85546875" style="738" customWidth="1"/>
    <col min="5616" max="5617" width="7.85546875" style="738" customWidth="1"/>
    <col min="5618" max="5618" width="14.7109375" style="738" customWidth="1"/>
    <col min="5619" max="5852" width="9" style="738"/>
    <col min="5853" max="5853" width="2.85546875" style="738" customWidth="1"/>
    <col min="5854" max="5854" width="21.5703125" style="738" customWidth="1"/>
    <col min="5855" max="5855" width="2.140625" style="738" customWidth="1"/>
    <col min="5856" max="5856" width="7.85546875" style="738" customWidth="1"/>
    <col min="5857" max="5857" width="2.140625" style="738" customWidth="1"/>
    <col min="5858" max="5858" width="12.7109375" style="738" customWidth="1"/>
    <col min="5859" max="5859" width="2.140625" style="738" customWidth="1"/>
    <col min="5860" max="5860" width="12.7109375" style="738" customWidth="1"/>
    <col min="5861" max="5861" width="2.140625" style="738" customWidth="1"/>
    <col min="5862" max="5862" width="23.5703125" style="738" customWidth="1"/>
    <col min="5863" max="5863" width="2.140625" style="738" customWidth="1"/>
    <col min="5864" max="5864" width="7.140625" style="738" customWidth="1"/>
    <col min="5865" max="5865" width="2.140625" style="738" customWidth="1"/>
    <col min="5866" max="5866" width="12.7109375" style="738" customWidth="1"/>
    <col min="5867" max="5867" width="2.140625" style="738" customWidth="1"/>
    <col min="5868" max="5868" width="12.7109375" style="738" customWidth="1"/>
    <col min="5869" max="5869" width="1.85546875" style="738" customWidth="1"/>
    <col min="5870" max="5871" width="5.85546875" style="738" customWidth="1"/>
    <col min="5872" max="5873" width="7.85546875" style="738" customWidth="1"/>
    <col min="5874" max="5874" width="14.7109375" style="738" customWidth="1"/>
    <col min="5875" max="6108" width="9" style="738"/>
    <col min="6109" max="6109" width="2.85546875" style="738" customWidth="1"/>
    <col min="6110" max="6110" width="21.5703125" style="738" customWidth="1"/>
    <col min="6111" max="6111" width="2.140625" style="738" customWidth="1"/>
    <col min="6112" max="6112" width="7.85546875" style="738" customWidth="1"/>
    <col min="6113" max="6113" width="2.140625" style="738" customWidth="1"/>
    <col min="6114" max="6114" width="12.7109375" style="738" customWidth="1"/>
    <col min="6115" max="6115" width="2.140625" style="738" customWidth="1"/>
    <col min="6116" max="6116" width="12.7109375" style="738" customWidth="1"/>
    <col min="6117" max="6117" width="2.140625" style="738" customWidth="1"/>
    <col min="6118" max="6118" width="23.5703125" style="738" customWidth="1"/>
    <col min="6119" max="6119" width="2.140625" style="738" customWidth="1"/>
    <col min="6120" max="6120" width="7.140625" style="738" customWidth="1"/>
    <col min="6121" max="6121" width="2.140625" style="738" customWidth="1"/>
    <col min="6122" max="6122" width="12.7109375" style="738" customWidth="1"/>
    <col min="6123" max="6123" width="2.140625" style="738" customWidth="1"/>
    <col min="6124" max="6124" width="12.7109375" style="738" customWidth="1"/>
    <col min="6125" max="6125" width="1.85546875" style="738" customWidth="1"/>
    <col min="6126" max="6127" width="5.85546875" style="738" customWidth="1"/>
    <col min="6128" max="6129" width="7.85546875" style="738" customWidth="1"/>
    <col min="6130" max="6130" width="14.7109375" style="738" customWidth="1"/>
    <col min="6131" max="6364" width="9" style="738"/>
    <col min="6365" max="6365" width="2.85546875" style="738" customWidth="1"/>
    <col min="6366" max="6366" width="21.5703125" style="738" customWidth="1"/>
    <col min="6367" max="6367" width="2.140625" style="738" customWidth="1"/>
    <col min="6368" max="6368" width="7.85546875" style="738" customWidth="1"/>
    <col min="6369" max="6369" width="2.140625" style="738" customWidth="1"/>
    <col min="6370" max="6370" width="12.7109375" style="738" customWidth="1"/>
    <col min="6371" max="6371" width="2.140625" style="738" customWidth="1"/>
    <col min="6372" max="6372" width="12.7109375" style="738" customWidth="1"/>
    <col min="6373" max="6373" width="2.140625" style="738" customWidth="1"/>
    <col min="6374" max="6374" width="23.5703125" style="738" customWidth="1"/>
    <col min="6375" max="6375" width="2.140625" style="738" customWidth="1"/>
    <col min="6376" max="6376" width="7.140625" style="738" customWidth="1"/>
    <col min="6377" max="6377" width="2.140625" style="738" customWidth="1"/>
    <col min="6378" max="6378" width="12.7109375" style="738" customWidth="1"/>
    <col min="6379" max="6379" width="2.140625" style="738" customWidth="1"/>
    <col min="6380" max="6380" width="12.7109375" style="738" customWidth="1"/>
    <col min="6381" max="6381" width="1.85546875" style="738" customWidth="1"/>
    <col min="6382" max="6383" width="5.85546875" style="738" customWidth="1"/>
    <col min="6384" max="6385" width="7.85546875" style="738" customWidth="1"/>
    <col min="6386" max="6386" width="14.7109375" style="738" customWidth="1"/>
    <col min="6387" max="6620" width="9" style="738"/>
    <col min="6621" max="6621" width="2.85546875" style="738" customWidth="1"/>
    <col min="6622" max="6622" width="21.5703125" style="738" customWidth="1"/>
    <col min="6623" max="6623" width="2.140625" style="738" customWidth="1"/>
    <col min="6624" max="6624" width="7.85546875" style="738" customWidth="1"/>
    <col min="6625" max="6625" width="2.140625" style="738" customWidth="1"/>
    <col min="6626" max="6626" width="12.7109375" style="738" customWidth="1"/>
    <col min="6627" max="6627" width="2.140625" style="738" customWidth="1"/>
    <col min="6628" max="6628" width="12.7109375" style="738" customWidth="1"/>
    <col min="6629" max="6629" width="2.140625" style="738" customWidth="1"/>
    <col min="6630" max="6630" width="23.5703125" style="738" customWidth="1"/>
    <col min="6631" max="6631" width="2.140625" style="738" customWidth="1"/>
    <col min="6632" max="6632" width="7.140625" style="738" customWidth="1"/>
    <col min="6633" max="6633" width="2.140625" style="738" customWidth="1"/>
    <col min="6634" max="6634" width="12.7109375" style="738" customWidth="1"/>
    <col min="6635" max="6635" width="2.140625" style="738" customWidth="1"/>
    <col min="6636" max="6636" width="12.7109375" style="738" customWidth="1"/>
    <col min="6637" max="6637" width="1.85546875" style="738" customWidth="1"/>
    <col min="6638" max="6639" width="5.85546875" style="738" customWidth="1"/>
    <col min="6640" max="6641" width="7.85546875" style="738" customWidth="1"/>
    <col min="6642" max="6642" width="14.7109375" style="738" customWidth="1"/>
    <col min="6643" max="6876" width="9" style="738"/>
    <col min="6877" max="6877" width="2.85546875" style="738" customWidth="1"/>
    <col min="6878" max="6878" width="21.5703125" style="738" customWidth="1"/>
    <col min="6879" max="6879" width="2.140625" style="738" customWidth="1"/>
    <col min="6880" max="6880" width="7.85546875" style="738" customWidth="1"/>
    <col min="6881" max="6881" width="2.140625" style="738" customWidth="1"/>
    <col min="6882" max="6882" width="12.7109375" style="738" customWidth="1"/>
    <col min="6883" max="6883" width="2.140625" style="738" customWidth="1"/>
    <col min="6884" max="6884" width="12.7109375" style="738" customWidth="1"/>
    <col min="6885" max="6885" width="2.140625" style="738" customWidth="1"/>
    <col min="6886" max="6886" width="23.5703125" style="738" customWidth="1"/>
    <col min="6887" max="6887" width="2.140625" style="738" customWidth="1"/>
    <col min="6888" max="6888" width="7.140625" style="738" customWidth="1"/>
    <col min="6889" max="6889" width="2.140625" style="738" customWidth="1"/>
    <col min="6890" max="6890" width="12.7109375" style="738" customWidth="1"/>
    <col min="6891" max="6891" width="2.140625" style="738" customWidth="1"/>
    <col min="6892" max="6892" width="12.7109375" style="738" customWidth="1"/>
    <col min="6893" max="6893" width="1.85546875" style="738" customWidth="1"/>
    <col min="6894" max="6895" width="5.85546875" style="738" customWidth="1"/>
    <col min="6896" max="6897" width="7.85546875" style="738" customWidth="1"/>
    <col min="6898" max="6898" width="14.7109375" style="738" customWidth="1"/>
    <col min="6899" max="7132" width="9" style="738"/>
    <col min="7133" max="7133" width="2.85546875" style="738" customWidth="1"/>
    <col min="7134" max="7134" width="21.5703125" style="738" customWidth="1"/>
    <col min="7135" max="7135" width="2.140625" style="738" customWidth="1"/>
    <col min="7136" max="7136" width="7.85546875" style="738" customWidth="1"/>
    <col min="7137" max="7137" width="2.140625" style="738" customWidth="1"/>
    <col min="7138" max="7138" width="12.7109375" style="738" customWidth="1"/>
    <col min="7139" max="7139" width="2.140625" style="738" customWidth="1"/>
    <col min="7140" max="7140" width="12.7109375" style="738" customWidth="1"/>
    <col min="7141" max="7141" width="2.140625" style="738" customWidth="1"/>
    <col min="7142" max="7142" width="23.5703125" style="738" customWidth="1"/>
    <col min="7143" max="7143" width="2.140625" style="738" customWidth="1"/>
    <col min="7144" max="7144" width="7.140625" style="738" customWidth="1"/>
    <col min="7145" max="7145" width="2.140625" style="738" customWidth="1"/>
    <col min="7146" max="7146" width="12.7109375" style="738" customWidth="1"/>
    <col min="7147" max="7147" width="2.140625" style="738" customWidth="1"/>
    <col min="7148" max="7148" width="12.7109375" style="738" customWidth="1"/>
    <col min="7149" max="7149" width="1.85546875" style="738" customWidth="1"/>
    <col min="7150" max="7151" width="5.85546875" style="738" customWidth="1"/>
    <col min="7152" max="7153" width="7.85546875" style="738" customWidth="1"/>
    <col min="7154" max="7154" width="14.7109375" style="738" customWidth="1"/>
    <col min="7155" max="7388" width="9" style="738"/>
    <col min="7389" max="7389" width="2.85546875" style="738" customWidth="1"/>
    <col min="7390" max="7390" width="21.5703125" style="738" customWidth="1"/>
    <col min="7391" max="7391" width="2.140625" style="738" customWidth="1"/>
    <col min="7392" max="7392" width="7.85546875" style="738" customWidth="1"/>
    <col min="7393" max="7393" width="2.140625" style="738" customWidth="1"/>
    <col min="7394" max="7394" width="12.7109375" style="738" customWidth="1"/>
    <col min="7395" max="7395" width="2.140625" style="738" customWidth="1"/>
    <col min="7396" max="7396" width="12.7109375" style="738" customWidth="1"/>
    <col min="7397" max="7397" width="2.140625" style="738" customWidth="1"/>
    <col min="7398" max="7398" width="23.5703125" style="738" customWidth="1"/>
    <col min="7399" max="7399" width="2.140625" style="738" customWidth="1"/>
    <col min="7400" max="7400" width="7.140625" style="738" customWidth="1"/>
    <col min="7401" max="7401" width="2.140625" style="738" customWidth="1"/>
    <col min="7402" max="7402" width="12.7109375" style="738" customWidth="1"/>
    <col min="7403" max="7403" width="2.140625" style="738" customWidth="1"/>
    <col min="7404" max="7404" width="12.7109375" style="738" customWidth="1"/>
    <col min="7405" max="7405" width="1.85546875" style="738" customWidth="1"/>
    <col min="7406" max="7407" width="5.85546875" style="738" customWidth="1"/>
    <col min="7408" max="7409" width="7.85546875" style="738" customWidth="1"/>
    <col min="7410" max="7410" width="14.7109375" style="738" customWidth="1"/>
    <col min="7411" max="7644" width="9" style="738"/>
    <col min="7645" max="7645" width="2.85546875" style="738" customWidth="1"/>
    <col min="7646" max="7646" width="21.5703125" style="738" customWidth="1"/>
    <col min="7647" max="7647" width="2.140625" style="738" customWidth="1"/>
    <col min="7648" max="7648" width="7.85546875" style="738" customWidth="1"/>
    <col min="7649" max="7649" width="2.140625" style="738" customWidth="1"/>
    <col min="7650" max="7650" width="12.7109375" style="738" customWidth="1"/>
    <col min="7651" max="7651" width="2.140625" style="738" customWidth="1"/>
    <col min="7652" max="7652" width="12.7109375" style="738" customWidth="1"/>
    <col min="7653" max="7653" width="2.140625" style="738" customWidth="1"/>
    <col min="7654" max="7654" width="23.5703125" style="738" customWidth="1"/>
    <col min="7655" max="7655" width="2.140625" style="738" customWidth="1"/>
    <col min="7656" max="7656" width="7.140625" style="738" customWidth="1"/>
    <col min="7657" max="7657" width="2.140625" style="738" customWidth="1"/>
    <col min="7658" max="7658" width="12.7109375" style="738" customWidth="1"/>
    <col min="7659" max="7659" width="2.140625" style="738" customWidth="1"/>
    <col min="7660" max="7660" width="12.7109375" style="738" customWidth="1"/>
    <col min="7661" max="7661" width="1.85546875" style="738" customWidth="1"/>
    <col min="7662" max="7663" width="5.85546875" style="738" customWidth="1"/>
    <col min="7664" max="7665" width="7.85546875" style="738" customWidth="1"/>
    <col min="7666" max="7666" width="14.7109375" style="738" customWidth="1"/>
    <col min="7667" max="7900" width="9" style="738"/>
    <col min="7901" max="7901" width="2.85546875" style="738" customWidth="1"/>
    <col min="7902" max="7902" width="21.5703125" style="738" customWidth="1"/>
    <col min="7903" max="7903" width="2.140625" style="738" customWidth="1"/>
    <col min="7904" max="7904" width="7.85546875" style="738" customWidth="1"/>
    <col min="7905" max="7905" width="2.140625" style="738" customWidth="1"/>
    <col min="7906" max="7906" width="12.7109375" style="738" customWidth="1"/>
    <col min="7907" max="7907" width="2.140625" style="738" customWidth="1"/>
    <col min="7908" max="7908" width="12.7109375" style="738" customWidth="1"/>
    <col min="7909" max="7909" width="2.140625" style="738" customWidth="1"/>
    <col min="7910" max="7910" width="23.5703125" style="738" customWidth="1"/>
    <col min="7911" max="7911" width="2.140625" style="738" customWidth="1"/>
    <col min="7912" max="7912" width="7.140625" style="738" customWidth="1"/>
    <col min="7913" max="7913" width="2.140625" style="738" customWidth="1"/>
    <col min="7914" max="7914" width="12.7109375" style="738" customWidth="1"/>
    <col min="7915" max="7915" width="2.140625" style="738" customWidth="1"/>
    <col min="7916" max="7916" width="12.7109375" style="738" customWidth="1"/>
    <col min="7917" max="7917" width="1.85546875" style="738" customWidth="1"/>
    <col min="7918" max="7919" width="5.85546875" style="738" customWidth="1"/>
    <col min="7920" max="7921" width="7.85546875" style="738" customWidth="1"/>
    <col min="7922" max="7922" width="14.7109375" style="738" customWidth="1"/>
    <col min="7923" max="8156" width="9" style="738"/>
    <col min="8157" max="8157" width="2.85546875" style="738" customWidth="1"/>
    <col min="8158" max="8158" width="21.5703125" style="738" customWidth="1"/>
    <col min="8159" max="8159" width="2.140625" style="738" customWidth="1"/>
    <col min="8160" max="8160" width="7.85546875" style="738" customWidth="1"/>
    <col min="8161" max="8161" width="2.140625" style="738" customWidth="1"/>
    <col min="8162" max="8162" width="12.7109375" style="738" customWidth="1"/>
    <col min="8163" max="8163" width="2.140625" style="738" customWidth="1"/>
    <col min="8164" max="8164" width="12.7109375" style="738" customWidth="1"/>
    <col min="8165" max="8165" width="2.140625" style="738" customWidth="1"/>
    <col min="8166" max="8166" width="23.5703125" style="738" customWidth="1"/>
    <col min="8167" max="8167" width="2.140625" style="738" customWidth="1"/>
    <col min="8168" max="8168" width="7.140625" style="738" customWidth="1"/>
    <col min="8169" max="8169" width="2.140625" style="738" customWidth="1"/>
    <col min="8170" max="8170" width="12.7109375" style="738" customWidth="1"/>
    <col min="8171" max="8171" width="2.140625" style="738" customWidth="1"/>
    <col min="8172" max="8172" width="12.7109375" style="738" customWidth="1"/>
    <col min="8173" max="8173" width="1.85546875" style="738" customWidth="1"/>
    <col min="8174" max="8175" width="5.85546875" style="738" customWidth="1"/>
    <col min="8176" max="8177" width="7.85546875" style="738" customWidth="1"/>
    <col min="8178" max="8178" width="14.7109375" style="738" customWidth="1"/>
    <col min="8179" max="8412" width="9" style="738"/>
    <col min="8413" max="8413" width="2.85546875" style="738" customWidth="1"/>
    <col min="8414" max="8414" width="21.5703125" style="738" customWidth="1"/>
    <col min="8415" max="8415" width="2.140625" style="738" customWidth="1"/>
    <col min="8416" max="8416" width="7.85546875" style="738" customWidth="1"/>
    <col min="8417" max="8417" width="2.140625" style="738" customWidth="1"/>
    <col min="8418" max="8418" width="12.7109375" style="738" customWidth="1"/>
    <col min="8419" max="8419" width="2.140625" style="738" customWidth="1"/>
    <col min="8420" max="8420" width="12.7109375" style="738" customWidth="1"/>
    <col min="8421" max="8421" width="2.140625" style="738" customWidth="1"/>
    <col min="8422" max="8422" width="23.5703125" style="738" customWidth="1"/>
    <col min="8423" max="8423" width="2.140625" style="738" customWidth="1"/>
    <col min="8424" max="8424" width="7.140625" style="738" customWidth="1"/>
    <col min="8425" max="8425" width="2.140625" style="738" customWidth="1"/>
    <col min="8426" max="8426" width="12.7109375" style="738" customWidth="1"/>
    <col min="8427" max="8427" width="2.140625" style="738" customWidth="1"/>
    <col min="8428" max="8428" width="12.7109375" style="738" customWidth="1"/>
    <col min="8429" max="8429" width="1.85546875" style="738" customWidth="1"/>
    <col min="8430" max="8431" width="5.85546875" style="738" customWidth="1"/>
    <col min="8432" max="8433" width="7.85546875" style="738" customWidth="1"/>
    <col min="8434" max="8434" width="14.7109375" style="738" customWidth="1"/>
    <col min="8435" max="8668" width="9" style="738"/>
    <col min="8669" max="8669" width="2.85546875" style="738" customWidth="1"/>
    <col min="8670" max="8670" width="21.5703125" style="738" customWidth="1"/>
    <col min="8671" max="8671" width="2.140625" style="738" customWidth="1"/>
    <col min="8672" max="8672" width="7.85546875" style="738" customWidth="1"/>
    <col min="8673" max="8673" width="2.140625" style="738" customWidth="1"/>
    <col min="8674" max="8674" width="12.7109375" style="738" customWidth="1"/>
    <col min="8675" max="8675" width="2.140625" style="738" customWidth="1"/>
    <col min="8676" max="8676" width="12.7109375" style="738" customWidth="1"/>
    <col min="8677" max="8677" width="2.140625" style="738" customWidth="1"/>
    <col min="8678" max="8678" width="23.5703125" style="738" customWidth="1"/>
    <col min="8679" max="8679" width="2.140625" style="738" customWidth="1"/>
    <col min="8680" max="8680" width="7.140625" style="738" customWidth="1"/>
    <col min="8681" max="8681" width="2.140625" style="738" customWidth="1"/>
    <col min="8682" max="8682" width="12.7109375" style="738" customWidth="1"/>
    <col min="8683" max="8683" width="2.140625" style="738" customWidth="1"/>
    <col min="8684" max="8684" width="12.7109375" style="738" customWidth="1"/>
    <col min="8685" max="8685" width="1.85546875" style="738" customWidth="1"/>
    <col min="8686" max="8687" width="5.85546875" style="738" customWidth="1"/>
    <col min="8688" max="8689" width="7.85546875" style="738" customWidth="1"/>
    <col min="8690" max="8690" width="14.7109375" style="738" customWidth="1"/>
    <col min="8691" max="8924" width="9" style="738"/>
    <col min="8925" max="8925" width="2.85546875" style="738" customWidth="1"/>
    <col min="8926" max="8926" width="21.5703125" style="738" customWidth="1"/>
    <col min="8927" max="8927" width="2.140625" style="738" customWidth="1"/>
    <col min="8928" max="8928" width="7.85546875" style="738" customWidth="1"/>
    <col min="8929" max="8929" width="2.140625" style="738" customWidth="1"/>
    <col min="8930" max="8930" width="12.7109375" style="738" customWidth="1"/>
    <col min="8931" max="8931" width="2.140625" style="738" customWidth="1"/>
    <col min="8932" max="8932" width="12.7109375" style="738" customWidth="1"/>
    <col min="8933" max="8933" width="2.140625" style="738" customWidth="1"/>
    <col min="8934" max="8934" width="23.5703125" style="738" customWidth="1"/>
    <col min="8935" max="8935" width="2.140625" style="738" customWidth="1"/>
    <col min="8936" max="8936" width="7.140625" style="738" customWidth="1"/>
    <col min="8937" max="8937" width="2.140625" style="738" customWidth="1"/>
    <col min="8938" max="8938" width="12.7109375" style="738" customWidth="1"/>
    <col min="8939" max="8939" width="2.140625" style="738" customWidth="1"/>
    <col min="8940" max="8940" width="12.7109375" style="738" customWidth="1"/>
    <col min="8941" max="8941" width="1.85546875" style="738" customWidth="1"/>
    <col min="8942" max="8943" width="5.85546875" style="738" customWidth="1"/>
    <col min="8944" max="8945" width="7.85546875" style="738" customWidth="1"/>
    <col min="8946" max="8946" width="14.7109375" style="738" customWidth="1"/>
    <col min="8947" max="9180" width="9" style="738"/>
    <col min="9181" max="9181" width="2.85546875" style="738" customWidth="1"/>
    <col min="9182" max="9182" width="21.5703125" style="738" customWidth="1"/>
    <col min="9183" max="9183" width="2.140625" style="738" customWidth="1"/>
    <col min="9184" max="9184" width="7.85546875" style="738" customWidth="1"/>
    <col min="9185" max="9185" width="2.140625" style="738" customWidth="1"/>
    <col min="9186" max="9186" width="12.7109375" style="738" customWidth="1"/>
    <col min="9187" max="9187" width="2.140625" style="738" customWidth="1"/>
    <col min="9188" max="9188" width="12.7109375" style="738" customWidth="1"/>
    <col min="9189" max="9189" width="2.140625" style="738" customWidth="1"/>
    <col min="9190" max="9190" width="23.5703125" style="738" customWidth="1"/>
    <col min="9191" max="9191" width="2.140625" style="738" customWidth="1"/>
    <col min="9192" max="9192" width="7.140625" style="738" customWidth="1"/>
    <col min="9193" max="9193" width="2.140625" style="738" customWidth="1"/>
    <col min="9194" max="9194" width="12.7109375" style="738" customWidth="1"/>
    <col min="9195" max="9195" width="2.140625" style="738" customWidth="1"/>
    <col min="9196" max="9196" width="12.7109375" style="738" customWidth="1"/>
    <col min="9197" max="9197" width="1.85546875" style="738" customWidth="1"/>
    <col min="9198" max="9199" width="5.85546875" style="738" customWidth="1"/>
    <col min="9200" max="9201" width="7.85546875" style="738" customWidth="1"/>
    <col min="9202" max="9202" width="14.7109375" style="738" customWidth="1"/>
    <col min="9203" max="9436" width="9" style="738"/>
    <col min="9437" max="9437" width="2.85546875" style="738" customWidth="1"/>
    <col min="9438" max="9438" width="21.5703125" style="738" customWidth="1"/>
    <col min="9439" max="9439" width="2.140625" style="738" customWidth="1"/>
    <col min="9440" max="9440" width="7.85546875" style="738" customWidth="1"/>
    <col min="9441" max="9441" width="2.140625" style="738" customWidth="1"/>
    <col min="9442" max="9442" width="12.7109375" style="738" customWidth="1"/>
    <col min="9443" max="9443" width="2.140625" style="738" customWidth="1"/>
    <col min="9444" max="9444" width="12.7109375" style="738" customWidth="1"/>
    <col min="9445" max="9445" width="2.140625" style="738" customWidth="1"/>
    <col min="9446" max="9446" width="23.5703125" style="738" customWidth="1"/>
    <col min="9447" max="9447" width="2.140625" style="738" customWidth="1"/>
    <col min="9448" max="9448" width="7.140625" style="738" customWidth="1"/>
    <col min="9449" max="9449" width="2.140625" style="738" customWidth="1"/>
    <col min="9450" max="9450" width="12.7109375" style="738" customWidth="1"/>
    <col min="9451" max="9451" width="2.140625" style="738" customWidth="1"/>
    <col min="9452" max="9452" width="12.7109375" style="738" customWidth="1"/>
    <col min="9453" max="9453" width="1.85546875" style="738" customWidth="1"/>
    <col min="9454" max="9455" width="5.85546875" style="738" customWidth="1"/>
    <col min="9456" max="9457" width="7.85546875" style="738" customWidth="1"/>
    <col min="9458" max="9458" width="14.7109375" style="738" customWidth="1"/>
    <col min="9459" max="9692" width="9" style="738"/>
    <col min="9693" max="9693" width="2.85546875" style="738" customWidth="1"/>
    <col min="9694" max="9694" width="21.5703125" style="738" customWidth="1"/>
    <col min="9695" max="9695" width="2.140625" style="738" customWidth="1"/>
    <col min="9696" max="9696" width="7.85546875" style="738" customWidth="1"/>
    <col min="9697" max="9697" width="2.140625" style="738" customWidth="1"/>
    <col min="9698" max="9698" width="12.7109375" style="738" customWidth="1"/>
    <col min="9699" max="9699" width="2.140625" style="738" customWidth="1"/>
    <col min="9700" max="9700" width="12.7109375" style="738" customWidth="1"/>
    <col min="9701" max="9701" width="2.140625" style="738" customWidth="1"/>
    <col min="9702" max="9702" width="23.5703125" style="738" customWidth="1"/>
    <col min="9703" max="9703" width="2.140625" style="738" customWidth="1"/>
    <col min="9704" max="9704" width="7.140625" style="738" customWidth="1"/>
    <col min="9705" max="9705" width="2.140625" style="738" customWidth="1"/>
    <col min="9706" max="9706" width="12.7109375" style="738" customWidth="1"/>
    <col min="9707" max="9707" width="2.140625" style="738" customWidth="1"/>
    <col min="9708" max="9708" width="12.7109375" style="738" customWidth="1"/>
    <col min="9709" max="9709" width="1.85546875" style="738" customWidth="1"/>
    <col min="9710" max="9711" width="5.85546875" style="738" customWidth="1"/>
    <col min="9712" max="9713" width="7.85546875" style="738" customWidth="1"/>
    <col min="9714" max="9714" width="14.7109375" style="738" customWidth="1"/>
    <col min="9715" max="9948" width="9" style="738"/>
    <col min="9949" max="9949" width="2.85546875" style="738" customWidth="1"/>
    <col min="9950" max="9950" width="21.5703125" style="738" customWidth="1"/>
    <col min="9951" max="9951" width="2.140625" style="738" customWidth="1"/>
    <col min="9952" max="9952" width="7.85546875" style="738" customWidth="1"/>
    <col min="9953" max="9953" width="2.140625" style="738" customWidth="1"/>
    <col min="9954" max="9954" width="12.7109375" style="738" customWidth="1"/>
    <col min="9955" max="9955" width="2.140625" style="738" customWidth="1"/>
    <col min="9956" max="9956" width="12.7109375" style="738" customWidth="1"/>
    <col min="9957" max="9957" width="2.140625" style="738" customWidth="1"/>
    <col min="9958" max="9958" width="23.5703125" style="738" customWidth="1"/>
    <col min="9959" max="9959" width="2.140625" style="738" customWidth="1"/>
    <col min="9960" max="9960" width="7.140625" style="738" customWidth="1"/>
    <col min="9961" max="9961" width="2.140625" style="738" customWidth="1"/>
    <col min="9962" max="9962" width="12.7109375" style="738" customWidth="1"/>
    <col min="9963" max="9963" width="2.140625" style="738" customWidth="1"/>
    <col min="9964" max="9964" width="12.7109375" style="738" customWidth="1"/>
    <col min="9965" max="9965" width="1.85546875" style="738" customWidth="1"/>
    <col min="9966" max="9967" width="5.85546875" style="738" customWidth="1"/>
    <col min="9968" max="9969" width="7.85546875" style="738" customWidth="1"/>
    <col min="9970" max="9970" width="14.7109375" style="738" customWidth="1"/>
    <col min="9971" max="10204" width="9" style="738"/>
    <col min="10205" max="10205" width="2.85546875" style="738" customWidth="1"/>
    <col min="10206" max="10206" width="21.5703125" style="738" customWidth="1"/>
    <col min="10207" max="10207" width="2.140625" style="738" customWidth="1"/>
    <col min="10208" max="10208" width="7.85546875" style="738" customWidth="1"/>
    <col min="10209" max="10209" width="2.140625" style="738" customWidth="1"/>
    <col min="10210" max="10210" width="12.7109375" style="738" customWidth="1"/>
    <col min="10211" max="10211" width="2.140625" style="738" customWidth="1"/>
    <col min="10212" max="10212" width="12.7109375" style="738" customWidth="1"/>
    <col min="10213" max="10213" width="2.140625" style="738" customWidth="1"/>
    <col min="10214" max="10214" width="23.5703125" style="738" customWidth="1"/>
    <col min="10215" max="10215" width="2.140625" style="738" customWidth="1"/>
    <col min="10216" max="10216" width="7.140625" style="738" customWidth="1"/>
    <col min="10217" max="10217" width="2.140625" style="738" customWidth="1"/>
    <col min="10218" max="10218" width="12.7109375" style="738" customWidth="1"/>
    <col min="10219" max="10219" width="2.140625" style="738" customWidth="1"/>
    <col min="10220" max="10220" width="12.7109375" style="738" customWidth="1"/>
    <col min="10221" max="10221" width="1.85546875" style="738" customWidth="1"/>
    <col min="10222" max="10223" width="5.85546875" style="738" customWidth="1"/>
    <col min="10224" max="10225" width="7.85546875" style="738" customWidth="1"/>
    <col min="10226" max="10226" width="14.7109375" style="738" customWidth="1"/>
    <col min="10227" max="10460" width="9" style="738"/>
    <col min="10461" max="10461" width="2.85546875" style="738" customWidth="1"/>
    <col min="10462" max="10462" width="21.5703125" style="738" customWidth="1"/>
    <col min="10463" max="10463" width="2.140625" style="738" customWidth="1"/>
    <col min="10464" max="10464" width="7.85546875" style="738" customWidth="1"/>
    <col min="10465" max="10465" width="2.140625" style="738" customWidth="1"/>
    <col min="10466" max="10466" width="12.7109375" style="738" customWidth="1"/>
    <col min="10467" max="10467" width="2.140625" style="738" customWidth="1"/>
    <col min="10468" max="10468" width="12.7109375" style="738" customWidth="1"/>
    <col min="10469" max="10469" width="2.140625" style="738" customWidth="1"/>
    <col min="10470" max="10470" width="23.5703125" style="738" customWidth="1"/>
    <col min="10471" max="10471" width="2.140625" style="738" customWidth="1"/>
    <col min="10472" max="10472" width="7.140625" style="738" customWidth="1"/>
    <col min="10473" max="10473" width="2.140625" style="738" customWidth="1"/>
    <col min="10474" max="10474" width="12.7109375" style="738" customWidth="1"/>
    <col min="10475" max="10475" width="2.140625" style="738" customWidth="1"/>
    <col min="10476" max="10476" width="12.7109375" style="738" customWidth="1"/>
    <col min="10477" max="10477" width="1.85546875" style="738" customWidth="1"/>
    <col min="10478" max="10479" width="5.85546875" style="738" customWidth="1"/>
    <col min="10480" max="10481" width="7.85546875" style="738" customWidth="1"/>
    <col min="10482" max="10482" width="14.7109375" style="738" customWidth="1"/>
    <col min="10483" max="10716" width="9" style="738"/>
    <col min="10717" max="10717" width="2.85546875" style="738" customWidth="1"/>
    <col min="10718" max="10718" width="21.5703125" style="738" customWidth="1"/>
    <col min="10719" max="10719" width="2.140625" style="738" customWidth="1"/>
    <col min="10720" max="10720" width="7.85546875" style="738" customWidth="1"/>
    <col min="10721" max="10721" width="2.140625" style="738" customWidth="1"/>
    <col min="10722" max="10722" width="12.7109375" style="738" customWidth="1"/>
    <col min="10723" max="10723" width="2.140625" style="738" customWidth="1"/>
    <col min="10724" max="10724" width="12.7109375" style="738" customWidth="1"/>
    <col min="10725" max="10725" width="2.140625" style="738" customWidth="1"/>
    <col min="10726" max="10726" width="23.5703125" style="738" customWidth="1"/>
    <col min="10727" max="10727" width="2.140625" style="738" customWidth="1"/>
    <col min="10728" max="10728" width="7.140625" style="738" customWidth="1"/>
    <col min="10729" max="10729" width="2.140625" style="738" customWidth="1"/>
    <col min="10730" max="10730" width="12.7109375" style="738" customWidth="1"/>
    <col min="10731" max="10731" width="2.140625" style="738" customWidth="1"/>
    <col min="10732" max="10732" width="12.7109375" style="738" customWidth="1"/>
    <col min="10733" max="10733" width="1.85546875" style="738" customWidth="1"/>
    <col min="10734" max="10735" width="5.85546875" style="738" customWidth="1"/>
    <col min="10736" max="10737" width="7.85546875" style="738" customWidth="1"/>
    <col min="10738" max="10738" width="14.7109375" style="738" customWidth="1"/>
    <col min="10739" max="10972" width="9" style="738"/>
    <col min="10973" max="10973" width="2.85546875" style="738" customWidth="1"/>
    <col min="10974" max="10974" width="21.5703125" style="738" customWidth="1"/>
    <col min="10975" max="10975" width="2.140625" style="738" customWidth="1"/>
    <col min="10976" max="10976" width="7.85546875" style="738" customWidth="1"/>
    <col min="10977" max="10977" width="2.140625" style="738" customWidth="1"/>
    <col min="10978" max="10978" width="12.7109375" style="738" customWidth="1"/>
    <col min="10979" max="10979" width="2.140625" style="738" customWidth="1"/>
    <col min="10980" max="10980" width="12.7109375" style="738" customWidth="1"/>
    <col min="10981" max="10981" width="2.140625" style="738" customWidth="1"/>
    <col min="10982" max="10982" width="23.5703125" style="738" customWidth="1"/>
    <col min="10983" max="10983" width="2.140625" style="738" customWidth="1"/>
    <col min="10984" max="10984" width="7.140625" style="738" customWidth="1"/>
    <col min="10985" max="10985" width="2.140625" style="738" customWidth="1"/>
    <col min="10986" max="10986" width="12.7109375" style="738" customWidth="1"/>
    <col min="10987" max="10987" width="2.140625" style="738" customWidth="1"/>
    <col min="10988" max="10988" width="12.7109375" style="738" customWidth="1"/>
    <col min="10989" max="10989" width="1.85546875" style="738" customWidth="1"/>
    <col min="10990" max="10991" width="5.85546875" style="738" customWidth="1"/>
    <col min="10992" max="10993" width="7.85546875" style="738" customWidth="1"/>
    <col min="10994" max="10994" width="14.7109375" style="738" customWidth="1"/>
    <col min="10995" max="11228" width="9" style="738"/>
    <col min="11229" max="11229" width="2.85546875" style="738" customWidth="1"/>
    <col min="11230" max="11230" width="21.5703125" style="738" customWidth="1"/>
    <col min="11231" max="11231" width="2.140625" style="738" customWidth="1"/>
    <col min="11232" max="11232" width="7.85546875" style="738" customWidth="1"/>
    <col min="11233" max="11233" width="2.140625" style="738" customWidth="1"/>
    <col min="11234" max="11234" width="12.7109375" style="738" customWidth="1"/>
    <col min="11235" max="11235" width="2.140625" style="738" customWidth="1"/>
    <col min="11236" max="11236" width="12.7109375" style="738" customWidth="1"/>
    <col min="11237" max="11237" width="2.140625" style="738" customWidth="1"/>
    <col min="11238" max="11238" width="23.5703125" style="738" customWidth="1"/>
    <col min="11239" max="11239" width="2.140625" style="738" customWidth="1"/>
    <col min="11240" max="11240" width="7.140625" style="738" customWidth="1"/>
    <col min="11241" max="11241" width="2.140625" style="738" customWidth="1"/>
    <col min="11242" max="11242" width="12.7109375" style="738" customWidth="1"/>
    <col min="11243" max="11243" width="2.140625" style="738" customWidth="1"/>
    <col min="11244" max="11244" width="12.7109375" style="738" customWidth="1"/>
    <col min="11245" max="11245" width="1.85546875" style="738" customWidth="1"/>
    <col min="11246" max="11247" width="5.85546875" style="738" customWidth="1"/>
    <col min="11248" max="11249" width="7.85546875" style="738" customWidth="1"/>
    <col min="11250" max="11250" width="14.7109375" style="738" customWidth="1"/>
    <col min="11251" max="11484" width="9" style="738"/>
    <col min="11485" max="11485" width="2.85546875" style="738" customWidth="1"/>
    <col min="11486" max="11486" width="21.5703125" style="738" customWidth="1"/>
    <col min="11487" max="11487" width="2.140625" style="738" customWidth="1"/>
    <col min="11488" max="11488" width="7.85546875" style="738" customWidth="1"/>
    <col min="11489" max="11489" width="2.140625" style="738" customWidth="1"/>
    <col min="11490" max="11490" width="12.7109375" style="738" customWidth="1"/>
    <col min="11491" max="11491" width="2.140625" style="738" customWidth="1"/>
    <col min="11492" max="11492" width="12.7109375" style="738" customWidth="1"/>
    <col min="11493" max="11493" width="2.140625" style="738" customWidth="1"/>
    <col min="11494" max="11494" width="23.5703125" style="738" customWidth="1"/>
    <col min="11495" max="11495" width="2.140625" style="738" customWidth="1"/>
    <col min="11496" max="11496" width="7.140625" style="738" customWidth="1"/>
    <col min="11497" max="11497" width="2.140625" style="738" customWidth="1"/>
    <col min="11498" max="11498" width="12.7109375" style="738" customWidth="1"/>
    <col min="11499" max="11499" width="2.140625" style="738" customWidth="1"/>
    <col min="11500" max="11500" width="12.7109375" style="738" customWidth="1"/>
    <col min="11501" max="11501" width="1.85546875" style="738" customWidth="1"/>
    <col min="11502" max="11503" width="5.85546875" style="738" customWidth="1"/>
    <col min="11504" max="11505" width="7.85546875" style="738" customWidth="1"/>
    <col min="11506" max="11506" width="14.7109375" style="738" customWidth="1"/>
    <col min="11507" max="11740" width="9" style="738"/>
    <col min="11741" max="11741" width="2.85546875" style="738" customWidth="1"/>
    <col min="11742" max="11742" width="21.5703125" style="738" customWidth="1"/>
    <col min="11743" max="11743" width="2.140625" style="738" customWidth="1"/>
    <col min="11744" max="11744" width="7.85546875" style="738" customWidth="1"/>
    <col min="11745" max="11745" width="2.140625" style="738" customWidth="1"/>
    <col min="11746" max="11746" width="12.7109375" style="738" customWidth="1"/>
    <col min="11747" max="11747" width="2.140625" style="738" customWidth="1"/>
    <col min="11748" max="11748" width="12.7109375" style="738" customWidth="1"/>
    <col min="11749" max="11749" width="2.140625" style="738" customWidth="1"/>
    <col min="11750" max="11750" width="23.5703125" style="738" customWidth="1"/>
    <col min="11751" max="11751" width="2.140625" style="738" customWidth="1"/>
    <col min="11752" max="11752" width="7.140625" style="738" customWidth="1"/>
    <col min="11753" max="11753" width="2.140625" style="738" customWidth="1"/>
    <col min="11754" max="11754" width="12.7109375" style="738" customWidth="1"/>
    <col min="11755" max="11755" width="2.140625" style="738" customWidth="1"/>
    <col min="11756" max="11756" width="12.7109375" style="738" customWidth="1"/>
    <col min="11757" max="11757" width="1.85546875" style="738" customWidth="1"/>
    <col min="11758" max="11759" width="5.85546875" style="738" customWidth="1"/>
    <col min="11760" max="11761" width="7.85546875" style="738" customWidth="1"/>
    <col min="11762" max="11762" width="14.7109375" style="738" customWidth="1"/>
    <col min="11763" max="11996" width="9" style="738"/>
    <col min="11997" max="11997" width="2.85546875" style="738" customWidth="1"/>
    <col min="11998" max="11998" width="21.5703125" style="738" customWidth="1"/>
    <col min="11999" max="11999" width="2.140625" style="738" customWidth="1"/>
    <col min="12000" max="12000" width="7.85546875" style="738" customWidth="1"/>
    <col min="12001" max="12001" width="2.140625" style="738" customWidth="1"/>
    <col min="12002" max="12002" width="12.7109375" style="738" customWidth="1"/>
    <col min="12003" max="12003" width="2.140625" style="738" customWidth="1"/>
    <col min="12004" max="12004" width="12.7109375" style="738" customWidth="1"/>
    <col min="12005" max="12005" width="2.140625" style="738" customWidth="1"/>
    <col min="12006" max="12006" width="23.5703125" style="738" customWidth="1"/>
    <col min="12007" max="12007" width="2.140625" style="738" customWidth="1"/>
    <col min="12008" max="12008" width="7.140625" style="738" customWidth="1"/>
    <col min="12009" max="12009" width="2.140625" style="738" customWidth="1"/>
    <col min="12010" max="12010" width="12.7109375" style="738" customWidth="1"/>
    <col min="12011" max="12011" width="2.140625" style="738" customWidth="1"/>
    <col min="12012" max="12012" width="12.7109375" style="738" customWidth="1"/>
    <col min="12013" max="12013" width="1.85546875" style="738" customWidth="1"/>
    <col min="12014" max="12015" width="5.85546875" style="738" customWidth="1"/>
    <col min="12016" max="12017" width="7.85546875" style="738" customWidth="1"/>
    <col min="12018" max="12018" width="14.7109375" style="738" customWidth="1"/>
    <col min="12019" max="12252" width="9" style="738"/>
    <col min="12253" max="12253" width="2.85546875" style="738" customWidth="1"/>
    <col min="12254" max="12254" width="21.5703125" style="738" customWidth="1"/>
    <col min="12255" max="12255" width="2.140625" style="738" customWidth="1"/>
    <col min="12256" max="12256" width="7.85546875" style="738" customWidth="1"/>
    <col min="12257" max="12257" width="2.140625" style="738" customWidth="1"/>
    <col min="12258" max="12258" width="12.7109375" style="738" customWidth="1"/>
    <col min="12259" max="12259" width="2.140625" style="738" customWidth="1"/>
    <col min="12260" max="12260" width="12.7109375" style="738" customWidth="1"/>
    <col min="12261" max="12261" width="2.140625" style="738" customWidth="1"/>
    <col min="12262" max="12262" width="23.5703125" style="738" customWidth="1"/>
    <col min="12263" max="12263" width="2.140625" style="738" customWidth="1"/>
    <col min="12264" max="12264" width="7.140625" style="738" customWidth="1"/>
    <col min="12265" max="12265" width="2.140625" style="738" customWidth="1"/>
    <col min="12266" max="12266" width="12.7109375" style="738" customWidth="1"/>
    <col min="12267" max="12267" width="2.140625" style="738" customWidth="1"/>
    <col min="12268" max="12268" width="12.7109375" style="738" customWidth="1"/>
    <col min="12269" max="12269" width="1.85546875" style="738" customWidth="1"/>
    <col min="12270" max="12271" width="5.85546875" style="738" customWidth="1"/>
    <col min="12272" max="12273" width="7.85546875" style="738" customWidth="1"/>
    <col min="12274" max="12274" width="14.7109375" style="738" customWidth="1"/>
    <col min="12275" max="12508" width="9" style="738"/>
    <col min="12509" max="12509" width="2.85546875" style="738" customWidth="1"/>
    <col min="12510" max="12510" width="21.5703125" style="738" customWidth="1"/>
    <col min="12511" max="12511" width="2.140625" style="738" customWidth="1"/>
    <col min="12512" max="12512" width="7.85546875" style="738" customWidth="1"/>
    <col min="12513" max="12513" width="2.140625" style="738" customWidth="1"/>
    <col min="12514" max="12514" width="12.7109375" style="738" customWidth="1"/>
    <col min="12515" max="12515" width="2.140625" style="738" customWidth="1"/>
    <col min="12516" max="12516" width="12.7109375" style="738" customWidth="1"/>
    <col min="12517" max="12517" width="2.140625" style="738" customWidth="1"/>
    <col min="12518" max="12518" width="23.5703125" style="738" customWidth="1"/>
    <col min="12519" max="12519" width="2.140625" style="738" customWidth="1"/>
    <col min="12520" max="12520" width="7.140625" style="738" customWidth="1"/>
    <col min="12521" max="12521" width="2.140625" style="738" customWidth="1"/>
    <col min="12522" max="12522" width="12.7109375" style="738" customWidth="1"/>
    <col min="12523" max="12523" width="2.140625" style="738" customWidth="1"/>
    <col min="12524" max="12524" width="12.7109375" style="738" customWidth="1"/>
    <col min="12525" max="12525" width="1.85546875" style="738" customWidth="1"/>
    <col min="12526" max="12527" width="5.85546875" style="738" customWidth="1"/>
    <col min="12528" max="12529" width="7.85546875" style="738" customWidth="1"/>
    <col min="12530" max="12530" width="14.7109375" style="738" customWidth="1"/>
    <col min="12531" max="12764" width="9" style="738"/>
    <col min="12765" max="12765" width="2.85546875" style="738" customWidth="1"/>
    <col min="12766" max="12766" width="21.5703125" style="738" customWidth="1"/>
    <col min="12767" max="12767" width="2.140625" style="738" customWidth="1"/>
    <col min="12768" max="12768" width="7.85546875" style="738" customWidth="1"/>
    <col min="12769" max="12769" width="2.140625" style="738" customWidth="1"/>
    <col min="12770" max="12770" width="12.7109375" style="738" customWidth="1"/>
    <col min="12771" max="12771" width="2.140625" style="738" customWidth="1"/>
    <col min="12772" max="12772" width="12.7109375" style="738" customWidth="1"/>
    <col min="12773" max="12773" width="2.140625" style="738" customWidth="1"/>
    <col min="12774" max="12774" width="23.5703125" style="738" customWidth="1"/>
    <col min="12775" max="12775" width="2.140625" style="738" customWidth="1"/>
    <col min="12776" max="12776" width="7.140625" style="738" customWidth="1"/>
    <col min="12777" max="12777" width="2.140625" style="738" customWidth="1"/>
    <col min="12778" max="12778" width="12.7109375" style="738" customWidth="1"/>
    <col min="12779" max="12779" width="2.140625" style="738" customWidth="1"/>
    <col min="12780" max="12780" width="12.7109375" style="738" customWidth="1"/>
    <col min="12781" max="12781" width="1.85546875" style="738" customWidth="1"/>
    <col min="12782" max="12783" width="5.85546875" style="738" customWidth="1"/>
    <col min="12784" max="12785" width="7.85546875" style="738" customWidth="1"/>
    <col min="12786" max="12786" width="14.7109375" style="738" customWidth="1"/>
    <col min="12787" max="13020" width="9" style="738"/>
    <col min="13021" max="13021" width="2.85546875" style="738" customWidth="1"/>
    <col min="13022" max="13022" width="21.5703125" style="738" customWidth="1"/>
    <col min="13023" max="13023" width="2.140625" style="738" customWidth="1"/>
    <col min="13024" max="13024" width="7.85546875" style="738" customWidth="1"/>
    <col min="13025" max="13025" width="2.140625" style="738" customWidth="1"/>
    <col min="13026" max="13026" width="12.7109375" style="738" customWidth="1"/>
    <col min="13027" max="13027" width="2.140625" style="738" customWidth="1"/>
    <col min="13028" max="13028" width="12.7109375" style="738" customWidth="1"/>
    <col min="13029" max="13029" width="2.140625" style="738" customWidth="1"/>
    <col min="13030" max="13030" width="23.5703125" style="738" customWidth="1"/>
    <col min="13031" max="13031" width="2.140625" style="738" customWidth="1"/>
    <col min="13032" max="13032" width="7.140625" style="738" customWidth="1"/>
    <col min="13033" max="13033" width="2.140625" style="738" customWidth="1"/>
    <col min="13034" max="13034" width="12.7109375" style="738" customWidth="1"/>
    <col min="13035" max="13035" width="2.140625" style="738" customWidth="1"/>
    <col min="13036" max="13036" width="12.7109375" style="738" customWidth="1"/>
    <col min="13037" max="13037" width="1.85546875" style="738" customWidth="1"/>
    <col min="13038" max="13039" width="5.85546875" style="738" customWidth="1"/>
    <col min="13040" max="13041" width="7.85546875" style="738" customWidth="1"/>
    <col min="13042" max="13042" width="14.7109375" style="738" customWidth="1"/>
    <col min="13043" max="13276" width="9" style="738"/>
    <col min="13277" max="13277" width="2.85546875" style="738" customWidth="1"/>
    <col min="13278" max="13278" width="21.5703125" style="738" customWidth="1"/>
    <col min="13279" max="13279" width="2.140625" style="738" customWidth="1"/>
    <col min="13280" max="13280" width="7.85546875" style="738" customWidth="1"/>
    <col min="13281" max="13281" width="2.140625" style="738" customWidth="1"/>
    <col min="13282" max="13282" width="12.7109375" style="738" customWidth="1"/>
    <col min="13283" max="13283" width="2.140625" style="738" customWidth="1"/>
    <col min="13284" max="13284" width="12.7109375" style="738" customWidth="1"/>
    <col min="13285" max="13285" width="2.140625" style="738" customWidth="1"/>
    <col min="13286" max="13286" width="23.5703125" style="738" customWidth="1"/>
    <col min="13287" max="13287" width="2.140625" style="738" customWidth="1"/>
    <col min="13288" max="13288" width="7.140625" style="738" customWidth="1"/>
    <col min="13289" max="13289" width="2.140625" style="738" customWidth="1"/>
    <col min="13290" max="13290" width="12.7109375" style="738" customWidth="1"/>
    <col min="13291" max="13291" width="2.140625" style="738" customWidth="1"/>
    <col min="13292" max="13292" width="12.7109375" style="738" customWidth="1"/>
    <col min="13293" max="13293" width="1.85546875" style="738" customWidth="1"/>
    <col min="13294" max="13295" width="5.85546875" style="738" customWidth="1"/>
    <col min="13296" max="13297" width="7.85546875" style="738" customWidth="1"/>
    <col min="13298" max="13298" width="14.7109375" style="738" customWidth="1"/>
    <col min="13299" max="13532" width="9" style="738"/>
    <col min="13533" max="13533" width="2.85546875" style="738" customWidth="1"/>
    <col min="13534" max="13534" width="21.5703125" style="738" customWidth="1"/>
    <col min="13535" max="13535" width="2.140625" style="738" customWidth="1"/>
    <col min="13536" max="13536" width="7.85546875" style="738" customWidth="1"/>
    <col min="13537" max="13537" width="2.140625" style="738" customWidth="1"/>
    <col min="13538" max="13538" width="12.7109375" style="738" customWidth="1"/>
    <col min="13539" max="13539" width="2.140625" style="738" customWidth="1"/>
    <col min="13540" max="13540" width="12.7109375" style="738" customWidth="1"/>
    <col min="13541" max="13541" width="2.140625" style="738" customWidth="1"/>
    <col min="13542" max="13542" width="23.5703125" style="738" customWidth="1"/>
    <col min="13543" max="13543" width="2.140625" style="738" customWidth="1"/>
    <col min="13544" max="13544" width="7.140625" style="738" customWidth="1"/>
    <col min="13545" max="13545" width="2.140625" style="738" customWidth="1"/>
    <col min="13546" max="13546" width="12.7109375" style="738" customWidth="1"/>
    <col min="13547" max="13547" width="2.140625" style="738" customWidth="1"/>
    <col min="13548" max="13548" width="12.7109375" style="738" customWidth="1"/>
    <col min="13549" max="13549" width="1.85546875" style="738" customWidth="1"/>
    <col min="13550" max="13551" width="5.85546875" style="738" customWidth="1"/>
    <col min="13552" max="13553" width="7.85546875" style="738" customWidth="1"/>
    <col min="13554" max="13554" width="14.7109375" style="738" customWidth="1"/>
    <col min="13555" max="13788" width="9" style="738"/>
    <col min="13789" max="13789" width="2.85546875" style="738" customWidth="1"/>
    <col min="13790" max="13790" width="21.5703125" style="738" customWidth="1"/>
    <col min="13791" max="13791" width="2.140625" style="738" customWidth="1"/>
    <col min="13792" max="13792" width="7.85546875" style="738" customWidth="1"/>
    <col min="13793" max="13793" width="2.140625" style="738" customWidth="1"/>
    <col min="13794" max="13794" width="12.7109375" style="738" customWidth="1"/>
    <col min="13795" max="13795" width="2.140625" style="738" customWidth="1"/>
    <col min="13796" max="13796" width="12.7109375" style="738" customWidth="1"/>
    <col min="13797" max="13797" width="2.140625" style="738" customWidth="1"/>
    <col min="13798" max="13798" width="23.5703125" style="738" customWidth="1"/>
    <col min="13799" max="13799" width="2.140625" style="738" customWidth="1"/>
    <col min="13800" max="13800" width="7.140625" style="738" customWidth="1"/>
    <col min="13801" max="13801" width="2.140625" style="738" customWidth="1"/>
    <col min="13802" max="13802" width="12.7109375" style="738" customWidth="1"/>
    <col min="13803" max="13803" width="2.140625" style="738" customWidth="1"/>
    <col min="13804" max="13804" width="12.7109375" style="738" customWidth="1"/>
    <col min="13805" max="13805" width="1.85546875" style="738" customWidth="1"/>
    <col min="13806" max="13807" width="5.85546875" style="738" customWidth="1"/>
    <col min="13808" max="13809" width="7.85546875" style="738" customWidth="1"/>
    <col min="13810" max="13810" width="14.7109375" style="738" customWidth="1"/>
    <col min="13811" max="14044" width="9" style="738"/>
    <col min="14045" max="14045" width="2.85546875" style="738" customWidth="1"/>
    <col min="14046" max="14046" width="21.5703125" style="738" customWidth="1"/>
    <col min="14047" max="14047" width="2.140625" style="738" customWidth="1"/>
    <col min="14048" max="14048" width="7.85546875" style="738" customWidth="1"/>
    <col min="14049" max="14049" width="2.140625" style="738" customWidth="1"/>
    <col min="14050" max="14050" width="12.7109375" style="738" customWidth="1"/>
    <col min="14051" max="14051" width="2.140625" style="738" customWidth="1"/>
    <col min="14052" max="14052" width="12.7109375" style="738" customWidth="1"/>
    <col min="14053" max="14053" width="2.140625" style="738" customWidth="1"/>
    <col min="14054" max="14054" width="23.5703125" style="738" customWidth="1"/>
    <col min="14055" max="14055" width="2.140625" style="738" customWidth="1"/>
    <col min="14056" max="14056" width="7.140625" style="738" customWidth="1"/>
    <col min="14057" max="14057" width="2.140625" style="738" customWidth="1"/>
    <col min="14058" max="14058" width="12.7109375" style="738" customWidth="1"/>
    <col min="14059" max="14059" width="2.140625" style="738" customWidth="1"/>
    <col min="14060" max="14060" width="12.7109375" style="738" customWidth="1"/>
    <col min="14061" max="14061" width="1.85546875" style="738" customWidth="1"/>
    <col min="14062" max="14063" width="5.85546875" style="738" customWidth="1"/>
    <col min="14064" max="14065" width="7.85546875" style="738" customWidth="1"/>
    <col min="14066" max="14066" width="14.7109375" style="738" customWidth="1"/>
    <col min="14067" max="14300" width="9" style="738"/>
    <col min="14301" max="14301" width="2.85546875" style="738" customWidth="1"/>
    <col min="14302" max="14302" width="21.5703125" style="738" customWidth="1"/>
    <col min="14303" max="14303" width="2.140625" style="738" customWidth="1"/>
    <col min="14304" max="14304" width="7.85546875" style="738" customWidth="1"/>
    <col min="14305" max="14305" width="2.140625" style="738" customWidth="1"/>
    <col min="14306" max="14306" width="12.7109375" style="738" customWidth="1"/>
    <col min="14307" max="14307" width="2.140625" style="738" customWidth="1"/>
    <col min="14308" max="14308" width="12.7109375" style="738" customWidth="1"/>
    <col min="14309" max="14309" width="2.140625" style="738" customWidth="1"/>
    <col min="14310" max="14310" width="23.5703125" style="738" customWidth="1"/>
    <col min="14311" max="14311" width="2.140625" style="738" customWidth="1"/>
    <col min="14312" max="14312" width="7.140625" style="738" customWidth="1"/>
    <col min="14313" max="14313" width="2.140625" style="738" customWidth="1"/>
    <col min="14314" max="14314" width="12.7109375" style="738" customWidth="1"/>
    <col min="14315" max="14315" width="2.140625" style="738" customWidth="1"/>
    <col min="14316" max="14316" width="12.7109375" style="738" customWidth="1"/>
    <col min="14317" max="14317" width="1.85546875" style="738" customWidth="1"/>
    <col min="14318" max="14319" width="5.85546875" style="738" customWidth="1"/>
    <col min="14320" max="14321" width="7.85546875" style="738" customWidth="1"/>
    <col min="14322" max="14322" width="14.7109375" style="738" customWidth="1"/>
    <col min="14323" max="14556" width="9" style="738"/>
    <col min="14557" max="14557" width="2.85546875" style="738" customWidth="1"/>
    <col min="14558" max="14558" width="21.5703125" style="738" customWidth="1"/>
    <col min="14559" max="14559" width="2.140625" style="738" customWidth="1"/>
    <col min="14560" max="14560" width="7.85546875" style="738" customWidth="1"/>
    <col min="14561" max="14561" width="2.140625" style="738" customWidth="1"/>
    <col min="14562" max="14562" width="12.7109375" style="738" customWidth="1"/>
    <col min="14563" max="14563" width="2.140625" style="738" customWidth="1"/>
    <col min="14564" max="14564" width="12.7109375" style="738" customWidth="1"/>
    <col min="14565" max="14565" width="2.140625" style="738" customWidth="1"/>
    <col min="14566" max="14566" width="23.5703125" style="738" customWidth="1"/>
    <col min="14567" max="14567" width="2.140625" style="738" customWidth="1"/>
    <col min="14568" max="14568" width="7.140625" style="738" customWidth="1"/>
    <col min="14569" max="14569" width="2.140625" style="738" customWidth="1"/>
    <col min="14570" max="14570" width="12.7109375" style="738" customWidth="1"/>
    <col min="14571" max="14571" width="2.140625" style="738" customWidth="1"/>
    <col min="14572" max="14572" width="12.7109375" style="738" customWidth="1"/>
    <col min="14573" max="14573" width="1.85546875" style="738" customWidth="1"/>
    <col min="14574" max="14575" width="5.85546875" style="738" customWidth="1"/>
    <col min="14576" max="14577" width="7.85546875" style="738" customWidth="1"/>
    <col min="14578" max="14578" width="14.7109375" style="738" customWidth="1"/>
    <col min="14579" max="14812" width="9" style="738"/>
    <col min="14813" max="14813" width="2.85546875" style="738" customWidth="1"/>
    <col min="14814" max="14814" width="21.5703125" style="738" customWidth="1"/>
    <col min="14815" max="14815" width="2.140625" style="738" customWidth="1"/>
    <col min="14816" max="14816" width="7.85546875" style="738" customWidth="1"/>
    <col min="14817" max="14817" width="2.140625" style="738" customWidth="1"/>
    <col min="14818" max="14818" width="12.7109375" style="738" customWidth="1"/>
    <col min="14819" max="14819" width="2.140625" style="738" customWidth="1"/>
    <col min="14820" max="14820" width="12.7109375" style="738" customWidth="1"/>
    <col min="14821" max="14821" width="2.140625" style="738" customWidth="1"/>
    <col min="14822" max="14822" width="23.5703125" style="738" customWidth="1"/>
    <col min="14823" max="14823" width="2.140625" style="738" customWidth="1"/>
    <col min="14824" max="14824" width="7.140625" style="738" customWidth="1"/>
    <col min="14825" max="14825" width="2.140625" style="738" customWidth="1"/>
    <col min="14826" max="14826" width="12.7109375" style="738" customWidth="1"/>
    <col min="14827" max="14827" width="2.140625" style="738" customWidth="1"/>
    <col min="14828" max="14828" width="12.7109375" style="738" customWidth="1"/>
    <col min="14829" max="14829" width="1.85546875" style="738" customWidth="1"/>
    <col min="14830" max="14831" width="5.85546875" style="738" customWidth="1"/>
    <col min="14832" max="14833" width="7.85546875" style="738" customWidth="1"/>
    <col min="14834" max="14834" width="14.7109375" style="738" customWidth="1"/>
    <col min="14835" max="15068" width="9" style="738"/>
    <col min="15069" max="15069" width="2.85546875" style="738" customWidth="1"/>
    <col min="15070" max="15070" width="21.5703125" style="738" customWidth="1"/>
    <col min="15071" max="15071" width="2.140625" style="738" customWidth="1"/>
    <col min="15072" max="15072" width="7.85546875" style="738" customWidth="1"/>
    <col min="15073" max="15073" width="2.140625" style="738" customWidth="1"/>
    <col min="15074" max="15074" width="12.7109375" style="738" customWidth="1"/>
    <col min="15075" max="15075" width="2.140625" style="738" customWidth="1"/>
    <col min="15076" max="15076" width="12.7109375" style="738" customWidth="1"/>
    <col min="15077" max="15077" width="2.140625" style="738" customWidth="1"/>
    <col min="15078" max="15078" width="23.5703125" style="738" customWidth="1"/>
    <col min="15079" max="15079" width="2.140625" style="738" customWidth="1"/>
    <col min="15080" max="15080" width="7.140625" style="738" customWidth="1"/>
    <col min="15081" max="15081" width="2.140625" style="738" customWidth="1"/>
    <col min="15082" max="15082" width="12.7109375" style="738" customWidth="1"/>
    <col min="15083" max="15083" width="2.140625" style="738" customWidth="1"/>
    <col min="15084" max="15084" width="12.7109375" style="738" customWidth="1"/>
    <col min="15085" max="15085" width="1.85546875" style="738" customWidth="1"/>
    <col min="15086" max="15087" width="5.85546875" style="738" customWidth="1"/>
    <col min="15088" max="15089" width="7.85546875" style="738" customWidth="1"/>
    <col min="15090" max="15090" width="14.7109375" style="738" customWidth="1"/>
    <col min="15091" max="15324" width="9" style="738"/>
    <col min="15325" max="15325" width="2.85546875" style="738" customWidth="1"/>
    <col min="15326" max="15326" width="21.5703125" style="738" customWidth="1"/>
    <col min="15327" max="15327" width="2.140625" style="738" customWidth="1"/>
    <col min="15328" max="15328" width="7.85546875" style="738" customWidth="1"/>
    <col min="15329" max="15329" width="2.140625" style="738" customWidth="1"/>
    <col min="15330" max="15330" width="12.7109375" style="738" customWidth="1"/>
    <col min="15331" max="15331" width="2.140625" style="738" customWidth="1"/>
    <col min="15332" max="15332" width="12.7109375" style="738" customWidth="1"/>
    <col min="15333" max="15333" width="2.140625" style="738" customWidth="1"/>
    <col min="15334" max="15334" width="23.5703125" style="738" customWidth="1"/>
    <col min="15335" max="15335" width="2.140625" style="738" customWidth="1"/>
    <col min="15336" max="15336" width="7.140625" style="738" customWidth="1"/>
    <col min="15337" max="15337" width="2.140625" style="738" customWidth="1"/>
    <col min="15338" max="15338" width="12.7109375" style="738" customWidth="1"/>
    <col min="15339" max="15339" width="2.140625" style="738" customWidth="1"/>
    <col min="15340" max="15340" width="12.7109375" style="738" customWidth="1"/>
    <col min="15341" max="15341" width="1.85546875" style="738" customWidth="1"/>
    <col min="15342" max="15343" width="5.85546875" style="738" customWidth="1"/>
    <col min="15344" max="15345" width="7.85546875" style="738" customWidth="1"/>
    <col min="15346" max="15346" width="14.7109375" style="738" customWidth="1"/>
    <col min="15347" max="15580" width="9" style="738"/>
    <col min="15581" max="15581" width="2.85546875" style="738" customWidth="1"/>
    <col min="15582" max="15582" width="21.5703125" style="738" customWidth="1"/>
    <col min="15583" max="15583" width="2.140625" style="738" customWidth="1"/>
    <col min="15584" max="15584" width="7.85546875" style="738" customWidth="1"/>
    <col min="15585" max="15585" width="2.140625" style="738" customWidth="1"/>
    <col min="15586" max="15586" width="12.7109375" style="738" customWidth="1"/>
    <col min="15587" max="15587" width="2.140625" style="738" customWidth="1"/>
    <col min="15588" max="15588" width="12.7109375" style="738" customWidth="1"/>
    <col min="15589" max="15589" width="2.140625" style="738" customWidth="1"/>
    <col min="15590" max="15590" width="23.5703125" style="738" customWidth="1"/>
    <col min="15591" max="15591" width="2.140625" style="738" customWidth="1"/>
    <col min="15592" max="15592" width="7.140625" style="738" customWidth="1"/>
    <col min="15593" max="15593" width="2.140625" style="738" customWidth="1"/>
    <col min="15594" max="15594" width="12.7109375" style="738" customWidth="1"/>
    <col min="15595" max="15595" width="2.140625" style="738" customWidth="1"/>
    <col min="15596" max="15596" width="12.7109375" style="738" customWidth="1"/>
    <col min="15597" max="15597" width="1.85546875" style="738" customWidth="1"/>
    <col min="15598" max="15599" width="5.85546875" style="738" customWidth="1"/>
    <col min="15600" max="15601" width="7.85546875" style="738" customWidth="1"/>
    <col min="15602" max="15602" width="14.7109375" style="738" customWidth="1"/>
    <col min="15603" max="15836" width="9" style="738"/>
    <col min="15837" max="15837" width="2.85546875" style="738" customWidth="1"/>
    <col min="15838" max="15838" width="21.5703125" style="738" customWidth="1"/>
    <col min="15839" max="15839" width="2.140625" style="738" customWidth="1"/>
    <col min="15840" max="15840" width="7.85546875" style="738" customWidth="1"/>
    <col min="15841" max="15841" width="2.140625" style="738" customWidth="1"/>
    <col min="15842" max="15842" width="12.7109375" style="738" customWidth="1"/>
    <col min="15843" max="15843" width="2.140625" style="738" customWidth="1"/>
    <col min="15844" max="15844" width="12.7109375" style="738" customWidth="1"/>
    <col min="15845" max="15845" width="2.140625" style="738" customWidth="1"/>
    <col min="15846" max="15846" width="23.5703125" style="738" customWidth="1"/>
    <col min="15847" max="15847" width="2.140625" style="738" customWidth="1"/>
    <col min="15848" max="15848" width="7.140625" style="738" customWidth="1"/>
    <col min="15849" max="15849" width="2.140625" style="738" customWidth="1"/>
    <col min="15850" max="15850" width="12.7109375" style="738" customWidth="1"/>
    <col min="15851" max="15851" width="2.140625" style="738" customWidth="1"/>
    <col min="15852" max="15852" width="12.7109375" style="738" customWidth="1"/>
    <col min="15853" max="15853" width="1.85546875" style="738" customWidth="1"/>
    <col min="15854" max="15855" width="5.85546875" style="738" customWidth="1"/>
    <col min="15856" max="15857" width="7.85546875" style="738" customWidth="1"/>
    <col min="15858" max="15858" width="14.7109375" style="738" customWidth="1"/>
    <col min="15859" max="16092" width="9" style="738"/>
    <col min="16093" max="16093" width="2.85546875" style="738" customWidth="1"/>
    <col min="16094" max="16094" width="21.5703125" style="738" customWidth="1"/>
    <col min="16095" max="16095" width="2.140625" style="738" customWidth="1"/>
    <col min="16096" max="16096" width="7.85546875" style="738" customWidth="1"/>
    <col min="16097" max="16097" width="2.140625" style="738" customWidth="1"/>
    <col min="16098" max="16098" width="12.7109375" style="738" customWidth="1"/>
    <col min="16099" max="16099" width="2.140625" style="738" customWidth="1"/>
    <col min="16100" max="16100" width="12.7109375" style="738" customWidth="1"/>
    <col min="16101" max="16101" width="2.140625" style="738" customWidth="1"/>
    <col min="16102" max="16102" width="23.5703125" style="738" customWidth="1"/>
    <col min="16103" max="16103" width="2.140625" style="738" customWidth="1"/>
    <col min="16104" max="16104" width="7.140625" style="738" customWidth="1"/>
    <col min="16105" max="16105" width="2.140625" style="738" customWidth="1"/>
    <col min="16106" max="16106" width="12.7109375" style="738" customWidth="1"/>
    <col min="16107" max="16107" width="2.140625" style="738" customWidth="1"/>
    <col min="16108" max="16108" width="12.7109375" style="738" customWidth="1"/>
    <col min="16109" max="16109" width="1.85546875" style="738" customWidth="1"/>
    <col min="16110" max="16111" width="5.85546875" style="738" customWidth="1"/>
    <col min="16112" max="16113" width="7.85546875" style="738" customWidth="1"/>
    <col min="16114" max="16114" width="14.7109375" style="738" customWidth="1"/>
    <col min="16115" max="16368" width="9" style="738"/>
    <col min="16369" max="16384" width="9" style="738" customWidth="1"/>
  </cols>
  <sheetData>
    <row r="1" spans="1:14" s="732" customFormat="1" ht="24.75" customHeight="1" x14ac:dyDescent="0.25">
      <c r="B1" s="1361" t="s">
        <v>244</v>
      </c>
      <c r="C1" s="1361"/>
      <c r="D1" s="1361"/>
      <c r="E1" s="1361"/>
      <c r="F1" s="1361"/>
      <c r="G1" s="1361"/>
      <c r="H1" s="1361"/>
      <c r="I1" s="1361"/>
      <c r="M1" s="1153"/>
      <c r="N1" s="1164"/>
    </row>
    <row r="2" spans="1:14" s="732" customFormat="1" ht="24.75" customHeight="1" x14ac:dyDescent="0.25">
      <c r="B2" s="1361" t="s">
        <v>2</v>
      </c>
      <c r="C2" s="1361"/>
      <c r="D2" s="1361"/>
      <c r="E2" s="1361"/>
      <c r="F2" s="1361"/>
      <c r="G2" s="1361"/>
      <c r="H2" s="1361"/>
      <c r="I2" s="1361"/>
      <c r="M2" s="1153"/>
      <c r="N2" s="1164"/>
    </row>
    <row r="3" spans="1:14" s="732" customFormat="1" ht="24.75" customHeight="1" x14ac:dyDescent="0.25">
      <c r="B3" s="1361" t="s">
        <v>1091</v>
      </c>
      <c r="C3" s="1361"/>
      <c r="D3" s="1361"/>
      <c r="E3" s="1361"/>
      <c r="F3" s="1361"/>
      <c r="G3" s="1361"/>
      <c r="H3" s="1361"/>
      <c r="I3" s="1361"/>
      <c r="M3" s="1153"/>
      <c r="N3" s="1164"/>
    </row>
    <row r="4" spans="1:14" ht="24.75" customHeight="1" x14ac:dyDescent="0.6">
      <c r="A4" s="733"/>
      <c r="B4" s="733"/>
      <c r="C4" s="733"/>
      <c r="D4" s="733"/>
      <c r="E4" s="733"/>
      <c r="F4" s="505"/>
      <c r="G4" s="734"/>
      <c r="H4" s="735"/>
      <c r="I4" s="736"/>
    </row>
    <row r="5" spans="1:14" ht="24.75" customHeight="1" x14ac:dyDescent="0.55000000000000004">
      <c r="A5" s="733"/>
      <c r="C5" s="739"/>
      <c r="D5" s="240" t="s">
        <v>10</v>
      </c>
      <c r="E5" s="739"/>
      <c r="F5" s="1144" t="s">
        <v>1093</v>
      </c>
      <c r="G5" s="739"/>
      <c r="H5" s="432" t="s">
        <v>995</v>
      </c>
      <c r="I5" s="235"/>
    </row>
    <row r="6" spans="1:14" ht="24.75" customHeight="1" x14ac:dyDescent="0.55000000000000004">
      <c r="A6" s="733"/>
      <c r="B6" s="490" t="s">
        <v>19</v>
      </c>
      <c r="C6" s="733"/>
      <c r="D6" s="733"/>
      <c r="E6" s="733"/>
      <c r="F6" s="734" t="s">
        <v>702</v>
      </c>
      <c r="G6" s="734"/>
      <c r="H6" s="737" t="s">
        <v>702</v>
      </c>
      <c r="I6" s="734"/>
      <c r="L6" s="738" t="s">
        <v>1188</v>
      </c>
      <c r="M6" s="1154">
        <f>F17/F36</f>
        <v>1.8267414700425746</v>
      </c>
    </row>
    <row r="7" spans="1:14" ht="24.75" customHeight="1" x14ac:dyDescent="0.6">
      <c r="A7" s="733"/>
      <c r="B7" s="490" t="s">
        <v>22</v>
      </c>
      <c r="C7" s="733"/>
      <c r="D7" s="733"/>
      <c r="E7" s="733"/>
      <c r="F7" s="203"/>
      <c r="G7" s="192"/>
      <c r="H7" s="520"/>
      <c r="I7" s="203"/>
      <c r="L7" s="738" t="s">
        <v>1190</v>
      </c>
      <c r="M7" s="1154">
        <f>F15+F16</f>
        <v>6615250354664</v>
      </c>
      <c r="N7" s="1165">
        <f>M7/F36</f>
        <v>1.3175934163938352</v>
      </c>
    </row>
    <row r="8" spans="1:14" ht="24.75" customHeight="1" x14ac:dyDescent="0.55000000000000004">
      <c r="B8" s="740" t="s">
        <v>167</v>
      </c>
      <c r="D8" s="741">
        <v>12</v>
      </c>
      <c r="F8" s="190">
        <f>'12-1'!AB16</f>
        <v>439656990010</v>
      </c>
      <c r="G8" s="194"/>
      <c r="H8" s="367">
        <f>'12-1'!AB17</f>
        <v>480909584187</v>
      </c>
      <c r="I8" s="742"/>
      <c r="L8" s="738" t="s">
        <v>1191</v>
      </c>
      <c r="M8" s="1154">
        <f>F37/F25*100</f>
        <v>121.1949691291271</v>
      </c>
      <c r="N8" s="1165">
        <f>F38/M8</f>
        <v>79353581494.089783</v>
      </c>
    </row>
    <row r="9" spans="1:14" ht="24.75" customHeight="1" x14ac:dyDescent="0.55000000000000004">
      <c r="A9" s="738" t="s">
        <v>490</v>
      </c>
      <c r="B9" s="740" t="s">
        <v>168</v>
      </c>
      <c r="D9" s="741">
        <v>13</v>
      </c>
      <c r="F9" s="190">
        <f>'13-14'!O20</f>
        <v>3818903919</v>
      </c>
      <c r="G9" s="194"/>
      <c r="H9" s="367">
        <f>'13-14'!O21</f>
        <v>12042956142</v>
      </c>
      <c r="I9" s="367"/>
    </row>
    <row r="10" spans="1:14" ht="24.75" customHeight="1" x14ac:dyDescent="0.55000000000000004">
      <c r="B10" s="740" t="s">
        <v>169</v>
      </c>
      <c r="D10" s="741">
        <v>14</v>
      </c>
      <c r="F10" s="190">
        <f>'13-14'!K30</f>
        <v>2245465728</v>
      </c>
      <c r="G10" s="194"/>
      <c r="H10" s="367">
        <f>'13-14'!O30</f>
        <v>2245465728</v>
      </c>
      <c r="I10" s="367"/>
      <c r="L10" s="738" t="s">
        <v>1192</v>
      </c>
      <c r="M10" s="1154">
        <f>سودوزيان!F11/سودوزيان!F9*100</f>
        <v>27.163741507901769</v>
      </c>
    </row>
    <row r="11" spans="1:14" ht="24.75" customHeight="1" x14ac:dyDescent="0.55000000000000004">
      <c r="A11" s="733"/>
      <c r="B11" s="490" t="s">
        <v>23</v>
      </c>
      <c r="C11" s="733"/>
      <c r="D11" s="733"/>
      <c r="E11" s="733"/>
      <c r="F11" s="744">
        <f>SUM(F8:F10)</f>
        <v>445721359657</v>
      </c>
      <c r="G11" s="734"/>
      <c r="H11" s="743">
        <f>SUM(H8:H10)</f>
        <v>495198006057</v>
      </c>
      <c r="I11" s="734"/>
      <c r="L11" s="738" t="s">
        <v>1193</v>
      </c>
      <c r="M11" s="1154">
        <f>F25/F18*100</f>
        <v>45.208984812679773</v>
      </c>
    </row>
    <row r="12" spans="1:14" ht="24.75" customHeight="1" x14ac:dyDescent="0.55000000000000004">
      <c r="A12" s="733"/>
      <c r="B12" s="745" t="s">
        <v>20</v>
      </c>
      <c r="C12" s="733"/>
      <c r="D12" s="733"/>
      <c r="E12" s="733"/>
      <c r="F12" s="1145"/>
      <c r="G12" s="194"/>
      <c r="H12" s="746"/>
      <c r="I12" s="191"/>
      <c r="L12" s="738" t="s">
        <v>1194</v>
      </c>
      <c r="M12" s="1154">
        <f>سودوزيان!F22/'وضعيت مالي'!F18*100</f>
        <v>10.342739845749776</v>
      </c>
    </row>
    <row r="13" spans="1:14" ht="24.75" customHeight="1" x14ac:dyDescent="0.55000000000000004">
      <c r="B13" s="740" t="s">
        <v>170</v>
      </c>
      <c r="D13" s="741">
        <v>15</v>
      </c>
      <c r="F13" s="1146">
        <f>'15'!J16</f>
        <v>205774526486</v>
      </c>
      <c r="G13" s="194"/>
      <c r="H13" s="195">
        <f>'15'!L16</f>
        <v>317146340499</v>
      </c>
      <c r="I13" s="742"/>
      <c r="L13" s="738" t="s">
        <v>1195</v>
      </c>
      <c r="M13" s="1154">
        <f>سودوزيان!F22/سودوزيان!F9*100</f>
        <v>12.784832025708859</v>
      </c>
      <c r="N13" s="1165">
        <f>F13-H13</f>
        <v>-111371814013</v>
      </c>
    </row>
    <row r="14" spans="1:14" ht="24.75" customHeight="1" x14ac:dyDescent="0.55000000000000004">
      <c r="B14" s="740" t="s">
        <v>171</v>
      </c>
      <c r="D14" s="747">
        <v>16</v>
      </c>
      <c r="F14" s="1146">
        <f>'15-16'!J76</f>
        <v>2350508618655</v>
      </c>
      <c r="G14" s="194"/>
      <c r="H14" s="195">
        <f>'15-16'!L76</f>
        <v>3398553525339</v>
      </c>
      <c r="I14" s="742"/>
      <c r="N14" s="1165">
        <f>F14-H14</f>
        <v>-1048044906684</v>
      </c>
    </row>
    <row r="15" spans="1:14" ht="24.75" customHeight="1" x14ac:dyDescent="0.55000000000000004">
      <c r="B15" s="731" t="s">
        <v>172</v>
      </c>
      <c r="D15" s="741">
        <v>17</v>
      </c>
      <c r="F15" s="1146">
        <f>'17'!G34</f>
        <v>6547490849001</v>
      </c>
      <c r="G15" s="194"/>
      <c r="H15" s="195">
        <f>'17'!I34</f>
        <v>4263156873776</v>
      </c>
      <c r="I15" s="742"/>
      <c r="N15" s="1165">
        <f>F15-H15</f>
        <v>2284333975225</v>
      </c>
    </row>
    <row r="16" spans="1:14" ht="24.75" customHeight="1" x14ac:dyDescent="0.55000000000000004">
      <c r="A16" s="733"/>
      <c r="B16" s="740" t="s">
        <v>173</v>
      </c>
      <c r="C16" s="733"/>
      <c r="D16" s="235">
        <v>18</v>
      </c>
      <c r="E16" s="733"/>
      <c r="F16" s="1147">
        <f>'18'!H12</f>
        <v>67759505663</v>
      </c>
      <c r="G16" s="194"/>
      <c r="H16" s="748">
        <f>'18'!J12</f>
        <v>170000824925</v>
      </c>
      <c r="I16" s="194"/>
    </row>
    <row r="17" spans="1:14" ht="24.75" customHeight="1" x14ac:dyDescent="0.55000000000000004">
      <c r="A17" s="733"/>
      <c r="B17" s="490" t="s">
        <v>1189</v>
      </c>
      <c r="C17" s="733"/>
      <c r="D17" s="235"/>
      <c r="E17" s="733"/>
      <c r="F17" s="744">
        <f>SUM(F13:F16)</f>
        <v>9171533499805</v>
      </c>
      <c r="G17" s="749"/>
      <c r="H17" s="743">
        <f>SUM(H13:H16)</f>
        <v>8148857564539</v>
      </c>
      <c r="I17" s="749"/>
    </row>
    <row r="18" spans="1:14" ht="24.75" customHeight="1" thickBot="1" x14ac:dyDescent="0.65">
      <c r="A18" s="733"/>
      <c r="B18" s="750" t="s">
        <v>174</v>
      </c>
      <c r="F18" s="751">
        <f>F17+F11</f>
        <v>9617254859462</v>
      </c>
      <c r="G18" s="736"/>
      <c r="H18" s="751">
        <f>H17+H11</f>
        <v>8644055570596</v>
      </c>
      <c r="I18" s="735"/>
    </row>
    <row r="19" spans="1:14" ht="24.75" customHeight="1" x14ac:dyDescent="0.6">
      <c r="A19" s="733"/>
      <c r="B19" s="750" t="s">
        <v>26</v>
      </c>
      <c r="D19" s="235"/>
      <c r="F19" s="192"/>
      <c r="G19" s="192"/>
      <c r="H19" s="188"/>
      <c r="I19" s="188"/>
    </row>
    <row r="20" spans="1:14" ht="24.75" customHeight="1" x14ac:dyDescent="0.6">
      <c r="A20" s="733"/>
      <c r="B20" s="750" t="s">
        <v>162</v>
      </c>
      <c r="D20" s="235"/>
      <c r="F20" s="192"/>
      <c r="G20" s="192"/>
      <c r="H20" s="188"/>
      <c r="I20" s="188"/>
    </row>
    <row r="21" spans="1:14" ht="24.75" customHeight="1" x14ac:dyDescent="0.55000000000000004">
      <c r="A21" s="733"/>
      <c r="B21" s="738" t="s">
        <v>175</v>
      </c>
      <c r="D21" s="235">
        <v>19</v>
      </c>
      <c r="F21" s="1146">
        <f>'19-20-21'!P16</f>
        <v>847085000000</v>
      </c>
      <c r="G21" s="195"/>
      <c r="H21" s="195">
        <f>'19-20-21'!P16</f>
        <v>847085000000</v>
      </c>
      <c r="I21" s="195"/>
    </row>
    <row r="22" spans="1:14" ht="24.75" hidden="1" customHeight="1" x14ac:dyDescent="0.55000000000000004">
      <c r="A22" s="733"/>
      <c r="B22" s="738" t="s">
        <v>470</v>
      </c>
      <c r="D22" s="235"/>
      <c r="F22" s="1146">
        <v>0</v>
      </c>
      <c r="G22" s="195"/>
      <c r="H22" s="195">
        <v>0</v>
      </c>
      <c r="I22" s="195"/>
    </row>
    <row r="23" spans="1:14" ht="24.75" customHeight="1" x14ac:dyDescent="0.55000000000000004">
      <c r="A23" s="733"/>
      <c r="B23" s="738" t="s">
        <v>176</v>
      </c>
      <c r="D23" s="252">
        <v>20</v>
      </c>
      <c r="F23" s="1146">
        <f>'حقوق مالكانه '!G29</f>
        <v>84708500000</v>
      </c>
      <c r="G23" s="195"/>
      <c r="H23" s="195">
        <f>'حقوق مالكانه '!G29</f>
        <v>84708500000</v>
      </c>
      <c r="I23" s="195"/>
    </row>
    <row r="24" spans="1:14" ht="24.75" customHeight="1" x14ac:dyDescent="0.55000000000000004">
      <c r="B24" s="738" t="s">
        <v>177</v>
      </c>
      <c r="D24" s="741"/>
      <c r="F24" s="1146">
        <f>'حقوق مالكانه '!I29</f>
        <v>3416069788810.8828</v>
      </c>
      <c r="G24" s="195"/>
      <c r="H24" s="1146">
        <f>'حقوق مالكانه '!I22</f>
        <v>2592642140732</v>
      </c>
      <c r="I24" s="195"/>
      <c r="L24" s="195"/>
      <c r="M24" s="195"/>
    </row>
    <row r="25" spans="1:14" ht="24.75" customHeight="1" x14ac:dyDescent="0.6">
      <c r="B25" s="752" t="s">
        <v>28</v>
      </c>
      <c r="D25" s="235"/>
      <c r="F25" s="744">
        <f>SUM(F21:F24)</f>
        <v>4347863288810.8828</v>
      </c>
      <c r="G25" s="203"/>
      <c r="H25" s="744">
        <f>SUM(H21:H24)</f>
        <v>3524435640732</v>
      </c>
      <c r="I25" s="520"/>
    </row>
    <row r="26" spans="1:14" ht="24.75" customHeight="1" x14ac:dyDescent="0.6">
      <c r="B26" s="752" t="s">
        <v>29</v>
      </c>
      <c r="D26" s="235"/>
      <c r="F26" s="192" t="s">
        <v>490</v>
      </c>
      <c r="G26" s="192"/>
      <c r="H26" s="192"/>
      <c r="I26" s="188"/>
    </row>
    <row r="27" spans="1:14" ht="24.75" customHeight="1" x14ac:dyDescent="0.6">
      <c r="B27" s="752" t="s">
        <v>165</v>
      </c>
      <c r="D27" s="235"/>
      <c r="F27" s="192"/>
      <c r="G27" s="192"/>
      <c r="H27" s="192"/>
      <c r="I27" s="188"/>
    </row>
    <row r="28" spans="1:14" ht="24.75" customHeight="1" x14ac:dyDescent="0.55000000000000004">
      <c r="B28" s="731" t="s">
        <v>232</v>
      </c>
      <c r="D28" s="741">
        <v>21</v>
      </c>
      <c r="F28" s="1146">
        <f>'19-20-21'!H32</f>
        <v>248684672487</v>
      </c>
      <c r="G28" s="192"/>
      <c r="H28" s="1146">
        <f>'19-20-21'!J32</f>
        <v>177158124384</v>
      </c>
      <c r="I28" s="188"/>
    </row>
    <row r="29" spans="1:14" ht="24.75" customHeight="1" x14ac:dyDescent="0.6">
      <c r="B29" s="750" t="s">
        <v>166</v>
      </c>
      <c r="F29" s="744">
        <f>SUM(F28:F28)</f>
        <v>248684672487</v>
      </c>
      <c r="G29" s="203"/>
      <c r="H29" s="743">
        <f>SUM(H28:H28)</f>
        <v>177158124384</v>
      </c>
      <c r="I29" s="520"/>
    </row>
    <row r="30" spans="1:14" ht="24.75" customHeight="1" x14ac:dyDescent="0.6">
      <c r="B30" s="752" t="s">
        <v>30</v>
      </c>
      <c r="F30" s="192"/>
      <c r="G30" s="192"/>
      <c r="H30" s="188"/>
      <c r="I30" s="188"/>
    </row>
    <row r="31" spans="1:14" ht="24.75" customHeight="1" x14ac:dyDescent="0.55000000000000004">
      <c r="B31" s="738" t="s">
        <v>178</v>
      </c>
      <c r="D31" s="741">
        <v>22</v>
      </c>
      <c r="F31" s="1146">
        <f>'22'!G47</f>
        <v>2820360521517</v>
      </c>
      <c r="G31" s="195"/>
      <c r="H31" s="195">
        <f>'22'!I47</f>
        <v>2160379961990</v>
      </c>
      <c r="I31" s="195"/>
      <c r="L31" s="195">
        <v>3007119917055</v>
      </c>
      <c r="M31" s="195"/>
      <c r="N31" s="1165">
        <f>F31-H31</f>
        <v>659980559527</v>
      </c>
    </row>
    <row r="32" spans="1:14" ht="24.75" customHeight="1" x14ac:dyDescent="0.55000000000000004">
      <c r="B32" s="738" t="s">
        <v>179</v>
      </c>
      <c r="D32" s="741">
        <v>23</v>
      </c>
      <c r="F32" s="1146">
        <f>'23'!P26</f>
        <v>284864672465</v>
      </c>
      <c r="G32" s="195"/>
      <c r="H32" s="195">
        <f>'23'!R26</f>
        <v>741103791934</v>
      </c>
      <c r="I32" s="195"/>
      <c r="L32" s="755">
        <f>-L31</f>
        <v>-3007119917055</v>
      </c>
    </row>
    <row r="33" spans="1:14" ht="24.75" customHeight="1" x14ac:dyDescent="0.55000000000000004">
      <c r="B33" s="738" t="s">
        <v>180</v>
      </c>
      <c r="D33" s="741">
        <v>24</v>
      </c>
      <c r="F33" s="1146">
        <f>'23'!H40</f>
        <v>919058527907</v>
      </c>
      <c r="G33" s="195"/>
      <c r="H33" s="195">
        <f>'23'!J40</f>
        <v>747798525569</v>
      </c>
      <c r="I33" s="195"/>
    </row>
    <row r="34" spans="1:14" ht="24.75" customHeight="1" x14ac:dyDescent="0.55000000000000004">
      <c r="B34" s="738" t="s">
        <v>181</v>
      </c>
      <c r="D34" s="741">
        <v>25</v>
      </c>
      <c r="F34" s="1146">
        <f>'25'!G11</f>
        <v>858891244323</v>
      </c>
      <c r="G34" s="195"/>
      <c r="H34" s="195">
        <f>'25'!I11</f>
        <v>1132075227337</v>
      </c>
      <c r="I34" s="195"/>
    </row>
    <row r="35" spans="1:14" ht="24.75" customHeight="1" x14ac:dyDescent="0.55000000000000004">
      <c r="B35" s="738" t="s">
        <v>182</v>
      </c>
      <c r="D35" s="235">
        <v>26</v>
      </c>
      <c r="F35" s="1146">
        <f>'26-27'!D17</f>
        <v>137531931952</v>
      </c>
      <c r="G35" s="195"/>
      <c r="H35" s="195">
        <f>'26-27'!F17</f>
        <v>161104298650</v>
      </c>
      <c r="I35" s="195"/>
      <c r="N35" s="1165">
        <f>H35-F35</f>
        <v>23572366698</v>
      </c>
    </row>
    <row r="36" spans="1:14" ht="24.75" customHeight="1" x14ac:dyDescent="0.6">
      <c r="B36" s="750" t="s">
        <v>163</v>
      </c>
      <c r="F36" s="1148">
        <f>SUM(F31:F35)</f>
        <v>5020706898164</v>
      </c>
      <c r="G36" s="520"/>
      <c r="H36" s="197">
        <f>SUM(H31:H35)</f>
        <v>4942461805480</v>
      </c>
      <c r="I36" s="520"/>
    </row>
    <row r="37" spans="1:14" ht="24.75" customHeight="1" x14ac:dyDescent="0.6">
      <c r="B37" s="750" t="s">
        <v>164</v>
      </c>
      <c r="F37" s="1148">
        <f>F36+F29</f>
        <v>5269391570651</v>
      </c>
      <c r="G37" s="520"/>
      <c r="H37" s="197">
        <f>H36+H29</f>
        <v>5119619929864</v>
      </c>
      <c r="I37" s="520"/>
    </row>
    <row r="38" spans="1:14" ht="24.75" customHeight="1" thickBot="1" x14ac:dyDescent="0.65">
      <c r="A38" s="753"/>
      <c r="B38" s="750" t="s">
        <v>33</v>
      </c>
      <c r="F38" s="1125">
        <f>F37+F25</f>
        <v>9617254859461.8828</v>
      </c>
      <c r="G38" s="735"/>
      <c r="H38" s="204">
        <f>H37+H25</f>
        <v>8644055570596</v>
      </c>
      <c r="I38" s="735"/>
      <c r="L38" s="755"/>
    </row>
    <row r="39" spans="1:14" ht="24.75" customHeight="1" thickTop="1" x14ac:dyDescent="0.55000000000000004">
      <c r="B39" s="192"/>
      <c r="C39" s="733"/>
      <c r="D39" s="754"/>
      <c r="F39" s="192"/>
      <c r="G39" s="188"/>
      <c r="H39" s="188"/>
      <c r="I39" s="188"/>
      <c r="J39" s="188"/>
    </row>
    <row r="40" spans="1:14" ht="24.75" customHeight="1" x14ac:dyDescent="0.55000000000000004">
      <c r="D40" s="755"/>
      <c r="F40" s="192"/>
      <c r="G40" s="188"/>
      <c r="H40" s="192"/>
      <c r="I40" s="188"/>
    </row>
    <row r="41" spans="1:14" ht="24.75" customHeight="1" x14ac:dyDescent="0.6">
      <c r="A41" s="1363" t="s">
        <v>24</v>
      </c>
      <c r="B41" s="1363"/>
      <c r="C41" s="1363"/>
      <c r="D41" s="1363"/>
      <c r="E41" s="1363"/>
      <c r="F41" s="1363"/>
      <c r="G41" s="1363"/>
      <c r="H41" s="1363"/>
      <c r="I41" s="1363"/>
      <c r="J41" s="1363"/>
    </row>
    <row r="42" spans="1:14" ht="24.75" customHeight="1" x14ac:dyDescent="0.6">
      <c r="A42" s="736"/>
      <c r="B42" s="736"/>
      <c r="C42" s="736"/>
      <c r="D42" s="736"/>
      <c r="E42" s="736"/>
      <c r="F42" s="1143"/>
      <c r="G42" s="736"/>
      <c r="H42" s="736"/>
      <c r="I42" s="736"/>
      <c r="J42" s="736"/>
    </row>
    <row r="43" spans="1:14" ht="24.75" hidden="1" customHeight="1" x14ac:dyDescent="0.6">
      <c r="A43" s="736"/>
      <c r="B43" s="736"/>
      <c r="C43" s="736"/>
      <c r="D43" s="736"/>
      <c r="E43" s="736"/>
      <c r="F43" s="1143"/>
      <c r="G43" s="736"/>
      <c r="H43" s="736"/>
      <c r="I43" s="736"/>
      <c r="J43" s="736"/>
    </row>
    <row r="44" spans="1:14" ht="24.75" hidden="1" customHeight="1" x14ac:dyDescent="0.6">
      <c r="A44" s="736"/>
      <c r="B44" s="736"/>
      <c r="C44" s="736"/>
      <c r="D44" s="736"/>
      <c r="E44" s="736"/>
      <c r="F44" s="1143"/>
      <c r="G44" s="736"/>
      <c r="H44" s="736"/>
      <c r="I44" s="736"/>
      <c r="J44" s="736"/>
    </row>
    <row r="45" spans="1:14" ht="24.75" hidden="1" customHeight="1" x14ac:dyDescent="0.6">
      <c r="A45" s="736"/>
      <c r="B45" s="736"/>
      <c r="C45" s="736"/>
      <c r="D45" s="736"/>
      <c r="E45" s="736"/>
      <c r="F45" s="1143"/>
      <c r="G45" s="736"/>
      <c r="H45" s="736"/>
      <c r="I45" s="736"/>
      <c r="J45" s="736"/>
    </row>
    <row r="46" spans="1:14" ht="24.75" hidden="1" customHeight="1" x14ac:dyDescent="0.6">
      <c r="A46" s="736"/>
      <c r="B46" s="736"/>
      <c r="C46" s="736"/>
      <c r="D46" s="736"/>
      <c r="E46" s="736"/>
      <c r="F46" s="1143"/>
      <c r="G46" s="736"/>
      <c r="H46" s="736"/>
      <c r="I46" s="736"/>
      <c r="J46" s="736"/>
    </row>
    <row r="47" spans="1:14" ht="24.75" hidden="1" customHeight="1" x14ac:dyDescent="0.6">
      <c r="A47" s="736"/>
      <c r="B47" s="736"/>
      <c r="C47" s="736"/>
      <c r="D47" s="736"/>
      <c r="E47" s="736"/>
      <c r="F47" s="1143"/>
      <c r="G47" s="736"/>
      <c r="H47" s="736"/>
      <c r="I47" s="736"/>
      <c r="J47" s="736"/>
    </row>
    <row r="48" spans="1:14" ht="24.75" customHeight="1" x14ac:dyDescent="0.6">
      <c r="A48" s="736"/>
      <c r="B48" s="736"/>
      <c r="C48" s="736"/>
      <c r="D48" s="736"/>
      <c r="E48" s="736"/>
      <c r="F48" s="1143"/>
      <c r="G48" s="736"/>
      <c r="H48" s="736"/>
      <c r="I48" s="736"/>
      <c r="J48" s="736"/>
    </row>
    <row r="49" spans="1:14" ht="24.75" customHeight="1" x14ac:dyDescent="0.6">
      <c r="A49" s="736"/>
      <c r="B49" s="736"/>
      <c r="C49" s="736"/>
      <c r="D49" s="736"/>
      <c r="E49" s="736"/>
      <c r="F49" s="1143"/>
      <c r="G49" s="736"/>
      <c r="H49" s="735"/>
      <c r="I49" s="736"/>
      <c r="J49" s="736"/>
    </row>
    <row r="50" spans="1:14" s="756" customFormat="1" ht="24.75" customHeight="1" x14ac:dyDescent="0.25">
      <c r="A50" s="1364">
        <v>3</v>
      </c>
      <c r="B50" s="1364"/>
      <c r="C50" s="1364"/>
      <c r="D50" s="1364"/>
      <c r="E50" s="1364"/>
      <c r="F50" s="1364"/>
      <c r="G50" s="1364"/>
      <c r="H50" s="1364"/>
      <c r="I50" s="1364"/>
      <c r="J50" s="1364"/>
      <c r="M50" s="1155"/>
      <c r="N50" s="1166"/>
    </row>
    <row r="51" spans="1:14" ht="24.75" hidden="1" customHeight="1" x14ac:dyDescent="0.55000000000000004">
      <c r="A51" s="1362" t="s">
        <v>239</v>
      </c>
      <c r="B51" s="1362"/>
      <c r="C51" s="1362"/>
      <c r="D51" s="1362"/>
      <c r="E51" s="1362"/>
      <c r="F51" s="1362"/>
      <c r="G51" s="1362"/>
      <c r="H51" s="1362"/>
      <c r="I51" s="1362"/>
      <c r="J51" s="1362"/>
    </row>
    <row r="52" spans="1:14" ht="24.75" hidden="1" customHeight="1" x14ac:dyDescent="0.55000000000000004">
      <c r="A52" s="1362"/>
      <c r="B52" s="1362"/>
      <c r="C52" s="1362"/>
      <c r="D52" s="1362"/>
      <c r="E52" s="1362"/>
      <c r="F52" s="1362"/>
      <c r="G52" s="1362"/>
      <c r="H52" s="1362"/>
      <c r="I52" s="1362"/>
      <c r="J52" s="1362"/>
    </row>
    <row r="53" spans="1:14" ht="24.75" hidden="1" customHeight="1" x14ac:dyDescent="0.55000000000000004">
      <c r="A53" s="1362"/>
      <c r="B53" s="1362"/>
      <c r="C53" s="1362"/>
      <c r="D53" s="1362"/>
      <c r="E53" s="1362"/>
      <c r="F53" s="1362"/>
      <c r="G53" s="1362"/>
      <c r="H53" s="1362"/>
      <c r="I53" s="1362"/>
      <c r="J53" s="1362"/>
    </row>
    <row r="54" spans="1:14" ht="24.75" hidden="1" customHeight="1" x14ac:dyDescent="0.55000000000000004">
      <c r="G54" s="503"/>
    </row>
    <row r="55" spans="1:14" ht="24.75" hidden="1" customHeight="1" x14ac:dyDescent="0.55000000000000004">
      <c r="G55" s="188"/>
    </row>
    <row r="56" spans="1:14" ht="24.75" customHeight="1" x14ac:dyDescent="0.55000000000000004">
      <c r="F56" s="192"/>
      <c r="H56" s="188"/>
    </row>
    <row r="58" spans="1:14" ht="24.75" customHeight="1" x14ac:dyDescent="0.55000000000000004">
      <c r="F58" s="192">
        <f>F38-F18</f>
        <v>-0.1171875</v>
      </c>
      <c r="G58" s="188"/>
      <c r="H58" s="192">
        <f>H38-H18</f>
        <v>0</v>
      </c>
      <c r="I58" s="188"/>
    </row>
  </sheetData>
  <customSheetViews>
    <customSheetView guid="{39716EAB-185B-4ADF-90CF-1B1041867F58}" showPageBreaks="1" hiddenRows="1" view="pageBreakPreview" topLeftCell="B7">
      <selection activeCell="F24" sqref="F24"/>
      <pageMargins left="0.39370078740157483" right="0.39370078740157483" top="0.39370078740157483" bottom="0.39370078740157483" header="0.31496062992125984" footer="0.31496062992125984"/>
      <printOptions horizontalCentered="1"/>
      <pageSetup scale="57" orientation="portrait" useFirstPageNumber="1" r:id="rId1"/>
    </customSheetView>
    <customSheetView guid="{5CB8382F-C212-4512-9396-17792C62978E}" showPageBreaks="1" printArea="1" hiddenRows="1" view="pageBreakPreview">
      <selection activeCell="F10" sqref="F10"/>
      <pageMargins left="0.39370078740157483" right="0.39370078740157483" top="0.39370078740157483" bottom="0.39370078740157483" header="0.31496062992125984" footer="0.31496062992125984"/>
      <printOptions horizontalCentered="1"/>
      <pageSetup scale="57" orientation="portrait" useFirstPageNumber="1" r:id="rId2"/>
    </customSheetView>
    <customSheetView guid="{184BCED3-EADB-44CF-BFDA-DA8D3E7206C0}" showPageBreaks="1" hiddenRows="1" view="pageBreakPreview" topLeftCell="A25">
      <selection activeCell="H39" sqref="H39"/>
      <pageMargins left="0.39370078740157483" right="0.39370078740157483" top="0.39370078740157483" bottom="0.39370078740157483" header="0.31496062992125984" footer="0.31496062992125984"/>
      <printOptions horizontalCentered="1"/>
      <pageSetup scale="58" orientation="portrait" useFirstPageNumber="1" r:id="rId3"/>
    </customSheetView>
  </customSheetViews>
  <mergeCells count="6">
    <mergeCell ref="B1:I1"/>
    <mergeCell ref="A51:J53"/>
    <mergeCell ref="A41:J41"/>
    <mergeCell ref="A50:J50"/>
    <mergeCell ref="B3:I3"/>
    <mergeCell ref="B2:I2"/>
  </mergeCells>
  <conditionalFormatting sqref="F8:F11">
    <cfRule type="cellIs" dxfId="153" priority="28" stopIfTrue="1" operator="lessThan">
      <formula>0</formula>
    </cfRule>
  </conditionalFormatting>
  <conditionalFormatting sqref="F18">
    <cfRule type="cellIs" dxfId="152" priority="24" stopIfTrue="1" operator="lessThan">
      <formula>0</formula>
    </cfRule>
  </conditionalFormatting>
  <conditionalFormatting sqref="F25">
    <cfRule type="cellIs" dxfId="151" priority="22" stopIfTrue="1" operator="lessThan">
      <formula>0</formula>
    </cfRule>
  </conditionalFormatting>
  <conditionalFormatting sqref="F28:F29">
    <cfRule type="cellIs" dxfId="150" priority="16" stopIfTrue="1" operator="lessThan">
      <formula>0</formula>
    </cfRule>
  </conditionalFormatting>
  <conditionalFormatting sqref="F36:F38">
    <cfRule type="cellIs" dxfId="149" priority="6" stopIfTrue="1" operator="lessThan">
      <formula>0</formula>
    </cfRule>
  </conditionalFormatting>
  <conditionalFormatting sqref="F21:I24">
    <cfRule type="cellIs" dxfId="148" priority="23" stopIfTrue="1" operator="lessThan">
      <formula>0</formula>
    </cfRule>
  </conditionalFormatting>
  <conditionalFormatting sqref="F31:I35">
    <cfRule type="cellIs" dxfId="147" priority="13" stopIfTrue="1" operator="lessThan">
      <formula>0</formula>
    </cfRule>
  </conditionalFormatting>
  <conditionalFormatting sqref="H10:H11">
    <cfRule type="cellIs" dxfId="146" priority="27" stopIfTrue="1" operator="lessThan">
      <formula>0</formula>
    </cfRule>
  </conditionalFormatting>
  <conditionalFormatting sqref="H18">
    <cfRule type="cellIs" dxfId="145" priority="25" stopIfTrue="1" operator="lessThan">
      <formula>0</formula>
    </cfRule>
  </conditionalFormatting>
  <conditionalFormatting sqref="H25">
    <cfRule type="cellIs" dxfId="144" priority="21" stopIfTrue="1" operator="lessThan">
      <formula>0</formula>
    </cfRule>
  </conditionalFormatting>
  <conditionalFormatting sqref="H28:H29">
    <cfRule type="cellIs" dxfId="143" priority="15" stopIfTrue="1" operator="lessThan">
      <formula>0</formula>
    </cfRule>
  </conditionalFormatting>
  <conditionalFormatting sqref="H36:H38">
    <cfRule type="cellIs" dxfId="142" priority="5" stopIfTrue="1" operator="lessThan">
      <formula>0</formula>
    </cfRule>
  </conditionalFormatting>
  <conditionalFormatting sqref="H8:I9 G8:G10 I10 F12:I17">
    <cfRule type="cellIs" dxfId="141" priority="36" stopIfTrue="1" operator="lessThan">
      <formula>0</formula>
    </cfRule>
  </conditionalFormatting>
  <conditionalFormatting sqref="L24:M24">
    <cfRule type="cellIs" dxfId="140" priority="2" stopIfTrue="1" operator="lessThan">
      <formula>0</formula>
    </cfRule>
  </conditionalFormatting>
  <conditionalFormatting sqref="L31:M31">
    <cfRule type="cellIs" dxfId="139" priority="1" stopIfTrue="1" operator="lessThan">
      <formula>0</formula>
    </cfRule>
  </conditionalFormatting>
  <printOptions horizontalCentered="1"/>
  <pageMargins left="0.143700787" right="0.143700787" top="0.143700787" bottom="0.39370078740157499" header="0.31496062992126" footer="0.31496062992126"/>
  <pageSetup scale="70" orientation="portrait" useFirstPageNumber="1"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Q66"/>
  <sheetViews>
    <sheetView rightToLeft="1" view="pageBreakPreview" topLeftCell="A10" zoomScale="70" zoomScaleNormal="93" zoomScaleSheetLayoutView="70" workbookViewId="0">
      <selection activeCell="G29" sqref="G29"/>
    </sheetView>
  </sheetViews>
  <sheetFormatPr defaultRowHeight="30" x14ac:dyDescent="0.25"/>
  <cols>
    <col min="1" max="1" width="2" style="386" bestFit="1" customWidth="1"/>
    <col min="2" max="2" width="53.5703125" style="761" bestFit="1" customWidth="1"/>
    <col min="3" max="3" width="1" style="761" customWidth="1"/>
    <col min="4" max="4" width="30.7109375" style="761" hidden="1" customWidth="1"/>
    <col min="5" max="5" width="31.140625" style="386" customWidth="1"/>
    <col min="6" max="6" width="1" style="386" customWidth="1"/>
    <col min="7" max="7" width="31.140625" style="386" customWidth="1"/>
    <col min="8" max="8" width="1" style="386" customWidth="1"/>
    <col min="9" max="9" width="33.42578125" style="386" bestFit="1" customWidth="1"/>
    <col min="10" max="10" width="1" style="386" customWidth="1"/>
    <col min="11" max="11" width="33.42578125" style="386" bestFit="1" customWidth="1"/>
    <col min="12" max="14" width="33.85546875" style="386" customWidth="1"/>
    <col min="15" max="15" width="33.140625" style="386" bestFit="1" customWidth="1"/>
    <col min="16" max="16" width="35" style="386" bestFit="1" customWidth="1"/>
    <col min="17" max="17" width="29.7109375" style="386" bestFit="1" customWidth="1"/>
    <col min="18" max="246" width="9.140625" style="386"/>
    <col min="247" max="247" width="2.85546875" style="386" customWidth="1"/>
    <col min="248" max="248" width="21.5703125" style="386" customWidth="1"/>
    <col min="249" max="249" width="2.140625" style="386" customWidth="1"/>
    <col min="250" max="250" width="7.85546875" style="386" customWidth="1"/>
    <col min="251" max="251" width="2.140625" style="386" customWidth="1"/>
    <col min="252" max="252" width="12.7109375" style="386" customWidth="1"/>
    <col min="253" max="253" width="2.140625" style="386" customWidth="1"/>
    <col min="254" max="254" width="12.7109375" style="386" customWidth="1"/>
    <col min="255" max="255" width="2.140625" style="386" customWidth="1"/>
    <col min="256" max="256" width="23.5703125" style="386" customWidth="1"/>
    <col min="257" max="257" width="2.140625" style="386" customWidth="1"/>
    <col min="258" max="258" width="7.140625" style="386" customWidth="1"/>
    <col min="259" max="259" width="2.140625" style="386" customWidth="1"/>
    <col min="260" max="260" width="12.7109375" style="386" customWidth="1"/>
    <col min="261" max="261" width="2.140625" style="386" customWidth="1"/>
    <col min="262" max="262" width="12.7109375" style="386" customWidth="1"/>
    <col min="263" max="263" width="1.85546875" style="386" customWidth="1"/>
    <col min="264" max="265" width="5.85546875" style="386" customWidth="1"/>
    <col min="266" max="267" width="7.85546875" style="386" customWidth="1"/>
    <col min="268" max="268" width="14.7109375" style="386" customWidth="1"/>
    <col min="269" max="502" width="9.140625" style="386"/>
    <col min="503" max="503" width="2.85546875" style="386" customWidth="1"/>
    <col min="504" max="504" width="21.5703125" style="386" customWidth="1"/>
    <col min="505" max="505" width="2.140625" style="386" customWidth="1"/>
    <col min="506" max="506" width="7.85546875" style="386" customWidth="1"/>
    <col min="507" max="507" width="2.140625" style="386" customWidth="1"/>
    <col min="508" max="508" width="12.7109375" style="386" customWidth="1"/>
    <col min="509" max="509" width="2.140625" style="386" customWidth="1"/>
    <col min="510" max="510" width="12.7109375" style="386" customWidth="1"/>
    <col min="511" max="511" width="2.140625" style="386" customWidth="1"/>
    <col min="512" max="512" width="23.5703125" style="386" customWidth="1"/>
    <col min="513" max="513" width="2.140625" style="386" customWidth="1"/>
    <col min="514" max="514" width="7.140625" style="386" customWidth="1"/>
    <col min="515" max="515" width="2.140625" style="386" customWidth="1"/>
    <col min="516" max="516" width="12.7109375" style="386" customWidth="1"/>
    <col min="517" max="517" width="2.140625" style="386" customWidth="1"/>
    <col min="518" max="518" width="12.7109375" style="386" customWidth="1"/>
    <col min="519" max="519" width="1.85546875" style="386" customWidth="1"/>
    <col min="520" max="521" width="5.85546875" style="386" customWidth="1"/>
    <col min="522" max="523" width="7.85546875" style="386" customWidth="1"/>
    <col min="524" max="524" width="14.7109375" style="386" customWidth="1"/>
    <col min="525" max="758" width="9.140625" style="386"/>
    <col min="759" max="759" width="2.85546875" style="386" customWidth="1"/>
    <col min="760" max="760" width="21.5703125" style="386" customWidth="1"/>
    <col min="761" max="761" width="2.140625" style="386" customWidth="1"/>
    <col min="762" max="762" width="7.85546875" style="386" customWidth="1"/>
    <col min="763" max="763" width="2.140625" style="386" customWidth="1"/>
    <col min="764" max="764" width="12.7109375" style="386" customWidth="1"/>
    <col min="765" max="765" width="2.140625" style="386" customWidth="1"/>
    <col min="766" max="766" width="12.7109375" style="386" customWidth="1"/>
    <col min="767" max="767" width="2.140625" style="386" customWidth="1"/>
    <col min="768" max="768" width="23.5703125" style="386" customWidth="1"/>
    <col min="769" max="769" width="2.140625" style="386" customWidth="1"/>
    <col min="770" max="770" width="7.140625" style="386" customWidth="1"/>
    <col min="771" max="771" width="2.140625" style="386" customWidth="1"/>
    <col min="772" max="772" width="12.7109375" style="386" customWidth="1"/>
    <col min="773" max="773" width="2.140625" style="386" customWidth="1"/>
    <col min="774" max="774" width="12.7109375" style="386" customWidth="1"/>
    <col min="775" max="775" width="1.85546875" style="386" customWidth="1"/>
    <col min="776" max="777" width="5.85546875" style="386" customWidth="1"/>
    <col min="778" max="779" width="7.85546875" style="386" customWidth="1"/>
    <col min="780" max="780" width="14.7109375" style="386" customWidth="1"/>
    <col min="781" max="1014" width="9.140625" style="386"/>
    <col min="1015" max="1015" width="2.85546875" style="386" customWidth="1"/>
    <col min="1016" max="1016" width="21.5703125" style="386" customWidth="1"/>
    <col min="1017" max="1017" width="2.140625" style="386" customWidth="1"/>
    <col min="1018" max="1018" width="7.85546875" style="386" customWidth="1"/>
    <col min="1019" max="1019" width="2.140625" style="386" customWidth="1"/>
    <col min="1020" max="1020" width="12.7109375" style="386" customWidth="1"/>
    <col min="1021" max="1021" width="2.140625" style="386" customWidth="1"/>
    <col min="1022" max="1022" width="12.7109375" style="386" customWidth="1"/>
    <col min="1023" max="1023" width="2.140625" style="386" customWidth="1"/>
    <col min="1024" max="1024" width="23.5703125" style="386" customWidth="1"/>
    <col min="1025" max="1025" width="2.140625" style="386" customWidth="1"/>
    <col min="1026" max="1026" width="7.140625" style="386" customWidth="1"/>
    <col min="1027" max="1027" width="2.140625" style="386" customWidth="1"/>
    <col min="1028" max="1028" width="12.7109375" style="386" customWidth="1"/>
    <col min="1029" max="1029" width="2.140625" style="386" customWidth="1"/>
    <col min="1030" max="1030" width="12.7109375" style="386" customWidth="1"/>
    <col min="1031" max="1031" width="1.85546875" style="386" customWidth="1"/>
    <col min="1032" max="1033" width="5.85546875" style="386" customWidth="1"/>
    <col min="1034" max="1035" width="7.85546875" style="386" customWidth="1"/>
    <col min="1036" max="1036" width="14.7109375" style="386" customWidth="1"/>
    <col min="1037" max="1270" width="9.140625" style="386"/>
    <col min="1271" max="1271" width="2.85546875" style="386" customWidth="1"/>
    <col min="1272" max="1272" width="21.5703125" style="386" customWidth="1"/>
    <col min="1273" max="1273" width="2.140625" style="386" customWidth="1"/>
    <col min="1274" max="1274" width="7.85546875" style="386" customWidth="1"/>
    <col min="1275" max="1275" width="2.140625" style="386" customWidth="1"/>
    <col min="1276" max="1276" width="12.7109375" style="386" customWidth="1"/>
    <col min="1277" max="1277" width="2.140625" style="386" customWidth="1"/>
    <col min="1278" max="1278" width="12.7109375" style="386" customWidth="1"/>
    <col min="1279" max="1279" width="2.140625" style="386" customWidth="1"/>
    <col min="1280" max="1280" width="23.5703125" style="386" customWidth="1"/>
    <col min="1281" max="1281" width="2.140625" style="386" customWidth="1"/>
    <col min="1282" max="1282" width="7.140625" style="386" customWidth="1"/>
    <col min="1283" max="1283" width="2.140625" style="386" customWidth="1"/>
    <col min="1284" max="1284" width="12.7109375" style="386" customWidth="1"/>
    <col min="1285" max="1285" width="2.140625" style="386" customWidth="1"/>
    <col min="1286" max="1286" width="12.7109375" style="386" customWidth="1"/>
    <col min="1287" max="1287" width="1.85546875" style="386" customWidth="1"/>
    <col min="1288" max="1289" width="5.85546875" style="386" customWidth="1"/>
    <col min="1290" max="1291" width="7.85546875" style="386" customWidth="1"/>
    <col min="1292" max="1292" width="14.7109375" style="386" customWidth="1"/>
    <col min="1293" max="1526" width="9.140625" style="386"/>
    <col min="1527" max="1527" width="2.85546875" style="386" customWidth="1"/>
    <col min="1528" max="1528" width="21.5703125" style="386" customWidth="1"/>
    <col min="1529" max="1529" width="2.140625" style="386" customWidth="1"/>
    <col min="1530" max="1530" width="7.85546875" style="386" customWidth="1"/>
    <col min="1531" max="1531" width="2.140625" style="386" customWidth="1"/>
    <col min="1532" max="1532" width="12.7109375" style="386" customWidth="1"/>
    <col min="1533" max="1533" width="2.140625" style="386" customWidth="1"/>
    <col min="1534" max="1534" width="12.7109375" style="386" customWidth="1"/>
    <col min="1535" max="1535" width="2.140625" style="386" customWidth="1"/>
    <col min="1536" max="1536" width="23.5703125" style="386" customWidth="1"/>
    <col min="1537" max="1537" width="2.140625" style="386" customWidth="1"/>
    <col min="1538" max="1538" width="7.140625" style="386" customWidth="1"/>
    <col min="1539" max="1539" width="2.140625" style="386" customWidth="1"/>
    <col min="1540" max="1540" width="12.7109375" style="386" customWidth="1"/>
    <col min="1541" max="1541" width="2.140625" style="386" customWidth="1"/>
    <col min="1542" max="1542" width="12.7109375" style="386" customWidth="1"/>
    <col min="1543" max="1543" width="1.85546875" style="386" customWidth="1"/>
    <col min="1544" max="1545" width="5.85546875" style="386" customWidth="1"/>
    <col min="1546" max="1547" width="7.85546875" style="386" customWidth="1"/>
    <col min="1548" max="1548" width="14.7109375" style="386" customWidth="1"/>
    <col min="1549" max="1782" width="9.140625" style="386"/>
    <col min="1783" max="1783" width="2.85546875" style="386" customWidth="1"/>
    <col min="1784" max="1784" width="21.5703125" style="386" customWidth="1"/>
    <col min="1785" max="1785" width="2.140625" style="386" customWidth="1"/>
    <col min="1786" max="1786" width="7.85546875" style="386" customWidth="1"/>
    <col min="1787" max="1787" width="2.140625" style="386" customWidth="1"/>
    <col min="1788" max="1788" width="12.7109375" style="386" customWidth="1"/>
    <col min="1789" max="1789" width="2.140625" style="386" customWidth="1"/>
    <col min="1790" max="1790" width="12.7109375" style="386" customWidth="1"/>
    <col min="1791" max="1791" width="2.140625" style="386" customWidth="1"/>
    <col min="1792" max="1792" width="23.5703125" style="386" customWidth="1"/>
    <col min="1793" max="1793" width="2.140625" style="386" customWidth="1"/>
    <col min="1794" max="1794" width="7.140625" style="386" customWidth="1"/>
    <col min="1795" max="1795" width="2.140625" style="386" customWidth="1"/>
    <col min="1796" max="1796" width="12.7109375" style="386" customWidth="1"/>
    <col min="1797" max="1797" width="2.140625" style="386" customWidth="1"/>
    <col min="1798" max="1798" width="12.7109375" style="386" customWidth="1"/>
    <col min="1799" max="1799" width="1.85546875" style="386" customWidth="1"/>
    <col min="1800" max="1801" width="5.85546875" style="386" customWidth="1"/>
    <col min="1802" max="1803" width="7.85546875" style="386" customWidth="1"/>
    <col min="1804" max="1804" width="14.7109375" style="386" customWidth="1"/>
    <col min="1805" max="2038" width="9.140625" style="386"/>
    <col min="2039" max="2039" width="2.85546875" style="386" customWidth="1"/>
    <col min="2040" max="2040" width="21.5703125" style="386" customWidth="1"/>
    <col min="2041" max="2041" width="2.140625" style="386" customWidth="1"/>
    <col min="2042" max="2042" width="7.85546875" style="386" customWidth="1"/>
    <col min="2043" max="2043" width="2.140625" style="386" customWidth="1"/>
    <col min="2044" max="2044" width="12.7109375" style="386" customWidth="1"/>
    <col min="2045" max="2045" width="2.140625" style="386" customWidth="1"/>
    <col min="2046" max="2046" width="12.7109375" style="386" customWidth="1"/>
    <col min="2047" max="2047" width="2.140625" style="386" customWidth="1"/>
    <col min="2048" max="2048" width="23.5703125" style="386" customWidth="1"/>
    <col min="2049" max="2049" width="2.140625" style="386" customWidth="1"/>
    <col min="2050" max="2050" width="7.140625" style="386" customWidth="1"/>
    <col min="2051" max="2051" width="2.140625" style="386" customWidth="1"/>
    <col min="2052" max="2052" width="12.7109375" style="386" customWidth="1"/>
    <col min="2053" max="2053" width="2.140625" style="386" customWidth="1"/>
    <col min="2054" max="2054" width="12.7109375" style="386" customWidth="1"/>
    <col min="2055" max="2055" width="1.85546875" style="386" customWidth="1"/>
    <col min="2056" max="2057" width="5.85546875" style="386" customWidth="1"/>
    <col min="2058" max="2059" width="7.85546875" style="386" customWidth="1"/>
    <col min="2060" max="2060" width="14.7109375" style="386" customWidth="1"/>
    <col min="2061" max="2294" width="9.140625" style="386"/>
    <col min="2295" max="2295" width="2.85546875" style="386" customWidth="1"/>
    <col min="2296" max="2296" width="21.5703125" style="386" customWidth="1"/>
    <col min="2297" max="2297" width="2.140625" style="386" customWidth="1"/>
    <col min="2298" max="2298" width="7.85546875" style="386" customWidth="1"/>
    <col min="2299" max="2299" width="2.140625" style="386" customWidth="1"/>
    <col min="2300" max="2300" width="12.7109375" style="386" customWidth="1"/>
    <col min="2301" max="2301" width="2.140625" style="386" customWidth="1"/>
    <col min="2302" max="2302" width="12.7109375" style="386" customWidth="1"/>
    <col min="2303" max="2303" width="2.140625" style="386" customWidth="1"/>
    <col min="2304" max="2304" width="23.5703125" style="386" customWidth="1"/>
    <col min="2305" max="2305" width="2.140625" style="386" customWidth="1"/>
    <col min="2306" max="2306" width="7.140625" style="386" customWidth="1"/>
    <col min="2307" max="2307" width="2.140625" style="386" customWidth="1"/>
    <col min="2308" max="2308" width="12.7109375" style="386" customWidth="1"/>
    <col min="2309" max="2309" width="2.140625" style="386" customWidth="1"/>
    <col min="2310" max="2310" width="12.7109375" style="386" customWidth="1"/>
    <col min="2311" max="2311" width="1.85546875" style="386" customWidth="1"/>
    <col min="2312" max="2313" width="5.85546875" style="386" customWidth="1"/>
    <col min="2314" max="2315" width="7.85546875" style="386" customWidth="1"/>
    <col min="2316" max="2316" width="14.7109375" style="386" customWidth="1"/>
    <col min="2317" max="2550" width="9.140625" style="386"/>
    <col min="2551" max="2551" width="2.85546875" style="386" customWidth="1"/>
    <col min="2552" max="2552" width="21.5703125" style="386" customWidth="1"/>
    <col min="2553" max="2553" width="2.140625" style="386" customWidth="1"/>
    <col min="2554" max="2554" width="7.85546875" style="386" customWidth="1"/>
    <col min="2555" max="2555" width="2.140625" style="386" customWidth="1"/>
    <col min="2556" max="2556" width="12.7109375" style="386" customWidth="1"/>
    <col min="2557" max="2557" width="2.140625" style="386" customWidth="1"/>
    <col min="2558" max="2558" width="12.7109375" style="386" customWidth="1"/>
    <col min="2559" max="2559" width="2.140625" style="386" customWidth="1"/>
    <col min="2560" max="2560" width="23.5703125" style="386" customWidth="1"/>
    <col min="2561" max="2561" width="2.140625" style="386" customWidth="1"/>
    <col min="2562" max="2562" width="7.140625" style="386" customWidth="1"/>
    <col min="2563" max="2563" width="2.140625" style="386" customWidth="1"/>
    <col min="2564" max="2564" width="12.7109375" style="386" customWidth="1"/>
    <col min="2565" max="2565" width="2.140625" style="386" customWidth="1"/>
    <col min="2566" max="2566" width="12.7109375" style="386" customWidth="1"/>
    <col min="2567" max="2567" width="1.85546875" style="386" customWidth="1"/>
    <col min="2568" max="2569" width="5.85546875" style="386" customWidth="1"/>
    <col min="2570" max="2571" width="7.85546875" style="386" customWidth="1"/>
    <col min="2572" max="2572" width="14.7109375" style="386" customWidth="1"/>
    <col min="2573" max="2806" width="9.140625" style="386"/>
    <col min="2807" max="2807" width="2.85546875" style="386" customWidth="1"/>
    <col min="2808" max="2808" width="21.5703125" style="386" customWidth="1"/>
    <col min="2809" max="2809" width="2.140625" style="386" customWidth="1"/>
    <col min="2810" max="2810" width="7.85546875" style="386" customWidth="1"/>
    <col min="2811" max="2811" width="2.140625" style="386" customWidth="1"/>
    <col min="2812" max="2812" width="12.7109375" style="386" customWidth="1"/>
    <col min="2813" max="2813" width="2.140625" style="386" customWidth="1"/>
    <col min="2814" max="2814" width="12.7109375" style="386" customWidth="1"/>
    <col min="2815" max="2815" width="2.140625" style="386" customWidth="1"/>
    <col min="2816" max="2816" width="23.5703125" style="386" customWidth="1"/>
    <col min="2817" max="2817" width="2.140625" style="386" customWidth="1"/>
    <col min="2818" max="2818" width="7.140625" style="386" customWidth="1"/>
    <col min="2819" max="2819" width="2.140625" style="386" customWidth="1"/>
    <col min="2820" max="2820" width="12.7109375" style="386" customWidth="1"/>
    <col min="2821" max="2821" width="2.140625" style="386" customWidth="1"/>
    <col min="2822" max="2822" width="12.7109375" style="386" customWidth="1"/>
    <col min="2823" max="2823" width="1.85546875" style="386" customWidth="1"/>
    <col min="2824" max="2825" width="5.85546875" style="386" customWidth="1"/>
    <col min="2826" max="2827" width="7.85546875" style="386" customWidth="1"/>
    <col min="2828" max="2828" width="14.7109375" style="386" customWidth="1"/>
    <col min="2829" max="3062" width="9.140625" style="386"/>
    <col min="3063" max="3063" width="2.85546875" style="386" customWidth="1"/>
    <col min="3064" max="3064" width="21.5703125" style="386" customWidth="1"/>
    <col min="3065" max="3065" width="2.140625" style="386" customWidth="1"/>
    <col min="3066" max="3066" width="7.85546875" style="386" customWidth="1"/>
    <col min="3067" max="3067" width="2.140625" style="386" customWidth="1"/>
    <col min="3068" max="3068" width="12.7109375" style="386" customWidth="1"/>
    <col min="3069" max="3069" width="2.140625" style="386" customWidth="1"/>
    <col min="3070" max="3070" width="12.7109375" style="386" customWidth="1"/>
    <col min="3071" max="3071" width="2.140625" style="386" customWidth="1"/>
    <col min="3072" max="3072" width="23.5703125" style="386" customWidth="1"/>
    <col min="3073" max="3073" width="2.140625" style="386" customWidth="1"/>
    <col min="3074" max="3074" width="7.140625" style="386" customWidth="1"/>
    <col min="3075" max="3075" width="2.140625" style="386" customWidth="1"/>
    <col min="3076" max="3076" width="12.7109375" style="386" customWidth="1"/>
    <col min="3077" max="3077" width="2.140625" style="386" customWidth="1"/>
    <col min="3078" max="3078" width="12.7109375" style="386" customWidth="1"/>
    <col min="3079" max="3079" width="1.85546875" style="386" customWidth="1"/>
    <col min="3080" max="3081" width="5.85546875" style="386" customWidth="1"/>
    <col min="3082" max="3083" width="7.85546875" style="386" customWidth="1"/>
    <col min="3084" max="3084" width="14.7109375" style="386" customWidth="1"/>
    <col min="3085" max="3318" width="9.140625" style="386"/>
    <col min="3319" max="3319" width="2.85546875" style="386" customWidth="1"/>
    <col min="3320" max="3320" width="21.5703125" style="386" customWidth="1"/>
    <col min="3321" max="3321" width="2.140625" style="386" customWidth="1"/>
    <col min="3322" max="3322" width="7.85546875" style="386" customWidth="1"/>
    <col min="3323" max="3323" width="2.140625" style="386" customWidth="1"/>
    <col min="3324" max="3324" width="12.7109375" style="386" customWidth="1"/>
    <col min="3325" max="3325" width="2.140625" style="386" customWidth="1"/>
    <col min="3326" max="3326" width="12.7109375" style="386" customWidth="1"/>
    <col min="3327" max="3327" width="2.140625" style="386" customWidth="1"/>
    <col min="3328" max="3328" width="23.5703125" style="386" customWidth="1"/>
    <col min="3329" max="3329" width="2.140625" style="386" customWidth="1"/>
    <col min="3330" max="3330" width="7.140625" style="386" customWidth="1"/>
    <col min="3331" max="3331" width="2.140625" style="386" customWidth="1"/>
    <col min="3332" max="3332" width="12.7109375" style="386" customWidth="1"/>
    <col min="3333" max="3333" width="2.140625" style="386" customWidth="1"/>
    <col min="3334" max="3334" width="12.7109375" style="386" customWidth="1"/>
    <col min="3335" max="3335" width="1.85546875" style="386" customWidth="1"/>
    <col min="3336" max="3337" width="5.85546875" style="386" customWidth="1"/>
    <col min="3338" max="3339" width="7.85546875" style="386" customWidth="1"/>
    <col min="3340" max="3340" width="14.7109375" style="386" customWidth="1"/>
    <col min="3341" max="3574" width="9.140625" style="386"/>
    <col min="3575" max="3575" width="2.85546875" style="386" customWidth="1"/>
    <col min="3576" max="3576" width="21.5703125" style="386" customWidth="1"/>
    <col min="3577" max="3577" width="2.140625" style="386" customWidth="1"/>
    <col min="3578" max="3578" width="7.85546875" style="386" customWidth="1"/>
    <col min="3579" max="3579" width="2.140625" style="386" customWidth="1"/>
    <col min="3580" max="3580" width="12.7109375" style="386" customWidth="1"/>
    <col min="3581" max="3581" width="2.140625" style="386" customWidth="1"/>
    <col min="3582" max="3582" width="12.7109375" style="386" customWidth="1"/>
    <col min="3583" max="3583" width="2.140625" style="386" customWidth="1"/>
    <col min="3584" max="3584" width="23.5703125" style="386" customWidth="1"/>
    <col min="3585" max="3585" width="2.140625" style="386" customWidth="1"/>
    <col min="3586" max="3586" width="7.140625" style="386" customWidth="1"/>
    <col min="3587" max="3587" width="2.140625" style="386" customWidth="1"/>
    <col min="3588" max="3588" width="12.7109375" style="386" customWidth="1"/>
    <col min="3589" max="3589" width="2.140625" style="386" customWidth="1"/>
    <col min="3590" max="3590" width="12.7109375" style="386" customWidth="1"/>
    <col min="3591" max="3591" width="1.85546875" style="386" customWidth="1"/>
    <col min="3592" max="3593" width="5.85546875" style="386" customWidth="1"/>
    <col min="3594" max="3595" width="7.85546875" style="386" customWidth="1"/>
    <col min="3596" max="3596" width="14.7109375" style="386" customWidth="1"/>
    <col min="3597" max="3830" width="9.140625" style="386"/>
    <col min="3831" max="3831" width="2.85546875" style="386" customWidth="1"/>
    <col min="3832" max="3832" width="21.5703125" style="386" customWidth="1"/>
    <col min="3833" max="3833" width="2.140625" style="386" customWidth="1"/>
    <col min="3834" max="3834" width="7.85546875" style="386" customWidth="1"/>
    <col min="3835" max="3835" width="2.140625" style="386" customWidth="1"/>
    <col min="3836" max="3836" width="12.7109375" style="386" customWidth="1"/>
    <col min="3837" max="3837" width="2.140625" style="386" customWidth="1"/>
    <col min="3838" max="3838" width="12.7109375" style="386" customWidth="1"/>
    <col min="3839" max="3839" width="2.140625" style="386" customWidth="1"/>
    <col min="3840" max="3840" width="23.5703125" style="386" customWidth="1"/>
    <col min="3841" max="3841" width="2.140625" style="386" customWidth="1"/>
    <col min="3842" max="3842" width="7.140625" style="386" customWidth="1"/>
    <col min="3843" max="3843" width="2.140625" style="386" customWidth="1"/>
    <col min="3844" max="3844" width="12.7109375" style="386" customWidth="1"/>
    <col min="3845" max="3845" width="2.140625" style="386" customWidth="1"/>
    <col min="3846" max="3846" width="12.7109375" style="386" customWidth="1"/>
    <col min="3847" max="3847" width="1.85546875" style="386" customWidth="1"/>
    <col min="3848" max="3849" width="5.85546875" style="386" customWidth="1"/>
    <col min="3850" max="3851" width="7.85546875" style="386" customWidth="1"/>
    <col min="3852" max="3852" width="14.7109375" style="386" customWidth="1"/>
    <col min="3853" max="4086" width="9.140625" style="386"/>
    <col min="4087" max="4087" width="2.85546875" style="386" customWidth="1"/>
    <col min="4088" max="4088" width="21.5703125" style="386" customWidth="1"/>
    <col min="4089" max="4089" width="2.140625" style="386" customWidth="1"/>
    <col min="4090" max="4090" width="7.85546875" style="386" customWidth="1"/>
    <col min="4091" max="4091" width="2.140625" style="386" customWidth="1"/>
    <col min="4092" max="4092" width="12.7109375" style="386" customWidth="1"/>
    <col min="4093" max="4093" width="2.140625" style="386" customWidth="1"/>
    <col min="4094" max="4094" width="12.7109375" style="386" customWidth="1"/>
    <col min="4095" max="4095" width="2.140625" style="386" customWidth="1"/>
    <col min="4096" max="4096" width="23.5703125" style="386" customWidth="1"/>
    <col min="4097" max="4097" width="2.140625" style="386" customWidth="1"/>
    <col min="4098" max="4098" width="7.140625" style="386" customWidth="1"/>
    <col min="4099" max="4099" width="2.140625" style="386" customWidth="1"/>
    <col min="4100" max="4100" width="12.7109375" style="386" customWidth="1"/>
    <col min="4101" max="4101" width="2.140625" style="386" customWidth="1"/>
    <col min="4102" max="4102" width="12.7109375" style="386" customWidth="1"/>
    <col min="4103" max="4103" width="1.85546875" style="386" customWidth="1"/>
    <col min="4104" max="4105" width="5.85546875" style="386" customWidth="1"/>
    <col min="4106" max="4107" width="7.85546875" style="386" customWidth="1"/>
    <col min="4108" max="4108" width="14.7109375" style="386" customWidth="1"/>
    <col min="4109" max="4342" width="9.140625" style="386"/>
    <col min="4343" max="4343" width="2.85546875" style="386" customWidth="1"/>
    <col min="4344" max="4344" width="21.5703125" style="386" customWidth="1"/>
    <col min="4345" max="4345" width="2.140625" style="386" customWidth="1"/>
    <col min="4346" max="4346" width="7.85546875" style="386" customWidth="1"/>
    <col min="4347" max="4347" width="2.140625" style="386" customWidth="1"/>
    <col min="4348" max="4348" width="12.7109375" style="386" customWidth="1"/>
    <col min="4349" max="4349" width="2.140625" style="386" customWidth="1"/>
    <col min="4350" max="4350" width="12.7109375" style="386" customWidth="1"/>
    <col min="4351" max="4351" width="2.140625" style="386" customWidth="1"/>
    <col min="4352" max="4352" width="23.5703125" style="386" customWidth="1"/>
    <col min="4353" max="4353" width="2.140625" style="386" customWidth="1"/>
    <col min="4354" max="4354" width="7.140625" style="386" customWidth="1"/>
    <col min="4355" max="4355" width="2.140625" style="386" customWidth="1"/>
    <col min="4356" max="4356" width="12.7109375" style="386" customWidth="1"/>
    <col min="4357" max="4357" width="2.140625" style="386" customWidth="1"/>
    <col min="4358" max="4358" width="12.7109375" style="386" customWidth="1"/>
    <col min="4359" max="4359" width="1.85546875" style="386" customWidth="1"/>
    <col min="4360" max="4361" width="5.85546875" style="386" customWidth="1"/>
    <col min="4362" max="4363" width="7.85546875" style="386" customWidth="1"/>
    <col min="4364" max="4364" width="14.7109375" style="386" customWidth="1"/>
    <col min="4365" max="4598" width="9.140625" style="386"/>
    <col min="4599" max="4599" width="2.85546875" style="386" customWidth="1"/>
    <col min="4600" max="4600" width="21.5703125" style="386" customWidth="1"/>
    <col min="4601" max="4601" width="2.140625" style="386" customWidth="1"/>
    <col min="4602" max="4602" width="7.85546875" style="386" customWidth="1"/>
    <col min="4603" max="4603" width="2.140625" style="386" customWidth="1"/>
    <col min="4604" max="4604" width="12.7109375" style="386" customWidth="1"/>
    <col min="4605" max="4605" width="2.140625" style="386" customWidth="1"/>
    <col min="4606" max="4606" width="12.7109375" style="386" customWidth="1"/>
    <col min="4607" max="4607" width="2.140625" style="386" customWidth="1"/>
    <col min="4608" max="4608" width="23.5703125" style="386" customWidth="1"/>
    <col min="4609" max="4609" width="2.140625" style="386" customWidth="1"/>
    <col min="4610" max="4610" width="7.140625" style="386" customWidth="1"/>
    <col min="4611" max="4611" width="2.140625" style="386" customWidth="1"/>
    <col min="4612" max="4612" width="12.7109375" style="386" customWidth="1"/>
    <col min="4613" max="4613" width="2.140625" style="386" customWidth="1"/>
    <col min="4614" max="4614" width="12.7109375" style="386" customWidth="1"/>
    <col min="4615" max="4615" width="1.85546875" style="386" customWidth="1"/>
    <col min="4616" max="4617" width="5.85546875" style="386" customWidth="1"/>
    <col min="4618" max="4619" width="7.85546875" style="386" customWidth="1"/>
    <col min="4620" max="4620" width="14.7109375" style="386" customWidth="1"/>
    <col min="4621" max="4854" width="9.140625" style="386"/>
    <col min="4855" max="4855" width="2.85546875" style="386" customWidth="1"/>
    <col min="4856" max="4856" width="21.5703125" style="386" customWidth="1"/>
    <col min="4857" max="4857" width="2.140625" style="386" customWidth="1"/>
    <col min="4858" max="4858" width="7.85546875" style="386" customWidth="1"/>
    <col min="4859" max="4859" width="2.140625" style="386" customWidth="1"/>
    <col min="4860" max="4860" width="12.7109375" style="386" customWidth="1"/>
    <col min="4861" max="4861" width="2.140625" style="386" customWidth="1"/>
    <col min="4862" max="4862" width="12.7109375" style="386" customWidth="1"/>
    <col min="4863" max="4863" width="2.140625" style="386" customWidth="1"/>
    <col min="4864" max="4864" width="23.5703125" style="386" customWidth="1"/>
    <col min="4865" max="4865" width="2.140625" style="386" customWidth="1"/>
    <col min="4866" max="4866" width="7.140625" style="386" customWidth="1"/>
    <col min="4867" max="4867" width="2.140625" style="386" customWidth="1"/>
    <col min="4868" max="4868" width="12.7109375" style="386" customWidth="1"/>
    <col min="4869" max="4869" width="2.140625" style="386" customWidth="1"/>
    <col min="4870" max="4870" width="12.7109375" style="386" customWidth="1"/>
    <col min="4871" max="4871" width="1.85546875" style="386" customWidth="1"/>
    <col min="4872" max="4873" width="5.85546875" style="386" customWidth="1"/>
    <col min="4874" max="4875" width="7.85546875" style="386" customWidth="1"/>
    <col min="4876" max="4876" width="14.7109375" style="386" customWidth="1"/>
    <col min="4877" max="5110" width="9.140625" style="386"/>
    <col min="5111" max="5111" width="2.85546875" style="386" customWidth="1"/>
    <col min="5112" max="5112" width="21.5703125" style="386" customWidth="1"/>
    <col min="5113" max="5113" width="2.140625" style="386" customWidth="1"/>
    <col min="5114" max="5114" width="7.85546875" style="386" customWidth="1"/>
    <col min="5115" max="5115" width="2.140625" style="386" customWidth="1"/>
    <col min="5116" max="5116" width="12.7109375" style="386" customWidth="1"/>
    <col min="5117" max="5117" width="2.140625" style="386" customWidth="1"/>
    <col min="5118" max="5118" width="12.7109375" style="386" customWidth="1"/>
    <col min="5119" max="5119" width="2.140625" style="386" customWidth="1"/>
    <col min="5120" max="5120" width="23.5703125" style="386" customWidth="1"/>
    <col min="5121" max="5121" width="2.140625" style="386" customWidth="1"/>
    <col min="5122" max="5122" width="7.140625" style="386" customWidth="1"/>
    <col min="5123" max="5123" width="2.140625" style="386" customWidth="1"/>
    <col min="5124" max="5124" width="12.7109375" style="386" customWidth="1"/>
    <col min="5125" max="5125" width="2.140625" style="386" customWidth="1"/>
    <col min="5126" max="5126" width="12.7109375" style="386" customWidth="1"/>
    <col min="5127" max="5127" width="1.85546875" style="386" customWidth="1"/>
    <col min="5128" max="5129" width="5.85546875" style="386" customWidth="1"/>
    <col min="5130" max="5131" width="7.85546875" style="386" customWidth="1"/>
    <col min="5132" max="5132" width="14.7109375" style="386" customWidth="1"/>
    <col min="5133" max="5366" width="9.140625" style="386"/>
    <col min="5367" max="5367" width="2.85546875" style="386" customWidth="1"/>
    <col min="5368" max="5368" width="21.5703125" style="386" customWidth="1"/>
    <col min="5369" max="5369" width="2.140625" style="386" customWidth="1"/>
    <col min="5370" max="5370" width="7.85546875" style="386" customWidth="1"/>
    <col min="5371" max="5371" width="2.140625" style="386" customWidth="1"/>
    <col min="5372" max="5372" width="12.7109375" style="386" customWidth="1"/>
    <col min="5373" max="5373" width="2.140625" style="386" customWidth="1"/>
    <col min="5374" max="5374" width="12.7109375" style="386" customWidth="1"/>
    <col min="5375" max="5375" width="2.140625" style="386" customWidth="1"/>
    <col min="5376" max="5376" width="23.5703125" style="386" customWidth="1"/>
    <col min="5377" max="5377" width="2.140625" style="386" customWidth="1"/>
    <col min="5378" max="5378" width="7.140625" style="386" customWidth="1"/>
    <col min="5379" max="5379" width="2.140625" style="386" customWidth="1"/>
    <col min="5380" max="5380" width="12.7109375" style="386" customWidth="1"/>
    <col min="5381" max="5381" width="2.140625" style="386" customWidth="1"/>
    <col min="5382" max="5382" width="12.7109375" style="386" customWidth="1"/>
    <col min="5383" max="5383" width="1.85546875" style="386" customWidth="1"/>
    <col min="5384" max="5385" width="5.85546875" style="386" customWidth="1"/>
    <col min="5386" max="5387" width="7.85546875" style="386" customWidth="1"/>
    <col min="5388" max="5388" width="14.7109375" style="386" customWidth="1"/>
    <col min="5389" max="5622" width="9.140625" style="386"/>
    <col min="5623" max="5623" width="2.85546875" style="386" customWidth="1"/>
    <col min="5624" max="5624" width="21.5703125" style="386" customWidth="1"/>
    <col min="5625" max="5625" width="2.140625" style="386" customWidth="1"/>
    <col min="5626" max="5626" width="7.85546875" style="386" customWidth="1"/>
    <col min="5627" max="5627" width="2.140625" style="386" customWidth="1"/>
    <col min="5628" max="5628" width="12.7109375" style="386" customWidth="1"/>
    <col min="5629" max="5629" width="2.140625" style="386" customWidth="1"/>
    <col min="5630" max="5630" width="12.7109375" style="386" customWidth="1"/>
    <col min="5631" max="5631" width="2.140625" style="386" customWidth="1"/>
    <col min="5632" max="5632" width="23.5703125" style="386" customWidth="1"/>
    <col min="5633" max="5633" width="2.140625" style="386" customWidth="1"/>
    <col min="5634" max="5634" width="7.140625" style="386" customWidth="1"/>
    <col min="5635" max="5635" width="2.140625" style="386" customWidth="1"/>
    <col min="5636" max="5636" width="12.7109375" style="386" customWidth="1"/>
    <col min="5637" max="5637" width="2.140625" style="386" customWidth="1"/>
    <col min="5638" max="5638" width="12.7109375" style="386" customWidth="1"/>
    <col min="5639" max="5639" width="1.85546875" style="386" customWidth="1"/>
    <col min="5640" max="5641" width="5.85546875" style="386" customWidth="1"/>
    <col min="5642" max="5643" width="7.85546875" style="386" customWidth="1"/>
    <col min="5644" max="5644" width="14.7109375" style="386" customWidth="1"/>
    <col min="5645" max="5878" width="9.140625" style="386"/>
    <col min="5879" max="5879" width="2.85546875" style="386" customWidth="1"/>
    <col min="5880" max="5880" width="21.5703125" style="386" customWidth="1"/>
    <col min="5881" max="5881" width="2.140625" style="386" customWidth="1"/>
    <col min="5882" max="5882" width="7.85546875" style="386" customWidth="1"/>
    <col min="5883" max="5883" width="2.140625" style="386" customWidth="1"/>
    <col min="5884" max="5884" width="12.7109375" style="386" customWidth="1"/>
    <col min="5885" max="5885" width="2.140625" style="386" customWidth="1"/>
    <col min="5886" max="5886" width="12.7109375" style="386" customWidth="1"/>
    <col min="5887" max="5887" width="2.140625" style="386" customWidth="1"/>
    <col min="5888" max="5888" width="23.5703125" style="386" customWidth="1"/>
    <col min="5889" max="5889" width="2.140625" style="386" customWidth="1"/>
    <col min="5890" max="5890" width="7.140625" style="386" customWidth="1"/>
    <col min="5891" max="5891" width="2.140625" style="386" customWidth="1"/>
    <col min="5892" max="5892" width="12.7109375" style="386" customWidth="1"/>
    <col min="5893" max="5893" width="2.140625" style="386" customWidth="1"/>
    <col min="5894" max="5894" width="12.7109375" style="386" customWidth="1"/>
    <col min="5895" max="5895" width="1.85546875" style="386" customWidth="1"/>
    <col min="5896" max="5897" width="5.85546875" style="386" customWidth="1"/>
    <col min="5898" max="5899" width="7.85546875" style="386" customWidth="1"/>
    <col min="5900" max="5900" width="14.7109375" style="386" customWidth="1"/>
    <col min="5901" max="6134" width="9.140625" style="386"/>
    <col min="6135" max="6135" width="2.85546875" style="386" customWidth="1"/>
    <col min="6136" max="6136" width="21.5703125" style="386" customWidth="1"/>
    <col min="6137" max="6137" width="2.140625" style="386" customWidth="1"/>
    <col min="6138" max="6138" width="7.85546875" style="386" customWidth="1"/>
    <col min="6139" max="6139" width="2.140625" style="386" customWidth="1"/>
    <col min="6140" max="6140" width="12.7109375" style="386" customWidth="1"/>
    <col min="6141" max="6141" width="2.140625" style="386" customWidth="1"/>
    <col min="6142" max="6142" width="12.7109375" style="386" customWidth="1"/>
    <col min="6143" max="6143" width="2.140625" style="386" customWidth="1"/>
    <col min="6144" max="6144" width="23.5703125" style="386" customWidth="1"/>
    <col min="6145" max="6145" width="2.140625" style="386" customWidth="1"/>
    <col min="6146" max="6146" width="7.140625" style="386" customWidth="1"/>
    <col min="6147" max="6147" width="2.140625" style="386" customWidth="1"/>
    <col min="6148" max="6148" width="12.7109375" style="386" customWidth="1"/>
    <col min="6149" max="6149" width="2.140625" style="386" customWidth="1"/>
    <col min="6150" max="6150" width="12.7109375" style="386" customWidth="1"/>
    <col min="6151" max="6151" width="1.85546875" style="386" customWidth="1"/>
    <col min="6152" max="6153" width="5.85546875" style="386" customWidth="1"/>
    <col min="6154" max="6155" width="7.85546875" style="386" customWidth="1"/>
    <col min="6156" max="6156" width="14.7109375" style="386" customWidth="1"/>
    <col min="6157" max="6390" width="9.140625" style="386"/>
    <col min="6391" max="6391" width="2.85546875" style="386" customWidth="1"/>
    <col min="6392" max="6392" width="21.5703125" style="386" customWidth="1"/>
    <col min="6393" max="6393" width="2.140625" style="386" customWidth="1"/>
    <col min="6394" max="6394" width="7.85546875" style="386" customWidth="1"/>
    <col min="6395" max="6395" width="2.140625" style="386" customWidth="1"/>
    <col min="6396" max="6396" width="12.7109375" style="386" customWidth="1"/>
    <col min="6397" max="6397" width="2.140625" style="386" customWidth="1"/>
    <col min="6398" max="6398" width="12.7109375" style="386" customWidth="1"/>
    <col min="6399" max="6399" width="2.140625" style="386" customWidth="1"/>
    <col min="6400" max="6400" width="23.5703125" style="386" customWidth="1"/>
    <col min="6401" max="6401" width="2.140625" style="386" customWidth="1"/>
    <col min="6402" max="6402" width="7.140625" style="386" customWidth="1"/>
    <col min="6403" max="6403" width="2.140625" style="386" customWidth="1"/>
    <col min="6404" max="6404" width="12.7109375" style="386" customWidth="1"/>
    <col min="6405" max="6405" width="2.140625" style="386" customWidth="1"/>
    <col min="6406" max="6406" width="12.7109375" style="386" customWidth="1"/>
    <col min="6407" max="6407" width="1.85546875" style="386" customWidth="1"/>
    <col min="6408" max="6409" width="5.85546875" style="386" customWidth="1"/>
    <col min="6410" max="6411" width="7.85546875" style="386" customWidth="1"/>
    <col min="6412" max="6412" width="14.7109375" style="386" customWidth="1"/>
    <col min="6413" max="6646" width="9.140625" style="386"/>
    <col min="6647" max="6647" width="2.85546875" style="386" customWidth="1"/>
    <col min="6648" max="6648" width="21.5703125" style="386" customWidth="1"/>
    <col min="6649" max="6649" width="2.140625" style="386" customWidth="1"/>
    <col min="6650" max="6650" width="7.85546875" style="386" customWidth="1"/>
    <col min="6651" max="6651" width="2.140625" style="386" customWidth="1"/>
    <col min="6652" max="6652" width="12.7109375" style="386" customWidth="1"/>
    <col min="6653" max="6653" width="2.140625" style="386" customWidth="1"/>
    <col min="6654" max="6654" width="12.7109375" style="386" customWidth="1"/>
    <col min="6655" max="6655" width="2.140625" style="386" customWidth="1"/>
    <col min="6656" max="6656" width="23.5703125" style="386" customWidth="1"/>
    <col min="6657" max="6657" width="2.140625" style="386" customWidth="1"/>
    <col min="6658" max="6658" width="7.140625" style="386" customWidth="1"/>
    <col min="6659" max="6659" width="2.140625" style="386" customWidth="1"/>
    <col min="6660" max="6660" width="12.7109375" style="386" customWidth="1"/>
    <col min="6661" max="6661" width="2.140625" style="386" customWidth="1"/>
    <col min="6662" max="6662" width="12.7109375" style="386" customWidth="1"/>
    <col min="6663" max="6663" width="1.85546875" style="386" customWidth="1"/>
    <col min="6664" max="6665" width="5.85546875" style="386" customWidth="1"/>
    <col min="6666" max="6667" width="7.85546875" style="386" customWidth="1"/>
    <col min="6668" max="6668" width="14.7109375" style="386" customWidth="1"/>
    <col min="6669" max="6902" width="9.140625" style="386"/>
    <col min="6903" max="6903" width="2.85546875" style="386" customWidth="1"/>
    <col min="6904" max="6904" width="21.5703125" style="386" customWidth="1"/>
    <col min="6905" max="6905" width="2.140625" style="386" customWidth="1"/>
    <col min="6906" max="6906" width="7.85546875" style="386" customWidth="1"/>
    <col min="6907" max="6907" width="2.140625" style="386" customWidth="1"/>
    <col min="6908" max="6908" width="12.7109375" style="386" customWidth="1"/>
    <col min="6909" max="6909" width="2.140625" style="386" customWidth="1"/>
    <col min="6910" max="6910" width="12.7109375" style="386" customWidth="1"/>
    <col min="6911" max="6911" width="2.140625" style="386" customWidth="1"/>
    <col min="6912" max="6912" width="23.5703125" style="386" customWidth="1"/>
    <col min="6913" max="6913" width="2.140625" style="386" customWidth="1"/>
    <col min="6914" max="6914" width="7.140625" style="386" customWidth="1"/>
    <col min="6915" max="6915" width="2.140625" style="386" customWidth="1"/>
    <col min="6916" max="6916" width="12.7109375" style="386" customWidth="1"/>
    <col min="6917" max="6917" width="2.140625" style="386" customWidth="1"/>
    <col min="6918" max="6918" width="12.7109375" style="386" customWidth="1"/>
    <col min="6919" max="6919" width="1.85546875" style="386" customWidth="1"/>
    <col min="6920" max="6921" width="5.85546875" style="386" customWidth="1"/>
    <col min="6922" max="6923" width="7.85546875" style="386" customWidth="1"/>
    <col min="6924" max="6924" width="14.7109375" style="386" customWidth="1"/>
    <col min="6925" max="7158" width="9.140625" style="386"/>
    <col min="7159" max="7159" width="2.85546875" style="386" customWidth="1"/>
    <col min="7160" max="7160" width="21.5703125" style="386" customWidth="1"/>
    <col min="7161" max="7161" width="2.140625" style="386" customWidth="1"/>
    <col min="7162" max="7162" width="7.85546875" style="386" customWidth="1"/>
    <col min="7163" max="7163" width="2.140625" style="386" customWidth="1"/>
    <col min="7164" max="7164" width="12.7109375" style="386" customWidth="1"/>
    <col min="7165" max="7165" width="2.140625" style="386" customWidth="1"/>
    <col min="7166" max="7166" width="12.7109375" style="386" customWidth="1"/>
    <col min="7167" max="7167" width="2.140625" style="386" customWidth="1"/>
    <col min="7168" max="7168" width="23.5703125" style="386" customWidth="1"/>
    <col min="7169" max="7169" width="2.140625" style="386" customWidth="1"/>
    <col min="7170" max="7170" width="7.140625" style="386" customWidth="1"/>
    <col min="7171" max="7171" width="2.140625" style="386" customWidth="1"/>
    <col min="7172" max="7172" width="12.7109375" style="386" customWidth="1"/>
    <col min="7173" max="7173" width="2.140625" style="386" customWidth="1"/>
    <col min="7174" max="7174" width="12.7109375" style="386" customWidth="1"/>
    <col min="7175" max="7175" width="1.85546875" style="386" customWidth="1"/>
    <col min="7176" max="7177" width="5.85546875" style="386" customWidth="1"/>
    <col min="7178" max="7179" width="7.85546875" style="386" customWidth="1"/>
    <col min="7180" max="7180" width="14.7109375" style="386" customWidth="1"/>
    <col min="7181" max="7414" width="9.140625" style="386"/>
    <col min="7415" max="7415" width="2.85546875" style="386" customWidth="1"/>
    <col min="7416" max="7416" width="21.5703125" style="386" customWidth="1"/>
    <col min="7417" max="7417" width="2.140625" style="386" customWidth="1"/>
    <col min="7418" max="7418" width="7.85546875" style="386" customWidth="1"/>
    <col min="7419" max="7419" width="2.140625" style="386" customWidth="1"/>
    <col min="7420" max="7420" width="12.7109375" style="386" customWidth="1"/>
    <col min="7421" max="7421" width="2.140625" style="386" customWidth="1"/>
    <col min="7422" max="7422" width="12.7109375" style="386" customWidth="1"/>
    <col min="7423" max="7423" width="2.140625" style="386" customWidth="1"/>
    <col min="7424" max="7424" width="23.5703125" style="386" customWidth="1"/>
    <col min="7425" max="7425" width="2.140625" style="386" customWidth="1"/>
    <col min="7426" max="7426" width="7.140625" style="386" customWidth="1"/>
    <col min="7427" max="7427" width="2.140625" style="386" customWidth="1"/>
    <col min="7428" max="7428" width="12.7109375" style="386" customWidth="1"/>
    <col min="7429" max="7429" width="2.140625" style="386" customWidth="1"/>
    <col min="7430" max="7430" width="12.7109375" style="386" customWidth="1"/>
    <col min="7431" max="7431" width="1.85546875" style="386" customWidth="1"/>
    <col min="7432" max="7433" width="5.85546875" style="386" customWidth="1"/>
    <col min="7434" max="7435" width="7.85546875" style="386" customWidth="1"/>
    <col min="7436" max="7436" width="14.7109375" style="386" customWidth="1"/>
    <col min="7437" max="7670" width="9.140625" style="386"/>
    <col min="7671" max="7671" width="2.85546875" style="386" customWidth="1"/>
    <col min="7672" max="7672" width="21.5703125" style="386" customWidth="1"/>
    <col min="7673" max="7673" width="2.140625" style="386" customWidth="1"/>
    <col min="7674" max="7674" width="7.85546875" style="386" customWidth="1"/>
    <col min="7675" max="7675" width="2.140625" style="386" customWidth="1"/>
    <col min="7676" max="7676" width="12.7109375" style="386" customWidth="1"/>
    <col min="7677" max="7677" width="2.140625" style="386" customWidth="1"/>
    <col min="7678" max="7678" width="12.7109375" style="386" customWidth="1"/>
    <col min="7679" max="7679" width="2.140625" style="386" customWidth="1"/>
    <col min="7680" max="7680" width="23.5703125" style="386" customWidth="1"/>
    <col min="7681" max="7681" width="2.140625" style="386" customWidth="1"/>
    <col min="7682" max="7682" width="7.140625" style="386" customWidth="1"/>
    <col min="7683" max="7683" width="2.140625" style="386" customWidth="1"/>
    <col min="7684" max="7684" width="12.7109375" style="386" customWidth="1"/>
    <col min="7685" max="7685" width="2.140625" style="386" customWidth="1"/>
    <col min="7686" max="7686" width="12.7109375" style="386" customWidth="1"/>
    <col min="7687" max="7687" width="1.85546875" style="386" customWidth="1"/>
    <col min="7688" max="7689" width="5.85546875" style="386" customWidth="1"/>
    <col min="7690" max="7691" width="7.85546875" style="386" customWidth="1"/>
    <col min="7692" max="7692" width="14.7109375" style="386" customWidth="1"/>
    <col min="7693" max="7926" width="9.140625" style="386"/>
    <col min="7927" max="7927" width="2.85546875" style="386" customWidth="1"/>
    <col min="7928" max="7928" width="21.5703125" style="386" customWidth="1"/>
    <col min="7929" max="7929" width="2.140625" style="386" customWidth="1"/>
    <col min="7930" max="7930" width="7.85546875" style="386" customWidth="1"/>
    <col min="7931" max="7931" width="2.140625" style="386" customWidth="1"/>
    <col min="7932" max="7932" width="12.7109375" style="386" customWidth="1"/>
    <col min="7933" max="7933" width="2.140625" style="386" customWidth="1"/>
    <col min="7934" max="7934" width="12.7109375" style="386" customWidth="1"/>
    <col min="7935" max="7935" width="2.140625" style="386" customWidth="1"/>
    <col min="7936" max="7936" width="23.5703125" style="386" customWidth="1"/>
    <col min="7937" max="7937" width="2.140625" style="386" customWidth="1"/>
    <col min="7938" max="7938" width="7.140625" style="386" customWidth="1"/>
    <col min="7939" max="7939" width="2.140625" style="386" customWidth="1"/>
    <col min="7940" max="7940" width="12.7109375" style="386" customWidth="1"/>
    <col min="7941" max="7941" width="2.140625" style="386" customWidth="1"/>
    <col min="7942" max="7942" width="12.7109375" style="386" customWidth="1"/>
    <col min="7943" max="7943" width="1.85546875" style="386" customWidth="1"/>
    <col min="7944" max="7945" width="5.85546875" style="386" customWidth="1"/>
    <col min="7946" max="7947" width="7.85546875" style="386" customWidth="1"/>
    <col min="7948" max="7948" width="14.7109375" style="386" customWidth="1"/>
    <col min="7949" max="8182" width="9.140625" style="386"/>
    <col min="8183" max="8183" width="2.85546875" style="386" customWidth="1"/>
    <col min="8184" max="8184" width="21.5703125" style="386" customWidth="1"/>
    <col min="8185" max="8185" width="2.140625" style="386" customWidth="1"/>
    <col min="8186" max="8186" width="7.85546875" style="386" customWidth="1"/>
    <col min="8187" max="8187" width="2.140625" style="386" customWidth="1"/>
    <col min="8188" max="8188" width="12.7109375" style="386" customWidth="1"/>
    <col min="8189" max="8189" width="2.140625" style="386" customWidth="1"/>
    <col min="8190" max="8190" width="12.7109375" style="386" customWidth="1"/>
    <col min="8191" max="8191" width="2.140625" style="386" customWidth="1"/>
    <col min="8192" max="8192" width="23.5703125" style="386" customWidth="1"/>
    <col min="8193" max="8193" width="2.140625" style="386" customWidth="1"/>
    <col min="8194" max="8194" width="7.140625" style="386" customWidth="1"/>
    <col min="8195" max="8195" width="2.140625" style="386" customWidth="1"/>
    <col min="8196" max="8196" width="12.7109375" style="386" customWidth="1"/>
    <col min="8197" max="8197" width="2.140625" style="386" customWidth="1"/>
    <col min="8198" max="8198" width="12.7109375" style="386" customWidth="1"/>
    <col min="8199" max="8199" width="1.85546875" style="386" customWidth="1"/>
    <col min="8200" max="8201" width="5.85546875" style="386" customWidth="1"/>
    <col min="8202" max="8203" width="7.85546875" style="386" customWidth="1"/>
    <col min="8204" max="8204" width="14.7109375" style="386" customWidth="1"/>
    <col min="8205" max="8438" width="9.140625" style="386"/>
    <col min="8439" max="8439" width="2.85546875" style="386" customWidth="1"/>
    <col min="8440" max="8440" width="21.5703125" style="386" customWidth="1"/>
    <col min="8441" max="8441" width="2.140625" style="386" customWidth="1"/>
    <col min="8442" max="8442" width="7.85546875" style="386" customWidth="1"/>
    <col min="8443" max="8443" width="2.140625" style="386" customWidth="1"/>
    <col min="8444" max="8444" width="12.7109375" style="386" customWidth="1"/>
    <col min="8445" max="8445" width="2.140625" style="386" customWidth="1"/>
    <col min="8446" max="8446" width="12.7109375" style="386" customWidth="1"/>
    <col min="8447" max="8447" width="2.140625" style="386" customWidth="1"/>
    <col min="8448" max="8448" width="23.5703125" style="386" customWidth="1"/>
    <col min="8449" max="8449" width="2.140625" style="386" customWidth="1"/>
    <col min="8450" max="8450" width="7.140625" style="386" customWidth="1"/>
    <col min="8451" max="8451" width="2.140625" style="386" customWidth="1"/>
    <col min="8452" max="8452" width="12.7109375" style="386" customWidth="1"/>
    <col min="8453" max="8453" width="2.140625" style="386" customWidth="1"/>
    <col min="8454" max="8454" width="12.7109375" style="386" customWidth="1"/>
    <col min="8455" max="8455" width="1.85546875" style="386" customWidth="1"/>
    <col min="8456" max="8457" width="5.85546875" style="386" customWidth="1"/>
    <col min="8458" max="8459" width="7.85546875" style="386" customWidth="1"/>
    <col min="8460" max="8460" width="14.7109375" style="386" customWidth="1"/>
    <col min="8461" max="8694" width="9.140625" style="386"/>
    <col min="8695" max="8695" width="2.85546875" style="386" customWidth="1"/>
    <col min="8696" max="8696" width="21.5703125" style="386" customWidth="1"/>
    <col min="8697" max="8697" width="2.140625" style="386" customWidth="1"/>
    <col min="8698" max="8698" width="7.85546875" style="386" customWidth="1"/>
    <col min="8699" max="8699" width="2.140625" style="386" customWidth="1"/>
    <col min="8700" max="8700" width="12.7109375" style="386" customWidth="1"/>
    <col min="8701" max="8701" width="2.140625" style="386" customWidth="1"/>
    <col min="8702" max="8702" width="12.7109375" style="386" customWidth="1"/>
    <col min="8703" max="8703" width="2.140625" style="386" customWidth="1"/>
    <col min="8704" max="8704" width="23.5703125" style="386" customWidth="1"/>
    <col min="8705" max="8705" width="2.140625" style="386" customWidth="1"/>
    <col min="8706" max="8706" width="7.140625" style="386" customWidth="1"/>
    <col min="8707" max="8707" width="2.140625" style="386" customWidth="1"/>
    <col min="8708" max="8708" width="12.7109375" style="386" customWidth="1"/>
    <col min="8709" max="8709" width="2.140625" style="386" customWidth="1"/>
    <col min="8710" max="8710" width="12.7109375" style="386" customWidth="1"/>
    <col min="8711" max="8711" width="1.85546875" style="386" customWidth="1"/>
    <col min="8712" max="8713" width="5.85546875" style="386" customWidth="1"/>
    <col min="8714" max="8715" width="7.85546875" style="386" customWidth="1"/>
    <col min="8716" max="8716" width="14.7109375" style="386" customWidth="1"/>
    <col min="8717" max="8950" width="9.140625" style="386"/>
    <col min="8951" max="8951" width="2.85546875" style="386" customWidth="1"/>
    <col min="8952" max="8952" width="21.5703125" style="386" customWidth="1"/>
    <col min="8953" max="8953" width="2.140625" style="386" customWidth="1"/>
    <col min="8954" max="8954" width="7.85546875" style="386" customWidth="1"/>
    <col min="8955" max="8955" width="2.140625" style="386" customWidth="1"/>
    <col min="8956" max="8956" width="12.7109375" style="386" customWidth="1"/>
    <col min="8957" max="8957" width="2.140625" style="386" customWidth="1"/>
    <col min="8958" max="8958" width="12.7109375" style="386" customWidth="1"/>
    <col min="8959" max="8959" width="2.140625" style="386" customWidth="1"/>
    <col min="8960" max="8960" width="23.5703125" style="386" customWidth="1"/>
    <col min="8961" max="8961" width="2.140625" style="386" customWidth="1"/>
    <col min="8962" max="8962" width="7.140625" style="386" customWidth="1"/>
    <col min="8963" max="8963" width="2.140625" style="386" customWidth="1"/>
    <col min="8964" max="8964" width="12.7109375" style="386" customWidth="1"/>
    <col min="8965" max="8965" width="2.140625" style="386" customWidth="1"/>
    <col min="8966" max="8966" width="12.7109375" style="386" customWidth="1"/>
    <col min="8967" max="8967" width="1.85546875" style="386" customWidth="1"/>
    <col min="8968" max="8969" width="5.85546875" style="386" customWidth="1"/>
    <col min="8970" max="8971" width="7.85546875" style="386" customWidth="1"/>
    <col min="8972" max="8972" width="14.7109375" style="386" customWidth="1"/>
    <col min="8973" max="9206" width="9.140625" style="386"/>
    <col min="9207" max="9207" width="2.85546875" style="386" customWidth="1"/>
    <col min="9208" max="9208" width="21.5703125" style="386" customWidth="1"/>
    <col min="9209" max="9209" width="2.140625" style="386" customWidth="1"/>
    <col min="9210" max="9210" width="7.85546875" style="386" customWidth="1"/>
    <col min="9211" max="9211" width="2.140625" style="386" customWidth="1"/>
    <col min="9212" max="9212" width="12.7109375" style="386" customWidth="1"/>
    <col min="9213" max="9213" width="2.140625" style="386" customWidth="1"/>
    <col min="9214" max="9214" width="12.7109375" style="386" customWidth="1"/>
    <col min="9215" max="9215" width="2.140625" style="386" customWidth="1"/>
    <col min="9216" max="9216" width="23.5703125" style="386" customWidth="1"/>
    <col min="9217" max="9217" width="2.140625" style="386" customWidth="1"/>
    <col min="9218" max="9218" width="7.140625" style="386" customWidth="1"/>
    <col min="9219" max="9219" width="2.140625" style="386" customWidth="1"/>
    <col min="9220" max="9220" width="12.7109375" style="386" customWidth="1"/>
    <col min="9221" max="9221" width="2.140625" style="386" customWidth="1"/>
    <col min="9222" max="9222" width="12.7109375" style="386" customWidth="1"/>
    <col min="9223" max="9223" width="1.85546875" style="386" customWidth="1"/>
    <col min="9224" max="9225" width="5.85546875" style="386" customWidth="1"/>
    <col min="9226" max="9227" width="7.85546875" style="386" customWidth="1"/>
    <col min="9228" max="9228" width="14.7109375" style="386" customWidth="1"/>
    <col min="9229" max="9462" width="9.140625" style="386"/>
    <col min="9463" max="9463" width="2.85546875" style="386" customWidth="1"/>
    <col min="9464" max="9464" width="21.5703125" style="386" customWidth="1"/>
    <col min="9465" max="9465" width="2.140625" style="386" customWidth="1"/>
    <col min="9466" max="9466" width="7.85546875" style="386" customWidth="1"/>
    <col min="9467" max="9467" width="2.140625" style="386" customWidth="1"/>
    <col min="9468" max="9468" width="12.7109375" style="386" customWidth="1"/>
    <col min="9469" max="9469" width="2.140625" style="386" customWidth="1"/>
    <col min="9470" max="9470" width="12.7109375" style="386" customWidth="1"/>
    <col min="9471" max="9471" width="2.140625" style="386" customWidth="1"/>
    <col min="9472" max="9472" width="23.5703125" style="386" customWidth="1"/>
    <col min="9473" max="9473" width="2.140625" style="386" customWidth="1"/>
    <col min="9474" max="9474" width="7.140625" style="386" customWidth="1"/>
    <col min="9475" max="9475" width="2.140625" style="386" customWidth="1"/>
    <col min="9476" max="9476" width="12.7109375" style="386" customWidth="1"/>
    <col min="9477" max="9477" width="2.140625" style="386" customWidth="1"/>
    <col min="9478" max="9478" width="12.7109375" style="386" customWidth="1"/>
    <col min="9479" max="9479" width="1.85546875" style="386" customWidth="1"/>
    <col min="9480" max="9481" width="5.85546875" style="386" customWidth="1"/>
    <col min="9482" max="9483" width="7.85546875" style="386" customWidth="1"/>
    <col min="9484" max="9484" width="14.7109375" style="386" customWidth="1"/>
    <col min="9485" max="9718" width="9.140625" style="386"/>
    <col min="9719" max="9719" width="2.85546875" style="386" customWidth="1"/>
    <col min="9720" max="9720" width="21.5703125" style="386" customWidth="1"/>
    <col min="9721" max="9721" width="2.140625" style="386" customWidth="1"/>
    <col min="9722" max="9722" width="7.85546875" style="386" customWidth="1"/>
    <col min="9723" max="9723" width="2.140625" style="386" customWidth="1"/>
    <col min="9724" max="9724" width="12.7109375" style="386" customWidth="1"/>
    <col min="9725" max="9725" width="2.140625" style="386" customWidth="1"/>
    <col min="9726" max="9726" width="12.7109375" style="386" customWidth="1"/>
    <col min="9727" max="9727" width="2.140625" style="386" customWidth="1"/>
    <col min="9728" max="9728" width="23.5703125" style="386" customWidth="1"/>
    <col min="9729" max="9729" width="2.140625" style="386" customWidth="1"/>
    <col min="9730" max="9730" width="7.140625" style="386" customWidth="1"/>
    <col min="9731" max="9731" width="2.140625" style="386" customWidth="1"/>
    <col min="9732" max="9732" width="12.7109375" style="386" customWidth="1"/>
    <col min="9733" max="9733" width="2.140625" style="386" customWidth="1"/>
    <col min="9734" max="9734" width="12.7109375" style="386" customWidth="1"/>
    <col min="9735" max="9735" width="1.85546875" style="386" customWidth="1"/>
    <col min="9736" max="9737" width="5.85546875" style="386" customWidth="1"/>
    <col min="9738" max="9739" width="7.85546875" style="386" customWidth="1"/>
    <col min="9740" max="9740" width="14.7109375" style="386" customWidth="1"/>
    <col min="9741" max="9974" width="9.140625" style="386"/>
    <col min="9975" max="9975" width="2.85546875" style="386" customWidth="1"/>
    <col min="9976" max="9976" width="21.5703125" style="386" customWidth="1"/>
    <col min="9977" max="9977" width="2.140625" style="386" customWidth="1"/>
    <col min="9978" max="9978" width="7.85546875" style="386" customWidth="1"/>
    <col min="9979" max="9979" width="2.140625" style="386" customWidth="1"/>
    <col min="9980" max="9980" width="12.7109375" style="386" customWidth="1"/>
    <col min="9981" max="9981" width="2.140625" style="386" customWidth="1"/>
    <col min="9982" max="9982" width="12.7109375" style="386" customWidth="1"/>
    <col min="9983" max="9983" width="2.140625" style="386" customWidth="1"/>
    <col min="9984" max="9984" width="23.5703125" style="386" customWidth="1"/>
    <col min="9985" max="9985" width="2.140625" style="386" customWidth="1"/>
    <col min="9986" max="9986" width="7.140625" style="386" customWidth="1"/>
    <col min="9987" max="9987" width="2.140625" style="386" customWidth="1"/>
    <col min="9988" max="9988" width="12.7109375" style="386" customWidth="1"/>
    <col min="9989" max="9989" width="2.140625" style="386" customWidth="1"/>
    <col min="9990" max="9990" width="12.7109375" style="386" customWidth="1"/>
    <col min="9991" max="9991" width="1.85546875" style="386" customWidth="1"/>
    <col min="9992" max="9993" width="5.85546875" style="386" customWidth="1"/>
    <col min="9994" max="9995" width="7.85546875" style="386" customWidth="1"/>
    <col min="9996" max="9996" width="14.7109375" style="386" customWidth="1"/>
    <col min="9997" max="10230" width="9.140625" style="386"/>
    <col min="10231" max="10231" width="2.85546875" style="386" customWidth="1"/>
    <col min="10232" max="10232" width="21.5703125" style="386" customWidth="1"/>
    <col min="10233" max="10233" width="2.140625" style="386" customWidth="1"/>
    <col min="10234" max="10234" width="7.85546875" style="386" customWidth="1"/>
    <col min="10235" max="10235" width="2.140625" style="386" customWidth="1"/>
    <col min="10236" max="10236" width="12.7109375" style="386" customWidth="1"/>
    <col min="10237" max="10237" width="2.140625" style="386" customWidth="1"/>
    <col min="10238" max="10238" width="12.7109375" style="386" customWidth="1"/>
    <col min="10239" max="10239" width="2.140625" style="386" customWidth="1"/>
    <col min="10240" max="10240" width="23.5703125" style="386" customWidth="1"/>
    <col min="10241" max="10241" width="2.140625" style="386" customWidth="1"/>
    <col min="10242" max="10242" width="7.140625" style="386" customWidth="1"/>
    <col min="10243" max="10243" width="2.140625" style="386" customWidth="1"/>
    <col min="10244" max="10244" width="12.7109375" style="386" customWidth="1"/>
    <col min="10245" max="10245" width="2.140625" style="386" customWidth="1"/>
    <col min="10246" max="10246" width="12.7109375" style="386" customWidth="1"/>
    <col min="10247" max="10247" width="1.85546875" style="386" customWidth="1"/>
    <col min="10248" max="10249" width="5.85546875" style="386" customWidth="1"/>
    <col min="10250" max="10251" width="7.85546875" style="386" customWidth="1"/>
    <col min="10252" max="10252" width="14.7109375" style="386" customWidth="1"/>
    <col min="10253" max="10486" width="9.140625" style="386"/>
    <col min="10487" max="10487" width="2.85546875" style="386" customWidth="1"/>
    <col min="10488" max="10488" width="21.5703125" style="386" customWidth="1"/>
    <col min="10489" max="10489" width="2.140625" style="386" customWidth="1"/>
    <col min="10490" max="10490" width="7.85546875" style="386" customWidth="1"/>
    <col min="10491" max="10491" width="2.140625" style="386" customWidth="1"/>
    <col min="10492" max="10492" width="12.7109375" style="386" customWidth="1"/>
    <col min="10493" max="10493" width="2.140625" style="386" customWidth="1"/>
    <col min="10494" max="10494" width="12.7109375" style="386" customWidth="1"/>
    <col min="10495" max="10495" width="2.140625" style="386" customWidth="1"/>
    <col min="10496" max="10496" width="23.5703125" style="386" customWidth="1"/>
    <col min="10497" max="10497" width="2.140625" style="386" customWidth="1"/>
    <col min="10498" max="10498" width="7.140625" style="386" customWidth="1"/>
    <col min="10499" max="10499" width="2.140625" style="386" customWidth="1"/>
    <col min="10500" max="10500" width="12.7109375" style="386" customWidth="1"/>
    <col min="10501" max="10501" width="2.140625" style="386" customWidth="1"/>
    <col min="10502" max="10502" width="12.7109375" style="386" customWidth="1"/>
    <col min="10503" max="10503" width="1.85546875" style="386" customWidth="1"/>
    <col min="10504" max="10505" width="5.85546875" style="386" customWidth="1"/>
    <col min="10506" max="10507" width="7.85546875" style="386" customWidth="1"/>
    <col min="10508" max="10508" width="14.7109375" style="386" customWidth="1"/>
    <col min="10509" max="10742" width="9.140625" style="386"/>
    <col min="10743" max="10743" width="2.85546875" style="386" customWidth="1"/>
    <col min="10744" max="10744" width="21.5703125" style="386" customWidth="1"/>
    <col min="10745" max="10745" width="2.140625" style="386" customWidth="1"/>
    <col min="10746" max="10746" width="7.85546875" style="386" customWidth="1"/>
    <col min="10747" max="10747" width="2.140625" style="386" customWidth="1"/>
    <col min="10748" max="10748" width="12.7109375" style="386" customWidth="1"/>
    <col min="10749" max="10749" width="2.140625" style="386" customWidth="1"/>
    <col min="10750" max="10750" width="12.7109375" style="386" customWidth="1"/>
    <col min="10751" max="10751" width="2.140625" style="386" customWidth="1"/>
    <col min="10752" max="10752" width="23.5703125" style="386" customWidth="1"/>
    <col min="10753" max="10753" width="2.140625" style="386" customWidth="1"/>
    <col min="10754" max="10754" width="7.140625" style="386" customWidth="1"/>
    <col min="10755" max="10755" width="2.140625" style="386" customWidth="1"/>
    <col min="10756" max="10756" width="12.7109375" style="386" customWidth="1"/>
    <col min="10757" max="10757" width="2.140625" style="386" customWidth="1"/>
    <col min="10758" max="10758" width="12.7109375" style="386" customWidth="1"/>
    <col min="10759" max="10759" width="1.85546875" style="386" customWidth="1"/>
    <col min="10760" max="10761" width="5.85546875" style="386" customWidth="1"/>
    <col min="10762" max="10763" width="7.85546875" style="386" customWidth="1"/>
    <col min="10764" max="10764" width="14.7109375" style="386" customWidth="1"/>
    <col min="10765" max="10998" width="9.140625" style="386"/>
    <col min="10999" max="10999" width="2.85546875" style="386" customWidth="1"/>
    <col min="11000" max="11000" width="21.5703125" style="386" customWidth="1"/>
    <col min="11001" max="11001" width="2.140625" style="386" customWidth="1"/>
    <col min="11002" max="11002" width="7.85546875" style="386" customWidth="1"/>
    <col min="11003" max="11003" width="2.140625" style="386" customWidth="1"/>
    <col min="11004" max="11004" width="12.7109375" style="386" customWidth="1"/>
    <col min="11005" max="11005" width="2.140625" style="386" customWidth="1"/>
    <col min="11006" max="11006" width="12.7109375" style="386" customWidth="1"/>
    <col min="11007" max="11007" width="2.140625" style="386" customWidth="1"/>
    <col min="11008" max="11008" width="23.5703125" style="386" customWidth="1"/>
    <col min="11009" max="11009" width="2.140625" style="386" customWidth="1"/>
    <col min="11010" max="11010" width="7.140625" style="386" customWidth="1"/>
    <col min="11011" max="11011" width="2.140625" style="386" customWidth="1"/>
    <col min="11012" max="11012" width="12.7109375" style="386" customWidth="1"/>
    <col min="11013" max="11013" width="2.140625" style="386" customWidth="1"/>
    <col min="11014" max="11014" width="12.7109375" style="386" customWidth="1"/>
    <col min="11015" max="11015" width="1.85546875" style="386" customWidth="1"/>
    <col min="11016" max="11017" width="5.85546875" style="386" customWidth="1"/>
    <col min="11018" max="11019" width="7.85546875" style="386" customWidth="1"/>
    <col min="11020" max="11020" width="14.7109375" style="386" customWidth="1"/>
    <col min="11021" max="11254" width="9.140625" style="386"/>
    <col min="11255" max="11255" width="2.85546875" style="386" customWidth="1"/>
    <col min="11256" max="11256" width="21.5703125" style="386" customWidth="1"/>
    <col min="11257" max="11257" width="2.140625" style="386" customWidth="1"/>
    <col min="11258" max="11258" width="7.85546875" style="386" customWidth="1"/>
    <col min="11259" max="11259" width="2.140625" style="386" customWidth="1"/>
    <col min="11260" max="11260" width="12.7109375" style="386" customWidth="1"/>
    <col min="11261" max="11261" width="2.140625" style="386" customWidth="1"/>
    <col min="11262" max="11262" width="12.7109375" style="386" customWidth="1"/>
    <col min="11263" max="11263" width="2.140625" style="386" customWidth="1"/>
    <col min="11264" max="11264" width="23.5703125" style="386" customWidth="1"/>
    <col min="11265" max="11265" width="2.140625" style="386" customWidth="1"/>
    <col min="11266" max="11266" width="7.140625" style="386" customWidth="1"/>
    <col min="11267" max="11267" width="2.140625" style="386" customWidth="1"/>
    <col min="11268" max="11268" width="12.7109375" style="386" customWidth="1"/>
    <col min="11269" max="11269" width="2.140625" style="386" customWidth="1"/>
    <col min="11270" max="11270" width="12.7109375" style="386" customWidth="1"/>
    <col min="11271" max="11271" width="1.85546875" style="386" customWidth="1"/>
    <col min="11272" max="11273" width="5.85546875" style="386" customWidth="1"/>
    <col min="11274" max="11275" width="7.85546875" style="386" customWidth="1"/>
    <col min="11276" max="11276" width="14.7109375" style="386" customWidth="1"/>
    <col min="11277" max="11510" width="9.140625" style="386"/>
    <col min="11511" max="11511" width="2.85546875" style="386" customWidth="1"/>
    <col min="11512" max="11512" width="21.5703125" style="386" customWidth="1"/>
    <col min="11513" max="11513" width="2.140625" style="386" customWidth="1"/>
    <col min="11514" max="11514" width="7.85546875" style="386" customWidth="1"/>
    <col min="11515" max="11515" width="2.140625" style="386" customWidth="1"/>
    <col min="11516" max="11516" width="12.7109375" style="386" customWidth="1"/>
    <col min="11517" max="11517" width="2.140625" style="386" customWidth="1"/>
    <col min="11518" max="11518" width="12.7109375" style="386" customWidth="1"/>
    <col min="11519" max="11519" width="2.140625" style="386" customWidth="1"/>
    <col min="11520" max="11520" width="23.5703125" style="386" customWidth="1"/>
    <col min="11521" max="11521" width="2.140625" style="386" customWidth="1"/>
    <col min="11522" max="11522" width="7.140625" style="386" customWidth="1"/>
    <col min="11523" max="11523" width="2.140625" style="386" customWidth="1"/>
    <col min="11524" max="11524" width="12.7109375" style="386" customWidth="1"/>
    <col min="11525" max="11525" width="2.140625" style="386" customWidth="1"/>
    <col min="11526" max="11526" width="12.7109375" style="386" customWidth="1"/>
    <col min="11527" max="11527" width="1.85546875" style="386" customWidth="1"/>
    <col min="11528" max="11529" width="5.85546875" style="386" customWidth="1"/>
    <col min="11530" max="11531" width="7.85546875" style="386" customWidth="1"/>
    <col min="11532" max="11532" width="14.7109375" style="386" customWidth="1"/>
    <col min="11533" max="11766" width="9.140625" style="386"/>
    <col min="11767" max="11767" width="2.85546875" style="386" customWidth="1"/>
    <col min="11768" max="11768" width="21.5703125" style="386" customWidth="1"/>
    <col min="11769" max="11769" width="2.140625" style="386" customWidth="1"/>
    <col min="11770" max="11770" width="7.85546875" style="386" customWidth="1"/>
    <col min="11771" max="11771" width="2.140625" style="386" customWidth="1"/>
    <col min="11772" max="11772" width="12.7109375" style="386" customWidth="1"/>
    <col min="11773" max="11773" width="2.140625" style="386" customWidth="1"/>
    <col min="11774" max="11774" width="12.7109375" style="386" customWidth="1"/>
    <col min="11775" max="11775" width="2.140625" style="386" customWidth="1"/>
    <col min="11776" max="11776" width="23.5703125" style="386" customWidth="1"/>
    <col min="11777" max="11777" width="2.140625" style="386" customWidth="1"/>
    <col min="11778" max="11778" width="7.140625" style="386" customWidth="1"/>
    <col min="11779" max="11779" width="2.140625" style="386" customWidth="1"/>
    <col min="11780" max="11780" width="12.7109375" style="386" customWidth="1"/>
    <col min="11781" max="11781" width="2.140625" style="386" customWidth="1"/>
    <col min="11782" max="11782" width="12.7109375" style="386" customWidth="1"/>
    <col min="11783" max="11783" width="1.85546875" style="386" customWidth="1"/>
    <col min="11784" max="11785" width="5.85546875" style="386" customWidth="1"/>
    <col min="11786" max="11787" width="7.85546875" style="386" customWidth="1"/>
    <col min="11788" max="11788" width="14.7109375" style="386" customWidth="1"/>
    <col min="11789" max="12022" width="9.140625" style="386"/>
    <col min="12023" max="12023" width="2.85546875" style="386" customWidth="1"/>
    <col min="12024" max="12024" width="21.5703125" style="386" customWidth="1"/>
    <col min="12025" max="12025" width="2.140625" style="386" customWidth="1"/>
    <col min="12026" max="12026" width="7.85546875" style="386" customWidth="1"/>
    <col min="12027" max="12027" width="2.140625" style="386" customWidth="1"/>
    <col min="12028" max="12028" width="12.7109375" style="386" customWidth="1"/>
    <col min="12029" max="12029" width="2.140625" style="386" customWidth="1"/>
    <col min="12030" max="12030" width="12.7109375" style="386" customWidth="1"/>
    <col min="12031" max="12031" width="2.140625" style="386" customWidth="1"/>
    <col min="12032" max="12032" width="23.5703125" style="386" customWidth="1"/>
    <col min="12033" max="12033" width="2.140625" style="386" customWidth="1"/>
    <col min="12034" max="12034" width="7.140625" style="386" customWidth="1"/>
    <col min="12035" max="12035" width="2.140625" style="386" customWidth="1"/>
    <col min="12036" max="12036" width="12.7109375" style="386" customWidth="1"/>
    <col min="12037" max="12037" width="2.140625" style="386" customWidth="1"/>
    <col min="12038" max="12038" width="12.7109375" style="386" customWidth="1"/>
    <col min="12039" max="12039" width="1.85546875" style="386" customWidth="1"/>
    <col min="12040" max="12041" width="5.85546875" style="386" customWidth="1"/>
    <col min="12042" max="12043" width="7.85546875" style="386" customWidth="1"/>
    <col min="12044" max="12044" width="14.7109375" style="386" customWidth="1"/>
    <col min="12045" max="12278" width="9.140625" style="386"/>
    <col min="12279" max="12279" width="2.85546875" style="386" customWidth="1"/>
    <col min="12280" max="12280" width="21.5703125" style="386" customWidth="1"/>
    <col min="12281" max="12281" width="2.140625" style="386" customWidth="1"/>
    <col min="12282" max="12282" width="7.85546875" style="386" customWidth="1"/>
    <col min="12283" max="12283" width="2.140625" style="386" customWidth="1"/>
    <col min="12284" max="12284" width="12.7109375" style="386" customWidth="1"/>
    <col min="12285" max="12285" width="2.140625" style="386" customWidth="1"/>
    <col min="12286" max="12286" width="12.7109375" style="386" customWidth="1"/>
    <col min="12287" max="12287" width="2.140625" style="386" customWidth="1"/>
    <col min="12288" max="12288" width="23.5703125" style="386" customWidth="1"/>
    <col min="12289" max="12289" width="2.140625" style="386" customWidth="1"/>
    <col min="12290" max="12290" width="7.140625" style="386" customWidth="1"/>
    <col min="12291" max="12291" width="2.140625" style="386" customWidth="1"/>
    <col min="12292" max="12292" width="12.7109375" style="386" customWidth="1"/>
    <col min="12293" max="12293" width="2.140625" style="386" customWidth="1"/>
    <col min="12294" max="12294" width="12.7109375" style="386" customWidth="1"/>
    <col min="12295" max="12295" width="1.85546875" style="386" customWidth="1"/>
    <col min="12296" max="12297" width="5.85546875" style="386" customWidth="1"/>
    <col min="12298" max="12299" width="7.85546875" style="386" customWidth="1"/>
    <col min="12300" max="12300" width="14.7109375" style="386" customWidth="1"/>
    <col min="12301" max="12534" width="9.140625" style="386"/>
    <col min="12535" max="12535" width="2.85546875" style="386" customWidth="1"/>
    <col min="12536" max="12536" width="21.5703125" style="386" customWidth="1"/>
    <col min="12537" max="12537" width="2.140625" style="386" customWidth="1"/>
    <col min="12538" max="12538" width="7.85546875" style="386" customWidth="1"/>
    <col min="12539" max="12539" width="2.140625" style="386" customWidth="1"/>
    <col min="12540" max="12540" width="12.7109375" style="386" customWidth="1"/>
    <col min="12541" max="12541" width="2.140625" style="386" customWidth="1"/>
    <col min="12542" max="12542" width="12.7109375" style="386" customWidth="1"/>
    <col min="12543" max="12543" width="2.140625" style="386" customWidth="1"/>
    <col min="12544" max="12544" width="23.5703125" style="386" customWidth="1"/>
    <col min="12545" max="12545" width="2.140625" style="386" customWidth="1"/>
    <col min="12546" max="12546" width="7.140625" style="386" customWidth="1"/>
    <col min="12547" max="12547" width="2.140625" style="386" customWidth="1"/>
    <col min="12548" max="12548" width="12.7109375" style="386" customWidth="1"/>
    <col min="12549" max="12549" width="2.140625" style="386" customWidth="1"/>
    <col min="12550" max="12550" width="12.7109375" style="386" customWidth="1"/>
    <col min="12551" max="12551" width="1.85546875" style="386" customWidth="1"/>
    <col min="12552" max="12553" width="5.85546875" style="386" customWidth="1"/>
    <col min="12554" max="12555" width="7.85546875" style="386" customWidth="1"/>
    <col min="12556" max="12556" width="14.7109375" style="386" customWidth="1"/>
    <col min="12557" max="12790" width="9.140625" style="386"/>
    <col min="12791" max="12791" width="2.85546875" style="386" customWidth="1"/>
    <col min="12792" max="12792" width="21.5703125" style="386" customWidth="1"/>
    <col min="12793" max="12793" width="2.140625" style="386" customWidth="1"/>
    <col min="12794" max="12794" width="7.85546875" style="386" customWidth="1"/>
    <col min="12795" max="12795" width="2.140625" style="386" customWidth="1"/>
    <col min="12796" max="12796" width="12.7109375" style="386" customWidth="1"/>
    <col min="12797" max="12797" width="2.140625" style="386" customWidth="1"/>
    <col min="12798" max="12798" width="12.7109375" style="386" customWidth="1"/>
    <col min="12799" max="12799" width="2.140625" style="386" customWidth="1"/>
    <col min="12800" max="12800" width="23.5703125" style="386" customWidth="1"/>
    <col min="12801" max="12801" width="2.140625" style="386" customWidth="1"/>
    <col min="12802" max="12802" width="7.140625" style="386" customWidth="1"/>
    <col min="12803" max="12803" width="2.140625" style="386" customWidth="1"/>
    <col min="12804" max="12804" width="12.7109375" style="386" customWidth="1"/>
    <col min="12805" max="12805" width="2.140625" style="386" customWidth="1"/>
    <col min="12806" max="12806" width="12.7109375" style="386" customWidth="1"/>
    <col min="12807" max="12807" width="1.85546875" style="386" customWidth="1"/>
    <col min="12808" max="12809" width="5.85546875" style="386" customWidth="1"/>
    <col min="12810" max="12811" width="7.85546875" style="386" customWidth="1"/>
    <col min="12812" max="12812" width="14.7109375" style="386" customWidth="1"/>
    <col min="12813" max="13046" width="9.140625" style="386"/>
    <col min="13047" max="13047" width="2.85546875" style="386" customWidth="1"/>
    <col min="13048" max="13048" width="21.5703125" style="386" customWidth="1"/>
    <col min="13049" max="13049" width="2.140625" style="386" customWidth="1"/>
    <col min="13050" max="13050" width="7.85546875" style="386" customWidth="1"/>
    <col min="13051" max="13051" width="2.140625" style="386" customWidth="1"/>
    <col min="13052" max="13052" width="12.7109375" style="386" customWidth="1"/>
    <col min="13053" max="13053" width="2.140625" style="386" customWidth="1"/>
    <col min="13054" max="13054" width="12.7109375" style="386" customWidth="1"/>
    <col min="13055" max="13055" width="2.140625" style="386" customWidth="1"/>
    <col min="13056" max="13056" width="23.5703125" style="386" customWidth="1"/>
    <col min="13057" max="13057" width="2.140625" style="386" customWidth="1"/>
    <col min="13058" max="13058" width="7.140625" style="386" customWidth="1"/>
    <col min="13059" max="13059" width="2.140625" style="386" customWidth="1"/>
    <col min="13060" max="13060" width="12.7109375" style="386" customWidth="1"/>
    <col min="13061" max="13061" width="2.140625" style="386" customWidth="1"/>
    <col min="13062" max="13062" width="12.7109375" style="386" customWidth="1"/>
    <col min="13063" max="13063" width="1.85546875" style="386" customWidth="1"/>
    <col min="13064" max="13065" width="5.85546875" style="386" customWidth="1"/>
    <col min="13066" max="13067" width="7.85546875" style="386" customWidth="1"/>
    <col min="13068" max="13068" width="14.7109375" style="386" customWidth="1"/>
    <col min="13069" max="13302" width="9.140625" style="386"/>
    <col min="13303" max="13303" width="2.85546875" style="386" customWidth="1"/>
    <col min="13304" max="13304" width="21.5703125" style="386" customWidth="1"/>
    <col min="13305" max="13305" width="2.140625" style="386" customWidth="1"/>
    <col min="13306" max="13306" width="7.85546875" style="386" customWidth="1"/>
    <col min="13307" max="13307" width="2.140625" style="386" customWidth="1"/>
    <col min="13308" max="13308" width="12.7109375" style="386" customWidth="1"/>
    <col min="13309" max="13309" width="2.140625" style="386" customWidth="1"/>
    <col min="13310" max="13310" width="12.7109375" style="386" customWidth="1"/>
    <col min="13311" max="13311" width="2.140625" style="386" customWidth="1"/>
    <col min="13312" max="13312" width="23.5703125" style="386" customWidth="1"/>
    <col min="13313" max="13313" width="2.140625" style="386" customWidth="1"/>
    <col min="13314" max="13314" width="7.140625" style="386" customWidth="1"/>
    <col min="13315" max="13315" width="2.140625" style="386" customWidth="1"/>
    <col min="13316" max="13316" width="12.7109375" style="386" customWidth="1"/>
    <col min="13317" max="13317" width="2.140625" style="386" customWidth="1"/>
    <col min="13318" max="13318" width="12.7109375" style="386" customWidth="1"/>
    <col min="13319" max="13319" width="1.85546875" style="386" customWidth="1"/>
    <col min="13320" max="13321" width="5.85546875" style="386" customWidth="1"/>
    <col min="13322" max="13323" width="7.85546875" style="386" customWidth="1"/>
    <col min="13324" max="13324" width="14.7109375" style="386" customWidth="1"/>
    <col min="13325" max="13558" width="9.140625" style="386"/>
    <col min="13559" max="13559" width="2.85546875" style="386" customWidth="1"/>
    <col min="13560" max="13560" width="21.5703125" style="386" customWidth="1"/>
    <col min="13561" max="13561" width="2.140625" style="386" customWidth="1"/>
    <col min="13562" max="13562" width="7.85546875" style="386" customWidth="1"/>
    <col min="13563" max="13563" width="2.140625" style="386" customWidth="1"/>
    <col min="13564" max="13564" width="12.7109375" style="386" customWidth="1"/>
    <col min="13565" max="13565" width="2.140625" style="386" customWidth="1"/>
    <col min="13566" max="13566" width="12.7109375" style="386" customWidth="1"/>
    <col min="13567" max="13567" width="2.140625" style="386" customWidth="1"/>
    <col min="13568" max="13568" width="23.5703125" style="386" customWidth="1"/>
    <col min="13569" max="13569" width="2.140625" style="386" customWidth="1"/>
    <col min="13570" max="13570" width="7.140625" style="386" customWidth="1"/>
    <col min="13571" max="13571" width="2.140625" style="386" customWidth="1"/>
    <col min="13572" max="13572" width="12.7109375" style="386" customWidth="1"/>
    <col min="13573" max="13573" width="2.140625" style="386" customWidth="1"/>
    <col min="13574" max="13574" width="12.7109375" style="386" customWidth="1"/>
    <col min="13575" max="13575" width="1.85546875" style="386" customWidth="1"/>
    <col min="13576" max="13577" width="5.85546875" style="386" customWidth="1"/>
    <col min="13578" max="13579" width="7.85546875" style="386" customWidth="1"/>
    <col min="13580" max="13580" width="14.7109375" style="386" customWidth="1"/>
    <col min="13581" max="13814" width="9.140625" style="386"/>
    <col min="13815" max="13815" width="2.85546875" style="386" customWidth="1"/>
    <col min="13816" max="13816" width="21.5703125" style="386" customWidth="1"/>
    <col min="13817" max="13817" width="2.140625" style="386" customWidth="1"/>
    <col min="13818" max="13818" width="7.85546875" style="386" customWidth="1"/>
    <col min="13819" max="13819" width="2.140625" style="386" customWidth="1"/>
    <col min="13820" max="13820" width="12.7109375" style="386" customWidth="1"/>
    <col min="13821" max="13821" width="2.140625" style="386" customWidth="1"/>
    <col min="13822" max="13822" width="12.7109375" style="386" customWidth="1"/>
    <col min="13823" max="13823" width="2.140625" style="386" customWidth="1"/>
    <col min="13824" max="13824" width="23.5703125" style="386" customWidth="1"/>
    <col min="13825" max="13825" width="2.140625" style="386" customWidth="1"/>
    <col min="13826" max="13826" width="7.140625" style="386" customWidth="1"/>
    <col min="13827" max="13827" width="2.140625" style="386" customWidth="1"/>
    <col min="13828" max="13828" width="12.7109375" style="386" customWidth="1"/>
    <col min="13829" max="13829" width="2.140625" style="386" customWidth="1"/>
    <col min="13830" max="13830" width="12.7109375" style="386" customWidth="1"/>
    <col min="13831" max="13831" width="1.85546875" style="386" customWidth="1"/>
    <col min="13832" max="13833" width="5.85546875" style="386" customWidth="1"/>
    <col min="13834" max="13835" width="7.85546875" style="386" customWidth="1"/>
    <col min="13836" max="13836" width="14.7109375" style="386" customWidth="1"/>
    <col min="13837" max="14070" width="9.140625" style="386"/>
    <col min="14071" max="14071" width="2.85546875" style="386" customWidth="1"/>
    <col min="14072" max="14072" width="21.5703125" style="386" customWidth="1"/>
    <col min="14073" max="14073" width="2.140625" style="386" customWidth="1"/>
    <col min="14074" max="14074" width="7.85546875" style="386" customWidth="1"/>
    <col min="14075" max="14075" width="2.140625" style="386" customWidth="1"/>
    <col min="14076" max="14076" width="12.7109375" style="386" customWidth="1"/>
    <col min="14077" max="14077" width="2.140625" style="386" customWidth="1"/>
    <col min="14078" max="14078" width="12.7109375" style="386" customWidth="1"/>
    <col min="14079" max="14079" width="2.140625" style="386" customWidth="1"/>
    <col min="14080" max="14080" width="23.5703125" style="386" customWidth="1"/>
    <col min="14081" max="14081" width="2.140625" style="386" customWidth="1"/>
    <col min="14082" max="14082" width="7.140625" style="386" customWidth="1"/>
    <col min="14083" max="14083" width="2.140625" style="386" customWidth="1"/>
    <col min="14084" max="14084" width="12.7109375" style="386" customWidth="1"/>
    <col min="14085" max="14085" width="2.140625" style="386" customWidth="1"/>
    <col min="14086" max="14086" width="12.7109375" style="386" customWidth="1"/>
    <col min="14087" max="14087" width="1.85546875" style="386" customWidth="1"/>
    <col min="14088" max="14089" width="5.85546875" style="386" customWidth="1"/>
    <col min="14090" max="14091" width="7.85546875" style="386" customWidth="1"/>
    <col min="14092" max="14092" width="14.7109375" style="386" customWidth="1"/>
    <col min="14093" max="14326" width="9.140625" style="386"/>
    <col min="14327" max="14327" width="2.85546875" style="386" customWidth="1"/>
    <col min="14328" max="14328" width="21.5703125" style="386" customWidth="1"/>
    <col min="14329" max="14329" width="2.140625" style="386" customWidth="1"/>
    <col min="14330" max="14330" width="7.85546875" style="386" customWidth="1"/>
    <col min="14331" max="14331" width="2.140625" style="386" customWidth="1"/>
    <col min="14332" max="14332" width="12.7109375" style="386" customWidth="1"/>
    <col min="14333" max="14333" width="2.140625" style="386" customWidth="1"/>
    <col min="14334" max="14334" width="12.7109375" style="386" customWidth="1"/>
    <col min="14335" max="14335" width="2.140625" style="386" customWidth="1"/>
    <col min="14336" max="14336" width="23.5703125" style="386" customWidth="1"/>
    <col min="14337" max="14337" width="2.140625" style="386" customWidth="1"/>
    <col min="14338" max="14338" width="7.140625" style="386" customWidth="1"/>
    <col min="14339" max="14339" width="2.140625" style="386" customWidth="1"/>
    <col min="14340" max="14340" width="12.7109375" style="386" customWidth="1"/>
    <col min="14341" max="14341" width="2.140625" style="386" customWidth="1"/>
    <col min="14342" max="14342" width="12.7109375" style="386" customWidth="1"/>
    <col min="14343" max="14343" width="1.85546875" style="386" customWidth="1"/>
    <col min="14344" max="14345" width="5.85546875" style="386" customWidth="1"/>
    <col min="14346" max="14347" width="7.85546875" style="386" customWidth="1"/>
    <col min="14348" max="14348" width="14.7109375" style="386" customWidth="1"/>
    <col min="14349" max="14582" width="9.140625" style="386"/>
    <col min="14583" max="14583" width="2.85546875" style="386" customWidth="1"/>
    <col min="14584" max="14584" width="21.5703125" style="386" customWidth="1"/>
    <col min="14585" max="14585" width="2.140625" style="386" customWidth="1"/>
    <col min="14586" max="14586" width="7.85546875" style="386" customWidth="1"/>
    <col min="14587" max="14587" width="2.140625" style="386" customWidth="1"/>
    <col min="14588" max="14588" width="12.7109375" style="386" customWidth="1"/>
    <col min="14589" max="14589" width="2.140625" style="386" customWidth="1"/>
    <col min="14590" max="14590" width="12.7109375" style="386" customWidth="1"/>
    <col min="14591" max="14591" width="2.140625" style="386" customWidth="1"/>
    <col min="14592" max="14592" width="23.5703125" style="386" customWidth="1"/>
    <col min="14593" max="14593" width="2.140625" style="386" customWidth="1"/>
    <col min="14594" max="14594" width="7.140625" style="386" customWidth="1"/>
    <col min="14595" max="14595" width="2.140625" style="386" customWidth="1"/>
    <col min="14596" max="14596" width="12.7109375" style="386" customWidth="1"/>
    <col min="14597" max="14597" width="2.140625" style="386" customWidth="1"/>
    <col min="14598" max="14598" width="12.7109375" style="386" customWidth="1"/>
    <col min="14599" max="14599" width="1.85546875" style="386" customWidth="1"/>
    <col min="14600" max="14601" width="5.85546875" style="386" customWidth="1"/>
    <col min="14602" max="14603" width="7.85546875" style="386" customWidth="1"/>
    <col min="14604" max="14604" width="14.7109375" style="386" customWidth="1"/>
    <col min="14605" max="14838" width="9.140625" style="386"/>
    <col min="14839" max="14839" width="2.85546875" style="386" customWidth="1"/>
    <col min="14840" max="14840" width="21.5703125" style="386" customWidth="1"/>
    <col min="14841" max="14841" width="2.140625" style="386" customWidth="1"/>
    <col min="14842" max="14842" width="7.85546875" style="386" customWidth="1"/>
    <col min="14843" max="14843" width="2.140625" style="386" customWidth="1"/>
    <col min="14844" max="14844" width="12.7109375" style="386" customWidth="1"/>
    <col min="14845" max="14845" width="2.140625" style="386" customWidth="1"/>
    <col min="14846" max="14846" width="12.7109375" style="386" customWidth="1"/>
    <col min="14847" max="14847" width="2.140625" style="386" customWidth="1"/>
    <col min="14848" max="14848" width="23.5703125" style="386" customWidth="1"/>
    <col min="14849" max="14849" width="2.140625" style="386" customWidth="1"/>
    <col min="14850" max="14850" width="7.140625" style="386" customWidth="1"/>
    <col min="14851" max="14851" width="2.140625" style="386" customWidth="1"/>
    <col min="14852" max="14852" width="12.7109375" style="386" customWidth="1"/>
    <col min="14853" max="14853" width="2.140625" style="386" customWidth="1"/>
    <col min="14854" max="14854" width="12.7109375" style="386" customWidth="1"/>
    <col min="14855" max="14855" width="1.85546875" style="386" customWidth="1"/>
    <col min="14856" max="14857" width="5.85546875" style="386" customWidth="1"/>
    <col min="14858" max="14859" width="7.85546875" style="386" customWidth="1"/>
    <col min="14860" max="14860" width="14.7109375" style="386" customWidth="1"/>
    <col min="14861" max="15094" width="9.140625" style="386"/>
    <col min="15095" max="15095" width="2.85546875" style="386" customWidth="1"/>
    <col min="15096" max="15096" width="21.5703125" style="386" customWidth="1"/>
    <col min="15097" max="15097" width="2.140625" style="386" customWidth="1"/>
    <col min="15098" max="15098" width="7.85546875" style="386" customWidth="1"/>
    <col min="15099" max="15099" width="2.140625" style="386" customWidth="1"/>
    <col min="15100" max="15100" width="12.7109375" style="386" customWidth="1"/>
    <col min="15101" max="15101" width="2.140625" style="386" customWidth="1"/>
    <col min="15102" max="15102" width="12.7109375" style="386" customWidth="1"/>
    <col min="15103" max="15103" width="2.140625" style="386" customWidth="1"/>
    <col min="15104" max="15104" width="23.5703125" style="386" customWidth="1"/>
    <col min="15105" max="15105" width="2.140625" style="386" customWidth="1"/>
    <col min="15106" max="15106" width="7.140625" style="386" customWidth="1"/>
    <col min="15107" max="15107" width="2.140625" style="386" customWidth="1"/>
    <col min="15108" max="15108" width="12.7109375" style="386" customWidth="1"/>
    <col min="15109" max="15109" width="2.140625" style="386" customWidth="1"/>
    <col min="15110" max="15110" width="12.7109375" style="386" customWidth="1"/>
    <col min="15111" max="15111" width="1.85546875" style="386" customWidth="1"/>
    <col min="15112" max="15113" width="5.85546875" style="386" customWidth="1"/>
    <col min="15114" max="15115" width="7.85546875" style="386" customWidth="1"/>
    <col min="15116" max="15116" width="14.7109375" style="386" customWidth="1"/>
    <col min="15117" max="15350" width="9.140625" style="386"/>
    <col min="15351" max="15351" width="2.85546875" style="386" customWidth="1"/>
    <col min="15352" max="15352" width="21.5703125" style="386" customWidth="1"/>
    <col min="15353" max="15353" width="2.140625" style="386" customWidth="1"/>
    <col min="15354" max="15354" width="7.85546875" style="386" customWidth="1"/>
    <col min="15355" max="15355" width="2.140625" style="386" customWidth="1"/>
    <col min="15356" max="15356" width="12.7109375" style="386" customWidth="1"/>
    <col min="15357" max="15357" width="2.140625" style="386" customWidth="1"/>
    <col min="15358" max="15358" width="12.7109375" style="386" customWidth="1"/>
    <col min="15359" max="15359" width="2.140625" style="386" customWidth="1"/>
    <col min="15360" max="15360" width="23.5703125" style="386" customWidth="1"/>
    <col min="15361" max="15361" width="2.140625" style="386" customWidth="1"/>
    <col min="15362" max="15362" width="7.140625" style="386" customWidth="1"/>
    <col min="15363" max="15363" width="2.140625" style="386" customWidth="1"/>
    <col min="15364" max="15364" width="12.7109375" style="386" customWidth="1"/>
    <col min="15365" max="15365" width="2.140625" style="386" customWidth="1"/>
    <col min="15366" max="15366" width="12.7109375" style="386" customWidth="1"/>
    <col min="15367" max="15367" width="1.85546875" style="386" customWidth="1"/>
    <col min="15368" max="15369" width="5.85546875" style="386" customWidth="1"/>
    <col min="15370" max="15371" width="7.85546875" style="386" customWidth="1"/>
    <col min="15372" max="15372" width="14.7109375" style="386" customWidth="1"/>
    <col min="15373" max="15606" width="9.140625" style="386"/>
    <col min="15607" max="15607" width="2.85546875" style="386" customWidth="1"/>
    <col min="15608" max="15608" width="21.5703125" style="386" customWidth="1"/>
    <col min="15609" max="15609" width="2.140625" style="386" customWidth="1"/>
    <col min="15610" max="15610" width="7.85546875" style="386" customWidth="1"/>
    <col min="15611" max="15611" width="2.140625" style="386" customWidth="1"/>
    <col min="15612" max="15612" width="12.7109375" style="386" customWidth="1"/>
    <col min="15613" max="15613" width="2.140625" style="386" customWidth="1"/>
    <col min="15614" max="15614" width="12.7109375" style="386" customWidth="1"/>
    <col min="15615" max="15615" width="2.140625" style="386" customWidth="1"/>
    <col min="15616" max="15616" width="23.5703125" style="386" customWidth="1"/>
    <col min="15617" max="15617" width="2.140625" style="386" customWidth="1"/>
    <col min="15618" max="15618" width="7.140625" style="386" customWidth="1"/>
    <col min="15619" max="15619" width="2.140625" style="386" customWidth="1"/>
    <col min="15620" max="15620" width="12.7109375" style="386" customWidth="1"/>
    <col min="15621" max="15621" width="2.140625" style="386" customWidth="1"/>
    <col min="15622" max="15622" width="12.7109375" style="386" customWidth="1"/>
    <col min="15623" max="15623" width="1.85546875" style="386" customWidth="1"/>
    <col min="15624" max="15625" width="5.85546875" style="386" customWidth="1"/>
    <col min="15626" max="15627" width="7.85546875" style="386" customWidth="1"/>
    <col min="15628" max="15628" width="14.7109375" style="386" customWidth="1"/>
    <col min="15629" max="15862" width="9.140625" style="386"/>
    <col min="15863" max="15863" width="2.85546875" style="386" customWidth="1"/>
    <col min="15864" max="15864" width="21.5703125" style="386" customWidth="1"/>
    <col min="15865" max="15865" width="2.140625" style="386" customWidth="1"/>
    <col min="15866" max="15866" width="7.85546875" style="386" customWidth="1"/>
    <col min="15867" max="15867" width="2.140625" style="386" customWidth="1"/>
    <col min="15868" max="15868" width="12.7109375" style="386" customWidth="1"/>
    <col min="15869" max="15869" width="2.140625" style="386" customWidth="1"/>
    <col min="15870" max="15870" width="12.7109375" style="386" customWidth="1"/>
    <col min="15871" max="15871" width="2.140625" style="386" customWidth="1"/>
    <col min="15872" max="15872" width="23.5703125" style="386" customWidth="1"/>
    <col min="15873" max="15873" width="2.140625" style="386" customWidth="1"/>
    <col min="15874" max="15874" width="7.140625" style="386" customWidth="1"/>
    <col min="15875" max="15875" width="2.140625" style="386" customWidth="1"/>
    <col min="15876" max="15876" width="12.7109375" style="386" customWidth="1"/>
    <col min="15877" max="15877" width="2.140625" style="386" customWidth="1"/>
    <col min="15878" max="15878" width="12.7109375" style="386" customWidth="1"/>
    <col min="15879" max="15879" width="1.85546875" style="386" customWidth="1"/>
    <col min="15880" max="15881" width="5.85546875" style="386" customWidth="1"/>
    <col min="15882" max="15883" width="7.85546875" style="386" customWidth="1"/>
    <col min="15884" max="15884" width="14.7109375" style="386" customWidth="1"/>
    <col min="15885" max="16118" width="9.140625" style="386"/>
    <col min="16119" max="16119" width="2.85546875" style="386" customWidth="1"/>
    <col min="16120" max="16120" width="21.5703125" style="386" customWidth="1"/>
    <col min="16121" max="16121" width="2.140625" style="386" customWidth="1"/>
    <col min="16122" max="16122" width="7.85546875" style="386" customWidth="1"/>
    <col min="16123" max="16123" width="2.140625" style="386" customWidth="1"/>
    <col min="16124" max="16124" width="12.7109375" style="386" customWidth="1"/>
    <col min="16125" max="16125" width="2.140625" style="386" customWidth="1"/>
    <col min="16126" max="16126" width="12.7109375" style="386" customWidth="1"/>
    <col min="16127" max="16127" width="2.140625" style="386" customWidth="1"/>
    <col min="16128" max="16128" width="23.5703125" style="386" customWidth="1"/>
    <col min="16129" max="16129" width="2.140625" style="386" customWidth="1"/>
    <col min="16130" max="16130" width="7.140625" style="386" customWidth="1"/>
    <col min="16131" max="16131" width="2.140625" style="386" customWidth="1"/>
    <col min="16132" max="16132" width="12.7109375" style="386" customWidth="1"/>
    <col min="16133" max="16133" width="2.140625" style="386" customWidth="1"/>
    <col min="16134" max="16134" width="12.7109375" style="386" customWidth="1"/>
    <col min="16135" max="16135" width="1.85546875" style="386" customWidth="1"/>
    <col min="16136" max="16137" width="5.85546875" style="386" customWidth="1"/>
    <col min="16138" max="16139" width="7.85546875" style="386" customWidth="1"/>
    <col min="16140" max="16140" width="14.7109375" style="386" customWidth="1"/>
    <col min="16141" max="16374" width="9.140625" style="386"/>
    <col min="16375" max="16384" width="9" style="386" customWidth="1"/>
  </cols>
  <sheetData>
    <row r="1" spans="2:17" s="775" customFormat="1" x14ac:dyDescent="0.25">
      <c r="B1" s="1366" t="s">
        <v>247</v>
      </c>
      <c r="C1" s="1366"/>
      <c r="D1" s="1366"/>
      <c r="E1" s="1366"/>
      <c r="F1" s="1366"/>
      <c r="G1" s="1366"/>
      <c r="H1" s="1366"/>
      <c r="I1" s="1366"/>
      <c r="J1" s="1366"/>
      <c r="K1" s="1366"/>
      <c r="L1" s="776"/>
      <c r="M1" s="776"/>
      <c r="N1" s="776"/>
    </row>
    <row r="2" spans="2:17" s="775" customFormat="1" x14ac:dyDescent="0.25">
      <c r="B2" s="1366" t="s">
        <v>227</v>
      </c>
      <c r="C2" s="1366"/>
      <c r="D2" s="1366"/>
      <c r="E2" s="1366"/>
      <c r="F2" s="1366"/>
      <c r="G2" s="1366"/>
      <c r="H2" s="1366"/>
      <c r="I2" s="1366"/>
      <c r="J2" s="1366"/>
      <c r="K2" s="1366"/>
      <c r="L2" s="776"/>
      <c r="M2" s="776"/>
      <c r="N2" s="776"/>
    </row>
    <row r="3" spans="2:17" s="775" customFormat="1" x14ac:dyDescent="0.25">
      <c r="B3" s="1366" t="str">
        <f>سودوزيان!A3</f>
        <v>سال مالی منتهی به 30 اسفند 1403</v>
      </c>
      <c r="C3" s="1366"/>
      <c r="D3" s="1366"/>
      <c r="E3" s="1366"/>
      <c r="F3" s="1366"/>
      <c r="G3" s="1366"/>
      <c r="H3" s="1366"/>
      <c r="I3" s="1366"/>
      <c r="J3" s="1366"/>
      <c r="K3" s="1366"/>
      <c r="L3" s="776"/>
      <c r="M3" s="776"/>
      <c r="N3" s="776"/>
    </row>
    <row r="4" spans="2:17" s="757" customFormat="1" ht="15" customHeight="1" x14ac:dyDescent="0.25">
      <c r="B4" s="777"/>
      <c r="C4" s="777"/>
      <c r="D4" s="777"/>
      <c r="E4" s="778"/>
      <c r="F4" s="778"/>
      <c r="G4" s="778"/>
      <c r="H4" s="778"/>
      <c r="I4" s="778"/>
      <c r="J4" s="778"/>
      <c r="K4" s="778"/>
      <c r="L4" s="778"/>
      <c r="M4" s="778"/>
      <c r="N4" s="778"/>
    </row>
    <row r="5" spans="2:17" s="757" customFormat="1" ht="15" customHeight="1" x14ac:dyDescent="0.25">
      <c r="B5" s="777"/>
      <c r="C5" s="777"/>
      <c r="D5" s="777"/>
      <c r="E5" s="778"/>
      <c r="F5" s="778"/>
      <c r="G5" s="778"/>
      <c r="H5" s="778"/>
      <c r="I5" s="778"/>
      <c r="J5" s="778"/>
      <c r="K5" s="778"/>
      <c r="L5" s="778"/>
      <c r="M5" s="778"/>
      <c r="N5" s="778"/>
    </row>
    <row r="6" spans="2:17" s="757" customFormat="1" ht="15" customHeight="1" x14ac:dyDescent="0.25">
      <c r="B6" s="777"/>
      <c r="C6" s="777"/>
      <c r="D6" s="777"/>
      <c r="E6" s="778"/>
      <c r="F6" s="778"/>
      <c r="G6" s="778"/>
      <c r="H6" s="778"/>
      <c r="I6" s="778"/>
      <c r="J6" s="778"/>
      <c r="K6" s="778"/>
      <c r="L6" s="778"/>
      <c r="M6" s="778"/>
      <c r="N6" s="778"/>
    </row>
    <row r="7" spans="2:17" s="757" customFormat="1" ht="15" customHeight="1" x14ac:dyDescent="0.25">
      <c r="B7" s="777"/>
      <c r="C7" s="777"/>
      <c r="D7" s="777"/>
      <c r="E7" s="778"/>
      <c r="F7" s="778"/>
      <c r="G7" s="778"/>
      <c r="H7" s="778"/>
      <c r="I7" s="778"/>
      <c r="J7" s="778"/>
      <c r="K7" s="778"/>
      <c r="L7" s="778"/>
      <c r="M7" s="778"/>
      <c r="N7" s="778"/>
    </row>
    <row r="8" spans="2:17" s="757" customFormat="1" ht="15" customHeight="1" x14ac:dyDescent="0.25">
      <c r="B8" s="777"/>
      <c r="C8" s="777"/>
      <c r="D8" s="777"/>
      <c r="E8" s="778"/>
      <c r="F8" s="778"/>
      <c r="G8" s="778"/>
      <c r="H8" s="778"/>
      <c r="I8" s="778"/>
      <c r="J8" s="778"/>
      <c r="K8" s="778"/>
      <c r="L8" s="778"/>
      <c r="M8" s="778"/>
      <c r="N8" s="778"/>
    </row>
    <row r="9" spans="2:17" s="757" customFormat="1" ht="15" customHeight="1" x14ac:dyDescent="0.25">
      <c r="B9" s="777"/>
      <c r="C9" s="777"/>
      <c r="D9" s="777"/>
      <c r="E9" s="778"/>
      <c r="F9" s="778"/>
      <c r="G9" s="778"/>
      <c r="H9" s="778"/>
      <c r="I9" s="778"/>
      <c r="J9" s="778"/>
      <c r="K9" s="778"/>
      <c r="L9" s="778"/>
      <c r="M9" s="778"/>
      <c r="N9" s="778"/>
    </row>
    <row r="10" spans="2:17" s="758" customFormat="1" ht="39" customHeight="1" x14ac:dyDescent="0.25">
      <c r="B10" s="759"/>
      <c r="C10" s="759"/>
      <c r="D10" s="329" t="s">
        <v>487</v>
      </c>
      <c r="E10" s="329" t="s">
        <v>34</v>
      </c>
      <c r="G10" s="329" t="s">
        <v>35</v>
      </c>
      <c r="I10" s="329" t="s">
        <v>36</v>
      </c>
      <c r="K10" s="329" t="s">
        <v>37</v>
      </c>
      <c r="Q10" s="760"/>
    </row>
    <row r="11" spans="2:17" s="758" customFormat="1" x14ac:dyDescent="0.25">
      <c r="B11" s="759"/>
      <c r="C11" s="759"/>
      <c r="D11" s="758" t="s">
        <v>591</v>
      </c>
      <c r="E11" s="758" t="s">
        <v>591</v>
      </c>
      <c r="G11" s="758" t="s">
        <v>591</v>
      </c>
      <c r="I11" s="758" t="s">
        <v>591</v>
      </c>
      <c r="K11" s="758" t="s">
        <v>591</v>
      </c>
    </row>
    <row r="12" spans="2:17" ht="46.5" customHeight="1" x14ac:dyDescent="0.25">
      <c r="B12" s="1069" t="s">
        <v>1092</v>
      </c>
      <c r="C12" s="759"/>
      <c r="D12" s="334">
        <v>0</v>
      </c>
      <c r="E12" s="765">
        <v>847085000000</v>
      </c>
      <c r="F12" s="334"/>
      <c r="G12" s="765">
        <v>84708500000</v>
      </c>
      <c r="H12" s="334"/>
      <c r="I12" s="1284">
        <f>1565852030146</f>
        <v>1565852030146</v>
      </c>
      <c r="J12" s="334"/>
      <c r="K12" s="765">
        <f>SUM(D12:J12)</f>
        <v>2497645530146</v>
      </c>
      <c r="L12" s="334"/>
      <c r="M12" s="334"/>
      <c r="N12" s="334"/>
      <c r="P12" s="334" t="e">
        <f>I12-#REF!</f>
        <v>#REF!</v>
      </c>
    </row>
    <row r="13" spans="2:17" ht="46.5" customHeight="1" x14ac:dyDescent="0.25">
      <c r="B13" s="1070" t="s">
        <v>997</v>
      </c>
      <c r="C13" s="337"/>
      <c r="D13" s="337"/>
      <c r="E13" s="334"/>
      <c r="F13" s="334"/>
      <c r="G13" s="334"/>
      <c r="H13" s="334"/>
      <c r="I13" s="334"/>
      <c r="J13" s="334"/>
      <c r="K13" s="334"/>
      <c r="L13" s="334"/>
      <c r="M13" s="334"/>
      <c r="N13" s="334"/>
    </row>
    <row r="14" spans="2:17" ht="46.5" customHeight="1" x14ac:dyDescent="0.25">
      <c r="B14" s="250" t="s">
        <v>1095</v>
      </c>
      <c r="C14" s="337"/>
      <c r="D14" s="334"/>
      <c r="E14" s="1308" t="s">
        <v>1094</v>
      </c>
      <c r="F14" s="334"/>
      <c r="G14" s="1308" t="s">
        <v>1094</v>
      </c>
      <c r="H14" s="334"/>
      <c r="I14" s="334">
        <v>1712600023376</v>
      </c>
      <c r="J14" s="334"/>
      <c r="K14" s="334">
        <f>SUM(E14:I14)</f>
        <v>1712600023376</v>
      </c>
      <c r="L14" s="334"/>
      <c r="M14" s="334"/>
      <c r="N14" s="334"/>
      <c r="P14" s="763">
        <f>113053622795-384922124</f>
        <v>112668700671</v>
      </c>
    </row>
    <row r="15" spans="2:17" ht="46.5" hidden="1" customHeight="1" x14ac:dyDescent="0.25">
      <c r="B15" s="761" t="s">
        <v>720</v>
      </c>
      <c r="D15" s="334">
        <v>0</v>
      </c>
      <c r="E15" s="765"/>
      <c r="G15" s="334"/>
      <c r="I15" s="1241">
        <v>0</v>
      </c>
      <c r="K15" s="334">
        <f>SUM(E15:I15)</f>
        <v>0</v>
      </c>
      <c r="L15" s="334"/>
      <c r="M15" s="334"/>
      <c r="N15" s="334"/>
      <c r="P15" s="763">
        <f>P14-I14</f>
        <v>-1599931322705</v>
      </c>
    </row>
    <row r="16" spans="2:17" ht="46.5" hidden="1" customHeight="1" thickBot="1" x14ac:dyDescent="0.3">
      <c r="B16" s="1070" t="s">
        <v>1096</v>
      </c>
      <c r="C16" s="337"/>
      <c r="D16" s="764"/>
      <c r="E16" s="766">
        <v>0</v>
      </c>
      <c r="F16" s="334"/>
      <c r="G16" s="766">
        <v>0</v>
      </c>
      <c r="H16" s="334"/>
      <c r="I16" s="766">
        <f>I14+I15+I12</f>
        <v>3278452053522</v>
      </c>
      <c r="J16" s="334"/>
      <c r="K16" s="766">
        <f>K14+K15+K12</f>
        <v>4210245553522</v>
      </c>
      <c r="L16" s="334"/>
      <c r="M16" s="334"/>
      <c r="N16" s="334"/>
    </row>
    <row r="17" spans="2:17" ht="46.5" hidden="1" customHeight="1" x14ac:dyDescent="0.25">
      <c r="B17" s="337" t="s">
        <v>519</v>
      </c>
      <c r="C17" s="337"/>
      <c r="D17" s="762"/>
      <c r="E17" s="765">
        <f>SUM(E16:E16)</f>
        <v>0</v>
      </c>
      <c r="F17" s="334"/>
      <c r="G17" s="765">
        <f>SUM(G16:G16)</f>
        <v>0</v>
      </c>
      <c r="H17" s="334"/>
      <c r="I17" s="765">
        <f>SUM(I16:I16)</f>
        <v>3278452053522</v>
      </c>
      <c r="J17" s="334"/>
      <c r="K17" s="765">
        <f>SUM(K16:K16)</f>
        <v>4210245553522</v>
      </c>
      <c r="L17" s="334"/>
      <c r="M17" s="334"/>
      <c r="N17" s="334"/>
    </row>
    <row r="18" spans="2:17" ht="46.5" hidden="1" customHeight="1" x14ac:dyDescent="0.25">
      <c r="B18" s="337" t="s">
        <v>38</v>
      </c>
      <c r="C18" s="337"/>
      <c r="D18" s="334">
        <v>0</v>
      </c>
      <c r="E18" s="334">
        <v>0</v>
      </c>
      <c r="F18" s="334"/>
      <c r="G18" s="334">
        <v>0</v>
      </c>
      <c r="H18" s="334"/>
      <c r="I18" s="334"/>
      <c r="J18" s="334"/>
      <c r="K18" s="334">
        <f>SUM(E18:I18)</f>
        <v>0</v>
      </c>
      <c r="L18" s="334"/>
      <c r="M18" s="334"/>
      <c r="N18" s="334"/>
      <c r="O18" s="334"/>
    </row>
    <row r="19" spans="2:17" ht="46.5" hidden="1" customHeight="1" x14ac:dyDescent="0.25">
      <c r="B19" s="337" t="s">
        <v>470</v>
      </c>
      <c r="C19" s="337"/>
      <c r="D19" s="334">
        <v>0</v>
      </c>
      <c r="E19" s="334">
        <v>0</v>
      </c>
      <c r="F19" s="334"/>
      <c r="G19" s="334">
        <v>0</v>
      </c>
      <c r="H19" s="334"/>
      <c r="I19" s="334">
        <v>0</v>
      </c>
      <c r="J19" s="334"/>
      <c r="K19" s="334">
        <f>SUM(D19:J19)</f>
        <v>0</v>
      </c>
      <c r="L19" s="334"/>
      <c r="M19" s="334"/>
      <c r="N19" s="334"/>
    </row>
    <row r="20" spans="2:17" ht="46.5" hidden="1" customHeight="1" x14ac:dyDescent="0.25">
      <c r="B20" s="337" t="s">
        <v>39</v>
      </c>
      <c r="C20" s="337"/>
      <c r="D20" s="334">
        <v>0</v>
      </c>
      <c r="E20" s="334"/>
      <c r="F20" s="334"/>
      <c r="G20" s="767">
        <v>0</v>
      </c>
      <c r="H20" s="334"/>
      <c r="I20" s="334">
        <v>0</v>
      </c>
      <c r="J20" s="334"/>
      <c r="K20" s="334">
        <f>SUM(E20:I20)</f>
        <v>0</v>
      </c>
      <c r="L20" s="334"/>
      <c r="M20" s="334"/>
      <c r="N20" s="334"/>
    </row>
    <row r="21" spans="2:17" ht="46.5" customHeight="1" x14ac:dyDescent="0.25">
      <c r="B21" s="337" t="s">
        <v>38</v>
      </c>
      <c r="C21" s="337"/>
      <c r="D21" s="334"/>
      <c r="E21" s="1308" t="s">
        <v>1094</v>
      </c>
      <c r="F21" s="334"/>
      <c r="G21" s="1333" t="s">
        <v>1094</v>
      </c>
      <c r="H21" s="334"/>
      <c r="I21" s="334">
        <v>-685809912791</v>
      </c>
      <c r="J21" s="334"/>
      <c r="K21" s="334">
        <f>I21</f>
        <v>-685809912791</v>
      </c>
      <c r="L21" s="334"/>
      <c r="M21" s="334"/>
      <c r="N21" s="334"/>
    </row>
    <row r="22" spans="2:17" ht="46.5" customHeight="1" x14ac:dyDescent="0.25">
      <c r="B22" s="1070" t="s">
        <v>1290</v>
      </c>
      <c r="C22" s="337"/>
      <c r="D22" s="762" t="e">
        <f>#REF!+D19</f>
        <v>#REF!</v>
      </c>
      <c r="E22" s="762">
        <f>E12</f>
        <v>847085000000</v>
      </c>
      <c r="F22" s="762">
        <f t="shared" ref="F22" si="0">F16+F20+F21</f>
        <v>0</v>
      </c>
      <c r="G22" s="762">
        <f>G12</f>
        <v>84708500000</v>
      </c>
      <c r="H22" s="334"/>
      <c r="I22" s="1316">
        <f>I16+I20+I21+1</f>
        <v>2592642140732</v>
      </c>
      <c r="J22" s="264"/>
      <c r="K22" s="1316">
        <f>K16+K20+K21+1</f>
        <v>3524435640732</v>
      </c>
      <c r="L22" s="264" t="b">
        <f>I22='وضعيت مالي'!H24</f>
        <v>1</v>
      </c>
      <c r="M22" s="264" t="b">
        <f>K22='وضعيت مالي'!H25</f>
        <v>1</v>
      </c>
      <c r="N22" s="264"/>
      <c r="O22" s="334">
        <f>I22-I15</f>
        <v>2592642140732</v>
      </c>
      <c r="P22" s="334">
        <v>661052615941</v>
      </c>
      <c r="Q22" s="334">
        <f>P22-O22</f>
        <v>-1931589524791</v>
      </c>
    </row>
    <row r="23" spans="2:17" ht="28.5" customHeight="1" x14ac:dyDescent="0.25">
      <c r="B23" s="337"/>
      <c r="C23" s="337"/>
      <c r="D23" s="334"/>
      <c r="E23" s="334"/>
      <c r="F23" s="334"/>
      <c r="G23" s="334"/>
      <c r="H23" s="334"/>
      <c r="I23" s="334"/>
      <c r="J23" s="334"/>
      <c r="K23" s="334"/>
      <c r="L23" s="334">
        <f>I22-'وضعيت مالي'!H24</f>
        <v>0</v>
      </c>
      <c r="M23" s="334">
        <f>K22-'وضعيت مالي'!H25</f>
        <v>0</v>
      </c>
      <c r="N23" s="334"/>
      <c r="Q23" s="334">
        <f>Q22+I18</f>
        <v>-1931589524791</v>
      </c>
    </row>
    <row r="24" spans="2:17" ht="46.5" customHeight="1" x14ac:dyDescent="0.25">
      <c r="B24" s="1070" t="s">
        <v>1104</v>
      </c>
      <c r="C24" s="337"/>
      <c r="D24" s="334"/>
      <c r="E24" s="334"/>
      <c r="F24" s="334"/>
      <c r="G24" s="334"/>
      <c r="H24" s="334"/>
      <c r="I24" s="334"/>
      <c r="J24" s="334"/>
      <c r="K24" s="334"/>
      <c r="L24" s="334"/>
      <c r="M24" s="334"/>
      <c r="N24" s="334"/>
    </row>
    <row r="25" spans="2:17" ht="46.5" customHeight="1" x14ac:dyDescent="0.25">
      <c r="B25" s="1070" t="s">
        <v>1105</v>
      </c>
      <c r="C25" s="337"/>
      <c r="D25" s="334">
        <v>0</v>
      </c>
      <c r="E25" s="334">
        <v>0</v>
      </c>
      <c r="F25" s="334"/>
      <c r="G25" s="334">
        <v>0</v>
      </c>
      <c r="H25" s="334"/>
      <c r="I25" s="334">
        <f>سودوزيان!F22</f>
        <v>994687650416.88281</v>
      </c>
      <c r="J25" s="334"/>
      <c r="K25" s="334">
        <f>SUM(D25:I25)</f>
        <v>994687650416.88281</v>
      </c>
      <c r="L25" s="334"/>
      <c r="M25" s="334"/>
      <c r="N25" s="334"/>
    </row>
    <row r="26" spans="2:17" ht="46.5" hidden="1" customHeight="1" x14ac:dyDescent="0.25">
      <c r="B26" s="337" t="s">
        <v>38</v>
      </c>
      <c r="C26" s="337"/>
      <c r="D26" s="766">
        <v>0</v>
      </c>
      <c r="E26" s="334">
        <v>0</v>
      </c>
      <c r="F26" s="334"/>
      <c r="G26" s="334">
        <v>0</v>
      </c>
      <c r="H26" s="334"/>
      <c r="I26" s="334">
        <v>0</v>
      </c>
      <c r="J26" s="334"/>
      <c r="K26" s="334">
        <f>SUM(E26:I26)</f>
        <v>0</v>
      </c>
      <c r="L26" s="334"/>
      <c r="M26" s="334"/>
      <c r="N26" s="334"/>
    </row>
    <row r="27" spans="2:17" ht="46.5" hidden="1" customHeight="1" x14ac:dyDescent="0.25">
      <c r="B27" s="337" t="s">
        <v>39</v>
      </c>
      <c r="C27" s="337"/>
      <c r="D27" s="334">
        <v>0</v>
      </c>
      <c r="E27" s="334">
        <v>0</v>
      </c>
      <c r="F27" s="334"/>
      <c r="G27" s="767">
        <v>0</v>
      </c>
      <c r="H27" s="334"/>
      <c r="I27" s="198">
        <f>-G27</f>
        <v>0</v>
      </c>
      <c r="J27" s="334"/>
      <c r="K27" s="334">
        <f>SUM(E27:I27)</f>
        <v>0</v>
      </c>
      <c r="L27" s="334"/>
      <c r="M27" s="334"/>
      <c r="N27" s="334"/>
    </row>
    <row r="28" spans="2:17" ht="46.5" customHeight="1" x14ac:dyDescent="0.25">
      <c r="B28" s="337" t="s">
        <v>38</v>
      </c>
      <c r="C28" s="337"/>
      <c r="D28" s="334"/>
      <c r="E28" s="334">
        <v>0</v>
      </c>
      <c r="F28" s="334"/>
      <c r="G28" s="767">
        <v>0</v>
      </c>
      <c r="H28" s="334"/>
      <c r="I28" s="1131">
        <v>-171260002338</v>
      </c>
      <c r="J28" s="334"/>
      <c r="K28" s="334">
        <f>I28</f>
        <v>-171260002338</v>
      </c>
      <c r="L28" s="334"/>
      <c r="M28" s="334"/>
      <c r="N28" s="334"/>
    </row>
    <row r="29" spans="2:17" ht="46.5" customHeight="1" thickBot="1" x14ac:dyDescent="0.3">
      <c r="B29" s="1070" t="s">
        <v>1106</v>
      </c>
      <c r="C29" s="337"/>
      <c r="D29" s="768"/>
      <c r="E29" s="515">
        <f>E22+E25+E26+E27</f>
        <v>847085000000</v>
      </c>
      <c r="F29" s="334"/>
      <c r="G29" s="515">
        <f>G22+G25+G26+G27</f>
        <v>84708500000</v>
      </c>
      <c r="H29" s="334"/>
      <c r="I29" s="515">
        <f>I22+I25+I27+I28</f>
        <v>3416069788810.8828</v>
      </c>
      <c r="J29" s="334"/>
      <c r="K29" s="515">
        <f>SUM(E29:I29)</f>
        <v>4347863288810.8828</v>
      </c>
      <c r="L29" s="769" t="b">
        <f>I29='وضعيت مالي'!F24</f>
        <v>1</v>
      </c>
      <c r="M29" s="769" t="b">
        <f>K29='وضعيت مالي'!F25</f>
        <v>1</v>
      </c>
      <c r="N29" s="769"/>
      <c r="O29" s="763">
        <f>E29*0.1</f>
        <v>84708500000</v>
      </c>
      <c r="P29" s="763">
        <f>O29-G22</f>
        <v>0</v>
      </c>
    </row>
    <row r="30" spans="2:17" ht="30.75" thickTop="1" x14ac:dyDescent="0.25">
      <c r="B30" s="1367"/>
      <c r="C30" s="1367"/>
      <c r="D30" s="1367"/>
      <c r="E30" s="1367"/>
      <c r="F30" s="1367"/>
      <c r="G30" s="1367"/>
      <c r="H30" s="1367"/>
      <c r="I30" s="1367"/>
      <c r="J30" s="1367"/>
      <c r="K30" s="1367"/>
      <c r="L30" s="770"/>
      <c r="M30" s="770"/>
      <c r="N30" s="770"/>
    </row>
    <row r="31" spans="2:17" x14ac:dyDescent="0.25">
      <c r="B31" s="770"/>
      <c r="C31" s="770"/>
      <c r="D31" s="770"/>
      <c r="E31" s="770"/>
      <c r="F31" s="770"/>
      <c r="G31" s="770"/>
      <c r="H31" s="770"/>
      <c r="I31" s="404"/>
      <c r="J31" s="770"/>
      <c r="K31" s="770"/>
      <c r="L31" s="770"/>
      <c r="M31" s="770"/>
      <c r="N31" s="770"/>
    </row>
    <row r="32" spans="2:17" x14ac:dyDescent="0.25">
      <c r="B32" s="770"/>
      <c r="C32" s="770"/>
      <c r="D32" s="770"/>
      <c r="E32" s="770"/>
      <c r="F32" s="770"/>
      <c r="G32" s="770"/>
      <c r="H32" s="770"/>
      <c r="I32" s="404"/>
      <c r="J32" s="770"/>
      <c r="K32" s="770"/>
      <c r="L32" s="770"/>
      <c r="M32" s="770"/>
      <c r="N32" s="770"/>
    </row>
    <row r="33" spans="1:14" x14ac:dyDescent="0.25">
      <c r="B33" s="770"/>
      <c r="C33" s="770"/>
      <c r="D33" s="770"/>
      <c r="E33" s="770"/>
      <c r="F33" s="770"/>
      <c r="G33" s="770"/>
      <c r="H33" s="770"/>
      <c r="I33" s="404"/>
      <c r="J33" s="770"/>
      <c r="K33" s="770"/>
      <c r="L33" s="770"/>
      <c r="M33" s="770"/>
      <c r="N33" s="770"/>
    </row>
    <row r="34" spans="1:14" x14ac:dyDescent="0.25">
      <c r="B34" s="770"/>
      <c r="C34" s="770"/>
      <c r="D34" s="770"/>
      <c r="E34" s="770"/>
      <c r="F34" s="770"/>
      <c r="G34" s="770"/>
      <c r="H34" s="770"/>
      <c r="I34" s="404"/>
      <c r="J34" s="770"/>
      <c r="K34" s="770"/>
      <c r="L34" s="770"/>
      <c r="M34" s="770"/>
      <c r="N34" s="770"/>
    </row>
    <row r="35" spans="1:14" x14ac:dyDescent="0.25">
      <c r="B35" s="770"/>
      <c r="C35" s="770"/>
      <c r="D35" s="770"/>
      <c r="E35" s="770"/>
      <c r="F35" s="770"/>
      <c r="G35" s="771"/>
      <c r="H35" s="770"/>
      <c r="I35" s="770"/>
      <c r="J35" s="770"/>
      <c r="K35" s="945"/>
      <c r="L35" s="770"/>
      <c r="M35" s="770"/>
      <c r="N35" s="770"/>
    </row>
    <row r="36" spans="1:14" ht="34.5" customHeight="1" x14ac:dyDescent="0.75">
      <c r="B36" s="1368" t="s">
        <v>24</v>
      </c>
      <c r="C36" s="1368"/>
      <c r="D36" s="1368"/>
      <c r="E36" s="1368"/>
      <c r="F36" s="1368"/>
      <c r="G36" s="1368"/>
      <c r="H36" s="1368"/>
      <c r="I36" s="1368"/>
      <c r="J36" s="1368"/>
      <c r="K36" s="1368"/>
      <c r="L36" s="772"/>
      <c r="M36" s="772"/>
      <c r="N36" s="772"/>
    </row>
    <row r="37" spans="1:14" ht="255" customHeight="1" x14ac:dyDescent="0.25">
      <c r="B37" s="337"/>
      <c r="C37" s="337"/>
      <c r="D37" s="337"/>
      <c r="E37" s="334"/>
      <c r="F37" s="334"/>
      <c r="G37" s="334"/>
      <c r="H37" s="334"/>
      <c r="I37" s="334"/>
      <c r="J37" s="334"/>
      <c r="K37" s="334"/>
      <c r="L37" s="334"/>
      <c r="M37" s="334"/>
      <c r="N37" s="334"/>
    </row>
    <row r="38" spans="1:14" s="774" customFormat="1" ht="195.75" customHeight="1" x14ac:dyDescent="0.25">
      <c r="A38" s="1341">
        <v>4</v>
      </c>
      <c r="B38" s="1341"/>
      <c r="C38" s="1341"/>
      <c r="D38" s="1341"/>
      <c r="E38" s="1341"/>
      <c r="F38" s="1341"/>
      <c r="G38" s="1341"/>
      <c r="H38" s="1341"/>
      <c r="I38" s="1341"/>
      <c r="J38" s="1341"/>
      <c r="K38" s="1341"/>
      <c r="L38" s="773"/>
      <c r="M38" s="773"/>
      <c r="N38" s="773"/>
    </row>
    <row r="39" spans="1:14" x14ac:dyDescent="0.25">
      <c r="B39" s="337"/>
      <c r="C39" s="337"/>
      <c r="D39" s="337"/>
      <c r="E39" s="334"/>
      <c r="F39" s="334"/>
      <c r="G39" s="334"/>
      <c r="H39" s="334"/>
      <c r="I39" s="334"/>
      <c r="J39" s="334"/>
      <c r="K39" s="334"/>
      <c r="L39" s="334"/>
      <c r="M39" s="334"/>
      <c r="N39" s="334"/>
    </row>
    <row r="40" spans="1:14" x14ac:dyDescent="0.25">
      <c r="B40" s="337"/>
      <c r="C40" s="337"/>
      <c r="D40" s="337"/>
      <c r="E40" s="334"/>
      <c r="F40" s="334"/>
      <c r="G40" s="334"/>
      <c r="H40" s="334"/>
      <c r="I40" s="334"/>
      <c r="J40" s="334"/>
      <c r="K40" s="334"/>
      <c r="L40" s="334"/>
      <c r="M40" s="334"/>
      <c r="N40" s="334"/>
    </row>
    <row r="41" spans="1:14" x14ac:dyDescent="0.25">
      <c r="B41" s="337"/>
      <c r="C41" s="337"/>
      <c r="D41" s="337"/>
      <c r="E41" s="334"/>
      <c r="F41" s="334"/>
      <c r="G41" s="334"/>
      <c r="H41" s="334"/>
      <c r="I41" s="334"/>
      <c r="J41" s="334"/>
      <c r="K41" s="334"/>
      <c r="L41" s="334"/>
      <c r="M41" s="334"/>
      <c r="N41" s="334"/>
    </row>
    <row r="42" spans="1:14" x14ac:dyDescent="0.25">
      <c r="B42" s="337"/>
      <c r="C42" s="337"/>
      <c r="D42" s="337"/>
      <c r="E42" s="334"/>
      <c r="F42" s="334"/>
      <c r="G42" s="334"/>
      <c r="H42" s="334"/>
      <c r="I42" s="334"/>
      <c r="J42" s="334"/>
      <c r="K42" s="334"/>
      <c r="L42" s="334"/>
      <c r="M42" s="334"/>
      <c r="N42" s="334"/>
    </row>
    <row r="43" spans="1:14" x14ac:dyDescent="0.25">
      <c r="B43" s="337"/>
      <c r="C43" s="337"/>
      <c r="D43" s="337"/>
      <c r="E43" s="334"/>
      <c r="F43" s="334"/>
      <c r="G43" s="334"/>
      <c r="H43" s="334"/>
      <c r="I43" s="334"/>
      <c r="J43" s="334"/>
      <c r="K43" s="334"/>
      <c r="L43" s="334"/>
      <c r="M43" s="334"/>
      <c r="N43" s="334"/>
    </row>
    <row r="44" spans="1:14" x14ac:dyDescent="0.25">
      <c r="B44" s="337"/>
      <c r="C44" s="337"/>
      <c r="D44" s="337"/>
      <c r="E44" s="334"/>
      <c r="F44" s="334"/>
      <c r="G44" s="334"/>
      <c r="H44" s="334"/>
      <c r="I44" s="334"/>
      <c r="J44" s="334"/>
      <c r="K44" s="334"/>
      <c r="L44" s="334"/>
      <c r="M44" s="334"/>
      <c r="N44" s="334"/>
    </row>
    <row r="45" spans="1:14" x14ac:dyDescent="0.25">
      <c r="B45" s="337"/>
      <c r="C45" s="337"/>
      <c r="D45" s="337"/>
      <c r="E45" s="334"/>
      <c r="F45" s="334"/>
      <c r="G45" s="334"/>
      <c r="H45" s="334"/>
      <c r="I45" s="334"/>
      <c r="J45" s="334"/>
      <c r="K45" s="334"/>
      <c r="L45" s="334"/>
      <c r="M45" s="334"/>
      <c r="N45" s="334"/>
    </row>
    <row r="46" spans="1:14" x14ac:dyDescent="0.25">
      <c r="B46" s="337"/>
      <c r="C46" s="337"/>
      <c r="D46" s="337"/>
      <c r="E46" s="334"/>
      <c r="F46" s="334"/>
      <c r="G46" s="334"/>
      <c r="H46" s="334"/>
      <c r="I46" s="334"/>
      <c r="J46" s="334"/>
      <c r="K46" s="334"/>
      <c r="L46" s="334"/>
      <c r="M46" s="334"/>
      <c r="N46" s="334"/>
    </row>
    <row r="47" spans="1:14" x14ac:dyDescent="0.25">
      <c r="B47" s="337"/>
      <c r="C47" s="337"/>
      <c r="D47" s="337"/>
      <c r="E47" s="334"/>
      <c r="F47" s="334"/>
      <c r="G47" s="334"/>
      <c r="H47" s="334"/>
      <c r="I47" s="334"/>
      <c r="J47" s="334"/>
      <c r="K47" s="334"/>
      <c r="L47" s="334"/>
      <c r="M47" s="334"/>
      <c r="N47" s="334"/>
    </row>
    <row r="48" spans="1:14" x14ac:dyDescent="0.25">
      <c r="B48" s="337"/>
      <c r="C48" s="337"/>
      <c r="D48" s="337"/>
      <c r="E48" s="334"/>
      <c r="F48" s="334"/>
      <c r="G48" s="334"/>
      <c r="H48" s="334"/>
      <c r="I48" s="334"/>
      <c r="J48" s="334"/>
      <c r="K48" s="334"/>
      <c r="L48" s="334"/>
      <c r="M48" s="334"/>
      <c r="N48" s="334"/>
    </row>
    <row r="49" spans="2:14" x14ac:dyDescent="0.25">
      <c r="B49" s="337"/>
      <c r="C49" s="337"/>
      <c r="D49" s="337"/>
      <c r="E49" s="334"/>
      <c r="F49" s="334"/>
      <c r="G49" s="334"/>
      <c r="H49" s="334"/>
      <c r="I49" s="334"/>
      <c r="J49" s="334"/>
      <c r="K49" s="334"/>
      <c r="L49" s="334"/>
      <c r="M49" s="334"/>
      <c r="N49" s="334"/>
    </row>
    <row r="50" spans="2:14" x14ac:dyDescent="0.25">
      <c r="B50" s="1365"/>
      <c r="C50" s="1365"/>
      <c r="D50" s="1365"/>
      <c r="E50" s="1365"/>
      <c r="F50" s="1365"/>
      <c r="G50" s="1365"/>
      <c r="H50" s="1365"/>
      <c r="I50" s="1365"/>
      <c r="J50" s="1365"/>
      <c r="K50" s="1365"/>
      <c r="L50" s="334"/>
      <c r="M50" s="334"/>
      <c r="N50" s="334"/>
    </row>
    <row r="51" spans="2:14" x14ac:dyDescent="0.25">
      <c r="B51" s="337"/>
      <c r="C51" s="337"/>
      <c r="D51" s="337"/>
      <c r="E51" s="334"/>
      <c r="F51" s="334"/>
      <c r="G51" s="334"/>
      <c r="H51" s="334"/>
      <c r="I51" s="334"/>
      <c r="J51" s="334"/>
      <c r="K51" s="334"/>
      <c r="L51" s="334"/>
      <c r="M51" s="334"/>
      <c r="N51" s="334"/>
    </row>
    <row r="52" spans="2:14" x14ac:dyDescent="0.25">
      <c r="B52" s="337"/>
      <c r="C52" s="337"/>
      <c r="D52" s="337"/>
      <c r="E52" s="334"/>
      <c r="F52" s="334"/>
      <c r="G52" s="334"/>
      <c r="H52" s="334"/>
      <c r="I52" s="334"/>
      <c r="J52" s="334"/>
      <c r="K52" s="334"/>
      <c r="L52" s="334"/>
      <c r="M52" s="334"/>
      <c r="N52" s="334"/>
    </row>
    <row r="53" spans="2:14" x14ac:dyDescent="0.25">
      <c r="B53" s="337"/>
      <c r="C53" s="337"/>
      <c r="D53" s="337"/>
      <c r="E53" s="334"/>
      <c r="F53" s="334"/>
      <c r="G53" s="334"/>
      <c r="H53" s="334"/>
      <c r="I53" s="334"/>
      <c r="J53" s="334"/>
      <c r="K53" s="334"/>
      <c r="L53" s="334"/>
      <c r="M53" s="334"/>
      <c r="N53" s="334"/>
    </row>
    <row r="54" spans="2:14" x14ac:dyDescent="0.25">
      <c r="B54" s="337"/>
      <c r="C54" s="337"/>
      <c r="D54" s="337"/>
      <c r="E54" s="334"/>
      <c r="F54" s="334"/>
      <c r="G54" s="334"/>
      <c r="H54" s="334"/>
      <c r="I54" s="334"/>
      <c r="J54" s="334"/>
      <c r="K54" s="334"/>
      <c r="L54" s="334"/>
      <c r="M54" s="334"/>
      <c r="N54" s="334"/>
    </row>
    <row r="55" spans="2:14" x14ac:dyDescent="0.25">
      <c r="B55" s="337"/>
      <c r="C55" s="337"/>
      <c r="D55" s="337"/>
      <c r="E55" s="334"/>
      <c r="F55" s="334"/>
      <c r="G55" s="334"/>
      <c r="H55" s="334"/>
      <c r="I55" s="334"/>
      <c r="J55" s="334"/>
      <c r="K55" s="334"/>
      <c r="L55" s="334"/>
      <c r="M55" s="334"/>
      <c r="N55" s="334"/>
    </row>
    <row r="56" spans="2:14" x14ac:dyDescent="0.25">
      <c r="B56" s="337"/>
      <c r="C56" s="337"/>
      <c r="D56" s="337"/>
      <c r="E56" s="334"/>
      <c r="F56" s="334"/>
      <c r="G56" s="334"/>
      <c r="H56" s="334"/>
      <c r="I56" s="334"/>
      <c r="J56" s="334"/>
      <c r="K56" s="334"/>
      <c r="L56" s="334"/>
      <c r="M56" s="334"/>
      <c r="N56" s="334"/>
    </row>
    <row r="57" spans="2:14" x14ac:dyDescent="0.25">
      <c r="B57" s="337"/>
      <c r="C57" s="337"/>
      <c r="D57" s="337"/>
      <c r="E57" s="334"/>
      <c r="F57" s="334"/>
      <c r="G57" s="334"/>
      <c r="H57" s="334"/>
      <c r="I57" s="334"/>
      <c r="J57" s="334"/>
      <c r="K57" s="334"/>
      <c r="L57" s="334"/>
      <c r="M57" s="334"/>
      <c r="N57" s="334"/>
    </row>
    <row r="58" spans="2:14" x14ac:dyDescent="0.25">
      <c r="B58" s="337"/>
      <c r="C58" s="337"/>
      <c r="D58" s="337"/>
      <c r="E58" s="334"/>
      <c r="F58" s="334"/>
      <c r="G58" s="334"/>
      <c r="H58" s="334"/>
      <c r="I58" s="334"/>
      <c r="J58" s="334"/>
      <c r="K58" s="334"/>
      <c r="L58" s="334"/>
      <c r="M58" s="334"/>
      <c r="N58" s="334"/>
    </row>
    <row r="59" spans="2:14" x14ac:dyDescent="0.25">
      <c r="B59" s="337"/>
      <c r="C59" s="337"/>
      <c r="D59" s="337"/>
      <c r="E59" s="334"/>
      <c r="F59" s="334"/>
      <c r="G59" s="334"/>
      <c r="H59" s="334"/>
      <c r="I59" s="334"/>
      <c r="J59" s="334"/>
      <c r="K59" s="334"/>
      <c r="L59" s="334"/>
      <c r="M59" s="334"/>
      <c r="N59" s="334"/>
    </row>
    <row r="60" spans="2:14" x14ac:dyDescent="0.25">
      <c r="B60" s="337"/>
      <c r="C60" s="337"/>
      <c r="D60" s="337"/>
      <c r="E60" s="334"/>
      <c r="F60" s="334"/>
      <c r="G60" s="334"/>
      <c r="H60" s="334"/>
      <c r="I60" s="334"/>
      <c r="J60" s="334"/>
      <c r="K60" s="334"/>
      <c r="L60" s="334"/>
      <c r="M60" s="334"/>
      <c r="N60" s="334"/>
    </row>
    <row r="61" spans="2:14" x14ac:dyDescent="0.25">
      <c r="B61" s="337"/>
      <c r="C61" s="337"/>
      <c r="D61" s="337"/>
      <c r="E61" s="334"/>
      <c r="F61" s="334"/>
      <c r="G61" s="334"/>
      <c r="H61" s="334"/>
      <c r="I61" s="334"/>
      <c r="J61" s="334"/>
      <c r="K61" s="334"/>
      <c r="L61" s="334"/>
      <c r="M61" s="334"/>
      <c r="N61" s="334"/>
    </row>
    <row r="62" spans="2:14" x14ac:dyDescent="0.25">
      <c r="B62" s="337"/>
      <c r="C62" s="337"/>
      <c r="D62" s="337"/>
      <c r="E62" s="334"/>
      <c r="F62" s="334"/>
      <c r="G62" s="334"/>
      <c r="H62" s="334"/>
      <c r="I62" s="334"/>
      <c r="J62" s="334"/>
      <c r="K62" s="334"/>
      <c r="L62" s="334"/>
      <c r="M62" s="334"/>
      <c r="N62" s="334"/>
    </row>
    <row r="63" spans="2:14" x14ac:dyDescent="0.25">
      <c r="B63" s="337"/>
      <c r="C63" s="337"/>
      <c r="D63" s="337"/>
      <c r="E63" s="334"/>
      <c r="F63" s="334"/>
      <c r="G63" s="334"/>
      <c r="H63" s="334"/>
      <c r="I63" s="334"/>
      <c r="J63" s="334"/>
      <c r="K63" s="334"/>
      <c r="L63" s="334"/>
      <c r="M63" s="334"/>
      <c r="N63" s="334"/>
    </row>
    <row r="64" spans="2:14" x14ac:dyDescent="0.25">
      <c r="B64" s="337"/>
      <c r="C64" s="337"/>
      <c r="D64" s="337"/>
      <c r="E64" s="334"/>
      <c r="F64" s="334"/>
      <c r="G64" s="334"/>
      <c r="H64" s="334"/>
      <c r="I64" s="334"/>
      <c r="J64" s="334"/>
      <c r="K64" s="334"/>
      <c r="L64" s="334"/>
      <c r="M64" s="334"/>
      <c r="N64" s="334"/>
    </row>
    <row r="65" spans="2:14" x14ac:dyDescent="0.25">
      <c r="B65" s="337"/>
      <c r="C65" s="337"/>
      <c r="D65" s="337"/>
      <c r="E65" s="334"/>
      <c r="F65" s="334"/>
      <c r="G65" s="334"/>
      <c r="H65" s="334"/>
      <c r="I65" s="334"/>
      <c r="J65" s="334"/>
      <c r="K65" s="334"/>
      <c r="L65" s="334"/>
      <c r="M65" s="334"/>
      <c r="N65" s="334"/>
    </row>
    <row r="66" spans="2:14" x14ac:dyDescent="0.25">
      <c r="B66" s="337"/>
      <c r="C66" s="337"/>
      <c r="D66" s="337"/>
      <c r="E66" s="334"/>
      <c r="F66" s="334"/>
      <c r="G66" s="334"/>
      <c r="H66" s="334"/>
      <c r="I66" s="334"/>
      <c r="J66" s="334"/>
      <c r="K66" s="334"/>
      <c r="L66" s="334"/>
      <c r="M66" s="334"/>
      <c r="N66" s="334"/>
    </row>
  </sheetData>
  <customSheetViews>
    <customSheetView guid="{39716EAB-185B-4ADF-90CF-1B1041867F58}" scale="70" showPageBreaks="1" printArea="1" hiddenRows="1" view="pageBreakPreview">
      <pane ySplit="11" topLeftCell="A12" activePane="bottomLeft" state="frozen"/>
      <selection pane="bottomLeft" activeCell="H13" sqref="H13"/>
      <rowBreaks count="1" manualBreakCount="1">
        <brk id="63" max="10" man="1"/>
      </rowBreaks>
      <pageMargins left="0.39370078740157483" right="0.78740157480314965" top="0.39370078740157483" bottom="0.39370078740157483" header="0.31496062992125984" footer="0.31496062992125984"/>
      <pageSetup scale="37" orientation="portrait" r:id="rId1"/>
    </customSheetView>
    <customSheetView guid="{5CB8382F-C212-4512-9396-17792C62978E}" scale="70" showPageBreaks="1" printArea="1" hiddenRows="1" view="pageBreakPreview">
      <pane ySplit="11" topLeftCell="A12" activePane="bottomLeft" state="frozen"/>
      <selection pane="bottomLeft" activeCell="N31" sqref="N31"/>
      <rowBreaks count="1" manualBreakCount="1">
        <brk id="63" max="10" man="1"/>
      </rowBreaks>
      <pageMargins left="0.39370078740157483" right="0.78740157480314965" top="0.39370078740157483" bottom="0.39370078740157483" header="0.31496062992125984" footer="0.31496062992125984"/>
      <pageSetup scale="37" orientation="portrait" r:id="rId2"/>
    </customSheetView>
    <customSheetView guid="{184BCED3-EADB-44CF-BFDA-DA8D3E7206C0}" scale="70" showPageBreaks="1" printArea="1" hiddenRows="1" view="pageBreakPreview">
      <pane ySplit="11" topLeftCell="A28" activePane="bottomLeft" state="frozen"/>
      <selection pane="bottomLeft" activeCell="D23" sqref="D23"/>
      <rowBreaks count="1" manualBreakCount="1">
        <brk id="63" max="10" man="1"/>
      </rowBreaks>
      <pageMargins left="0.39370078740157483" right="0.78740157480314965" top="0.39370078740157483" bottom="0.39370078740157483" header="0.31496062992125984" footer="0.31496062992125984"/>
      <pageSetup scale="37" orientation="portrait" r:id="rId3"/>
    </customSheetView>
  </customSheetViews>
  <mergeCells count="7">
    <mergeCell ref="B50:K50"/>
    <mergeCell ref="B1:K1"/>
    <mergeCell ref="B2:K2"/>
    <mergeCell ref="B3:K3"/>
    <mergeCell ref="B30:K30"/>
    <mergeCell ref="B36:K36"/>
    <mergeCell ref="A38:K38"/>
  </mergeCells>
  <conditionalFormatting sqref="E29 K29:N29">
    <cfRule type="cellIs" dxfId="138" priority="10" stopIfTrue="1" operator="lessThan">
      <formula>0</formula>
    </cfRule>
  </conditionalFormatting>
  <conditionalFormatting sqref="G20:G21">
    <cfRule type="cellIs" dxfId="137" priority="1" stopIfTrue="1" operator="lessThan">
      <formula>0</formula>
    </cfRule>
  </conditionalFormatting>
  <conditionalFormatting sqref="G27:G29">
    <cfRule type="cellIs" dxfId="136" priority="3" stopIfTrue="1" operator="lessThan">
      <formula>0</formula>
    </cfRule>
  </conditionalFormatting>
  <conditionalFormatting sqref="G35">
    <cfRule type="cellIs" dxfId="135" priority="6" stopIfTrue="1" operator="lessThan">
      <formula>0</formula>
    </cfRule>
  </conditionalFormatting>
  <conditionalFormatting sqref="I27 I29">
    <cfRule type="cellIs" dxfId="134" priority="2" stopIfTrue="1" operator="lessThan">
      <formula>0</formula>
    </cfRule>
  </conditionalFormatting>
  <hyperlinks>
    <hyperlink ref="A1:XFD3" r:id="rId4" display="http://modiriatmali.com/" xr:uid="{00000000-0004-0000-0300-000000000000}"/>
  </hyperlinks>
  <printOptions horizontalCentered="1"/>
  <pageMargins left="0.143700787" right="0.143700787" top="0.39370078740157499" bottom="0.39370078740157499" header="0.31496062992126" footer="0.31496062992126"/>
  <pageSetup scale="55" orientation="portrait" r:id="rId5"/>
  <rowBreaks count="1" manualBreakCount="1">
    <brk id="40"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M87"/>
  <sheetViews>
    <sheetView rightToLeft="1" view="pageBreakPreview" zoomScale="115" zoomScaleNormal="100" zoomScaleSheetLayoutView="115" workbookViewId="0">
      <pane ySplit="1" topLeftCell="A24" activePane="bottomLeft" state="frozen"/>
      <selection activeCell="H21" sqref="H21"/>
      <selection pane="bottomLeft" activeCell="E9" sqref="E9"/>
    </sheetView>
  </sheetViews>
  <sheetFormatPr defaultColWidth="9.140625" defaultRowHeight="18" x14ac:dyDescent="0.45"/>
  <cols>
    <col min="1" max="1" width="1.7109375" style="508" customWidth="1"/>
    <col min="2" max="2" width="49.7109375" style="804" bestFit="1" customWidth="1"/>
    <col min="3" max="3" width="6.28515625" style="808" customWidth="1"/>
    <col min="4" max="4" width="0.5703125" style="808" customWidth="1"/>
    <col min="5" max="5" width="24.5703125" style="808" customWidth="1"/>
    <col min="6" max="6" width="3.42578125" style="808" customWidth="1"/>
    <col min="7" max="7" width="22.7109375" style="808" customWidth="1"/>
    <col min="8" max="8" width="1" style="508" customWidth="1"/>
    <col min="9" max="9" width="19.42578125" style="508" hidden="1" customWidth="1"/>
    <col min="10" max="10" width="17.28515625" style="508" hidden="1" customWidth="1"/>
    <col min="11" max="11" width="23.42578125" style="783" bestFit="1" customWidth="1"/>
    <col min="12" max="12" width="23.42578125" style="783" hidden="1" customWidth="1"/>
    <col min="13" max="13" width="25.28515625" style="508" bestFit="1" customWidth="1"/>
    <col min="14" max="16384" width="9.140625" style="508"/>
  </cols>
  <sheetData>
    <row r="1" spans="1:13" s="621" customFormat="1" ht="21" x14ac:dyDescent="0.45">
      <c r="A1" s="1369" t="s">
        <v>244</v>
      </c>
      <c r="B1" s="1369"/>
      <c r="C1" s="1369"/>
      <c r="D1" s="1369"/>
      <c r="E1" s="1369"/>
      <c r="F1" s="1369"/>
      <c r="G1" s="1369"/>
      <c r="K1" s="779"/>
      <c r="L1" s="779"/>
    </row>
    <row r="2" spans="1:13" s="621" customFormat="1" ht="21" x14ac:dyDescent="0.45">
      <c r="A2" s="1369" t="s">
        <v>228</v>
      </c>
      <c r="B2" s="1369"/>
      <c r="C2" s="1369"/>
      <c r="D2" s="1369"/>
      <c r="E2" s="1369"/>
      <c r="F2" s="1369"/>
      <c r="G2" s="1369"/>
      <c r="K2" s="779"/>
      <c r="L2" s="779"/>
    </row>
    <row r="3" spans="1:13" s="621" customFormat="1" ht="21" x14ac:dyDescent="0.45">
      <c r="A3" s="1369" t="str">
        <f>سودوزيان!A3</f>
        <v>سال مالی منتهی به 30 اسفند 1403</v>
      </c>
      <c r="B3" s="1369"/>
      <c r="C3" s="1369"/>
      <c r="D3" s="1369"/>
      <c r="E3" s="1369"/>
      <c r="F3" s="1369"/>
      <c r="G3" s="1369"/>
      <c r="K3" s="779"/>
      <c r="L3" s="779"/>
    </row>
    <row r="4" spans="1:13" ht="14.25" customHeight="1" x14ac:dyDescent="0.45">
      <c r="B4" s="780"/>
      <c r="C4" s="781"/>
      <c r="D4" s="781"/>
      <c r="E4" s="1372"/>
      <c r="F4" s="1372"/>
      <c r="G4" s="782"/>
    </row>
    <row r="5" spans="1:13" x14ac:dyDescent="0.45">
      <c r="B5" s="780"/>
      <c r="C5" s="781"/>
      <c r="D5" s="781"/>
      <c r="E5" s="782"/>
      <c r="F5" s="782"/>
      <c r="G5" s="782"/>
    </row>
    <row r="6" spans="1:13" s="784" customFormat="1" ht="27" customHeight="1" x14ac:dyDescent="0.4">
      <c r="B6" s="780"/>
      <c r="C6" s="785" t="s">
        <v>10</v>
      </c>
      <c r="D6" s="781"/>
      <c r="E6" s="786">
        <v>1403</v>
      </c>
      <c r="F6" s="787"/>
      <c r="G6" s="785">
        <v>1402</v>
      </c>
      <c r="K6" s="788">
        <v>400043400825</v>
      </c>
      <c r="L6" s="788"/>
    </row>
    <row r="7" spans="1:13" ht="16.5" customHeight="1" x14ac:dyDescent="0.45">
      <c r="B7" s="780"/>
      <c r="C7" s="789"/>
      <c r="D7" s="781"/>
      <c r="E7" s="790" t="s">
        <v>702</v>
      </c>
      <c r="F7" s="790"/>
      <c r="G7" s="790" t="s">
        <v>702</v>
      </c>
    </row>
    <row r="8" spans="1:13" s="791" customFormat="1" ht="27.75" customHeight="1" x14ac:dyDescent="0.45">
      <c r="B8" s="701" t="s">
        <v>41</v>
      </c>
      <c r="C8" s="792"/>
      <c r="D8" s="792"/>
      <c r="E8" s="793"/>
      <c r="F8" s="793"/>
      <c r="G8" s="793"/>
      <c r="I8" s="1136"/>
      <c r="K8" s="794"/>
      <c r="L8" s="794"/>
    </row>
    <row r="9" spans="1:13" s="791" customFormat="1" ht="27.75" customHeight="1" x14ac:dyDescent="0.45">
      <c r="B9" s="795" t="s">
        <v>42</v>
      </c>
      <c r="C9" s="792">
        <v>28</v>
      </c>
      <c r="D9" s="792"/>
      <c r="E9" s="796">
        <f>'28-29'!D26</f>
        <v>1202102035638.3535</v>
      </c>
      <c r="F9" s="796"/>
      <c r="G9" s="796">
        <f>'28-29'!F26</f>
        <v>455786620126.50049</v>
      </c>
      <c r="I9" s="1136"/>
      <c r="K9" s="794"/>
      <c r="L9" s="794"/>
    </row>
    <row r="10" spans="1:13" s="791" customFormat="1" ht="27.75" customHeight="1" x14ac:dyDescent="0.45">
      <c r="A10" s="791" t="s">
        <v>490</v>
      </c>
      <c r="B10" s="795" t="s">
        <v>44</v>
      </c>
      <c r="C10" s="792"/>
      <c r="D10" s="792"/>
      <c r="E10" s="698">
        <f>-693363422572</f>
        <v>-693363422572</v>
      </c>
      <c r="F10" s="796"/>
      <c r="G10" s="698">
        <v>-310638127665</v>
      </c>
      <c r="I10" s="1136"/>
      <c r="K10" s="794">
        <f>'وضعيت مالي'!H32-سودوزيان!F21</f>
        <v>978228095036.4707</v>
      </c>
      <c r="L10" s="794"/>
      <c r="M10" s="791" t="e">
        <f>'وضعيت مالي'!#REF!-سودوزيان!H21</f>
        <v>#REF!</v>
      </c>
    </row>
    <row r="11" spans="1:13" s="791" customFormat="1" ht="27.75" customHeight="1" x14ac:dyDescent="0.45">
      <c r="B11" s="795" t="s">
        <v>43</v>
      </c>
      <c r="C11" s="792"/>
      <c r="D11" s="792"/>
      <c r="E11" s="797">
        <f>SUM(E9:E10)</f>
        <v>508738613066.35352</v>
      </c>
      <c r="F11" s="796"/>
      <c r="G11" s="797">
        <f>SUM(G9:G10)</f>
        <v>145148492461.50049</v>
      </c>
      <c r="I11" s="1136"/>
      <c r="K11" s="794">
        <f>K10-'وضعيت مالي'!F32</f>
        <v>693363422571.4707</v>
      </c>
      <c r="L11" s="794"/>
      <c r="M11" s="791" t="e">
        <f>M10-'وضعيت مالي'!H32</f>
        <v>#REF!</v>
      </c>
    </row>
    <row r="12" spans="1:13" s="791" customFormat="1" ht="27.75" customHeight="1" x14ac:dyDescent="0.45">
      <c r="B12" s="701" t="s">
        <v>230</v>
      </c>
      <c r="C12" s="792"/>
      <c r="D12" s="792"/>
      <c r="E12" s="796"/>
      <c r="F12" s="796"/>
      <c r="G12" s="796"/>
      <c r="I12" s="1136"/>
      <c r="K12" s="794"/>
      <c r="L12" s="794"/>
      <c r="M12" s="799">
        <f>'وضعيت مالي'!H32-سودوزيان!F21</f>
        <v>978228095036.4707</v>
      </c>
    </row>
    <row r="13" spans="1:13" s="791" customFormat="1" ht="27.75" hidden="1" customHeight="1" x14ac:dyDescent="0.45">
      <c r="B13" s="795" t="s">
        <v>45</v>
      </c>
      <c r="C13" s="792"/>
      <c r="D13" s="792"/>
      <c r="E13" s="796">
        <v>0</v>
      </c>
      <c r="F13" s="796"/>
      <c r="G13" s="796">
        <v>0</v>
      </c>
      <c r="I13" s="1136"/>
      <c r="K13" s="794"/>
      <c r="L13" s="794"/>
    </row>
    <row r="14" spans="1:13" s="791" customFormat="1" ht="27.75" customHeight="1" x14ac:dyDescent="0.45">
      <c r="B14" s="795" t="s">
        <v>46</v>
      </c>
      <c r="C14" s="792"/>
      <c r="D14" s="792"/>
      <c r="E14" s="796">
        <f>-('12 اصلی'!AC14+'12 اصلی'!AC13)</f>
        <v>-33530285259</v>
      </c>
      <c r="F14" s="796"/>
      <c r="G14" s="796">
        <v>-56332605474</v>
      </c>
      <c r="I14" s="1136"/>
      <c r="K14" s="794"/>
      <c r="L14" s="794"/>
      <c r="M14" s="794">
        <f>'وضعيت مالي'!F32-'جريان هاي نقدي'!M12</f>
        <v>-693363422571.4707</v>
      </c>
    </row>
    <row r="15" spans="1:13" s="791" customFormat="1" ht="27.75" customHeight="1" x14ac:dyDescent="0.45">
      <c r="B15" s="795" t="s">
        <v>897</v>
      </c>
      <c r="C15" s="792"/>
      <c r="D15" s="792"/>
      <c r="E15" s="1123">
        <f>'13-14'!O12</f>
        <v>0</v>
      </c>
      <c r="F15" s="796"/>
      <c r="G15" s="796">
        <v>-3573000000</v>
      </c>
      <c r="I15" s="1136"/>
      <c r="K15" s="794"/>
      <c r="L15" s="794"/>
    </row>
    <row r="16" spans="1:13" s="791" customFormat="1" ht="27.75" hidden="1" customHeight="1" x14ac:dyDescent="0.45">
      <c r="B16" s="795" t="s">
        <v>47</v>
      </c>
      <c r="C16" s="792"/>
      <c r="D16" s="792"/>
      <c r="E16" s="798">
        <v>0</v>
      </c>
      <c r="F16" s="796"/>
      <c r="G16" s="798">
        <v>0</v>
      </c>
      <c r="I16" s="1136"/>
      <c r="K16" s="794"/>
      <c r="L16" s="794"/>
    </row>
    <row r="17" spans="1:13" s="791" customFormat="1" ht="27.75" customHeight="1" x14ac:dyDescent="0.45">
      <c r="B17" s="795" t="s">
        <v>930</v>
      </c>
      <c r="C17" s="697"/>
      <c r="D17" s="792"/>
      <c r="E17" s="796">
        <f>'8.9.10.11'!G38</f>
        <v>23353106087</v>
      </c>
      <c r="F17" s="796"/>
      <c r="G17" s="796">
        <v>6984252778</v>
      </c>
      <c r="I17" s="1136"/>
      <c r="K17" s="794"/>
      <c r="L17" s="794"/>
    </row>
    <row r="18" spans="1:13" s="791" customFormat="1" ht="27.75" hidden="1" customHeight="1" x14ac:dyDescent="0.45">
      <c r="B18" s="795" t="s">
        <v>898</v>
      </c>
      <c r="C18" s="697"/>
      <c r="D18" s="792"/>
      <c r="E18" s="1124">
        <f>'وضعيت مالي'!H10-'وضعيت مالي'!F10</f>
        <v>0</v>
      </c>
      <c r="F18" s="796"/>
      <c r="G18" s="796">
        <v>0</v>
      </c>
      <c r="I18" s="1136"/>
      <c r="K18" s="794"/>
      <c r="L18" s="794"/>
    </row>
    <row r="19" spans="1:13" s="791" customFormat="1" ht="27.75" hidden="1" customHeight="1" x14ac:dyDescent="0.45">
      <c r="B19" s="795" t="s">
        <v>719</v>
      </c>
      <c r="C19" s="697"/>
      <c r="D19" s="792"/>
      <c r="E19" s="796">
        <v>0</v>
      </c>
      <c r="F19" s="796"/>
      <c r="G19" s="796">
        <v>0</v>
      </c>
      <c r="I19" s="1136"/>
      <c r="K19" s="794"/>
      <c r="L19" s="794"/>
    </row>
    <row r="20" spans="1:13" s="791" customFormat="1" ht="27.75" customHeight="1" x14ac:dyDescent="0.45">
      <c r="B20" s="795" t="s">
        <v>48</v>
      </c>
      <c r="C20" s="792"/>
      <c r="D20" s="792"/>
      <c r="E20" s="797">
        <f>SUM(E13:E19)</f>
        <v>-10177179172</v>
      </c>
      <c r="F20" s="792"/>
      <c r="G20" s="797">
        <f>SUM(G13:G19)</f>
        <v>-52921352696</v>
      </c>
      <c r="I20" s="1136"/>
      <c r="K20" s="794"/>
      <c r="L20" s="794"/>
    </row>
    <row r="21" spans="1:13" s="791" customFormat="1" ht="27.75" customHeight="1" x14ac:dyDescent="0.45">
      <c r="B21" s="701" t="s">
        <v>49</v>
      </c>
      <c r="C21" s="792"/>
      <c r="D21" s="792"/>
      <c r="E21" s="796"/>
      <c r="F21" s="796"/>
      <c r="G21" s="796"/>
      <c r="I21" s="1136"/>
      <c r="K21" s="794">
        <f>'وضعيت مالي'!H34+'جريان هاي نقدي'!E25+'جريان هاي نقدي'!E26</f>
        <v>858891244323</v>
      </c>
      <c r="L21" s="794"/>
      <c r="M21" s="794">
        <f>K21-'وضعيت مالي'!F34</f>
        <v>0</v>
      </c>
    </row>
    <row r="22" spans="1:13" s="791" customFormat="1" ht="27.75" hidden="1" customHeight="1" x14ac:dyDescent="0.45">
      <c r="B22" s="795" t="s">
        <v>40</v>
      </c>
      <c r="C22" s="792"/>
      <c r="D22" s="792"/>
      <c r="E22" s="796">
        <v>0</v>
      </c>
      <c r="F22" s="796"/>
      <c r="G22" s="796"/>
      <c r="I22" s="1136"/>
      <c r="K22" s="794"/>
      <c r="L22" s="794"/>
    </row>
    <row r="23" spans="1:13" s="791" customFormat="1" ht="27.75" hidden="1" customHeight="1" x14ac:dyDescent="0.45">
      <c r="B23" s="795" t="s">
        <v>717</v>
      </c>
      <c r="C23" s="792"/>
      <c r="D23" s="792"/>
      <c r="E23" s="796">
        <v>0</v>
      </c>
      <c r="F23" s="796"/>
      <c r="G23" s="796"/>
      <c r="I23" s="1136"/>
      <c r="K23" s="794"/>
      <c r="L23" s="794"/>
    </row>
    <row r="24" spans="1:13" s="791" customFormat="1" ht="27.75" customHeight="1" x14ac:dyDescent="0.45">
      <c r="B24" s="795" t="s">
        <v>931</v>
      </c>
      <c r="C24" s="792"/>
      <c r="D24" s="792"/>
      <c r="E24" s="1123">
        <v>0</v>
      </c>
      <c r="F24" s="796"/>
      <c r="G24" s="796">
        <v>-45804204541</v>
      </c>
      <c r="I24" s="1136"/>
      <c r="K24" s="794">
        <v>-29035656716</v>
      </c>
      <c r="L24" s="794"/>
    </row>
    <row r="25" spans="1:13" s="791" customFormat="1" ht="27.75" customHeight="1" x14ac:dyDescent="0.45">
      <c r="B25" s="795" t="s">
        <v>50</v>
      </c>
      <c r="C25" s="792"/>
      <c r="D25" s="792"/>
      <c r="E25" s="796">
        <v>1617529278565</v>
      </c>
      <c r="F25" s="796"/>
      <c r="G25" s="796">
        <v>2216670733439</v>
      </c>
      <c r="I25" s="794">
        <f>E25+'وضعيت مالي'!H34</f>
        <v>2749604505902</v>
      </c>
      <c r="K25" s="794">
        <f>G25</f>
        <v>2216670733439</v>
      </c>
      <c r="L25" s="794"/>
      <c r="M25" s="799">
        <v>2621758752281</v>
      </c>
    </row>
    <row r="26" spans="1:13" s="791" customFormat="1" ht="27.75" customHeight="1" x14ac:dyDescent="0.45">
      <c r="B26" s="795" t="s">
        <v>51</v>
      </c>
      <c r="C26" s="792"/>
      <c r="D26" s="792"/>
      <c r="E26" s="796">
        <f>-I26</f>
        <v>-1890713261579</v>
      </c>
      <c r="F26" s="796"/>
      <c r="G26" s="796">
        <v>-2102406054445</v>
      </c>
      <c r="I26" s="794">
        <f>I25-'وضعيت مالي'!F34</f>
        <v>1890713261579</v>
      </c>
      <c r="K26" s="794">
        <f>K25-'وضعيت مالي'!H34</f>
        <v>1084595506102</v>
      </c>
      <c r="L26" s="794"/>
      <c r="M26" s="794">
        <f>M25+'وضعيت مالي'!H34</f>
        <v>3753833979618</v>
      </c>
    </row>
    <row r="27" spans="1:13" s="791" customFormat="1" ht="27.75" customHeight="1" x14ac:dyDescent="0.45">
      <c r="B27" s="795" t="s">
        <v>513</v>
      </c>
      <c r="C27" s="792"/>
      <c r="D27" s="792"/>
      <c r="E27" s="796">
        <f>سودوزيان!F16</f>
        <v>-350456102062</v>
      </c>
      <c r="F27" s="796"/>
      <c r="G27" s="796">
        <f>سودوزيان!H16</f>
        <v>-368228749228</v>
      </c>
      <c r="I27" s="1136"/>
      <c r="K27" s="794"/>
      <c r="L27" s="794"/>
      <c r="M27" s="794">
        <f>M26-'وضعيت مالي'!F34</f>
        <v>2894942735295</v>
      </c>
    </row>
    <row r="28" spans="1:13" s="791" customFormat="1" ht="27.75" customHeight="1" x14ac:dyDescent="0.45">
      <c r="B28" s="795" t="s">
        <v>718</v>
      </c>
      <c r="C28" s="792"/>
      <c r="D28" s="792"/>
      <c r="E28" s="1123">
        <v>0</v>
      </c>
      <c r="F28" s="796"/>
      <c r="G28" s="796">
        <v>-3836632260</v>
      </c>
      <c r="I28" s="1136"/>
      <c r="K28" s="794"/>
      <c r="L28" s="794"/>
    </row>
    <row r="29" spans="1:13" s="791" customFormat="1" ht="27.75" customHeight="1" x14ac:dyDescent="0.45">
      <c r="B29" s="795" t="s">
        <v>52</v>
      </c>
      <c r="C29" s="792"/>
      <c r="D29" s="792"/>
      <c r="E29" s="797">
        <f>SUM(E22:E28)</f>
        <v>-623640085076</v>
      </c>
      <c r="F29" s="792"/>
      <c r="G29" s="797">
        <f>SUM(G22:G28)</f>
        <v>-303604907035</v>
      </c>
      <c r="I29" s="1136"/>
      <c r="K29" s="794"/>
      <c r="L29" s="794"/>
    </row>
    <row r="30" spans="1:13" s="1305" customFormat="1" ht="27.75" customHeight="1" x14ac:dyDescent="0.45">
      <c r="A30" s="1314"/>
      <c r="B30" s="48" t="s">
        <v>1293</v>
      </c>
      <c r="C30" s="792"/>
      <c r="D30" s="792"/>
      <c r="E30" s="796">
        <f>E11+E20+E29</f>
        <v>-125078651181.64648</v>
      </c>
      <c r="F30" s="796"/>
      <c r="G30" s="796">
        <f>G11+G20+G29+1</f>
        <v>-211377767268.49951</v>
      </c>
      <c r="H30" s="1314"/>
      <c r="I30" s="1305" t="b">
        <f>E30='وضعيت مالي'!F16-'وضعيت مالي'!H16</f>
        <v>0</v>
      </c>
      <c r="K30" s="1306"/>
      <c r="L30" s="1306"/>
    </row>
    <row r="31" spans="1:13" s="791" customFormat="1" ht="27.75" customHeight="1" x14ac:dyDescent="0.45">
      <c r="B31" s="795" t="s">
        <v>53</v>
      </c>
      <c r="C31" s="792"/>
      <c r="D31" s="792"/>
      <c r="E31" s="796">
        <f>'وضعيت مالي'!H16</f>
        <v>170000824925</v>
      </c>
      <c r="F31" s="796"/>
      <c r="G31" s="796">
        <v>358815487614</v>
      </c>
      <c r="I31" s="800">
        <f>'وضعيت مالي'!F16-'وضعيت مالي'!H16</f>
        <v>-102241319262</v>
      </c>
      <c r="J31" s="800">
        <f>E30-I31</f>
        <v>-22837331919.646484</v>
      </c>
      <c r="K31" s="794"/>
      <c r="L31" s="794"/>
      <c r="M31" s="800"/>
    </row>
    <row r="32" spans="1:13" s="791" customFormat="1" ht="27.75" customHeight="1" x14ac:dyDescent="0.45">
      <c r="B32" s="795" t="s">
        <v>40</v>
      </c>
      <c r="C32" s="792"/>
      <c r="D32" s="792"/>
      <c r="E32" s="698">
        <f>'8.9.10.11'!G9</f>
        <v>22837331920</v>
      </c>
      <c r="F32" s="796"/>
      <c r="G32" s="698">
        <v>22563104580</v>
      </c>
      <c r="I32" s="1136"/>
      <c r="K32" s="794"/>
      <c r="L32" s="794"/>
      <c r="M32" s="800">
        <f>G33-E31</f>
        <v>-0.49951171875</v>
      </c>
    </row>
    <row r="33" spans="1:13" s="791" customFormat="1" ht="27.75" customHeight="1" thickBot="1" x14ac:dyDescent="0.5">
      <c r="B33" s="795" t="s">
        <v>54</v>
      </c>
      <c r="C33" s="792"/>
      <c r="D33" s="792"/>
      <c r="E33" s="204">
        <f>E30+E31+E32</f>
        <v>67759505663.353516</v>
      </c>
      <c r="F33" s="792"/>
      <c r="G33" s="204">
        <f>G30+G31+G32-1</f>
        <v>170000824924.50049</v>
      </c>
      <c r="I33" s="1136"/>
      <c r="K33" s="794">
        <f>E33-'وضعيت مالي'!F16</f>
        <v>0.353515625</v>
      </c>
      <c r="L33" s="794"/>
      <c r="M33" s="800">
        <f>G33-'وضعيت مالي'!H16</f>
        <v>-0.49951171875</v>
      </c>
    </row>
    <row r="34" spans="1:13" s="791" customFormat="1" ht="27.75" hidden="1" customHeight="1" thickTop="1" thickBot="1" x14ac:dyDescent="0.5">
      <c r="B34" s="795" t="s">
        <v>55</v>
      </c>
      <c r="C34" s="792">
        <v>28</v>
      </c>
      <c r="D34" s="792"/>
      <c r="E34" s="801"/>
      <c r="F34" s="792"/>
      <c r="G34" s="801"/>
      <c r="I34" s="1136"/>
      <c r="K34" s="794"/>
      <c r="L34" s="794"/>
    </row>
    <row r="35" spans="1:13" s="784" customFormat="1" ht="16.5" hidden="1" thickTop="1" x14ac:dyDescent="0.4">
      <c r="B35" s="802"/>
      <c r="C35" s="803"/>
      <c r="D35" s="803"/>
      <c r="E35" s="803">
        <v>0</v>
      </c>
      <c r="F35" s="803"/>
      <c r="G35" s="803">
        <f>G33-'وضعيت مالي'!H16</f>
        <v>-0.49951171875</v>
      </c>
      <c r="K35" s="788"/>
      <c r="L35" s="788"/>
    </row>
    <row r="36" spans="1:13" s="784" customFormat="1" ht="16.5" thickTop="1" x14ac:dyDescent="0.4">
      <c r="B36" s="802"/>
      <c r="C36" s="803"/>
      <c r="D36" s="803"/>
      <c r="E36" s="803"/>
      <c r="F36" s="803"/>
      <c r="G36" s="803"/>
      <c r="K36" s="788"/>
      <c r="L36" s="788"/>
    </row>
    <row r="37" spans="1:13" s="784" customFormat="1" ht="15.75" hidden="1" x14ac:dyDescent="0.4">
      <c r="B37" s="802"/>
      <c r="C37" s="803"/>
      <c r="D37" s="803"/>
      <c r="E37" s="803">
        <f>E33-'وضعيت مالي'!F16</f>
        <v>0.353515625</v>
      </c>
      <c r="F37" s="803"/>
      <c r="G37" s="803"/>
      <c r="K37" s="788"/>
      <c r="L37" s="788"/>
    </row>
    <row r="38" spans="1:13" s="784" customFormat="1" ht="15.75" x14ac:dyDescent="0.4">
      <c r="B38" s="802"/>
      <c r="C38" s="803"/>
      <c r="D38" s="803"/>
      <c r="E38" s="803"/>
      <c r="F38" s="803"/>
      <c r="G38" s="803"/>
      <c r="K38" s="788"/>
      <c r="L38" s="788"/>
    </row>
    <row r="39" spans="1:13" s="784" customFormat="1" ht="15.75" hidden="1" x14ac:dyDescent="0.4">
      <c r="B39" s="802"/>
      <c r="C39" s="803"/>
      <c r="D39" s="803"/>
      <c r="E39" s="803"/>
      <c r="F39" s="803"/>
      <c r="G39" s="803"/>
      <c r="K39" s="788"/>
      <c r="L39" s="788"/>
    </row>
    <row r="40" spans="1:13" s="784" customFormat="1" ht="15.75" hidden="1" x14ac:dyDescent="0.4">
      <c r="B40" s="802"/>
      <c r="C40" s="803"/>
      <c r="D40" s="803"/>
      <c r="E40" s="803"/>
      <c r="F40" s="803"/>
      <c r="G40" s="803"/>
      <c r="K40" s="788"/>
      <c r="L40" s="788"/>
    </row>
    <row r="41" spans="1:13" s="784" customFormat="1" ht="15.75" hidden="1" x14ac:dyDescent="0.4">
      <c r="B41" s="802"/>
      <c r="C41" s="803"/>
      <c r="D41" s="803"/>
      <c r="E41" s="803"/>
      <c r="F41" s="803"/>
      <c r="G41" s="803"/>
      <c r="K41" s="788"/>
      <c r="L41" s="788"/>
    </row>
    <row r="42" spans="1:13" s="784" customFormat="1" ht="15.75" hidden="1" x14ac:dyDescent="0.4">
      <c r="B42" s="802"/>
      <c r="C42" s="803"/>
      <c r="D42" s="803"/>
      <c r="E42" s="803"/>
      <c r="F42" s="803"/>
      <c r="G42" s="803"/>
      <c r="K42" s="788"/>
      <c r="L42" s="788"/>
    </row>
    <row r="43" spans="1:13" s="784" customFormat="1" ht="15.75" x14ac:dyDescent="0.4">
      <c r="B43" s="802"/>
      <c r="C43" s="803"/>
      <c r="D43" s="803"/>
      <c r="E43" s="803"/>
      <c r="F43" s="803"/>
      <c r="G43" s="803"/>
      <c r="K43" s="788"/>
      <c r="L43" s="788"/>
    </row>
    <row r="44" spans="1:13" s="784" customFormat="1" ht="15.75" x14ac:dyDescent="0.4">
      <c r="B44" s="802"/>
      <c r="C44" s="803"/>
      <c r="D44" s="803"/>
      <c r="E44" s="803"/>
      <c r="F44" s="803"/>
      <c r="G44" s="803"/>
      <c r="K44" s="788"/>
      <c r="L44" s="788"/>
    </row>
    <row r="45" spans="1:13" s="784" customFormat="1" ht="21" x14ac:dyDescent="0.55000000000000004">
      <c r="B45" s="1357" t="s">
        <v>24</v>
      </c>
      <c r="C45" s="1357"/>
      <c r="D45" s="1357"/>
      <c r="E45" s="1357"/>
      <c r="F45" s="1357"/>
      <c r="G45" s="1357"/>
      <c r="K45" s="788"/>
      <c r="L45" s="788"/>
    </row>
    <row r="46" spans="1:13" s="784" customFormat="1" ht="33" customHeight="1" x14ac:dyDescent="0.6">
      <c r="A46" s="1373">
        <v>5</v>
      </c>
      <c r="B46" s="1373"/>
      <c r="C46" s="1373"/>
      <c r="D46" s="1373"/>
      <c r="E46" s="1373"/>
      <c r="F46" s="1373"/>
      <c r="G46" s="1373"/>
      <c r="K46" s="788"/>
      <c r="L46" s="788"/>
    </row>
    <row r="47" spans="1:13" s="784" customFormat="1" ht="15.75" x14ac:dyDescent="0.4">
      <c r="B47" s="804"/>
      <c r="C47" s="805"/>
      <c r="D47" s="805"/>
      <c r="E47" s="805"/>
      <c r="F47" s="805"/>
      <c r="K47" s="788"/>
      <c r="L47" s="788"/>
    </row>
    <row r="48" spans="1:13" s="784" customFormat="1" ht="15.75" x14ac:dyDescent="0.4">
      <c r="B48" s="804"/>
      <c r="C48" s="805"/>
      <c r="D48" s="805"/>
      <c r="E48" s="805"/>
      <c r="F48" s="805"/>
      <c r="G48" s="805"/>
      <c r="K48" s="788"/>
      <c r="L48" s="788"/>
    </row>
    <row r="49" spans="2:12" s="784" customFormat="1" ht="15.75" x14ac:dyDescent="0.4">
      <c r="B49" s="804"/>
      <c r="C49" s="805"/>
      <c r="D49" s="805"/>
      <c r="E49" s="807">
        <f>E33-'وضعيت مالي'!F16</f>
        <v>0.353515625</v>
      </c>
      <c r="F49" s="805"/>
      <c r="G49" s="805"/>
      <c r="K49" s="788"/>
      <c r="L49" s="788"/>
    </row>
    <row r="50" spans="2:12" s="784" customFormat="1" ht="15.75" x14ac:dyDescent="0.4">
      <c r="B50" s="804"/>
      <c r="C50" s="805"/>
      <c r="D50" s="805"/>
      <c r="E50" s="805"/>
      <c r="F50" s="805"/>
      <c r="G50" s="805"/>
      <c r="K50" s="788"/>
      <c r="L50" s="788"/>
    </row>
    <row r="51" spans="2:12" s="784" customFormat="1" ht="15.75" x14ac:dyDescent="0.4">
      <c r="B51" s="804"/>
      <c r="C51" s="805"/>
      <c r="D51" s="805"/>
      <c r="E51" s="805"/>
      <c r="F51" s="805"/>
      <c r="G51" s="805"/>
      <c r="K51" s="788"/>
      <c r="L51" s="788"/>
    </row>
    <row r="52" spans="2:12" s="784" customFormat="1" ht="15.75" x14ac:dyDescent="0.4">
      <c r="B52" s="804"/>
      <c r="C52" s="805"/>
      <c r="D52" s="805"/>
      <c r="E52" s="805"/>
      <c r="F52" s="805"/>
      <c r="G52" s="806"/>
      <c r="K52" s="788"/>
      <c r="L52" s="788"/>
    </row>
    <row r="53" spans="2:12" s="784" customFormat="1" ht="15.75" x14ac:dyDescent="0.4">
      <c r="B53" s="804"/>
      <c r="C53" s="805"/>
      <c r="D53" s="805"/>
      <c r="E53" s="807"/>
      <c r="F53" s="805"/>
      <c r="G53" s="807"/>
      <c r="K53" s="788"/>
      <c r="L53" s="788"/>
    </row>
    <row r="54" spans="2:12" s="784" customFormat="1" ht="15.75" x14ac:dyDescent="0.4">
      <c r="B54" s="804"/>
      <c r="C54" s="805"/>
      <c r="D54" s="805"/>
      <c r="E54" s="805"/>
      <c r="F54" s="807"/>
      <c r="G54" s="805"/>
      <c r="K54" s="788"/>
      <c r="L54" s="788"/>
    </row>
    <row r="55" spans="2:12" s="784" customFormat="1" ht="15.75" x14ac:dyDescent="0.4">
      <c r="B55" s="804"/>
      <c r="C55" s="805"/>
      <c r="D55" s="805"/>
      <c r="E55" s="805"/>
      <c r="F55" s="805"/>
      <c r="G55" s="805"/>
      <c r="K55" s="788"/>
      <c r="L55" s="788"/>
    </row>
    <row r="56" spans="2:12" s="784" customFormat="1" ht="15.75" x14ac:dyDescent="0.4">
      <c r="B56" s="804"/>
      <c r="C56" s="805"/>
      <c r="D56" s="805"/>
      <c r="E56" s="805"/>
      <c r="F56" s="805"/>
      <c r="G56" s="805"/>
      <c r="K56" s="788"/>
      <c r="L56" s="788"/>
    </row>
    <row r="57" spans="2:12" s="784" customFormat="1" ht="15.75" x14ac:dyDescent="0.4">
      <c r="B57" s="804"/>
      <c r="C57" s="805"/>
      <c r="D57" s="805"/>
      <c r="E57" s="805"/>
      <c r="F57" s="805"/>
      <c r="G57" s="805"/>
      <c r="K57" s="788"/>
      <c r="L57" s="788"/>
    </row>
    <row r="58" spans="2:12" s="784" customFormat="1" ht="15.75" x14ac:dyDescent="0.4">
      <c r="B58" s="804"/>
      <c r="C58" s="805"/>
      <c r="D58" s="805"/>
      <c r="E58" s="805"/>
      <c r="F58" s="805"/>
      <c r="G58" s="805"/>
      <c r="K58" s="788"/>
      <c r="L58" s="788"/>
    </row>
    <row r="59" spans="2:12" s="784" customFormat="1" ht="15.75" x14ac:dyDescent="0.4">
      <c r="B59" s="804"/>
      <c r="C59" s="805"/>
      <c r="D59" s="805"/>
      <c r="E59" s="805"/>
      <c r="F59" s="805"/>
      <c r="G59" s="805"/>
      <c r="K59" s="788"/>
      <c r="L59" s="788"/>
    </row>
    <row r="60" spans="2:12" s="784" customFormat="1" ht="15.75" x14ac:dyDescent="0.4">
      <c r="B60" s="804"/>
      <c r="C60" s="805"/>
      <c r="D60" s="805"/>
      <c r="E60" s="805"/>
      <c r="F60" s="805"/>
      <c r="G60" s="805"/>
      <c r="K60" s="788"/>
      <c r="L60" s="788"/>
    </row>
    <row r="61" spans="2:12" s="784" customFormat="1" ht="15.75" x14ac:dyDescent="0.4">
      <c r="B61" s="804"/>
      <c r="C61" s="805"/>
      <c r="D61" s="805"/>
      <c r="E61" s="805"/>
      <c r="F61" s="805"/>
      <c r="G61" s="805"/>
      <c r="K61" s="788"/>
      <c r="L61" s="788"/>
    </row>
    <row r="62" spans="2:12" s="784" customFormat="1" ht="15.75" x14ac:dyDescent="0.4">
      <c r="B62" s="804"/>
      <c r="C62" s="805"/>
      <c r="D62" s="805"/>
      <c r="E62" s="805"/>
      <c r="F62" s="805"/>
      <c r="G62" s="805"/>
      <c r="K62" s="788"/>
      <c r="L62" s="788"/>
    </row>
    <row r="63" spans="2:12" s="784" customFormat="1" ht="15.75" x14ac:dyDescent="0.4">
      <c r="B63" s="804"/>
      <c r="C63" s="805"/>
      <c r="D63" s="805"/>
      <c r="E63" s="805"/>
      <c r="F63" s="805"/>
      <c r="G63" s="805"/>
      <c r="K63" s="788"/>
      <c r="L63" s="788"/>
    </row>
    <row r="64" spans="2:12" s="784" customFormat="1" ht="15.75" x14ac:dyDescent="0.4">
      <c r="B64" s="804"/>
      <c r="C64" s="805"/>
      <c r="D64" s="805"/>
      <c r="E64" s="805"/>
      <c r="F64" s="805"/>
      <c r="G64" s="805"/>
      <c r="K64" s="788"/>
      <c r="L64" s="788"/>
    </row>
    <row r="65" spans="2:12" s="784" customFormat="1" ht="15.75" x14ac:dyDescent="0.4">
      <c r="B65" s="804"/>
      <c r="C65" s="805"/>
      <c r="D65" s="805"/>
      <c r="E65" s="805"/>
      <c r="F65" s="805"/>
      <c r="G65" s="805"/>
      <c r="K65" s="788"/>
      <c r="L65" s="788"/>
    </row>
    <row r="66" spans="2:12" s="784" customFormat="1" ht="15.75" x14ac:dyDescent="0.4">
      <c r="B66" s="804"/>
      <c r="C66" s="805"/>
      <c r="D66" s="805"/>
      <c r="E66" s="805"/>
      <c r="F66" s="805"/>
      <c r="G66" s="805"/>
      <c r="K66" s="788"/>
      <c r="L66" s="788"/>
    </row>
    <row r="67" spans="2:12" s="784" customFormat="1" ht="15.75" x14ac:dyDescent="0.4">
      <c r="B67" s="804"/>
      <c r="C67" s="805"/>
      <c r="D67" s="805"/>
      <c r="E67" s="805"/>
      <c r="F67" s="805"/>
      <c r="G67" s="805"/>
      <c r="K67" s="788"/>
      <c r="L67" s="788"/>
    </row>
    <row r="68" spans="2:12" s="784" customFormat="1" ht="15.75" x14ac:dyDescent="0.4">
      <c r="B68" s="804"/>
      <c r="C68" s="805"/>
      <c r="D68" s="805"/>
      <c r="E68" s="805"/>
      <c r="F68" s="805"/>
      <c r="G68" s="805"/>
      <c r="K68" s="788"/>
      <c r="L68" s="788"/>
    </row>
    <row r="69" spans="2:12" s="784" customFormat="1" ht="15.75" x14ac:dyDescent="0.4">
      <c r="B69" s="804"/>
      <c r="C69" s="805"/>
      <c r="D69" s="805"/>
      <c r="E69" s="805"/>
      <c r="F69" s="805"/>
      <c r="G69" s="805"/>
      <c r="K69" s="788"/>
      <c r="L69" s="788"/>
    </row>
    <row r="70" spans="2:12" s="784" customFormat="1" ht="15.75" x14ac:dyDescent="0.4">
      <c r="B70" s="804"/>
      <c r="C70" s="805"/>
      <c r="D70" s="805"/>
      <c r="E70" s="805"/>
      <c r="F70" s="805"/>
      <c r="G70" s="805"/>
      <c r="K70" s="788"/>
      <c r="L70" s="788"/>
    </row>
    <row r="71" spans="2:12" s="784" customFormat="1" ht="15.75" x14ac:dyDescent="0.4">
      <c r="B71" s="804"/>
      <c r="C71" s="805"/>
      <c r="D71" s="805"/>
      <c r="E71" s="805"/>
      <c r="F71" s="805"/>
      <c r="G71" s="805"/>
      <c r="K71" s="788"/>
      <c r="L71" s="788"/>
    </row>
    <row r="72" spans="2:12" s="784" customFormat="1" ht="15.75" x14ac:dyDescent="0.4">
      <c r="B72" s="804"/>
      <c r="C72" s="805"/>
      <c r="D72" s="805"/>
      <c r="E72" s="805"/>
      <c r="F72" s="805"/>
      <c r="G72" s="805"/>
      <c r="K72" s="788"/>
      <c r="L72" s="788"/>
    </row>
    <row r="73" spans="2:12" s="784" customFormat="1" ht="15.75" x14ac:dyDescent="0.4">
      <c r="B73" s="804"/>
      <c r="C73" s="805"/>
      <c r="D73" s="805"/>
      <c r="E73" s="805"/>
      <c r="F73" s="805"/>
      <c r="G73" s="805"/>
      <c r="K73" s="788"/>
      <c r="L73" s="788"/>
    </row>
    <row r="74" spans="2:12" s="784" customFormat="1" ht="15.75" x14ac:dyDescent="0.4">
      <c r="B74" s="804"/>
      <c r="C74" s="805"/>
      <c r="D74" s="805"/>
      <c r="E74" s="805"/>
      <c r="F74" s="805"/>
      <c r="G74" s="805"/>
      <c r="K74" s="788"/>
      <c r="L74" s="788"/>
    </row>
    <row r="75" spans="2:12" s="784" customFormat="1" ht="15.75" x14ac:dyDescent="0.4">
      <c r="B75" s="804"/>
      <c r="C75" s="805"/>
      <c r="D75" s="805"/>
      <c r="E75" s="805"/>
      <c r="F75" s="805"/>
      <c r="G75" s="805"/>
      <c r="K75" s="788"/>
      <c r="L75" s="788"/>
    </row>
    <row r="76" spans="2:12" s="784" customFormat="1" ht="15.75" x14ac:dyDescent="0.4">
      <c r="B76" s="804"/>
      <c r="C76" s="805"/>
      <c r="D76" s="805"/>
      <c r="E76" s="805"/>
      <c r="F76" s="805"/>
      <c r="G76" s="805"/>
      <c r="K76" s="788"/>
      <c r="L76" s="788"/>
    </row>
    <row r="77" spans="2:12" s="784" customFormat="1" ht="15.75" x14ac:dyDescent="0.4">
      <c r="B77" s="804"/>
      <c r="C77" s="805"/>
      <c r="D77" s="805"/>
      <c r="E77" s="805"/>
      <c r="F77" s="805"/>
      <c r="G77" s="805"/>
      <c r="K77" s="788"/>
      <c r="L77" s="788"/>
    </row>
    <row r="78" spans="2:12" s="784" customFormat="1" ht="15.75" x14ac:dyDescent="0.4">
      <c r="B78" s="804"/>
      <c r="C78" s="805"/>
      <c r="D78" s="805"/>
      <c r="E78" s="805"/>
      <c r="F78" s="805"/>
      <c r="G78" s="805"/>
      <c r="K78" s="788"/>
      <c r="L78" s="788"/>
    </row>
    <row r="79" spans="2:12" s="784" customFormat="1" ht="15.75" x14ac:dyDescent="0.4">
      <c r="B79" s="804"/>
      <c r="C79" s="805"/>
      <c r="D79" s="805"/>
      <c r="E79" s="805"/>
      <c r="F79" s="805"/>
      <c r="G79" s="805"/>
      <c r="K79" s="788"/>
      <c r="L79" s="788"/>
    </row>
    <row r="80" spans="2:12" s="784" customFormat="1" ht="15.75" x14ac:dyDescent="0.4">
      <c r="B80" s="804"/>
      <c r="C80" s="805"/>
      <c r="D80" s="805"/>
      <c r="E80" s="805"/>
      <c r="F80" s="805"/>
      <c r="G80" s="805"/>
      <c r="K80" s="788"/>
      <c r="L80" s="788"/>
    </row>
    <row r="81" spans="1:12" s="784" customFormat="1" ht="15.75" x14ac:dyDescent="0.4">
      <c r="B81" s="804"/>
      <c r="C81" s="805"/>
      <c r="D81" s="805"/>
      <c r="E81" s="805"/>
      <c r="F81" s="805"/>
      <c r="G81" s="805"/>
      <c r="K81" s="788"/>
      <c r="L81" s="788"/>
    </row>
    <row r="82" spans="1:12" s="784" customFormat="1" ht="15.75" x14ac:dyDescent="0.4">
      <c r="B82" s="804"/>
      <c r="C82" s="805"/>
      <c r="D82" s="805"/>
      <c r="E82" s="805"/>
      <c r="F82" s="805"/>
      <c r="G82" s="805"/>
      <c r="K82" s="788"/>
      <c r="L82" s="788"/>
    </row>
    <row r="83" spans="1:12" s="784" customFormat="1" ht="15.75" x14ac:dyDescent="0.4">
      <c r="B83" s="804"/>
      <c r="C83" s="805"/>
      <c r="D83" s="805"/>
      <c r="E83" s="805"/>
      <c r="F83" s="805"/>
      <c r="G83" s="805"/>
      <c r="K83" s="788"/>
      <c r="L83" s="788"/>
    </row>
    <row r="84" spans="1:12" s="784" customFormat="1" ht="15.75" x14ac:dyDescent="0.4">
      <c r="B84" s="804"/>
      <c r="C84" s="805"/>
      <c r="D84" s="805"/>
      <c r="E84" s="805"/>
      <c r="F84" s="805"/>
      <c r="G84" s="805"/>
      <c r="K84" s="788"/>
      <c r="L84" s="788"/>
    </row>
    <row r="85" spans="1:12" s="784" customFormat="1" ht="18" customHeight="1" x14ac:dyDescent="0.4">
      <c r="A85" s="1371"/>
      <c r="B85" s="1371"/>
      <c r="C85" s="1371"/>
      <c r="D85" s="1371"/>
      <c r="E85" s="1371"/>
      <c r="F85" s="1371"/>
      <c r="G85" s="1371"/>
      <c r="K85" s="788"/>
      <c r="L85" s="788"/>
    </row>
    <row r="87" spans="1:12" s="784" customFormat="1" ht="18" customHeight="1" x14ac:dyDescent="0.4">
      <c r="A87" s="1370" t="s">
        <v>229</v>
      </c>
      <c r="B87" s="1370"/>
      <c r="C87" s="1370"/>
      <c r="D87" s="1370"/>
      <c r="E87" s="1370"/>
      <c r="F87" s="1370"/>
      <c r="G87" s="1370"/>
      <c r="K87" s="788"/>
      <c r="L87" s="788"/>
    </row>
  </sheetData>
  <customSheetViews>
    <customSheetView guid="{39716EAB-185B-4ADF-90CF-1B1041867F58}" scale="115" showPageBreaks="1" printArea="1" hiddenRows="1" view="pageBreakPreview">
      <pane ySplit="1" topLeftCell="A2" activePane="bottomLeft" state="frozen"/>
      <selection pane="bottomLeft" activeCell="G38" sqref="G38"/>
      <rowBreaks count="1" manualBreakCount="1">
        <brk id="44" max="7" man="1"/>
      </rowBreaks>
      <pageMargins left="0.39370078740157499" right="0.78740157480314998" top="0.39370078740157499" bottom="0.39370078740157499" header="0.31496062992126" footer="0.31496062992126"/>
      <pageSetup paperSize="9" scale="76" orientation="portrait" r:id="rId1"/>
    </customSheetView>
    <customSheetView guid="{5CB8382F-C212-4512-9396-17792C62978E}" scale="115" showPageBreaks="1" printArea="1" hiddenRows="1" view="pageBreakPreview">
      <pane ySplit="1" topLeftCell="A24" activePane="bottomLeft" state="frozen"/>
      <selection pane="bottomLeft" activeCell="J36" sqref="J36"/>
      <rowBreaks count="1" manualBreakCount="1">
        <brk id="46" max="7" man="1"/>
      </rowBreaks>
      <pageMargins left="0.39370078740157499" right="0.78740157480314998" top="0.39370078740157499" bottom="0.39370078740157499" header="0.31496062992126" footer="0.31496062992126"/>
      <pageSetup paperSize="9" scale="76" orientation="portrait" r:id="rId2"/>
    </customSheetView>
    <customSheetView guid="{184BCED3-EADB-44CF-BFDA-DA8D3E7206C0}" scale="115" showPageBreaks="1" printArea="1" hiddenRows="1" view="pageBreakPreview">
      <pane ySplit="1" topLeftCell="A31" activePane="bottomLeft" state="frozen"/>
      <selection pane="bottomLeft" activeCell="E31" sqref="E31"/>
      <rowBreaks count="1" manualBreakCount="1">
        <brk id="44" max="7" man="1"/>
      </rowBreaks>
      <pageMargins left="0.39370078740157499" right="0.78740157480314998" top="0.39370078740157499" bottom="0.39370078740157499" header="0.31496062992126" footer="0.31496062992126"/>
      <pageSetup paperSize="9" scale="76" orientation="portrait" r:id="rId3"/>
    </customSheetView>
  </customSheetViews>
  <mergeCells count="8">
    <mergeCell ref="A1:G1"/>
    <mergeCell ref="A2:G2"/>
    <mergeCell ref="A3:G3"/>
    <mergeCell ref="A87:G87"/>
    <mergeCell ref="A85:G85"/>
    <mergeCell ref="E4:F4"/>
    <mergeCell ref="A46:G46"/>
    <mergeCell ref="B45:G45"/>
  </mergeCells>
  <conditionalFormatting sqref="E33">
    <cfRule type="cellIs" dxfId="133" priority="12" stopIfTrue="1" operator="lessThan">
      <formula>0</formula>
    </cfRule>
  </conditionalFormatting>
  <conditionalFormatting sqref="E8:F19">
    <cfRule type="cellIs" dxfId="132" priority="2" stopIfTrue="1" operator="lessThan">
      <formula>0</formula>
    </cfRule>
  </conditionalFormatting>
  <conditionalFormatting sqref="E21:G28">
    <cfRule type="cellIs" dxfId="131" priority="1" stopIfTrue="1" operator="lessThan">
      <formula>0</formula>
    </cfRule>
  </conditionalFormatting>
  <conditionalFormatting sqref="G8:G20 E20 E29 G29 E30:G32">
    <cfRule type="cellIs" dxfId="130" priority="19" stopIfTrue="1" operator="lessThan">
      <formula>0</formula>
    </cfRule>
  </conditionalFormatting>
  <conditionalFormatting sqref="G33">
    <cfRule type="cellIs" dxfId="129" priority="11" stopIfTrue="1" operator="lessThan">
      <formula>0</formula>
    </cfRule>
  </conditionalFormatting>
  <pageMargins left="0.39370078740157499" right="0.78740157480314998" top="0.39370078740157499" bottom="0.39370078740157499" header="0.31496062992126" footer="0.31496062992126"/>
  <pageSetup paperSize="9" scale="80"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K51"/>
  <sheetViews>
    <sheetView rightToLeft="1" view="pageBreakPreview" zoomScale="96" zoomScaleNormal="100" zoomScaleSheetLayoutView="96" workbookViewId="0">
      <selection sqref="A1:K3"/>
    </sheetView>
  </sheetViews>
  <sheetFormatPr defaultColWidth="9" defaultRowHeight="18" x14ac:dyDescent="0.45"/>
  <cols>
    <col min="1" max="1" width="8.140625" style="825" bestFit="1" customWidth="1"/>
    <col min="2" max="2" width="1.140625" style="508" customWidth="1"/>
    <col min="3" max="6" width="10.5703125" style="508" customWidth="1"/>
    <col min="7" max="7" width="1" style="508" customWidth="1"/>
    <col min="8" max="8" width="10.5703125" style="508" customWidth="1"/>
    <col min="9" max="9" width="3.42578125" style="508" customWidth="1"/>
    <col min="10" max="10" width="10.5703125" style="508" customWidth="1"/>
    <col min="11" max="11" width="25.42578125" style="508" customWidth="1"/>
    <col min="12" max="12" width="1.5703125" style="508" customWidth="1"/>
    <col min="13" max="16384" width="9" style="508"/>
  </cols>
  <sheetData>
    <row r="1" spans="1:11" s="809" customFormat="1" ht="21" x14ac:dyDescent="0.45">
      <c r="A1" s="1353" t="s">
        <v>248</v>
      </c>
      <c r="B1" s="1353"/>
      <c r="C1" s="1353"/>
      <c r="D1" s="1353"/>
      <c r="E1" s="1353"/>
      <c r="F1" s="1353"/>
      <c r="G1" s="1353"/>
      <c r="H1" s="1353"/>
      <c r="I1" s="1353"/>
      <c r="J1" s="1353"/>
      <c r="K1" s="1353"/>
    </row>
    <row r="2" spans="1:11" s="809" customFormat="1" ht="21" x14ac:dyDescent="0.45">
      <c r="A2" s="1353" t="s">
        <v>243</v>
      </c>
      <c r="B2" s="1353"/>
      <c r="C2" s="1353"/>
      <c r="D2" s="1353"/>
      <c r="E2" s="1353"/>
      <c r="F2" s="1353"/>
      <c r="G2" s="1353"/>
      <c r="H2" s="1353"/>
      <c r="I2" s="1353"/>
      <c r="J2" s="1353"/>
      <c r="K2" s="1353"/>
    </row>
    <row r="3" spans="1:11" s="809" customFormat="1" ht="21" x14ac:dyDescent="0.45">
      <c r="A3" s="1353" t="str">
        <f>سودوزيان!A3</f>
        <v>سال مالی منتهی به 30 اسفند 1403</v>
      </c>
      <c r="B3" s="1353"/>
      <c r="C3" s="1353"/>
      <c r="D3" s="1353"/>
      <c r="E3" s="1353"/>
      <c r="F3" s="1353"/>
      <c r="G3" s="1353"/>
      <c r="H3" s="1353"/>
      <c r="I3" s="1353"/>
      <c r="J3" s="1353"/>
      <c r="K3" s="1353"/>
    </row>
    <row r="4" spans="1:11" s="809" customFormat="1" ht="18.75" x14ac:dyDescent="0.45">
      <c r="A4" s="727"/>
      <c r="B4" s="727"/>
      <c r="C4" s="727"/>
      <c r="D4" s="727"/>
      <c r="E4" s="727"/>
      <c r="F4" s="727"/>
      <c r="G4" s="727"/>
      <c r="H4" s="727"/>
      <c r="I4" s="727"/>
      <c r="J4" s="727"/>
      <c r="K4" s="727"/>
    </row>
    <row r="5" spans="1:11" s="811" customFormat="1" ht="27.75" customHeight="1" x14ac:dyDescent="0.55000000000000004">
      <c r="A5" s="810" t="s">
        <v>226</v>
      </c>
      <c r="B5" s="1380" t="s">
        <v>224</v>
      </c>
      <c r="C5" s="1380"/>
      <c r="D5" s="1380"/>
      <c r="E5" s="1380"/>
      <c r="F5" s="1380"/>
      <c r="G5" s="1380"/>
      <c r="H5" s="1380"/>
      <c r="I5" s="1380"/>
      <c r="J5" s="1380"/>
      <c r="K5" s="1380"/>
    </row>
    <row r="6" spans="1:11" s="811" customFormat="1" ht="27.75" customHeight="1" x14ac:dyDescent="0.55000000000000004">
      <c r="A6" s="812" t="s">
        <v>223</v>
      </c>
      <c r="B6" s="811" t="s">
        <v>222</v>
      </c>
      <c r="C6" s="813"/>
      <c r="D6" s="813"/>
      <c r="E6" s="813"/>
      <c r="F6" s="813"/>
      <c r="G6" s="813"/>
      <c r="H6" s="813"/>
      <c r="I6" s="813"/>
      <c r="J6" s="813"/>
      <c r="K6" s="813"/>
    </row>
    <row r="7" spans="1:11" s="791" customFormat="1" ht="27.75" customHeight="1" x14ac:dyDescent="0.45">
      <c r="A7" s="814"/>
      <c r="B7" s="1377" t="s">
        <v>314</v>
      </c>
      <c r="C7" s="1377"/>
      <c r="D7" s="1377"/>
      <c r="E7" s="1377"/>
      <c r="F7" s="1377"/>
      <c r="G7" s="1377"/>
      <c r="H7" s="1377"/>
      <c r="I7" s="1377"/>
      <c r="J7" s="1377"/>
      <c r="K7" s="1377"/>
    </row>
    <row r="8" spans="1:11" s="791" customFormat="1" ht="27.75" customHeight="1" x14ac:dyDescent="0.45">
      <c r="A8" s="814"/>
      <c r="B8" s="1377"/>
      <c r="C8" s="1377"/>
      <c r="D8" s="1377"/>
      <c r="E8" s="1377"/>
      <c r="F8" s="1377"/>
      <c r="G8" s="1377"/>
      <c r="H8" s="1377"/>
      <c r="I8" s="1377"/>
      <c r="J8" s="1377"/>
      <c r="K8" s="1377"/>
    </row>
    <row r="9" spans="1:11" s="791" customFormat="1" ht="27.75" customHeight="1" x14ac:dyDescent="0.45">
      <c r="A9" s="814" t="s">
        <v>490</v>
      </c>
      <c r="B9" s="1377"/>
      <c r="C9" s="1377"/>
      <c r="D9" s="1377"/>
      <c r="E9" s="1377"/>
      <c r="F9" s="1377"/>
      <c r="G9" s="1377"/>
      <c r="H9" s="1377"/>
      <c r="I9" s="1377"/>
      <c r="J9" s="1377"/>
      <c r="K9" s="1377"/>
    </row>
    <row r="10" spans="1:11" s="811" customFormat="1" ht="27.75" customHeight="1" x14ac:dyDescent="0.55000000000000004">
      <c r="A10" s="812" t="s">
        <v>221</v>
      </c>
      <c r="B10" s="1380" t="s">
        <v>220</v>
      </c>
      <c r="C10" s="1380"/>
      <c r="D10" s="1380"/>
      <c r="E10" s="1380"/>
      <c r="F10" s="1380"/>
      <c r="G10" s="1380"/>
      <c r="H10" s="1380"/>
      <c r="I10" s="1380"/>
      <c r="J10" s="1380"/>
      <c r="K10" s="1380"/>
    </row>
    <row r="11" spans="1:11" s="811" customFormat="1" ht="22.5" customHeight="1" x14ac:dyDescent="0.55000000000000004">
      <c r="A11" s="812"/>
      <c r="B11" s="791"/>
      <c r="C11" s="1374" t="s">
        <v>426</v>
      </c>
      <c r="D11" s="1374"/>
      <c r="E11" s="1374"/>
      <c r="F11" s="1374"/>
      <c r="G11" s="1374"/>
      <c r="H11" s="1374"/>
      <c r="I11" s="1374"/>
      <c r="J11" s="1374"/>
      <c r="K11" s="1374"/>
    </row>
    <row r="12" spans="1:11" s="811" customFormat="1" ht="22.5" customHeight="1" x14ac:dyDescent="0.55000000000000004">
      <c r="A12" s="812"/>
      <c r="B12" s="791"/>
      <c r="C12" s="1376" t="s">
        <v>427</v>
      </c>
      <c r="D12" s="1376"/>
      <c r="E12" s="1376"/>
      <c r="F12" s="1376"/>
      <c r="G12" s="1376"/>
      <c r="H12" s="1376"/>
      <c r="I12" s="1376"/>
      <c r="J12" s="1376"/>
      <c r="K12" s="1376"/>
    </row>
    <row r="13" spans="1:11" s="791" customFormat="1" ht="22.5" customHeight="1" x14ac:dyDescent="0.45">
      <c r="A13" s="814"/>
      <c r="C13" s="1376" t="s">
        <v>428</v>
      </c>
      <c r="D13" s="1376"/>
      <c r="E13" s="1376"/>
      <c r="F13" s="1376"/>
      <c r="G13" s="1376"/>
      <c r="H13" s="1376"/>
      <c r="I13" s="1376"/>
      <c r="J13" s="1376"/>
      <c r="K13" s="1376"/>
    </row>
    <row r="14" spans="1:11" s="791" customFormat="1" ht="22.5" customHeight="1" x14ac:dyDescent="0.45">
      <c r="A14" s="814"/>
      <c r="C14" s="1376" t="s">
        <v>429</v>
      </c>
      <c r="D14" s="1376"/>
      <c r="E14" s="1376"/>
      <c r="F14" s="1376"/>
      <c r="G14" s="1376"/>
      <c r="H14" s="1376"/>
      <c r="I14" s="1376"/>
      <c r="J14" s="1376"/>
      <c r="K14" s="1376"/>
    </row>
    <row r="15" spans="1:11" s="791" customFormat="1" ht="22.5" customHeight="1" x14ac:dyDescent="0.45">
      <c r="A15" s="814"/>
      <c r="C15" s="1376" t="s">
        <v>430</v>
      </c>
      <c r="D15" s="1376"/>
      <c r="E15" s="1376"/>
      <c r="F15" s="1376"/>
      <c r="G15" s="1376"/>
      <c r="H15" s="1376"/>
      <c r="I15" s="1376"/>
      <c r="J15" s="1376"/>
      <c r="K15" s="1376"/>
    </row>
    <row r="16" spans="1:11" s="791" customFormat="1" ht="22.5" customHeight="1" x14ac:dyDescent="0.45">
      <c r="A16" s="814"/>
      <c r="C16" s="1376" t="s">
        <v>431</v>
      </c>
      <c r="D16" s="1376"/>
      <c r="E16" s="1376"/>
      <c r="F16" s="1376"/>
      <c r="G16" s="1376"/>
      <c r="H16" s="1376"/>
      <c r="I16" s="1376"/>
      <c r="J16" s="1376"/>
      <c r="K16" s="1376"/>
    </row>
    <row r="17" spans="1:11" s="811" customFormat="1" ht="27.75" customHeight="1" x14ac:dyDescent="0.55000000000000004">
      <c r="A17" s="812" t="s">
        <v>219</v>
      </c>
      <c r="B17" s="1375" t="s">
        <v>218</v>
      </c>
      <c r="C17" s="1375"/>
      <c r="D17" s="1375"/>
      <c r="E17" s="1375"/>
      <c r="F17" s="1375"/>
      <c r="G17" s="1375"/>
      <c r="H17" s="1375"/>
      <c r="I17" s="1375"/>
      <c r="J17" s="1375"/>
      <c r="K17" s="1375"/>
    </row>
    <row r="18" spans="1:11" s="791" customFormat="1" ht="44.25" customHeight="1" x14ac:dyDescent="0.45">
      <c r="A18" s="814"/>
      <c r="B18" s="1377" t="s">
        <v>234</v>
      </c>
      <c r="C18" s="1377"/>
      <c r="D18" s="1377"/>
      <c r="E18" s="1377"/>
      <c r="F18" s="1377"/>
      <c r="G18" s="1377"/>
      <c r="H18" s="1377"/>
      <c r="I18" s="1377"/>
      <c r="J18" s="1377"/>
      <c r="K18" s="1377"/>
    </row>
    <row r="19" spans="1:11" s="791" customFormat="1" ht="27.75" customHeight="1" x14ac:dyDescent="0.45">
      <c r="A19" s="814"/>
      <c r="C19" s="795"/>
      <c r="D19" s="795"/>
      <c r="E19" s="795"/>
      <c r="F19" s="795"/>
      <c r="G19" s="795"/>
      <c r="H19" s="795"/>
      <c r="I19" s="795"/>
      <c r="J19" s="815"/>
      <c r="K19" s="815"/>
    </row>
    <row r="20" spans="1:11" s="816" customFormat="1" ht="21.75" customHeight="1" x14ac:dyDescent="0.25">
      <c r="C20" s="697"/>
      <c r="D20" s="697"/>
      <c r="E20" s="697"/>
      <c r="F20" s="697"/>
      <c r="G20" s="697"/>
      <c r="H20" s="817">
        <v>1403</v>
      </c>
      <c r="I20" s="697"/>
      <c r="J20" s="817">
        <v>1402</v>
      </c>
      <c r="K20" s="792"/>
    </row>
    <row r="21" spans="1:11" s="791" customFormat="1" ht="21.75" customHeight="1" x14ac:dyDescent="0.45">
      <c r="A21" s="814"/>
      <c r="C21" s="795"/>
      <c r="D21" s="795"/>
      <c r="E21" s="795"/>
      <c r="F21" s="795"/>
      <c r="G21" s="795"/>
      <c r="H21" s="792" t="s">
        <v>217</v>
      </c>
      <c r="I21" s="795"/>
      <c r="J21" s="792" t="s">
        <v>217</v>
      </c>
      <c r="K21" s="792"/>
    </row>
    <row r="22" spans="1:11" s="818" customFormat="1" ht="21.75" customHeight="1" x14ac:dyDescent="0.45">
      <c r="C22" s="697"/>
      <c r="D22" s="697"/>
      <c r="E22" s="1374" t="s">
        <v>216</v>
      </c>
      <c r="F22" s="1374"/>
      <c r="G22" s="697"/>
      <c r="H22" s="697">
        <v>8</v>
      </c>
      <c r="I22" s="819"/>
      <c r="J22" s="1061">
        <v>13</v>
      </c>
      <c r="K22" s="792"/>
    </row>
    <row r="23" spans="1:11" s="818" customFormat="1" ht="21.75" customHeight="1" x14ac:dyDescent="0.45">
      <c r="C23" s="697"/>
      <c r="D23" s="697"/>
      <c r="E23" s="1374" t="s">
        <v>215</v>
      </c>
      <c r="F23" s="1374"/>
      <c r="G23" s="697"/>
      <c r="H23" s="972">
        <v>351</v>
      </c>
      <c r="I23" s="819"/>
      <c r="J23" s="972">
        <v>392</v>
      </c>
      <c r="K23" s="792"/>
    </row>
    <row r="24" spans="1:11" s="818" customFormat="1" ht="21.75" customHeight="1" x14ac:dyDescent="0.45">
      <c r="C24" s="697"/>
      <c r="D24" s="697"/>
      <c r="E24" s="697"/>
      <c r="F24" s="697"/>
      <c r="G24" s="697"/>
      <c r="H24" s="697">
        <v>359</v>
      </c>
      <c r="I24" s="697"/>
      <c r="J24" s="1061">
        <f>SUM(J22:J23)</f>
        <v>405</v>
      </c>
      <c r="K24" s="792"/>
    </row>
    <row r="25" spans="1:11" s="791" customFormat="1" ht="21.75" customHeight="1" thickBot="1" x14ac:dyDescent="0.5">
      <c r="A25" s="814"/>
      <c r="C25" s="795"/>
      <c r="D25" s="795"/>
      <c r="E25" s="795"/>
      <c r="F25" s="795"/>
      <c r="G25" s="795"/>
      <c r="H25" s="820">
        <f>SUM(H24:H24)</f>
        <v>359</v>
      </c>
      <c r="I25" s="821"/>
      <c r="J25" s="820">
        <f>SUM(J24:J24)</f>
        <v>405</v>
      </c>
      <c r="K25" s="792"/>
    </row>
    <row r="26" spans="1:11" s="791" customFormat="1" ht="27.75" customHeight="1" thickTop="1" x14ac:dyDescent="0.45">
      <c r="A26" s="814"/>
      <c r="C26" s="795"/>
      <c r="D26" s="795"/>
      <c r="E26" s="795"/>
      <c r="F26" s="795"/>
      <c r="G26" s="795"/>
      <c r="H26" s="795"/>
      <c r="I26" s="795"/>
      <c r="J26" s="792"/>
      <c r="K26" s="792"/>
    </row>
    <row r="27" spans="1:11" s="791" customFormat="1" ht="27.75" customHeight="1" x14ac:dyDescent="0.55000000000000004">
      <c r="A27" s="822">
        <v>-2</v>
      </c>
      <c r="B27" s="1380" t="s">
        <v>722</v>
      </c>
      <c r="C27" s="1380"/>
      <c r="D27" s="1380"/>
      <c r="E27" s="1380"/>
      <c r="F27" s="1380"/>
      <c r="G27" s="1380"/>
      <c r="H27" s="1380"/>
      <c r="I27" s="1380"/>
      <c r="J27" s="1380"/>
      <c r="K27" s="1380"/>
    </row>
    <row r="28" spans="1:11" s="791" customFormat="1" ht="27.75" customHeight="1" x14ac:dyDescent="0.55000000000000004">
      <c r="A28" s="822" t="s">
        <v>214</v>
      </c>
      <c r="B28" s="1380" t="s">
        <v>723</v>
      </c>
      <c r="C28" s="1380"/>
      <c r="D28" s="1380"/>
      <c r="E28" s="1380"/>
      <c r="F28" s="1380"/>
      <c r="G28" s="1380"/>
      <c r="H28" s="1380"/>
      <c r="I28" s="1380"/>
      <c r="J28" s="1380"/>
      <c r="K28" s="1380"/>
    </row>
    <row r="29" spans="1:11" s="791" customFormat="1" ht="21.75" customHeight="1" x14ac:dyDescent="0.55000000000000004">
      <c r="A29" s="823" t="s">
        <v>725</v>
      </c>
      <c r="B29" s="1381" t="s">
        <v>712</v>
      </c>
      <c r="C29" s="1381"/>
      <c r="D29" s="1381"/>
      <c r="E29" s="1381"/>
      <c r="F29" s="1381"/>
      <c r="G29" s="1381"/>
      <c r="H29" s="1381"/>
      <c r="I29" s="1381"/>
      <c r="J29" s="1381"/>
      <c r="K29" s="1381"/>
    </row>
    <row r="30" spans="1:11" s="791" customFormat="1" ht="85.5" customHeight="1" x14ac:dyDescent="0.45">
      <c r="A30" s="816"/>
      <c r="B30" s="1382" t="s">
        <v>724</v>
      </c>
      <c r="C30" s="1382"/>
      <c r="D30" s="1382"/>
      <c r="E30" s="1382"/>
      <c r="F30" s="1382"/>
      <c r="G30" s="1382"/>
      <c r="H30" s="1382"/>
      <c r="I30" s="1382"/>
      <c r="J30" s="1382"/>
      <c r="K30" s="1382"/>
    </row>
    <row r="31" spans="1:11" s="791" customFormat="1" ht="44.25" customHeight="1" x14ac:dyDescent="0.55000000000000004">
      <c r="A31" s="823" t="s">
        <v>713</v>
      </c>
      <c r="B31" s="824"/>
      <c r="C31" s="1381" t="s">
        <v>780</v>
      </c>
      <c r="D31" s="1381"/>
      <c r="E31" s="1381"/>
      <c r="F31" s="1381"/>
      <c r="G31" s="1381"/>
      <c r="H31" s="1381"/>
      <c r="I31" s="1381"/>
      <c r="J31" s="1381"/>
      <c r="K31" s="1381"/>
    </row>
    <row r="32" spans="1:11" s="791" customFormat="1" ht="57" customHeight="1" x14ac:dyDescent="0.45">
      <c r="A32" s="823" t="s">
        <v>726</v>
      </c>
      <c r="B32" s="824"/>
      <c r="C32" s="1382" t="s">
        <v>781</v>
      </c>
      <c r="D32" s="1382"/>
      <c r="E32" s="1382"/>
      <c r="F32" s="1382"/>
      <c r="G32" s="1382"/>
      <c r="H32" s="1382"/>
      <c r="I32" s="1382"/>
      <c r="J32" s="1382"/>
      <c r="K32" s="1382"/>
    </row>
    <row r="33" spans="1:11" s="791" customFormat="1" ht="10.5" customHeight="1" x14ac:dyDescent="0.45">
      <c r="A33" s="823"/>
      <c r="B33" s="824"/>
      <c r="C33" s="824"/>
      <c r="D33" s="824"/>
      <c r="E33" s="824"/>
      <c r="F33" s="824"/>
      <c r="G33" s="824"/>
      <c r="H33" s="824"/>
      <c r="I33" s="824"/>
      <c r="J33" s="824"/>
      <c r="K33" s="824"/>
    </row>
    <row r="34" spans="1:11" ht="27.75" customHeight="1" x14ac:dyDescent="0.45">
      <c r="C34" s="826"/>
      <c r="D34" s="826"/>
      <c r="E34" s="826"/>
      <c r="F34" s="827">
        <v>6</v>
      </c>
      <c r="G34" s="826"/>
      <c r="H34" s="826"/>
      <c r="I34" s="826"/>
      <c r="J34" s="828"/>
      <c r="K34" s="828"/>
    </row>
    <row r="35" spans="1:11" ht="19.5" customHeight="1" x14ac:dyDescent="0.45">
      <c r="A35" s="1378"/>
      <c r="B35" s="1378"/>
      <c r="C35" s="1378"/>
      <c r="D35" s="1378"/>
      <c r="E35" s="1378"/>
      <c r="F35" s="1378"/>
      <c r="G35" s="1378"/>
      <c r="H35" s="1378"/>
      <c r="I35" s="1378"/>
    </row>
    <row r="36" spans="1:11" ht="19.5" x14ac:dyDescent="0.45">
      <c r="C36" s="826"/>
      <c r="D36" s="826"/>
      <c r="E36" s="826"/>
      <c r="F36" s="826"/>
      <c r="G36" s="826"/>
      <c r="H36" s="826"/>
      <c r="I36" s="826"/>
      <c r="J36" s="828"/>
      <c r="K36" s="828"/>
    </row>
    <row r="37" spans="1:11" ht="19.5" x14ac:dyDescent="0.45">
      <c r="C37" s="826"/>
      <c r="D37" s="826"/>
      <c r="E37" s="826"/>
      <c r="F37" s="826"/>
      <c r="G37" s="826"/>
      <c r="H37" s="826"/>
      <c r="I37" s="826"/>
      <c r="J37" s="828"/>
      <c r="K37" s="828"/>
    </row>
    <row r="38" spans="1:11" ht="19.5" x14ac:dyDescent="0.45">
      <c r="C38" s="826"/>
      <c r="D38" s="826"/>
      <c r="E38" s="826"/>
      <c r="F38" s="826"/>
      <c r="G38" s="826"/>
      <c r="H38" s="826"/>
      <c r="I38" s="826"/>
      <c r="J38" s="828"/>
      <c r="K38" s="828"/>
    </row>
    <row r="39" spans="1:11" ht="19.5" x14ac:dyDescent="0.45">
      <c r="C39" s="826"/>
      <c r="D39" s="826"/>
      <c r="E39" s="826"/>
      <c r="F39" s="826"/>
      <c r="G39" s="826"/>
      <c r="H39" s="826"/>
      <c r="I39" s="826"/>
      <c r="J39" s="828"/>
      <c r="K39" s="828"/>
    </row>
    <row r="40" spans="1:11" ht="19.5" x14ac:dyDescent="0.45">
      <c r="C40" s="826"/>
      <c r="D40" s="826"/>
      <c r="E40" s="826"/>
      <c r="F40" s="826"/>
      <c r="G40" s="826"/>
      <c r="H40" s="826"/>
      <c r="I40" s="826"/>
      <c r="J40" s="828"/>
      <c r="K40" s="828"/>
    </row>
    <row r="41" spans="1:11" ht="19.5" x14ac:dyDescent="0.45">
      <c r="C41" s="826"/>
      <c r="D41" s="826"/>
      <c r="E41" s="826"/>
      <c r="F41" s="826"/>
      <c r="G41" s="826"/>
      <c r="H41" s="826"/>
      <c r="I41" s="826"/>
      <c r="J41" s="828"/>
      <c r="K41" s="828"/>
    </row>
    <row r="42" spans="1:11" ht="19.5" x14ac:dyDescent="0.45">
      <c r="C42" s="826"/>
      <c r="D42" s="826"/>
      <c r="E42" s="826"/>
      <c r="F42" s="826"/>
      <c r="G42" s="826"/>
      <c r="H42" s="826"/>
      <c r="I42" s="826"/>
      <c r="J42" s="828"/>
      <c r="K42" s="828"/>
    </row>
    <row r="43" spans="1:11" ht="19.5" x14ac:dyDescent="0.45">
      <c r="C43" s="826"/>
      <c r="D43" s="826"/>
      <c r="E43" s="826"/>
      <c r="F43" s="826"/>
      <c r="G43" s="826"/>
      <c r="H43" s="826"/>
      <c r="I43" s="826"/>
      <c r="J43" s="828"/>
      <c r="K43" s="828"/>
    </row>
    <row r="44" spans="1:11" ht="19.5" x14ac:dyDescent="0.45">
      <c r="C44" s="826"/>
      <c r="D44" s="826"/>
      <c r="E44" s="826"/>
      <c r="F44" s="826"/>
      <c r="G44" s="826"/>
      <c r="H44" s="826"/>
      <c r="I44" s="826"/>
      <c r="J44" s="828"/>
      <c r="K44" s="828"/>
    </row>
    <row r="45" spans="1:11" ht="19.5" x14ac:dyDescent="0.45">
      <c r="C45" s="826"/>
      <c r="D45" s="826"/>
      <c r="E45" s="826"/>
      <c r="F45" s="826"/>
      <c r="G45" s="826"/>
      <c r="H45" s="826"/>
      <c r="I45" s="826"/>
      <c r="J45" s="828"/>
      <c r="K45" s="828"/>
    </row>
    <row r="46" spans="1:11" ht="19.5" x14ac:dyDescent="0.45">
      <c r="C46" s="826"/>
      <c r="D46" s="826"/>
      <c r="E46" s="826"/>
      <c r="F46" s="826"/>
      <c r="G46" s="826"/>
      <c r="H46" s="826"/>
      <c r="I46" s="826"/>
      <c r="J46" s="828"/>
      <c r="K46" s="828"/>
    </row>
    <row r="47" spans="1:11" ht="19.5" x14ac:dyDescent="0.45">
      <c r="C47" s="826"/>
      <c r="D47" s="826"/>
      <c r="E47" s="826"/>
      <c r="F47" s="826"/>
      <c r="G47" s="826"/>
      <c r="H47" s="826"/>
      <c r="I47" s="826"/>
      <c r="J47" s="828"/>
      <c r="K47" s="828"/>
    </row>
    <row r="48" spans="1:11" ht="19.5" x14ac:dyDescent="0.45">
      <c r="C48" s="826"/>
      <c r="D48" s="826"/>
      <c r="E48" s="826"/>
      <c r="F48" s="826"/>
      <c r="G48" s="826"/>
      <c r="H48" s="826"/>
      <c r="I48" s="826"/>
      <c r="J48" s="828"/>
      <c r="K48" s="828"/>
    </row>
    <row r="49" spans="3:11" ht="19.5" x14ac:dyDescent="0.45">
      <c r="C49" s="826"/>
      <c r="D49" s="826"/>
      <c r="E49" s="826"/>
      <c r="F49" s="826"/>
      <c r="G49" s="826"/>
      <c r="H49" s="826"/>
      <c r="I49" s="826"/>
      <c r="J49" s="828"/>
      <c r="K49" s="828"/>
    </row>
    <row r="50" spans="3:11" ht="18.75" x14ac:dyDescent="0.45">
      <c r="C50" s="1379"/>
      <c r="D50" s="1379"/>
      <c r="E50" s="1379"/>
      <c r="F50" s="1379"/>
      <c r="G50" s="1379"/>
      <c r="H50" s="1379"/>
      <c r="I50" s="1379"/>
      <c r="J50" s="1379"/>
      <c r="K50" s="1379"/>
    </row>
    <row r="51" spans="3:11" x14ac:dyDescent="0.45">
      <c r="C51" s="829"/>
      <c r="D51" s="829"/>
      <c r="E51" s="829"/>
      <c r="F51" s="829"/>
      <c r="G51" s="829"/>
      <c r="H51" s="829"/>
      <c r="I51" s="829"/>
      <c r="J51" s="781"/>
      <c r="K51" s="781"/>
    </row>
  </sheetData>
  <customSheetViews>
    <customSheetView guid="{39716EAB-185B-4ADF-90CF-1B1041867F58}" showPageBreaks="1" printArea="1" hiddenColumns="1" topLeftCell="A16">
      <selection activeCell="H22" sqref="H22:H23"/>
      <colBreaks count="1" manualBreakCount="1">
        <brk id="11" max="35" man="1"/>
      </colBreaks>
      <pageMargins left="0.39370078740157483" right="0.78740157480314965" top="0.39370078740157483" bottom="0.39370078740157483" header="0.31496062992125984" footer="0.31496062992125984"/>
      <pageSetup paperSize="9" scale="80" orientation="portrait" r:id="rId1"/>
    </customSheetView>
    <customSheetView guid="{5CB8382F-C212-4512-9396-17792C62978E}" showPageBreaks="1" printArea="1" hiddenColumns="1" topLeftCell="A16">
      <selection activeCell="H22" sqref="H22:H23"/>
      <colBreaks count="1" manualBreakCount="1">
        <brk id="11" max="35" man="1"/>
      </colBreaks>
      <pageMargins left="0.39370078740157483" right="0.78740157480314965" top="0.39370078740157483" bottom="0.39370078740157483" header="0.31496062992125984" footer="0.31496062992125984"/>
      <pageSetup paperSize="9" scale="80" orientation="portrait" r:id="rId2"/>
    </customSheetView>
    <customSheetView guid="{184BCED3-EADB-44CF-BFDA-DA8D3E7206C0}" showPageBreaks="1" printArea="1" hiddenColumns="1" topLeftCell="A25">
      <selection activeCell="H22" sqref="H22"/>
      <colBreaks count="1" manualBreakCount="1">
        <brk id="11" max="35" man="1"/>
      </colBreaks>
      <pageMargins left="0.39370078740157483" right="0.78740157480314965" top="0.39370078740157483" bottom="0.39370078740157483" header="0.31496062992125984" footer="0.31496062992125984"/>
      <pageSetup paperSize="9" scale="80" orientation="portrait" r:id="rId3"/>
    </customSheetView>
  </customSheetViews>
  <mergeCells count="24">
    <mergeCell ref="A35:I35"/>
    <mergeCell ref="C50:K50"/>
    <mergeCell ref="B5:K5"/>
    <mergeCell ref="B10:K10"/>
    <mergeCell ref="B28:K28"/>
    <mergeCell ref="B27:K27"/>
    <mergeCell ref="B7:K9"/>
    <mergeCell ref="C11:K11"/>
    <mergeCell ref="C31:K31"/>
    <mergeCell ref="C32:K32"/>
    <mergeCell ref="B30:K30"/>
    <mergeCell ref="B29:K29"/>
    <mergeCell ref="A1:K1"/>
    <mergeCell ref="A2:K2"/>
    <mergeCell ref="A3:K3"/>
    <mergeCell ref="E22:F22"/>
    <mergeCell ref="E23:F23"/>
    <mergeCell ref="B17:K17"/>
    <mergeCell ref="C16:K16"/>
    <mergeCell ref="C14:K14"/>
    <mergeCell ref="C15:K15"/>
    <mergeCell ref="C12:K12"/>
    <mergeCell ref="C13:K13"/>
    <mergeCell ref="B18:K18"/>
  </mergeCells>
  <hyperlinks>
    <hyperlink ref="A1:XFD3" r:id="rId4" display="http://modiriatmali.com/" xr:uid="{00000000-0004-0000-0500-000000000000}"/>
  </hyperlinks>
  <pageMargins left="0.39370078740157499" right="0.78740157480314998" top="0.39370078740157499" bottom="0.39370078740157499" header="0.31496062992126" footer="0.31496062992126"/>
  <pageSetup paperSize="9" scale="85"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F45"/>
  <sheetViews>
    <sheetView rightToLeft="1" zoomScaleNormal="100" zoomScaleSheetLayoutView="55" workbookViewId="0">
      <selection activeCell="A43" sqref="A43:F43"/>
    </sheetView>
  </sheetViews>
  <sheetFormatPr defaultColWidth="9" defaultRowHeight="27" customHeight="1" x14ac:dyDescent="0.25"/>
  <cols>
    <col min="1" max="1" width="13.7109375" style="830" customWidth="1"/>
    <col min="2" max="2" width="15.28515625" style="830" customWidth="1"/>
    <col min="3" max="3" width="14.7109375" style="830" customWidth="1"/>
    <col min="4" max="4" width="15.42578125" style="830" customWidth="1"/>
    <col min="5" max="5" width="20.42578125" style="830" customWidth="1"/>
    <col min="6" max="6" width="52" style="830" customWidth="1"/>
    <col min="7" max="7" width="5.42578125" style="830" customWidth="1"/>
    <col min="8" max="15" width="18.140625" style="830" customWidth="1"/>
    <col min="16" max="16384" width="9" style="830"/>
  </cols>
  <sheetData>
    <row r="1" spans="1:6" ht="27" customHeight="1" x14ac:dyDescent="0.25">
      <c r="A1" s="1383" t="s">
        <v>244</v>
      </c>
      <c r="B1" s="1383"/>
      <c r="C1" s="1383"/>
      <c r="D1" s="1383"/>
      <c r="E1" s="1383"/>
      <c r="F1" s="1383"/>
    </row>
    <row r="2" spans="1:6" ht="27" customHeight="1" x14ac:dyDescent="0.25">
      <c r="A2" s="1383" t="s">
        <v>492</v>
      </c>
      <c r="B2" s="1383"/>
      <c r="C2" s="1383"/>
      <c r="D2" s="1383"/>
      <c r="E2" s="1383"/>
      <c r="F2" s="1383"/>
    </row>
    <row r="3" spans="1:6" ht="27" customHeight="1" x14ac:dyDescent="0.25">
      <c r="A3" s="1383" t="str">
        <f>سودوزيان!A3</f>
        <v>سال مالی منتهی به 30 اسفند 1403</v>
      </c>
      <c r="B3" s="1383"/>
      <c r="C3" s="1383"/>
      <c r="D3" s="1383"/>
      <c r="E3" s="1383"/>
      <c r="F3" s="1383"/>
    </row>
    <row r="4" spans="1:6" ht="27" customHeight="1" x14ac:dyDescent="0.25">
      <c r="A4" s="984"/>
      <c r="B4" s="984"/>
      <c r="C4" s="984"/>
      <c r="D4" s="984"/>
      <c r="E4" s="984"/>
      <c r="F4" s="984"/>
    </row>
    <row r="5" spans="1:6" ht="24" customHeight="1" x14ac:dyDescent="0.25">
      <c r="A5" s="1385" t="s">
        <v>345</v>
      </c>
      <c r="B5" s="1385"/>
      <c r="C5" s="1385"/>
      <c r="D5" s="1385"/>
      <c r="E5" s="1385"/>
      <c r="F5" s="1385"/>
    </row>
    <row r="6" spans="1:6" ht="24" customHeight="1" x14ac:dyDescent="0.25">
      <c r="A6" s="1385" t="s">
        <v>346</v>
      </c>
      <c r="B6" s="1385"/>
      <c r="C6" s="1385"/>
      <c r="D6" s="1385"/>
      <c r="E6" s="1385"/>
      <c r="F6" s="1385"/>
    </row>
    <row r="7" spans="1:6" ht="24" customHeight="1" x14ac:dyDescent="0.25">
      <c r="A7" s="1386" t="s">
        <v>1046</v>
      </c>
      <c r="B7" s="1386"/>
      <c r="C7" s="1386"/>
      <c r="D7" s="1386"/>
      <c r="E7" s="1386"/>
      <c r="F7" s="1386"/>
    </row>
    <row r="8" spans="1:6" ht="24" customHeight="1" x14ac:dyDescent="0.25">
      <c r="A8" s="1385" t="s">
        <v>1047</v>
      </c>
      <c r="B8" s="1385"/>
      <c r="C8" s="1385"/>
      <c r="D8" s="1385"/>
      <c r="E8" s="1385"/>
      <c r="F8" s="1385"/>
    </row>
    <row r="9" spans="1:6" ht="33" customHeight="1" x14ac:dyDescent="0.25">
      <c r="A9" s="1387" t="s">
        <v>1048</v>
      </c>
      <c r="B9" s="1387"/>
      <c r="C9" s="1387"/>
      <c r="D9" s="1387"/>
      <c r="E9" s="1387"/>
      <c r="F9" s="1387"/>
    </row>
    <row r="10" spans="1:6" ht="51" customHeight="1" x14ac:dyDescent="0.25">
      <c r="A10" s="1388" t="s">
        <v>1299</v>
      </c>
      <c r="B10" s="1388"/>
      <c r="C10" s="1388"/>
      <c r="D10" s="1388"/>
      <c r="E10" s="1388"/>
      <c r="F10" s="1388"/>
    </row>
    <row r="11" spans="1:6" ht="12.75" customHeight="1" x14ac:dyDescent="0.25">
      <c r="A11" s="1384"/>
      <c r="B11" s="1384"/>
      <c r="C11" s="1384"/>
      <c r="D11" s="1384"/>
      <c r="E11" s="1384"/>
      <c r="F11" s="1384"/>
    </row>
    <row r="12" spans="1:6" ht="7.5" customHeight="1" x14ac:dyDescent="0.25">
      <c r="A12" s="1384" t="s">
        <v>315</v>
      </c>
      <c r="B12" s="1384"/>
      <c r="C12" s="1384"/>
      <c r="D12" s="1384"/>
      <c r="E12" s="1384"/>
      <c r="F12" s="1384"/>
    </row>
    <row r="13" spans="1:6" ht="24" customHeight="1" x14ac:dyDescent="0.25">
      <c r="A13" s="831" t="s">
        <v>490</v>
      </c>
      <c r="B13" s="831"/>
      <c r="C13" s="831"/>
      <c r="D13" s="831"/>
      <c r="E13" s="832" t="s">
        <v>316</v>
      </c>
      <c r="F13" s="831"/>
    </row>
    <row r="14" spans="1:6" ht="24" customHeight="1" x14ac:dyDescent="0.25">
      <c r="A14" s="831"/>
      <c r="B14" s="1384" t="s">
        <v>317</v>
      </c>
      <c r="C14" s="1384"/>
      <c r="D14" s="831"/>
      <c r="E14" s="833" t="s">
        <v>318</v>
      </c>
      <c r="F14" s="831"/>
    </row>
    <row r="15" spans="1:6" ht="24" customHeight="1" x14ac:dyDescent="0.25">
      <c r="A15" s="831"/>
      <c r="B15" s="1384" t="s">
        <v>319</v>
      </c>
      <c r="C15" s="1384"/>
      <c r="D15" s="831"/>
      <c r="E15" s="833" t="s">
        <v>318</v>
      </c>
      <c r="F15" s="831"/>
    </row>
    <row r="16" spans="1:6" ht="24" customHeight="1" x14ac:dyDescent="0.25">
      <c r="A16" s="831"/>
      <c r="B16" s="1384" t="s">
        <v>137</v>
      </c>
      <c r="C16" s="1384"/>
      <c r="D16" s="831"/>
      <c r="E16" s="833" t="s">
        <v>318</v>
      </c>
      <c r="F16" s="831"/>
    </row>
    <row r="17" spans="1:6" ht="24" customHeight="1" x14ac:dyDescent="0.25">
      <c r="A17" s="834"/>
      <c r="B17" s="1384" t="s">
        <v>320</v>
      </c>
      <c r="C17" s="1384"/>
      <c r="D17" s="834"/>
      <c r="E17" s="833" t="s">
        <v>318</v>
      </c>
      <c r="F17" s="834"/>
    </row>
    <row r="18" spans="1:6" ht="12" customHeight="1" x14ac:dyDescent="0.25">
      <c r="A18" s="834"/>
      <c r="B18" s="981"/>
      <c r="C18" s="981"/>
      <c r="D18" s="834"/>
      <c r="E18" s="833"/>
      <c r="F18" s="834"/>
    </row>
    <row r="19" spans="1:6" ht="24" customHeight="1" x14ac:dyDescent="0.25">
      <c r="A19" s="1385" t="s">
        <v>347</v>
      </c>
      <c r="B19" s="1385"/>
      <c r="C19" s="1385"/>
      <c r="D19" s="1385"/>
      <c r="E19" s="1385"/>
      <c r="F19" s="1385"/>
    </row>
    <row r="20" spans="1:6" ht="42" customHeight="1" x14ac:dyDescent="0.25">
      <c r="A20" s="835"/>
      <c r="B20" s="1257"/>
      <c r="C20" s="1391" t="s">
        <v>787</v>
      </c>
      <c r="D20" s="1392"/>
      <c r="E20" s="1393" t="s">
        <v>727</v>
      </c>
      <c r="F20" s="1393"/>
    </row>
    <row r="21" spans="1:6" ht="59.25" customHeight="1" x14ac:dyDescent="0.25">
      <c r="A21" s="835"/>
      <c r="B21" s="1256" t="s">
        <v>117</v>
      </c>
      <c r="C21" s="1390" t="s">
        <v>784</v>
      </c>
      <c r="D21" s="1390"/>
      <c r="E21" s="1390" t="s">
        <v>790</v>
      </c>
      <c r="F21" s="1390"/>
    </row>
    <row r="22" spans="1:6" ht="41.25" customHeight="1" x14ac:dyDescent="0.25">
      <c r="A22" s="835"/>
      <c r="B22" s="1390" t="s">
        <v>782</v>
      </c>
      <c r="C22" s="1390" t="s">
        <v>785</v>
      </c>
      <c r="D22" s="1390"/>
      <c r="E22" s="1390" t="s">
        <v>791</v>
      </c>
      <c r="F22" s="1390"/>
    </row>
    <row r="23" spans="1:6" ht="33" customHeight="1" x14ac:dyDescent="0.25">
      <c r="A23" s="835"/>
      <c r="B23" s="1390"/>
      <c r="C23" s="1390" t="s">
        <v>786</v>
      </c>
      <c r="D23" s="1390"/>
      <c r="E23" s="1390" t="s">
        <v>792</v>
      </c>
      <c r="F23" s="1390"/>
    </row>
    <row r="24" spans="1:6" ht="24" customHeight="1" x14ac:dyDescent="0.25">
      <c r="A24" s="835"/>
      <c r="B24" s="1257"/>
      <c r="C24" s="1391" t="s">
        <v>787</v>
      </c>
      <c r="D24" s="1392"/>
      <c r="E24" s="1390" t="s">
        <v>728</v>
      </c>
      <c r="F24" s="1390"/>
    </row>
    <row r="25" spans="1:6" ht="73.5" customHeight="1" x14ac:dyDescent="0.25">
      <c r="A25" s="835"/>
      <c r="B25" s="1390" t="s">
        <v>783</v>
      </c>
      <c r="C25" s="1390" t="s">
        <v>788</v>
      </c>
      <c r="D25" s="1390"/>
      <c r="E25" s="1390" t="s">
        <v>729</v>
      </c>
      <c r="F25" s="1390"/>
    </row>
    <row r="26" spans="1:6" ht="40.5" customHeight="1" x14ac:dyDescent="0.25">
      <c r="A26" s="835"/>
      <c r="B26" s="1390"/>
      <c r="C26" s="1390" t="s">
        <v>789</v>
      </c>
      <c r="D26" s="1390"/>
      <c r="E26" s="1390" t="s">
        <v>730</v>
      </c>
      <c r="F26" s="1390"/>
    </row>
    <row r="27" spans="1:6" ht="18" customHeight="1" x14ac:dyDescent="0.25">
      <c r="A27" s="835"/>
      <c r="B27" s="982"/>
      <c r="C27" s="983"/>
      <c r="D27" s="983"/>
      <c r="E27" s="983"/>
      <c r="F27" s="983"/>
    </row>
    <row r="28" spans="1:6" ht="24" customHeight="1" x14ac:dyDescent="0.25">
      <c r="A28" s="1385" t="s">
        <v>348</v>
      </c>
      <c r="B28" s="1385"/>
      <c r="C28" s="1385"/>
      <c r="D28" s="1385"/>
      <c r="E28" s="1385"/>
      <c r="F28" s="1385"/>
    </row>
    <row r="29" spans="1:6" ht="24" customHeight="1" x14ac:dyDescent="0.25">
      <c r="A29" s="1387" t="s">
        <v>1044</v>
      </c>
      <c r="B29" s="1387"/>
      <c r="C29" s="1387"/>
      <c r="D29" s="1387"/>
      <c r="E29" s="1387"/>
      <c r="F29" s="1387"/>
    </row>
    <row r="30" spans="1:6" ht="24" customHeight="1" x14ac:dyDescent="0.25">
      <c r="A30" s="1387"/>
      <c r="B30" s="1387"/>
      <c r="C30" s="1387"/>
      <c r="D30" s="1387"/>
      <c r="E30" s="1387"/>
      <c r="F30" s="1387"/>
    </row>
    <row r="31" spans="1:6" ht="24" customHeight="1" x14ac:dyDescent="0.25">
      <c r="A31" s="1387"/>
      <c r="B31" s="1387"/>
      <c r="C31" s="1387"/>
      <c r="D31" s="1387"/>
      <c r="E31" s="1387"/>
      <c r="F31" s="1387"/>
    </row>
    <row r="32" spans="1:6" ht="24" customHeight="1" x14ac:dyDescent="0.25">
      <c r="A32" s="1387"/>
      <c r="B32" s="1387"/>
      <c r="C32" s="1387"/>
      <c r="D32" s="1387"/>
      <c r="E32" s="1387"/>
      <c r="F32" s="1387"/>
    </row>
    <row r="33" spans="1:6" ht="24" customHeight="1" x14ac:dyDescent="0.25">
      <c r="A33" s="1387"/>
      <c r="B33" s="1387"/>
      <c r="C33" s="1387"/>
      <c r="D33" s="1387"/>
      <c r="E33" s="1387"/>
      <c r="F33" s="1387"/>
    </row>
    <row r="34" spans="1:6" ht="12" customHeight="1" x14ac:dyDescent="0.25">
      <c r="A34" s="1387"/>
      <c r="B34" s="1387"/>
      <c r="C34" s="1387"/>
      <c r="D34" s="1387"/>
      <c r="E34" s="1387"/>
      <c r="F34" s="1387"/>
    </row>
    <row r="35" spans="1:6" ht="24" customHeight="1" x14ac:dyDescent="0.25">
      <c r="A35" s="1385" t="s">
        <v>349</v>
      </c>
      <c r="B35" s="1385"/>
      <c r="C35" s="1385"/>
      <c r="D35" s="1385"/>
      <c r="E35" s="1385"/>
      <c r="F35" s="1385"/>
    </row>
    <row r="36" spans="1:6" ht="24" customHeight="1" x14ac:dyDescent="0.25">
      <c r="A36" s="1384" t="s">
        <v>1045</v>
      </c>
      <c r="B36" s="1384"/>
      <c r="C36" s="1384"/>
      <c r="D36" s="1384"/>
      <c r="E36" s="1384"/>
      <c r="F36" s="1384"/>
    </row>
    <row r="37" spans="1:6" ht="24" customHeight="1" x14ac:dyDescent="0.25">
      <c r="A37" s="1384"/>
      <c r="B37" s="1384"/>
      <c r="C37" s="1384"/>
      <c r="D37" s="1384"/>
      <c r="E37" s="1384"/>
      <c r="F37" s="1384"/>
    </row>
    <row r="38" spans="1:6" ht="24" customHeight="1" x14ac:dyDescent="0.25">
      <c r="A38" s="1384"/>
      <c r="B38" s="1384"/>
      <c r="C38" s="1384"/>
      <c r="D38" s="1384"/>
      <c r="E38" s="1384"/>
      <c r="F38" s="1384"/>
    </row>
    <row r="39" spans="1:6" ht="24" customHeight="1" x14ac:dyDescent="0.25">
      <c r="A39" s="1384"/>
      <c r="B39" s="1384"/>
      <c r="C39" s="1384"/>
      <c r="D39" s="1384"/>
      <c r="E39" s="1384"/>
      <c r="F39" s="1384"/>
    </row>
    <row r="40" spans="1:6" ht="54" customHeight="1" x14ac:dyDescent="0.25">
      <c r="A40" s="1384"/>
      <c r="B40" s="1384"/>
      <c r="C40" s="1384"/>
      <c r="D40" s="1384"/>
      <c r="E40" s="1384"/>
      <c r="F40" s="1384"/>
    </row>
    <row r="41" spans="1:6" ht="24" customHeight="1" x14ac:dyDescent="0.25">
      <c r="A41" s="1389"/>
      <c r="B41" s="1389"/>
      <c r="C41" s="1389"/>
      <c r="D41" s="1389"/>
      <c r="E41" s="1389"/>
      <c r="F41" s="1389"/>
    </row>
    <row r="42" spans="1:6" ht="24" customHeight="1" x14ac:dyDescent="0.25">
      <c r="A42" s="1389">
        <v>7</v>
      </c>
      <c r="B42" s="1389"/>
      <c r="C42" s="1389"/>
      <c r="D42" s="1389"/>
      <c r="E42" s="1389"/>
      <c r="F42" s="1389"/>
    </row>
    <row r="43" spans="1:6" ht="27" customHeight="1" x14ac:dyDescent="0.25">
      <c r="A43" s="1384"/>
      <c r="B43" s="1384"/>
      <c r="C43" s="1384"/>
      <c r="D43" s="1384"/>
      <c r="E43" s="1384"/>
      <c r="F43" s="1384"/>
    </row>
    <row r="44" spans="1:6" ht="27" customHeight="1" x14ac:dyDescent="0.25">
      <c r="A44" s="1384"/>
      <c r="B44" s="1384"/>
      <c r="C44" s="1384"/>
      <c r="D44" s="1384"/>
      <c r="E44" s="1384"/>
      <c r="F44" s="1384"/>
    </row>
    <row r="45" spans="1:6" ht="27" customHeight="1" x14ac:dyDescent="0.25">
      <c r="A45" s="1384"/>
      <c r="B45" s="1384"/>
      <c r="C45" s="1384"/>
      <c r="D45" s="1384"/>
      <c r="E45" s="1384"/>
      <c r="F45" s="1384"/>
    </row>
  </sheetData>
  <customSheetViews>
    <customSheetView guid="{39716EAB-185B-4ADF-90CF-1B1041867F58}" scale="55" showPageBreaks="1" printArea="1" view="pageBreakPreview">
      <selection activeCell="A10" sqref="A10:F10"/>
      <pageMargins left="0.39370078740157483" right="0.78740157480314965" top="0.39370078740157483" bottom="0.39370078740157483" header="0.31496062992125984" footer="0.31496062992125984"/>
      <printOptions horizontalCentered="1"/>
      <pageSetup paperSize="9" scale="67" fitToHeight="2" orientation="portrait" r:id="rId1"/>
    </customSheetView>
    <customSheetView guid="{5CB8382F-C212-4512-9396-17792C62978E}" scale="55" showPageBreaks="1" printArea="1" view="pageBreakPreview">
      <selection activeCell="A10" sqref="A10:F10"/>
      <pageMargins left="0.39370078740157483" right="0.78740157480314965" top="0.39370078740157483" bottom="0.39370078740157483" header="0.31496062992125984" footer="0.31496062992125984"/>
      <printOptions horizontalCentered="1"/>
      <pageSetup paperSize="9" scale="67" fitToHeight="2" orientation="portrait" r:id="rId2"/>
    </customSheetView>
    <customSheetView guid="{184BCED3-EADB-44CF-BFDA-DA8D3E7206C0}" scale="55" showPageBreaks="1" printArea="1" view="pageBreakPreview" topLeftCell="A16">
      <selection activeCell="A10" sqref="A10:F10"/>
      <pageMargins left="0.39370078740157483" right="0.78740157480314965" top="0.39370078740157483" bottom="0.39370078740157483" header="0.31496062992125984" footer="0.31496062992125984"/>
      <printOptions horizontalCentered="1"/>
      <pageSetup paperSize="9" scale="67" fitToHeight="2" orientation="portrait" r:id="rId3"/>
    </customSheetView>
  </customSheetViews>
  <mergeCells count="41">
    <mergeCell ref="A19:F19"/>
    <mergeCell ref="C20:D20"/>
    <mergeCell ref="B25:B26"/>
    <mergeCell ref="E20:F20"/>
    <mergeCell ref="E21:F21"/>
    <mergeCell ref="C21:D21"/>
    <mergeCell ref="A29:F34"/>
    <mergeCell ref="B22:B23"/>
    <mergeCell ref="E25:F25"/>
    <mergeCell ref="E26:F26"/>
    <mergeCell ref="E24:F24"/>
    <mergeCell ref="C22:D22"/>
    <mergeCell ref="C24:D24"/>
    <mergeCell ref="C25:D25"/>
    <mergeCell ref="C26:D26"/>
    <mergeCell ref="C23:D23"/>
    <mergeCell ref="E23:F23"/>
    <mergeCell ref="E22:F22"/>
    <mergeCell ref="A28:F28"/>
    <mergeCell ref="A36:F40"/>
    <mergeCell ref="A45:F45"/>
    <mergeCell ref="A35:F35"/>
    <mergeCell ref="A41:F41"/>
    <mergeCell ref="A42:F42"/>
    <mergeCell ref="A43:F43"/>
    <mergeCell ref="A44:F44"/>
    <mergeCell ref="A1:F1"/>
    <mergeCell ref="A2:F2"/>
    <mergeCell ref="A3:F3"/>
    <mergeCell ref="B17:C17"/>
    <mergeCell ref="A5:F5"/>
    <mergeCell ref="A6:F6"/>
    <mergeCell ref="A7:F7"/>
    <mergeCell ref="A8:F8"/>
    <mergeCell ref="A9:F9"/>
    <mergeCell ref="A10:F10"/>
    <mergeCell ref="A11:F11"/>
    <mergeCell ref="A12:F12"/>
    <mergeCell ref="B14:C14"/>
    <mergeCell ref="B16:C16"/>
    <mergeCell ref="B15:C15"/>
  </mergeCells>
  <printOptions horizontalCentered="1"/>
  <pageMargins left="0.39370078740157483" right="0.78740157480314965" top="0.39370078740157483" bottom="0.39370078740157483" header="0.31496062992125984" footer="0.31496062992125984"/>
  <pageSetup paperSize="9" scale="67" fitToHeight="2"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52"/>
  <sheetViews>
    <sheetView rightToLeft="1" view="pageBreakPreview" topLeftCell="A40" zoomScaleSheetLayoutView="100" workbookViewId="0">
      <selection activeCell="H21" sqref="H21"/>
    </sheetView>
  </sheetViews>
  <sheetFormatPr defaultColWidth="9" defaultRowHeight="21" x14ac:dyDescent="0.25"/>
  <cols>
    <col min="1" max="1" width="16.5703125" style="677" customWidth="1"/>
    <col min="2" max="2" width="17.5703125" style="677" customWidth="1"/>
    <col min="3" max="3" width="1.5703125" style="677" customWidth="1"/>
    <col min="4" max="4" width="17.5703125" style="677" customWidth="1"/>
    <col min="5" max="5" width="1.5703125" style="677" customWidth="1"/>
    <col min="6" max="6" width="18.5703125" style="677" customWidth="1"/>
    <col min="7" max="7" width="27.7109375" style="677" customWidth="1"/>
    <col min="8" max="8" width="60.5703125" style="836" customWidth="1"/>
    <col min="9" max="15" width="18.140625" style="677" customWidth="1"/>
    <col min="16" max="16384" width="9" style="677"/>
  </cols>
  <sheetData>
    <row r="1" spans="1:7" ht="21" customHeight="1" x14ac:dyDescent="0.25">
      <c r="A1" s="1395" t="s">
        <v>244</v>
      </c>
      <c r="B1" s="1394"/>
      <c r="C1" s="1394"/>
      <c r="D1" s="1394"/>
      <c r="E1" s="1394"/>
      <c r="F1" s="1394"/>
      <c r="G1" s="1394"/>
    </row>
    <row r="2" spans="1:7" ht="21" customHeight="1" x14ac:dyDescent="0.25">
      <c r="A2" s="1394" t="s">
        <v>492</v>
      </c>
      <c r="B2" s="1394"/>
      <c r="C2" s="1394"/>
      <c r="D2" s="1394"/>
      <c r="E2" s="1394"/>
      <c r="F2" s="1394"/>
      <c r="G2" s="1394"/>
    </row>
    <row r="3" spans="1:7" ht="21" customHeight="1" x14ac:dyDescent="0.25">
      <c r="A3" s="1394" t="str">
        <f>سودوزيان!A3</f>
        <v>سال مالی منتهی به 30 اسفند 1403</v>
      </c>
      <c r="B3" s="1394"/>
      <c r="C3" s="1394"/>
      <c r="D3" s="1394"/>
      <c r="E3" s="1394"/>
      <c r="F3" s="1394"/>
      <c r="G3" s="1394"/>
    </row>
    <row r="4" spans="1:7" x14ac:dyDescent="0.25">
      <c r="B4" s="1009"/>
      <c r="C4" s="1009"/>
      <c r="D4" s="1009"/>
      <c r="E4" s="1009"/>
      <c r="F4" s="1009"/>
    </row>
    <row r="5" spans="1:7" x14ac:dyDescent="0.25">
      <c r="A5" s="1399" t="s">
        <v>350</v>
      </c>
      <c r="B5" s="1399"/>
      <c r="C5" s="1399"/>
      <c r="D5" s="1399"/>
      <c r="E5" s="1399"/>
      <c r="F5" s="1399"/>
      <c r="G5" s="1399"/>
    </row>
    <row r="6" spans="1:7" ht="21" customHeight="1" x14ac:dyDescent="0.25">
      <c r="A6" s="1400" t="s">
        <v>432</v>
      </c>
      <c r="B6" s="1400"/>
      <c r="C6" s="1400"/>
      <c r="D6" s="1400"/>
      <c r="E6" s="1400"/>
      <c r="F6" s="1400"/>
      <c r="G6" s="1400"/>
    </row>
    <row r="7" spans="1:7" x14ac:dyDescent="0.25">
      <c r="A7" s="1400" t="s">
        <v>433</v>
      </c>
      <c r="B7" s="1400"/>
      <c r="C7" s="1400"/>
      <c r="D7" s="1400"/>
      <c r="E7" s="1400"/>
      <c r="F7" s="1400"/>
      <c r="G7" s="1400"/>
    </row>
    <row r="8" spans="1:7" ht="18.75" customHeight="1" x14ac:dyDescent="0.25">
      <c r="A8" s="837"/>
      <c r="B8" s="838" t="s">
        <v>321</v>
      </c>
      <c r="C8" s="837"/>
      <c r="D8" s="838" t="s">
        <v>322</v>
      </c>
      <c r="E8" s="837"/>
      <c r="F8" s="838" t="s">
        <v>323</v>
      </c>
    </row>
    <row r="9" spans="1:7" ht="18.75" customHeight="1" x14ac:dyDescent="0.25">
      <c r="A9" s="837"/>
      <c r="B9" s="839" t="s">
        <v>102</v>
      </c>
      <c r="C9" s="837"/>
      <c r="D9" s="840" t="s">
        <v>324</v>
      </c>
      <c r="E9" s="837"/>
      <c r="F9" s="840" t="s">
        <v>325</v>
      </c>
    </row>
    <row r="10" spans="1:7" ht="18.75" customHeight="1" x14ac:dyDescent="0.25">
      <c r="A10" s="837"/>
      <c r="B10" s="839" t="s">
        <v>326</v>
      </c>
      <c r="C10" s="837"/>
      <c r="D10" s="841">
        <v>0.08</v>
      </c>
      <c r="E10" s="837"/>
      <c r="F10" s="840" t="s">
        <v>327</v>
      </c>
    </row>
    <row r="11" spans="1:7" ht="18.75" customHeight="1" x14ac:dyDescent="0.25">
      <c r="A11" s="842"/>
      <c r="B11" s="839" t="s">
        <v>328</v>
      </c>
      <c r="C11" s="837"/>
      <c r="D11" s="840" t="s">
        <v>329</v>
      </c>
      <c r="E11" s="843"/>
      <c r="F11" s="840" t="s">
        <v>325</v>
      </c>
    </row>
    <row r="12" spans="1:7" ht="18.75" customHeight="1" x14ac:dyDescent="0.25">
      <c r="A12" s="842"/>
      <c r="B12" s="839" t="s">
        <v>106</v>
      </c>
      <c r="C12" s="837"/>
      <c r="D12" s="840" t="s">
        <v>329</v>
      </c>
      <c r="E12" s="843"/>
      <c r="F12" s="840" t="s">
        <v>325</v>
      </c>
    </row>
    <row r="13" spans="1:7" ht="18.75" customHeight="1" x14ac:dyDescent="0.25">
      <c r="A13" s="844" t="s">
        <v>490</v>
      </c>
      <c r="B13" s="839" t="s">
        <v>330</v>
      </c>
      <c r="C13" s="837"/>
      <c r="D13" s="841" t="s">
        <v>331</v>
      </c>
      <c r="E13" s="843"/>
      <c r="F13" s="840" t="s">
        <v>325</v>
      </c>
    </row>
    <row r="14" spans="1:7" ht="18.75" customHeight="1" x14ac:dyDescent="0.25">
      <c r="A14" s="845"/>
      <c r="B14" s="839" t="s">
        <v>332</v>
      </c>
      <c r="C14" s="845"/>
      <c r="D14" s="841" t="s">
        <v>331</v>
      </c>
      <c r="E14" s="845"/>
      <c r="F14" s="840" t="s">
        <v>325</v>
      </c>
    </row>
    <row r="15" spans="1:7" ht="18.75" customHeight="1" x14ac:dyDescent="0.25">
      <c r="A15" s="837"/>
      <c r="B15" s="839" t="s">
        <v>333</v>
      </c>
      <c r="C15" s="837"/>
      <c r="D15" s="840" t="s">
        <v>334</v>
      </c>
      <c r="E15" s="837"/>
      <c r="F15" s="840" t="s">
        <v>327</v>
      </c>
    </row>
    <row r="16" spans="1:7" ht="18.75" customHeight="1" x14ac:dyDescent="0.25">
      <c r="A16" s="837"/>
      <c r="B16" s="839" t="s">
        <v>335</v>
      </c>
      <c r="C16" s="837"/>
      <c r="D16" s="841">
        <v>0.1</v>
      </c>
      <c r="E16" s="837"/>
      <c r="F16" s="840" t="s">
        <v>327</v>
      </c>
    </row>
    <row r="17" spans="1:14" x14ac:dyDescent="0.25">
      <c r="A17" s="1399" t="s">
        <v>351</v>
      </c>
      <c r="B17" s="1399"/>
      <c r="C17" s="1399"/>
      <c r="D17" s="1399"/>
      <c r="E17" s="1399"/>
      <c r="F17" s="1399"/>
      <c r="G17" s="1399"/>
    </row>
    <row r="18" spans="1:14" x14ac:dyDescent="0.25">
      <c r="A18" s="1399" t="s">
        <v>434</v>
      </c>
      <c r="B18" s="1399"/>
      <c r="C18" s="1399"/>
      <c r="D18" s="1399"/>
      <c r="E18" s="1399"/>
      <c r="F18" s="1399"/>
      <c r="G18" s="1399"/>
    </row>
    <row r="19" spans="1:14" x14ac:dyDescent="0.25">
      <c r="A19" s="1399" t="s">
        <v>435</v>
      </c>
      <c r="B19" s="1399"/>
      <c r="C19" s="1399"/>
      <c r="D19" s="1399"/>
      <c r="E19" s="1399"/>
      <c r="F19" s="1399"/>
      <c r="G19" s="1399"/>
    </row>
    <row r="20" spans="1:14" x14ac:dyDescent="0.25">
      <c r="A20" s="1399" t="s">
        <v>436</v>
      </c>
      <c r="B20" s="1399"/>
      <c r="C20" s="1399"/>
      <c r="D20" s="1399"/>
      <c r="E20" s="1399"/>
      <c r="F20" s="1399"/>
      <c r="G20" s="1399"/>
    </row>
    <row r="21" spans="1:14" x14ac:dyDescent="0.25">
      <c r="A21" s="1397" t="s">
        <v>352</v>
      </c>
      <c r="B21" s="1397"/>
      <c r="C21" s="1397"/>
      <c r="D21" s="1397"/>
      <c r="E21" s="1397"/>
      <c r="F21" s="1397"/>
      <c r="G21" s="1397"/>
    </row>
    <row r="22" spans="1:14" x14ac:dyDescent="0.25">
      <c r="A22" s="1396" t="s">
        <v>336</v>
      </c>
      <c r="B22" s="1396"/>
      <c r="C22" s="1396"/>
      <c r="D22" s="1396"/>
      <c r="E22" s="1396"/>
      <c r="F22" s="1396"/>
      <c r="G22" s="1396"/>
    </row>
    <row r="23" spans="1:14" x14ac:dyDescent="0.25">
      <c r="A23" s="1396" t="s">
        <v>337</v>
      </c>
      <c r="B23" s="1396"/>
      <c r="C23" s="1396"/>
      <c r="D23" s="1396"/>
      <c r="E23" s="1396"/>
      <c r="F23" s="1396"/>
      <c r="G23" s="1396"/>
    </row>
    <row r="24" spans="1:14" x14ac:dyDescent="0.25">
      <c r="A24" s="1397" t="s">
        <v>353</v>
      </c>
      <c r="B24" s="1397"/>
      <c r="C24" s="1397"/>
      <c r="D24" s="1397"/>
      <c r="E24" s="1397"/>
      <c r="F24" s="1397"/>
      <c r="G24" s="1397"/>
    </row>
    <row r="25" spans="1:14" x14ac:dyDescent="0.25">
      <c r="A25" s="1396" t="s">
        <v>437</v>
      </c>
      <c r="B25" s="1396"/>
      <c r="C25" s="1396"/>
      <c r="D25" s="1396"/>
      <c r="E25" s="1396"/>
      <c r="F25" s="1396"/>
      <c r="G25" s="1396"/>
    </row>
    <row r="26" spans="1:14" x14ac:dyDescent="0.25">
      <c r="A26" s="1396" t="s">
        <v>338</v>
      </c>
      <c r="B26" s="1396"/>
      <c r="C26" s="1396"/>
      <c r="D26" s="1396"/>
      <c r="E26" s="1396"/>
      <c r="F26" s="1396"/>
      <c r="G26" s="1396"/>
    </row>
    <row r="27" spans="1:14" x14ac:dyDescent="0.25">
      <c r="A27" s="1396" t="s">
        <v>354</v>
      </c>
      <c r="B27" s="1396"/>
      <c r="C27" s="1396"/>
      <c r="D27" s="1396"/>
      <c r="E27" s="1396"/>
      <c r="F27" s="1396"/>
      <c r="G27" s="1396"/>
    </row>
    <row r="28" spans="1:14" x14ac:dyDescent="0.25">
      <c r="A28" s="1396" t="s">
        <v>355</v>
      </c>
      <c r="B28" s="1396"/>
      <c r="C28" s="1396"/>
      <c r="D28" s="1396"/>
      <c r="E28" s="1396"/>
      <c r="F28" s="1396"/>
      <c r="G28" s="1396"/>
    </row>
    <row r="29" spans="1:14" x14ac:dyDescent="0.25">
      <c r="A29" s="1397" t="s">
        <v>356</v>
      </c>
      <c r="B29" s="1397"/>
      <c r="C29" s="1397"/>
      <c r="D29" s="1397"/>
      <c r="E29" s="1397"/>
      <c r="F29" s="1397"/>
      <c r="G29" s="1397"/>
    </row>
    <row r="30" spans="1:14" x14ac:dyDescent="0.25">
      <c r="A30" s="1398" t="s">
        <v>339</v>
      </c>
      <c r="B30" s="1398"/>
      <c r="C30" s="1398"/>
      <c r="D30" s="1398"/>
      <c r="E30" s="1398"/>
      <c r="F30" s="1398"/>
      <c r="G30" s="1398"/>
    </row>
    <row r="31" spans="1:14" x14ac:dyDescent="0.25">
      <c r="A31" s="1398" t="s">
        <v>340</v>
      </c>
      <c r="B31" s="1398"/>
      <c r="C31" s="1398"/>
      <c r="D31" s="1398"/>
      <c r="E31" s="1398"/>
      <c r="F31" s="1398"/>
      <c r="G31" s="1398"/>
    </row>
    <row r="32" spans="1:14" x14ac:dyDescent="0.25">
      <c r="A32" s="1397" t="s">
        <v>357</v>
      </c>
      <c r="B32" s="1397"/>
      <c r="C32" s="1397"/>
      <c r="D32" s="1397"/>
      <c r="E32" s="1397"/>
      <c r="F32" s="1397"/>
      <c r="G32" s="1397"/>
      <c r="H32" s="1397"/>
      <c r="I32" s="1397"/>
      <c r="J32" s="1397"/>
      <c r="K32" s="1397"/>
      <c r="L32" s="1397"/>
      <c r="M32" s="1397"/>
      <c r="N32" s="1397"/>
    </row>
    <row r="33" spans="1:14" x14ac:dyDescent="0.25">
      <c r="A33" s="1396" t="s">
        <v>716</v>
      </c>
      <c r="B33" s="1396"/>
      <c r="C33" s="1396"/>
      <c r="D33" s="1396"/>
      <c r="E33" s="1396"/>
      <c r="F33" s="1396"/>
      <c r="G33" s="1396"/>
      <c r="H33" s="1398"/>
      <c r="I33" s="1398"/>
      <c r="J33" s="1398"/>
      <c r="K33" s="1398"/>
      <c r="L33" s="1398"/>
      <c r="M33" s="1398"/>
      <c r="N33" s="1398"/>
    </row>
    <row r="34" spans="1:14" x14ac:dyDescent="0.25">
      <c r="A34" s="1396" t="s">
        <v>341</v>
      </c>
      <c r="B34" s="1396"/>
      <c r="C34" s="1396"/>
      <c r="D34" s="1396"/>
      <c r="E34" s="1396"/>
      <c r="F34" s="1396"/>
      <c r="G34" s="1396"/>
      <c r="H34" s="1398"/>
      <c r="I34" s="1398"/>
      <c r="J34" s="1398"/>
      <c r="K34" s="1398"/>
      <c r="L34" s="1398"/>
      <c r="M34" s="1398"/>
      <c r="N34" s="1398"/>
    </row>
    <row r="35" spans="1:14" x14ac:dyDescent="0.25">
      <c r="A35" s="1396" t="s">
        <v>342</v>
      </c>
      <c r="B35" s="1396"/>
      <c r="C35" s="1396"/>
      <c r="D35" s="1396"/>
      <c r="E35" s="1396"/>
      <c r="F35" s="1396"/>
      <c r="G35" s="1396"/>
      <c r="H35" s="1398"/>
      <c r="I35" s="1398"/>
      <c r="J35" s="1398"/>
      <c r="K35" s="1398"/>
      <c r="L35" s="1398"/>
      <c r="M35" s="1398"/>
      <c r="N35" s="1398"/>
    </row>
    <row r="36" spans="1:14" x14ac:dyDescent="0.25">
      <c r="A36" s="1396" t="s">
        <v>343</v>
      </c>
      <c r="B36" s="1396"/>
      <c r="C36" s="1396"/>
      <c r="D36" s="1396"/>
      <c r="E36" s="1396"/>
      <c r="F36" s="1396"/>
      <c r="G36" s="1396"/>
    </row>
    <row r="37" spans="1:14" x14ac:dyDescent="0.25">
      <c r="A37" s="1396" t="s">
        <v>344</v>
      </c>
      <c r="B37" s="1396"/>
      <c r="C37" s="1396"/>
      <c r="D37" s="1396"/>
      <c r="E37" s="1396"/>
      <c r="F37" s="1396"/>
      <c r="G37" s="1396"/>
    </row>
    <row r="38" spans="1:14" x14ac:dyDescent="0.25">
      <c r="A38" s="1403" t="s">
        <v>731</v>
      </c>
      <c r="B38" s="1403"/>
      <c r="C38" s="1403"/>
      <c r="D38" s="1403"/>
      <c r="E38" s="1403"/>
      <c r="F38" s="1403"/>
      <c r="G38" s="1403"/>
    </row>
    <row r="39" spans="1:14" x14ac:dyDescent="0.25">
      <c r="A39" s="846" t="s">
        <v>732</v>
      </c>
      <c r="B39" s="846"/>
      <c r="C39" s="846"/>
      <c r="D39" s="846"/>
      <c r="E39" s="846"/>
      <c r="F39" s="846"/>
      <c r="G39" s="846"/>
    </row>
    <row r="40" spans="1:14" ht="21" customHeight="1" x14ac:dyDescent="0.25">
      <c r="A40" s="1404" t="s">
        <v>734</v>
      </c>
      <c r="B40" s="1404"/>
      <c r="C40" s="1404"/>
      <c r="D40" s="1404"/>
      <c r="E40" s="1404"/>
      <c r="F40" s="1404"/>
      <c r="G40" s="1404"/>
    </row>
    <row r="41" spans="1:14" ht="28.5" customHeight="1" x14ac:dyDescent="0.25">
      <c r="A41" s="1396" t="s">
        <v>733</v>
      </c>
      <c r="B41" s="1396"/>
      <c r="C41" s="1396"/>
      <c r="D41" s="1396"/>
      <c r="E41" s="1396"/>
      <c r="F41" s="1396"/>
      <c r="G41" s="1396"/>
    </row>
    <row r="42" spans="1:14" ht="22.5" customHeight="1" x14ac:dyDescent="0.25">
      <c r="A42" s="847" t="s">
        <v>735</v>
      </c>
      <c r="B42" s="848"/>
      <c r="C42" s="849"/>
      <c r="D42" s="849"/>
      <c r="E42" s="849"/>
      <c r="F42" s="849"/>
      <c r="G42" s="849"/>
    </row>
    <row r="43" spans="1:14" s="851" customFormat="1" ht="21" customHeight="1" x14ac:dyDescent="0.45">
      <c r="A43" s="1405" t="s">
        <v>736</v>
      </c>
      <c r="B43" s="1405"/>
      <c r="C43" s="1405"/>
      <c r="D43" s="1405"/>
      <c r="E43" s="1405"/>
      <c r="F43" s="1405"/>
      <c r="G43" s="1405"/>
      <c r="H43" s="850"/>
    </row>
    <row r="44" spans="1:14" s="851" customFormat="1" ht="21" customHeight="1" x14ac:dyDescent="0.45">
      <c r="A44" s="1405" t="s">
        <v>737</v>
      </c>
      <c r="B44" s="1405"/>
      <c r="C44" s="1405"/>
      <c r="D44" s="1405"/>
      <c r="E44" s="1405"/>
      <c r="F44" s="1405"/>
      <c r="G44" s="1405"/>
      <c r="H44" s="850"/>
    </row>
    <row r="45" spans="1:14" s="851" customFormat="1" ht="18.75" x14ac:dyDescent="0.45">
      <c r="A45" s="1405" t="s">
        <v>738</v>
      </c>
      <c r="B45" s="1405"/>
      <c r="C45" s="1405"/>
      <c r="D45" s="1405"/>
      <c r="E45" s="1405"/>
      <c r="F45" s="1405"/>
      <c r="G45" s="1405"/>
      <c r="H45" s="850"/>
    </row>
    <row r="46" spans="1:14" s="851" customFormat="1" ht="18.75" x14ac:dyDescent="0.45">
      <c r="A46" s="1405" t="s">
        <v>739</v>
      </c>
      <c r="B46" s="1405"/>
      <c r="C46" s="1405"/>
      <c r="D46" s="1405"/>
      <c r="E46" s="1405"/>
      <c r="F46" s="1405"/>
      <c r="G46" s="1405"/>
      <c r="H46" s="850"/>
    </row>
    <row r="47" spans="1:14" s="851" customFormat="1" ht="27" customHeight="1" x14ac:dyDescent="0.25">
      <c r="A47" s="1406" t="s">
        <v>740</v>
      </c>
      <c r="B47" s="1406"/>
      <c r="C47" s="1406"/>
      <c r="D47" s="1406"/>
      <c r="E47" s="846"/>
      <c r="F47" s="846"/>
      <c r="G47" s="846"/>
      <c r="H47" s="850"/>
    </row>
    <row r="48" spans="1:14" s="851" customFormat="1" ht="18.75" x14ac:dyDescent="0.25">
      <c r="A48" s="1396" t="s">
        <v>741</v>
      </c>
      <c r="B48" s="1396"/>
      <c r="C48" s="1396"/>
      <c r="D48" s="1396"/>
      <c r="E48" s="1396"/>
      <c r="F48" s="1396"/>
      <c r="G48" s="1396"/>
      <c r="H48" s="850"/>
    </row>
    <row r="49" spans="1:8" s="851" customFormat="1" ht="18.75" x14ac:dyDescent="0.25">
      <c r="A49" s="1396" t="s">
        <v>742</v>
      </c>
      <c r="B49" s="1396"/>
      <c r="C49" s="1396"/>
      <c r="D49" s="1396"/>
      <c r="E49" s="1396"/>
      <c r="F49" s="1396"/>
      <c r="G49" s="1396"/>
      <c r="H49" s="850"/>
    </row>
    <row r="50" spans="1:8" x14ac:dyDescent="0.25">
      <c r="A50" s="1401" t="s">
        <v>471</v>
      </c>
      <c r="B50" s="1401"/>
      <c r="C50" s="1401"/>
      <c r="D50" s="1401"/>
      <c r="E50" s="1401"/>
      <c r="F50" s="1401"/>
      <c r="G50" s="1401"/>
    </row>
    <row r="51" spans="1:8" ht="64.5" customHeight="1" x14ac:dyDescent="0.25">
      <c r="A51" s="1402" t="s">
        <v>714</v>
      </c>
      <c r="B51" s="1402"/>
      <c r="C51" s="1402"/>
      <c r="D51" s="1402"/>
      <c r="E51" s="1402"/>
      <c r="F51" s="1402"/>
      <c r="G51" s="1402"/>
    </row>
    <row r="52" spans="1:8" ht="24.75" x14ac:dyDescent="0.25">
      <c r="A52" s="1389">
        <v>8</v>
      </c>
      <c r="B52" s="1389"/>
      <c r="C52" s="1389"/>
      <c r="D52" s="1389"/>
      <c r="E52" s="1389"/>
      <c r="F52" s="1389"/>
      <c r="G52" s="1389"/>
    </row>
  </sheetData>
  <customSheetViews>
    <customSheetView guid="{39716EAB-185B-4ADF-90CF-1B1041867F58}" scale="70" showPageBreaks="1" printArea="1" view="pageBreakPreview" topLeftCell="A2">
      <selection activeCell="F8" sqref="F8:F14"/>
      <pageMargins left="0.39370078740157483" right="0.78740157480314965" top="0.39370078740157483" bottom="0.39370078740157483" header="0.31496062992125984" footer="0.31496062992125984"/>
      <printOptions horizontalCentered="1"/>
      <pageSetup paperSize="9" scale="72" fitToHeight="2" orientation="portrait" r:id="rId1"/>
    </customSheetView>
    <customSheetView guid="{5CB8382F-C212-4512-9396-17792C62978E}" scale="70" showPageBreaks="1" printArea="1" view="pageBreakPreview" topLeftCell="A2">
      <selection activeCell="F8" sqref="F8:F14"/>
      <pageMargins left="0.39370078740157483" right="0.78740157480314965" top="0.39370078740157483" bottom="0.39370078740157483" header="0.31496062992125984" footer="0.31496062992125984"/>
      <printOptions horizontalCentered="1"/>
      <pageSetup paperSize="9" scale="72" fitToHeight="2" orientation="portrait" r:id="rId2"/>
    </customSheetView>
    <customSheetView guid="{184BCED3-EADB-44CF-BFDA-DA8D3E7206C0}" scale="70" showPageBreaks="1" printArea="1" view="pageBreakPreview">
      <selection activeCell="F8" sqref="F8:F14"/>
      <pageMargins left="0.39370078740157483" right="0.78740157480314965" top="0.39370078740157483" bottom="0.39370078740157483" header="0.31496062992125984" footer="0.31496062992125984"/>
      <printOptions horizontalCentered="1"/>
      <pageSetup paperSize="9" scale="72" fitToHeight="2" orientation="portrait" r:id="rId3"/>
    </customSheetView>
  </customSheetViews>
  <mergeCells count="44">
    <mergeCell ref="A52:G52"/>
    <mergeCell ref="A50:G50"/>
    <mergeCell ref="A51:G51"/>
    <mergeCell ref="A35:G35"/>
    <mergeCell ref="A31:G31"/>
    <mergeCell ref="A38:G38"/>
    <mergeCell ref="A40:G40"/>
    <mergeCell ref="A41:G41"/>
    <mergeCell ref="A43:G43"/>
    <mergeCell ref="A44:G44"/>
    <mergeCell ref="A45:G45"/>
    <mergeCell ref="A46:G46"/>
    <mergeCell ref="A47:D47"/>
    <mergeCell ref="A48:G48"/>
    <mergeCell ref="A49:G49"/>
    <mergeCell ref="H35:N35"/>
    <mergeCell ref="A36:G36"/>
    <mergeCell ref="A37:G37"/>
    <mergeCell ref="A32:G32"/>
    <mergeCell ref="H32:N32"/>
    <mergeCell ref="A33:G33"/>
    <mergeCell ref="H33:N33"/>
    <mergeCell ref="A34:G34"/>
    <mergeCell ref="H34:N34"/>
    <mergeCell ref="A30:G30"/>
    <mergeCell ref="A19:G19"/>
    <mergeCell ref="A5:G5"/>
    <mergeCell ref="A6:G6"/>
    <mergeCell ref="A7:G7"/>
    <mergeCell ref="A17:G17"/>
    <mergeCell ref="A18:G18"/>
    <mergeCell ref="A20:G20"/>
    <mergeCell ref="A21:G21"/>
    <mergeCell ref="A22:G22"/>
    <mergeCell ref="A23:G23"/>
    <mergeCell ref="A24:G24"/>
    <mergeCell ref="A25:G25"/>
    <mergeCell ref="A26:G26"/>
    <mergeCell ref="A27:G27"/>
    <mergeCell ref="A2:G2"/>
    <mergeCell ref="A1:G1"/>
    <mergeCell ref="A3:G3"/>
    <mergeCell ref="A28:G28"/>
    <mergeCell ref="A29:G29"/>
  </mergeCells>
  <printOptions horizontalCentered="1"/>
  <pageMargins left="0.39370078740157499" right="0.39370078740157499" top="0.39370078740157499" bottom="0.39370078740157499" header="0.31496062992126" footer="0.31496062992126"/>
  <pageSetup paperSize="9" scale="72" fitToHeight="2"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S72"/>
  <sheetViews>
    <sheetView rightToLeft="1" view="pageBreakPreview" topLeftCell="A10" zoomScale="70" zoomScaleSheetLayoutView="70" workbookViewId="0">
      <selection activeCell="H17" sqref="H17"/>
    </sheetView>
  </sheetViews>
  <sheetFormatPr defaultRowHeight="22.5" x14ac:dyDescent="0.55000000000000004"/>
  <cols>
    <col min="1" max="1" width="3" style="179" bestFit="1" customWidth="1"/>
    <col min="2" max="2" width="1.140625" style="201" customWidth="1"/>
    <col min="3" max="3" width="2" style="201" customWidth="1"/>
    <col min="4" max="4" width="41" style="179" customWidth="1"/>
    <col min="5" max="5" width="8.140625" style="179" customWidth="1"/>
    <col min="6" max="6" width="15.42578125" style="179" bestFit="1" customWidth="1"/>
    <col min="7" max="7" width="2.42578125" style="188" customWidth="1"/>
    <col min="8" max="8" width="27.42578125" style="222" bestFit="1" customWidth="1"/>
    <col min="9" max="9" width="2.42578125" style="222" customWidth="1"/>
    <col min="10" max="10" width="15.28515625" style="188" bestFit="1" customWidth="1"/>
    <col min="11" max="11" width="2" style="188" customWidth="1"/>
    <col min="12" max="12" width="26.5703125" style="222" bestFit="1" customWidth="1"/>
    <col min="13" max="13" width="2.85546875" style="188" customWidth="1"/>
    <col min="14" max="14" width="2.140625" style="178" hidden="1" customWidth="1"/>
    <col min="15" max="15" width="20" style="178" hidden="1" customWidth="1"/>
    <col min="16" max="16" width="0.7109375" style="179" customWidth="1"/>
    <col min="17" max="17" width="18.28515625" style="179" bestFit="1" customWidth="1"/>
    <col min="18" max="18" width="23" style="179" bestFit="1" customWidth="1"/>
    <col min="19" max="19" width="28" style="179" customWidth="1"/>
    <col min="20" max="22" width="9" style="179"/>
    <col min="23" max="23" width="10.42578125" style="179" bestFit="1" customWidth="1"/>
    <col min="24" max="252" width="9" style="179"/>
    <col min="253" max="253" width="3.5703125" style="179" customWidth="1"/>
    <col min="254" max="254" width="4.85546875" style="179" customWidth="1"/>
    <col min="255" max="255" width="5.42578125" style="179" customWidth="1"/>
    <col min="256" max="256" width="31.28515625" style="179" customWidth="1"/>
    <col min="257" max="257" width="7.5703125" style="179" customWidth="1"/>
    <col min="258" max="258" width="2.42578125" style="179" customWidth="1"/>
    <col min="259" max="259" width="11.5703125" style="179" customWidth="1"/>
    <col min="260" max="260" width="2.42578125" style="179" customWidth="1"/>
    <col min="261" max="261" width="11.5703125" style="179" customWidth="1"/>
    <col min="262" max="262" width="2.42578125" style="179" customWidth="1"/>
    <col min="263" max="263" width="10.85546875" style="179" customWidth="1"/>
    <col min="264" max="264" width="2.42578125" style="179" customWidth="1"/>
    <col min="265" max="265" width="11.140625" style="179" customWidth="1"/>
    <col min="266" max="266" width="1.85546875" style="179" customWidth="1"/>
    <col min="267" max="267" width="11" style="179" customWidth="1"/>
    <col min="268" max="268" width="0.7109375" style="179" customWidth="1"/>
    <col min="269" max="269" width="1.85546875" style="179" customWidth="1"/>
    <col min="270" max="270" width="11.85546875" style="179" bestFit="1" customWidth="1"/>
    <col min="271" max="271" width="15.28515625" style="179" bestFit="1" customWidth="1"/>
    <col min="272" max="272" width="5" style="179" customWidth="1"/>
    <col min="273" max="273" width="10.42578125" style="179" bestFit="1" customWidth="1"/>
    <col min="274" max="274" width="5" style="179" customWidth="1"/>
    <col min="275" max="275" width="10.42578125" style="179" bestFit="1" customWidth="1"/>
    <col min="276" max="278" width="9" style="179"/>
    <col min="279" max="279" width="10.42578125" style="179" bestFit="1" customWidth="1"/>
    <col min="280" max="508" width="9" style="179"/>
    <col min="509" max="509" width="3.5703125" style="179" customWidth="1"/>
    <col min="510" max="510" width="4.85546875" style="179" customWidth="1"/>
    <col min="511" max="511" width="5.42578125" style="179" customWidth="1"/>
    <col min="512" max="512" width="31.28515625" style="179" customWidth="1"/>
    <col min="513" max="513" width="7.5703125" style="179" customWidth="1"/>
    <col min="514" max="514" width="2.42578125" style="179" customWidth="1"/>
    <col min="515" max="515" width="11.5703125" style="179" customWidth="1"/>
    <col min="516" max="516" width="2.42578125" style="179" customWidth="1"/>
    <col min="517" max="517" width="11.5703125" style="179" customWidth="1"/>
    <col min="518" max="518" width="2.42578125" style="179" customWidth="1"/>
    <col min="519" max="519" width="10.85546875" style="179" customWidth="1"/>
    <col min="520" max="520" width="2.42578125" style="179" customWidth="1"/>
    <col min="521" max="521" width="11.140625" style="179" customWidth="1"/>
    <col min="522" max="522" width="1.85546875" style="179" customWidth="1"/>
    <col min="523" max="523" width="11" style="179" customWidth="1"/>
    <col min="524" max="524" width="0.7109375" style="179" customWidth="1"/>
    <col min="525" max="525" width="1.85546875" style="179" customWidth="1"/>
    <col min="526" max="526" width="11.85546875" style="179" bestFit="1" customWidth="1"/>
    <col min="527" max="527" width="15.28515625" style="179" bestFit="1" customWidth="1"/>
    <col min="528" max="528" width="5" style="179" customWidth="1"/>
    <col min="529" max="529" width="10.42578125" style="179" bestFit="1" customWidth="1"/>
    <col min="530" max="530" width="5" style="179" customWidth="1"/>
    <col min="531" max="531" width="10.42578125" style="179" bestFit="1" customWidth="1"/>
    <col min="532" max="534" width="9" style="179"/>
    <col min="535" max="535" width="10.42578125" style="179" bestFit="1" customWidth="1"/>
    <col min="536" max="764" width="9" style="179"/>
    <col min="765" max="765" width="3.5703125" style="179" customWidth="1"/>
    <col min="766" max="766" width="4.85546875" style="179" customWidth="1"/>
    <col min="767" max="767" width="5.42578125" style="179" customWidth="1"/>
    <col min="768" max="768" width="31.28515625" style="179" customWidth="1"/>
    <col min="769" max="769" width="7.5703125" style="179" customWidth="1"/>
    <col min="770" max="770" width="2.42578125" style="179" customWidth="1"/>
    <col min="771" max="771" width="11.5703125" style="179" customWidth="1"/>
    <col min="772" max="772" width="2.42578125" style="179" customWidth="1"/>
    <col min="773" max="773" width="11.5703125" style="179" customWidth="1"/>
    <col min="774" max="774" width="2.42578125" style="179" customWidth="1"/>
    <col min="775" max="775" width="10.85546875" style="179" customWidth="1"/>
    <col min="776" max="776" width="2.42578125" style="179" customWidth="1"/>
    <col min="777" max="777" width="11.140625" style="179" customWidth="1"/>
    <col min="778" max="778" width="1.85546875" style="179" customWidth="1"/>
    <col min="779" max="779" width="11" style="179" customWidth="1"/>
    <col min="780" max="780" width="0.7109375" style="179" customWidth="1"/>
    <col min="781" max="781" width="1.85546875" style="179" customWidth="1"/>
    <col min="782" max="782" width="11.85546875" style="179" bestFit="1" customWidth="1"/>
    <col min="783" max="783" width="15.28515625" style="179" bestFit="1" customWidth="1"/>
    <col min="784" max="784" width="5" style="179" customWidth="1"/>
    <col min="785" max="785" width="10.42578125" style="179" bestFit="1" customWidth="1"/>
    <col min="786" max="786" width="5" style="179" customWidth="1"/>
    <col min="787" max="787" width="10.42578125" style="179" bestFit="1" customWidth="1"/>
    <col min="788" max="790" width="9" style="179"/>
    <col min="791" max="791" width="10.42578125" style="179" bestFit="1" customWidth="1"/>
    <col min="792" max="1020" width="9" style="179"/>
    <col min="1021" max="1021" width="3.5703125" style="179" customWidth="1"/>
    <col min="1022" max="1022" width="4.85546875" style="179" customWidth="1"/>
    <col min="1023" max="1023" width="5.42578125" style="179" customWidth="1"/>
    <col min="1024" max="1024" width="31.28515625" style="179" customWidth="1"/>
    <col min="1025" max="1025" width="7.5703125" style="179" customWidth="1"/>
    <col min="1026" max="1026" width="2.42578125" style="179" customWidth="1"/>
    <col min="1027" max="1027" width="11.5703125" style="179" customWidth="1"/>
    <col min="1028" max="1028" width="2.42578125" style="179" customWidth="1"/>
    <col min="1029" max="1029" width="11.5703125" style="179" customWidth="1"/>
    <col min="1030" max="1030" width="2.42578125" style="179" customWidth="1"/>
    <col min="1031" max="1031" width="10.85546875" style="179" customWidth="1"/>
    <col min="1032" max="1032" width="2.42578125" style="179" customWidth="1"/>
    <col min="1033" max="1033" width="11.140625" style="179" customWidth="1"/>
    <col min="1034" max="1034" width="1.85546875" style="179" customWidth="1"/>
    <col min="1035" max="1035" width="11" style="179" customWidth="1"/>
    <col min="1036" max="1036" width="0.7109375" style="179" customWidth="1"/>
    <col min="1037" max="1037" width="1.85546875" style="179" customWidth="1"/>
    <col min="1038" max="1038" width="11.85546875" style="179" bestFit="1" customWidth="1"/>
    <col min="1039" max="1039" width="15.28515625" style="179" bestFit="1" customWidth="1"/>
    <col min="1040" max="1040" width="5" style="179" customWidth="1"/>
    <col min="1041" max="1041" width="10.42578125" style="179" bestFit="1" customWidth="1"/>
    <col min="1042" max="1042" width="5" style="179" customWidth="1"/>
    <col min="1043" max="1043" width="10.42578125" style="179" bestFit="1" customWidth="1"/>
    <col min="1044" max="1046" width="9" style="179"/>
    <col min="1047" max="1047" width="10.42578125" style="179" bestFit="1" customWidth="1"/>
    <col min="1048" max="1276" width="9" style="179"/>
    <col min="1277" max="1277" width="3.5703125" style="179" customWidth="1"/>
    <col min="1278" max="1278" width="4.85546875" style="179" customWidth="1"/>
    <col min="1279" max="1279" width="5.42578125" style="179" customWidth="1"/>
    <col min="1280" max="1280" width="31.28515625" style="179" customWidth="1"/>
    <col min="1281" max="1281" width="7.5703125" style="179" customWidth="1"/>
    <col min="1282" max="1282" width="2.42578125" style="179" customWidth="1"/>
    <col min="1283" max="1283" width="11.5703125" style="179" customWidth="1"/>
    <col min="1284" max="1284" width="2.42578125" style="179" customWidth="1"/>
    <col min="1285" max="1285" width="11.5703125" style="179" customWidth="1"/>
    <col min="1286" max="1286" width="2.42578125" style="179" customWidth="1"/>
    <col min="1287" max="1287" width="10.85546875" style="179" customWidth="1"/>
    <col min="1288" max="1288" width="2.42578125" style="179" customWidth="1"/>
    <col min="1289" max="1289" width="11.140625" style="179" customWidth="1"/>
    <col min="1290" max="1290" width="1.85546875" style="179" customWidth="1"/>
    <col min="1291" max="1291" width="11" style="179" customWidth="1"/>
    <col min="1292" max="1292" width="0.7109375" style="179" customWidth="1"/>
    <col min="1293" max="1293" width="1.85546875" style="179" customWidth="1"/>
    <col min="1294" max="1294" width="11.85546875" style="179" bestFit="1" customWidth="1"/>
    <col min="1295" max="1295" width="15.28515625" style="179" bestFit="1" customWidth="1"/>
    <col min="1296" max="1296" width="5" style="179" customWidth="1"/>
    <col min="1297" max="1297" width="10.42578125" style="179" bestFit="1" customWidth="1"/>
    <col min="1298" max="1298" width="5" style="179" customWidth="1"/>
    <col min="1299" max="1299" width="10.42578125" style="179" bestFit="1" customWidth="1"/>
    <col min="1300" max="1302" width="9" style="179"/>
    <col min="1303" max="1303" width="10.42578125" style="179" bestFit="1" customWidth="1"/>
    <col min="1304" max="1532" width="9" style="179"/>
    <col min="1533" max="1533" width="3.5703125" style="179" customWidth="1"/>
    <col min="1534" max="1534" width="4.85546875" style="179" customWidth="1"/>
    <col min="1535" max="1535" width="5.42578125" style="179" customWidth="1"/>
    <col min="1536" max="1536" width="31.28515625" style="179" customWidth="1"/>
    <col min="1537" max="1537" width="7.5703125" style="179" customWidth="1"/>
    <col min="1538" max="1538" width="2.42578125" style="179" customWidth="1"/>
    <col min="1539" max="1539" width="11.5703125" style="179" customWidth="1"/>
    <col min="1540" max="1540" width="2.42578125" style="179" customWidth="1"/>
    <col min="1541" max="1541" width="11.5703125" style="179" customWidth="1"/>
    <col min="1542" max="1542" width="2.42578125" style="179" customWidth="1"/>
    <col min="1543" max="1543" width="10.85546875" style="179" customWidth="1"/>
    <col min="1544" max="1544" width="2.42578125" style="179" customWidth="1"/>
    <col min="1545" max="1545" width="11.140625" style="179" customWidth="1"/>
    <col min="1546" max="1546" width="1.85546875" style="179" customWidth="1"/>
    <col min="1547" max="1547" width="11" style="179" customWidth="1"/>
    <col min="1548" max="1548" width="0.7109375" style="179" customWidth="1"/>
    <col min="1549" max="1549" width="1.85546875" style="179" customWidth="1"/>
    <col min="1550" max="1550" width="11.85546875" style="179" bestFit="1" customWidth="1"/>
    <col min="1551" max="1551" width="15.28515625" style="179" bestFit="1" customWidth="1"/>
    <col min="1552" max="1552" width="5" style="179" customWidth="1"/>
    <col min="1553" max="1553" width="10.42578125" style="179" bestFit="1" customWidth="1"/>
    <col min="1554" max="1554" width="5" style="179" customWidth="1"/>
    <col min="1555" max="1555" width="10.42578125" style="179" bestFit="1" customWidth="1"/>
    <col min="1556" max="1558" width="9" style="179"/>
    <col min="1559" max="1559" width="10.42578125" style="179" bestFit="1" customWidth="1"/>
    <col min="1560" max="1788" width="9" style="179"/>
    <col min="1789" max="1789" width="3.5703125" style="179" customWidth="1"/>
    <col min="1790" max="1790" width="4.85546875" style="179" customWidth="1"/>
    <col min="1791" max="1791" width="5.42578125" style="179" customWidth="1"/>
    <col min="1792" max="1792" width="31.28515625" style="179" customWidth="1"/>
    <col min="1793" max="1793" width="7.5703125" style="179" customWidth="1"/>
    <col min="1794" max="1794" width="2.42578125" style="179" customWidth="1"/>
    <col min="1795" max="1795" width="11.5703125" style="179" customWidth="1"/>
    <col min="1796" max="1796" width="2.42578125" style="179" customWidth="1"/>
    <col min="1797" max="1797" width="11.5703125" style="179" customWidth="1"/>
    <col min="1798" max="1798" width="2.42578125" style="179" customWidth="1"/>
    <col min="1799" max="1799" width="10.85546875" style="179" customWidth="1"/>
    <col min="1800" max="1800" width="2.42578125" style="179" customWidth="1"/>
    <col min="1801" max="1801" width="11.140625" style="179" customWidth="1"/>
    <col min="1802" max="1802" width="1.85546875" style="179" customWidth="1"/>
    <col min="1803" max="1803" width="11" style="179" customWidth="1"/>
    <col min="1804" max="1804" width="0.7109375" style="179" customWidth="1"/>
    <col min="1805" max="1805" width="1.85546875" style="179" customWidth="1"/>
    <col min="1806" max="1806" width="11.85546875" style="179" bestFit="1" customWidth="1"/>
    <col min="1807" max="1807" width="15.28515625" style="179" bestFit="1" customWidth="1"/>
    <col min="1808" max="1808" width="5" style="179" customWidth="1"/>
    <col min="1809" max="1809" width="10.42578125" style="179" bestFit="1" customWidth="1"/>
    <col min="1810" max="1810" width="5" style="179" customWidth="1"/>
    <col min="1811" max="1811" width="10.42578125" style="179" bestFit="1" customWidth="1"/>
    <col min="1812" max="1814" width="9" style="179"/>
    <col min="1815" max="1815" width="10.42578125" style="179" bestFit="1" customWidth="1"/>
    <col min="1816" max="2044" width="9" style="179"/>
    <col min="2045" max="2045" width="3.5703125" style="179" customWidth="1"/>
    <col min="2046" max="2046" width="4.85546875" style="179" customWidth="1"/>
    <col min="2047" max="2047" width="5.42578125" style="179" customWidth="1"/>
    <col min="2048" max="2048" width="31.28515625" style="179" customWidth="1"/>
    <col min="2049" max="2049" width="7.5703125" style="179" customWidth="1"/>
    <col min="2050" max="2050" width="2.42578125" style="179" customWidth="1"/>
    <col min="2051" max="2051" width="11.5703125" style="179" customWidth="1"/>
    <col min="2052" max="2052" width="2.42578125" style="179" customWidth="1"/>
    <col min="2053" max="2053" width="11.5703125" style="179" customWidth="1"/>
    <col min="2054" max="2054" width="2.42578125" style="179" customWidth="1"/>
    <col min="2055" max="2055" width="10.85546875" style="179" customWidth="1"/>
    <col min="2056" max="2056" width="2.42578125" style="179" customWidth="1"/>
    <col min="2057" max="2057" width="11.140625" style="179" customWidth="1"/>
    <col min="2058" max="2058" width="1.85546875" style="179" customWidth="1"/>
    <col min="2059" max="2059" width="11" style="179" customWidth="1"/>
    <col min="2060" max="2060" width="0.7109375" style="179" customWidth="1"/>
    <col min="2061" max="2061" width="1.85546875" style="179" customWidth="1"/>
    <col min="2062" max="2062" width="11.85546875" style="179" bestFit="1" customWidth="1"/>
    <col min="2063" max="2063" width="15.28515625" style="179" bestFit="1" customWidth="1"/>
    <col min="2064" max="2064" width="5" style="179" customWidth="1"/>
    <col min="2065" max="2065" width="10.42578125" style="179" bestFit="1" customWidth="1"/>
    <col min="2066" max="2066" width="5" style="179" customWidth="1"/>
    <col min="2067" max="2067" width="10.42578125" style="179" bestFit="1" customWidth="1"/>
    <col min="2068" max="2070" width="9" style="179"/>
    <col min="2071" max="2071" width="10.42578125" style="179" bestFit="1" customWidth="1"/>
    <col min="2072" max="2300" width="9" style="179"/>
    <col min="2301" max="2301" width="3.5703125" style="179" customWidth="1"/>
    <col min="2302" max="2302" width="4.85546875" style="179" customWidth="1"/>
    <col min="2303" max="2303" width="5.42578125" style="179" customWidth="1"/>
    <col min="2304" max="2304" width="31.28515625" style="179" customWidth="1"/>
    <col min="2305" max="2305" width="7.5703125" style="179" customWidth="1"/>
    <col min="2306" max="2306" width="2.42578125" style="179" customWidth="1"/>
    <col min="2307" max="2307" width="11.5703125" style="179" customWidth="1"/>
    <col min="2308" max="2308" width="2.42578125" style="179" customWidth="1"/>
    <col min="2309" max="2309" width="11.5703125" style="179" customWidth="1"/>
    <col min="2310" max="2310" width="2.42578125" style="179" customWidth="1"/>
    <col min="2311" max="2311" width="10.85546875" style="179" customWidth="1"/>
    <col min="2312" max="2312" width="2.42578125" style="179" customWidth="1"/>
    <col min="2313" max="2313" width="11.140625" style="179" customWidth="1"/>
    <col min="2314" max="2314" width="1.85546875" style="179" customWidth="1"/>
    <col min="2315" max="2315" width="11" style="179" customWidth="1"/>
    <col min="2316" max="2316" width="0.7109375" style="179" customWidth="1"/>
    <col min="2317" max="2317" width="1.85546875" style="179" customWidth="1"/>
    <col min="2318" max="2318" width="11.85546875" style="179" bestFit="1" customWidth="1"/>
    <col min="2319" max="2319" width="15.28515625" style="179" bestFit="1" customWidth="1"/>
    <col min="2320" max="2320" width="5" style="179" customWidth="1"/>
    <col min="2321" max="2321" width="10.42578125" style="179" bestFit="1" customWidth="1"/>
    <col min="2322" max="2322" width="5" style="179" customWidth="1"/>
    <col min="2323" max="2323" width="10.42578125" style="179" bestFit="1" customWidth="1"/>
    <col min="2324" max="2326" width="9" style="179"/>
    <col min="2327" max="2327" width="10.42578125" style="179" bestFit="1" customWidth="1"/>
    <col min="2328" max="2556" width="9" style="179"/>
    <col min="2557" max="2557" width="3.5703125" style="179" customWidth="1"/>
    <col min="2558" max="2558" width="4.85546875" style="179" customWidth="1"/>
    <col min="2559" max="2559" width="5.42578125" style="179" customWidth="1"/>
    <col min="2560" max="2560" width="31.28515625" style="179" customWidth="1"/>
    <col min="2561" max="2561" width="7.5703125" style="179" customWidth="1"/>
    <col min="2562" max="2562" width="2.42578125" style="179" customWidth="1"/>
    <col min="2563" max="2563" width="11.5703125" style="179" customWidth="1"/>
    <col min="2564" max="2564" width="2.42578125" style="179" customWidth="1"/>
    <col min="2565" max="2565" width="11.5703125" style="179" customWidth="1"/>
    <col min="2566" max="2566" width="2.42578125" style="179" customWidth="1"/>
    <col min="2567" max="2567" width="10.85546875" style="179" customWidth="1"/>
    <col min="2568" max="2568" width="2.42578125" style="179" customWidth="1"/>
    <col min="2569" max="2569" width="11.140625" style="179" customWidth="1"/>
    <col min="2570" max="2570" width="1.85546875" style="179" customWidth="1"/>
    <col min="2571" max="2571" width="11" style="179" customWidth="1"/>
    <col min="2572" max="2572" width="0.7109375" style="179" customWidth="1"/>
    <col min="2573" max="2573" width="1.85546875" style="179" customWidth="1"/>
    <col min="2574" max="2574" width="11.85546875" style="179" bestFit="1" customWidth="1"/>
    <col min="2575" max="2575" width="15.28515625" style="179" bestFit="1" customWidth="1"/>
    <col min="2576" max="2576" width="5" style="179" customWidth="1"/>
    <col min="2577" max="2577" width="10.42578125" style="179" bestFit="1" customWidth="1"/>
    <col min="2578" max="2578" width="5" style="179" customWidth="1"/>
    <col min="2579" max="2579" width="10.42578125" style="179" bestFit="1" customWidth="1"/>
    <col min="2580" max="2582" width="9" style="179"/>
    <col min="2583" max="2583" width="10.42578125" style="179" bestFit="1" customWidth="1"/>
    <col min="2584" max="2812" width="9" style="179"/>
    <col min="2813" max="2813" width="3.5703125" style="179" customWidth="1"/>
    <col min="2814" max="2814" width="4.85546875" style="179" customWidth="1"/>
    <col min="2815" max="2815" width="5.42578125" style="179" customWidth="1"/>
    <col min="2816" max="2816" width="31.28515625" style="179" customWidth="1"/>
    <col min="2817" max="2817" width="7.5703125" style="179" customWidth="1"/>
    <col min="2818" max="2818" width="2.42578125" style="179" customWidth="1"/>
    <col min="2819" max="2819" width="11.5703125" style="179" customWidth="1"/>
    <col min="2820" max="2820" width="2.42578125" style="179" customWidth="1"/>
    <col min="2821" max="2821" width="11.5703125" style="179" customWidth="1"/>
    <col min="2822" max="2822" width="2.42578125" style="179" customWidth="1"/>
    <col min="2823" max="2823" width="10.85546875" style="179" customWidth="1"/>
    <col min="2824" max="2824" width="2.42578125" style="179" customWidth="1"/>
    <col min="2825" max="2825" width="11.140625" style="179" customWidth="1"/>
    <col min="2826" max="2826" width="1.85546875" style="179" customWidth="1"/>
    <col min="2827" max="2827" width="11" style="179" customWidth="1"/>
    <col min="2828" max="2828" width="0.7109375" style="179" customWidth="1"/>
    <col min="2829" max="2829" width="1.85546875" style="179" customWidth="1"/>
    <col min="2830" max="2830" width="11.85546875" style="179" bestFit="1" customWidth="1"/>
    <col min="2831" max="2831" width="15.28515625" style="179" bestFit="1" customWidth="1"/>
    <col min="2832" max="2832" width="5" style="179" customWidth="1"/>
    <col min="2833" max="2833" width="10.42578125" style="179" bestFit="1" customWidth="1"/>
    <col min="2834" max="2834" width="5" style="179" customWidth="1"/>
    <col min="2835" max="2835" width="10.42578125" style="179" bestFit="1" customWidth="1"/>
    <col min="2836" max="2838" width="9" style="179"/>
    <col min="2839" max="2839" width="10.42578125" style="179" bestFit="1" customWidth="1"/>
    <col min="2840" max="3068" width="9" style="179"/>
    <col min="3069" max="3069" width="3.5703125" style="179" customWidth="1"/>
    <col min="3070" max="3070" width="4.85546875" style="179" customWidth="1"/>
    <col min="3071" max="3071" width="5.42578125" style="179" customWidth="1"/>
    <col min="3072" max="3072" width="31.28515625" style="179" customWidth="1"/>
    <col min="3073" max="3073" width="7.5703125" style="179" customWidth="1"/>
    <col min="3074" max="3074" width="2.42578125" style="179" customWidth="1"/>
    <col min="3075" max="3075" width="11.5703125" style="179" customWidth="1"/>
    <col min="3076" max="3076" width="2.42578125" style="179" customWidth="1"/>
    <col min="3077" max="3077" width="11.5703125" style="179" customWidth="1"/>
    <col min="3078" max="3078" width="2.42578125" style="179" customWidth="1"/>
    <col min="3079" max="3079" width="10.85546875" style="179" customWidth="1"/>
    <col min="3080" max="3080" width="2.42578125" style="179" customWidth="1"/>
    <col min="3081" max="3081" width="11.140625" style="179" customWidth="1"/>
    <col min="3082" max="3082" width="1.85546875" style="179" customWidth="1"/>
    <col min="3083" max="3083" width="11" style="179" customWidth="1"/>
    <col min="3084" max="3084" width="0.7109375" style="179" customWidth="1"/>
    <col min="3085" max="3085" width="1.85546875" style="179" customWidth="1"/>
    <col min="3086" max="3086" width="11.85546875" style="179" bestFit="1" customWidth="1"/>
    <col min="3087" max="3087" width="15.28515625" style="179" bestFit="1" customWidth="1"/>
    <col min="3088" max="3088" width="5" style="179" customWidth="1"/>
    <col min="3089" max="3089" width="10.42578125" style="179" bestFit="1" customWidth="1"/>
    <col min="3090" max="3090" width="5" style="179" customWidth="1"/>
    <col min="3091" max="3091" width="10.42578125" style="179" bestFit="1" customWidth="1"/>
    <col min="3092" max="3094" width="9" style="179"/>
    <col min="3095" max="3095" width="10.42578125" style="179" bestFit="1" customWidth="1"/>
    <col min="3096" max="3324" width="9" style="179"/>
    <col min="3325" max="3325" width="3.5703125" style="179" customWidth="1"/>
    <col min="3326" max="3326" width="4.85546875" style="179" customWidth="1"/>
    <col min="3327" max="3327" width="5.42578125" style="179" customWidth="1"/>
    <col min="3328" max="3328" width="31.28515625" style="179" customWidth="1"/>
    <col min="3329" max="3329" width="7.5703125" style="179" customWidth="1"/>
    <col min="3330" max="3330" width="2.42578125" style="179" customWidth="1"/>
    <col min="3331" max="3331" width="11.5703125" style="179" customWidth="1"/>
    <col min="3332" max="3332" width="2.42578125" style="179" customWidth="1"/>
    <col min="3333" max="3333" width="11.5703125" style="179" customWidth="1"/>
    <col min="3334" max="3334" width="2.42578125" style="179" customWidth="1"/>
    <col min="3335" max="3335" width="10.85546875" style="179" customWidth="1"/>
    <col min="3336" max="3336" width="2.42578125" style="179" customWidth="1"/>
    <col min="3337" max="3337" width="11.140625" style="179" customWidth="1"/>
    <col min="3338" max="3338" width="1.85546875" style="179" customWidth="1"/>
    <col min="3339" max="3339" width="11" style="179" customWidth="1"/>
    <col min="3340" max="3340" width="0.7109375" style="179" customWidth="1"/>
    <col min="3341" max="3341" width="1.85546875" style="179" customWidth="1"/>
    <col min="3342" max="3342" width="11.85546875" style="179" bestFit="1" customWidth="1"/>
    <col min="3343" max="3343" width="15.28515625" style="179" bestFit="1" customWidth="1"/>
    <col min="3344" max="3344" width="5" style="179" customWidth="1"/>
    <col min="3345" max="3345" width="10.42578125" style="179" bestFit="1" customWidth="1"/>
    <col min="3346" max="3346" width="5" style="179" customWidth="1"/>
    <col min="3347" max="3347" width="10.42578125" style="179" bestFit="1" customWidth="1"/>
    <col min="3348" max="3350" width="9" style="179"/>
    <col min="3351" max="3351" width="10.42578125" style="179" bestFit="1" customWidth="1"/>
    <col min="3352" max="3580" width="9" style="179"/>
    <col min="3581" max="3581" width="3.5703125" style="179" customWidth="1"/>
    <col min="3582" max="3582" width="4.85546875" style="179" customWidth="1"/>
    <col min="3583" max="3583" width="5.42578125" style="179" customWidth="1"/>
    <col min="3584" max="3584" width="31.28515625" style="179" customWidth="1"/>
    <col min="3585" max="3585" width="7.5703125" style="179" customWidth="1"/>
    <col min="3586" max="3586" width="2.42578125" style="179" customWidth="1"/>
    <col min="3587" max="3587" width="11.5703125" style="179" customWidth="1"/>
    <col min="3588" max="3588" width="2.42578125" style="179" customWidth="1"/>
    <col min="3589" max="3589" width="11.5703125" style="179" customWidth="1"/>
    <col min="3590" max="3590" width="2.42578125" style="179" customWidth="1"/>
    <col min="3591" max="3591" width="10.85546875" style="179" customWidth="1"/>
    <col min="3592" max="3592" width="2.42578125" style="179" customWidth="1"/>
    <col min="3593" max="3593" width="11.140625" style="179" customWidth="1"/>
    <col min="3594" max="3594" width="1.85546875" style="179" customWidth="1"/>
    <col min="3595" max="3595" width="11" style="179" customWidth="1"/>
    <col min="3596" max="3596" width="0.7109375" style="179" customWidth="1"/>
    <col min="3597" max="3597" width="1.85546875" style="179" customWidth="1"/>
    <col min="3598" max="3598" width="11.85546875" style="179" bestFit="1" customWidth="1"/>
    <col min="3599" max="3599" width="15.28515625" style="179" bestFit="1" customWidth="1"/>
    <col min="3600" max="3600" width="5" style="179" customWidth="1"/>
    <col min="3601" max="3601" width="10.42578125" style="179" bestFit="1" customWidth="1"/>
    <col min="3602" max="3602" width="5" style="179" customWidth="1"/>
    <col min="3603" max="3603" width="10.42578125" style="179" bestFit="1" customWidth="1"/>
    <col min="3604" max="3606" width="9" style="179"/>
    <col min="3607" max="3607" width="10.42578125" style="179" bestFit="1" customWidth="1"/>
    <col min="3608" max="3836" width="9" style="179"/>
    <col min="3837" max="3837" width="3.5703125" style="179" customWidth="1"/>
    <col min="3838" max="3838" width="4.85546875" style="179" customWidth="1"/>
    <col min="3839" max="3839" width="5.42578125" style="179" customWidth="1"/>
    <col min="3840" max="3840" width="31.28515625" style="179" customWidth="1"/>
    <col min="3841" max="3841" width="7.5703125" style="179" customWidth="1"/>
    <col min="3842" max="3842" width="2.42578125" style="179" customWidth="1"/>
    <col min="3843" max="3843" width="11.5703125" style="179" customWidth="1"/>
    <col min="3844" max="3844" width="2.42578125" style="179" customWidth="1"/>
    <col min="3845" max="3845" width="11.5703125" style="179" customWidth="1"/>
    <col min="3846" max="3846" width="2.42578125" style="179" customWidth="1"/>
    <col min="3847" max="3847" width="10.85546875" style="179" customWidth="1"/>
    <col min="3848" max="3848" width="2.42578125" style="179" customWidth="1"/>
    <col min="3849" max="3849" width="11.140625" style="179" customWidth="1"/>
    <col min="3850" max="3850" width="1.85546875" style="179" customWidth="1"/>
    <col min="3851" max="3851" width="11" style="179" customWidth="1"/>
    <col min="3852" max="3852" width="0.7109375" style="179" customWidth="1"/>
    <col min="3853" max="3853" width="1.85546875" style="179" customWidth="1"/>
    <col min="3854" max="3854" width="11.85546875" style="179" bestFit="1" customWidth="1"/>
    <col min="3855" max="3855" width="15.28515625" style="179" bestFit="1" customWidth="1"/>
    <col min="3856" max="3856" width="5" style="179" customWidth="1"/>
    <col min="3857" max="3857" width="10.42578125" style="179" bestFit="1" customWidth="1"/>
    <col min="3858" max="3858" width="5" style="179" customWidth="1"/>
    <col min="3859" max="3859" width="10.42578125" style="179" bestFit="1" customWidth="1"/>
    <col min="3860" max="3862" width="9" style="179"/>
    <col min="3863" max="3863" width="10.42578125" style="179" bestFit="1" customWidth="1"/>
    <col min="3864" max="4092" width="9" style="179"/>
    <col min="4093" max="4093" width="3.5703125" style="179" customWidth="1"/>
    <col min="4094" max="4094" width="4.85546875" style="179" customWidth="1"/>
    <col min="4095" max="4095" width="5.42578125" style="179" customWidth="1"/>
    <col min="4096" max="4096" width="31.28515625" style="179" customWidth="1"/>
    <col min="4097" max="4097" width="7.5703125" style="179" customWidth="1"/>
    <col min="4098" max="4098" width="2.42578125" style="179" customWidth="1"/>
    <col min="4099" max="4099" width="11.5703125" style="179" customWidth="1"/>
    <col min="4100" max="4100" width="2.42578125" style="179" customWidth="1"/>
    <col min="4101" max="4101" width="11.5703125" style="179" customWidth="1"/>
    <col min="4102" max="4102" width="2.42578125" style="179" customWidth="1"/>
    <col min="4103" max="4103" width="10.85546875" style="179" customWidth="1"/>
    <col min="4104" max="4104" width="2.42578125" style="179" customWidth="1"/>
    <col min="4105" max="4105" width="11.140625" style="179" customWidth="1"/>
    <col min="4106" max="4106" width="1.85546875" style="179" customWidth="1"/>
    <col min="4107" max="4107" width="11" style="179" customWidth="1"/>
    <col min="4108" max="4108" width="0.7109375" style="179" customWidth="1"/>
    <col min="4109" max="4109" width="1.85546875" style="179" customWidth="1"/>
    <col min="4110" max="4110" width="11.85546875" style="179" bestFit="1" customWidth="1"/>
    <col min="4111" max="4111" width="15.28515625" style="179" bestFit="1" customWidth="1"/>
    <col min="4112" max="4112" width="5" style="179" customWidth="1"/>
    <col min="4113" max="4113" width="10.42578125" style="179" bestFit="1" customWidth="1"/>
    <col min="4114" max="4114" width="5" style="179" customWidth="1"/>
    <col min="4115" max="4115" width="10.42578125" style="179" bestFit="1" customWidth="1"/>
    <col min="4116" max="4118" width="9" style="179"/>
    <col min="4119" max="4119" width="10.42578125" style="179" bestFit="1" customWidth="1"/>
    <col min="4120" max="4348" width="9" style="179"/>
    <col min="4349" max="4349" width="3.5703125" style="179" customWidth="1"/>
    <col min="4350" max="4350" width="4.85546875" style="179" customWidth="1"/>
    <col min="4351" max="4351" width="5.42578125" style="179" customWidth="1"/>
    <col min="4352" max="4352" width="31.28515625" style="179" customWidth="1"/>
    <col min="4353" max="4353" width="7.5703125" style="179" customWidth="1"/>
    <col min="4354" max="4354" width="2.42578125" style="179" customWidth="1"/>
    <col min="4355" max="4355" width="11.5703125" style="179" customWidth="1"/>
    <col min="4356" max="4356" width="2.42578125" style="179" customWidth="1"/>
    <col min="4357" max="4357" width="11.5703125" style="179" customWidth="1"/>
    <col min="4358" max="4358" width="2.42578125" style="179" customWidth="1"/>
    <col min="4359" max="4359" width="10.85546875" style="179" customWidth="1"/>
    <col min="4360" max="4360" width="2.42578125" style="179" customWidth="1"/>
    <col min="4361" max="4361" width="11.140625" style="179" customWidth="1"/>
    <col min="4362" max="4362" width="1.85546875" style="179" customWidth="1"/>
    <col min="4363" max="4363" width="11" style="179" customWidth="1"/>
    <col min="4364" max="4364" width="0.7109375" style="179" customWidth="1"/>
    <col min="4365" max="4365" width="1.85546875" style="179" customWidth="1"/>
    <col min="4366" max="4366" width="11.85546875" style="179" bestFit="1" customWidth="1"/>
    <col min="4367" max="4367" width="15.28515625" style="179" bestFit="1" customWidth="1"/>
    <col min="4368" max="4368" width="5" style="179" customWidth="1"/>
    <col min="4369" max="4369" width="10.42578125" style="179" bestFit="1" customWidth="1"/>
    <col min="4370" max="4370" width="5" style="179" customWidth="1"/>
    <col min="4371" max="4371" width="10.42578125" style="179" bestFit="1" customWidth="1"/>
    <col min="4372" max="4374" width="9" style="179"/>
    <col min="4375" max="4375" width="10.42578125" style="179" bestFit="1" customWidth="1"/>
    <col min="4376" max="4604" width="9" style="179"/>
    <col min="4605" max="4605" width="3.5703125" style="179" customWidth="1"/>
    <col min="4606" max="4606" width="4.85546875" style="179" customWidth="1"/>
    <col min="4607" max="4607" width="5.42578125" style="179" customWidth="1"/>
    <col min="4608" max="4608" width="31.28515625" style="179" customWidth="1"/>
    <col min="4609" max="4609" width="7.5703125" style="179" customWidth="1"/>
    <col min="4610" max="4610" width="2.42578125" style="179" customWidth="1"/>
    <col min="4611" max="4611" width="11.5703125" style="179" customWidth="1"/>
    <col min="4612" max="4612" width="2.42578125" style="179" customWidth="1"/>
    <col min="4613" max="4613" width="11.5703125" style="179" customWidth="1"/>
    <col min="4614" max="4614" width="2.42578125" style="179" customWidth="1"/>
    <col min="4615" max="4615" width="10.85546875" style="179" customWidth="1"/>
    <col min="4616" max="4616" width="2.42578125" style="179" customWidth="1"/>
    <col min="4617" max="4617" width="11.140625" style="179" customWidth="1"/>
    <col min="4618" max="4618" width="1.85546875" style="179" customWidth="1"/>
    <col min="4619" max="4619" width="11" style="179" customWidth="1"/>
    <col min="4620" max="4620" width="0.7109375" style="179" customWidth="1"/>
    <col min="4621" max="4621" width="1.85546875" style="179" customWidth="1"/>
    <col min="4622" max="4622" width="11.85546875" style="179" bestFit="1" customWidth="1"/>
    <col min="4623" max="4623" width="15.28515625" style="179" bestFit="1" customWidth="1"/>
    <col min="4624" max="4624" width="5" style="179" customWidth="1"/>
    <col min="4625" max="4625" width="10.42578125" style="179" bestFit="1" customWidth="1"/>
    <col min="4626" max="4626" width="5" style="179" customWidth="1"/>
    <col min="4627" max="4627" width="10.42578125" style="179" bestFit="1" customWidth="1"/>
    <col min="4628" max="4630" width="9" style="179"/>
    <col min="4631" max="4631" width="10.42578125" style="179" bestFit="1" customWidth="1"/>
    <col min="4632" max="4860" width="9" style="179"/>
    <col min="4861" max="4861" width="3.5703125" style="179" customWidth="1"/>
    <col min="4862" max="4862" width="4.85546875" style="179" customWidth="1"/>
    <col min="4863" max="4863" width="5.42578125" style="179" customWidth="1"/>
    <col min="4864" max="4864" width="31.28515625" style="179" customWidth="1"/>
    <col min="4865" max="4865" width="7.5703125" style="179" customWidth="1"/>
    <col min="4866" max="4866" width="2.42578125" style="179" customWidth="1"/>
    <col min="4867" max="4867" width="11.5703125" style="179" customWidth="1"/>
    <col min="4868" max="4868" width="2.42578125" style="179" customWidth="1"/>
    <col min="4869" max="4869" width="11.5703125" style="179" customWidth="1"/>
    <col min="4870" max="4870" width="2.42578125" style="179" customWidth="1"/>
    <col min="4871" max="4871" width="10.85546875" style="179" customWidth="1"/>
    <col min="4872" max="4872" width="2.42578125" style="179" customWidth="1"/>
    <col min="4873" max="4873" width="11.140625" style="179" customWidth="1"/>
    <col min="4874" max="4874" width="1.85546875" style="179" customWidth="1"/>
    <col min="4875" max="4875" width="11" style="179" customWidth="1"/>
    <col min="4876" max="4876" width="0.7109375" style="179" customWidth="1"/>
    <col min="4877" max="4877" width="1.85546875" style="179" customWidth="1"/>
    <col min="4878" max="4878" width="11.85546875" style="179" bestFit="1" customWidth="1"/>
    <col min="4879" max="4879" width="15.28515625" style="179" bestFit="1" customWidth="1"/>
    <col min="4880" max="4880" width="5" style="179" customWidth="1"/>
    <col min="4881" max="4881" width="10.42578125" style="179" bestFit="1" customWidth="1"/>
    <col min="4882" max="4882" width="5" style="179" customWidth="1"/>
    <col min="4883" max="4883" width="10.42578125" style="179" bestFit="1" customWidth="1"/>
    <col min="4884" max="4886" width="9" style="179"/>
    <col min="4887" max="4887" width="10.42578125" style="179" bestFit="1" customWidth="1"/>
    <col min="4888" max="5116" width="9" style="179"/>
    <col min="5117" max="5117" width="3.5703125" style="179" customWidth="1"/>
    <col min="5118" max="5118" width="4.85546875" style="179" customWidth="1"/>
    <col min="5119" max="5119" width="5.42578125" style="179" customWidth="1"/>
    <col min="5120" max="5120" width="31.28515625" style="179" customWidth="1"/>
    <col min="5121" max="5121" width="7.5703125" style="179" customWidth="1"/>
    <col min="5122" max="5122" width="2.42578125" style="179" customWidth="1"/>
    <col min="5123" max="5123" width="11.5703125" style="179" customWidth="1"/>
    <col min="5124" max="5124" width="2.42578125" style="179" customWidth="1"/>
    <col min="5125" max="5125" width="11.5703125" style="179" customWidth="1"/>
    <col min="5126" max="5126" width="2.42578125" style="179" customWidth="1"/>
    <col min="5127" max="5127" width="10.85546875" style="179" customWidth="1"/>
    <col min="5128" max="5128" width="2.42578125" style="179" customWidth="1"/>
    <col min="5129" max="5129" width="11.140625" style="179" customWidth="1"/>
    <col min="5130" max="5130" width="1.85546875" style="179" customWidth="1"/>
    <col min="5131" max="5131" width="11" style="179" customWidth="1"/>
    <col min="5132" max="5132" width="0.7109375" style="179" customWidth="1"/>
    <col min="5133" max="5133" width="1.85546875" style="179" customWidth="1"/>
    <col min="5134" max="5134" width="11.85546875" style="179" bestFit="1" customWidth="1"/>
    <col min="5135" max="5135" width="15.28515625" style="179" bestFit="1" customWidth="1"/>
    <col min="5136" max="5136" width="5" style="179" customWidth="1"/>
    <col min="5137" max="5137" width="10.42578125" style="179" bestFit="1" customWidth="1"/>
    <col min="5138" max="5138" width="5" style="179" customWidth="1"/>
    <col min="5139" max="5139" width="10.42578125" style="179" bestFit="1" customWidth="1"/>
    <col min="5140" max="5142" width="9" style="179"/>
    <col min="5143" max="5143" width="10.42578125" style="179" bestFit="1" customWidth="1"/>
    <col min="5144" max="5372" width="9" style="179"/>
    <col min="5373" max="5373" width="3.5703125" style="179" customWidth="1"/>
    <col min="5374" max="5374" width="4.85546875" style="179" customWidth="1"/>
    <col min="5375" max="5375" width="5.42578125" style="179" customWidth="1"/>
    <col min="5376" max="5376" width="31.28515625" style="179" customWidth="1"/>
    <col min="5377" max="5377" width="7.5703125" style="179" customWidth="1"/>
    <col min="5378" max="5378" width="2.42578125" style="179" customWidth="1"/>
    <col min="5379" max="5379" width="11.5703125" style="179" customWidth="1"/>
    <col min="5380" max="5380" width="2.42578125" style="179" customWidth="1"/>
    <col min="5381" max="5381" width="11.5703125" style="179" customWidth="1"/>
    <col min="5382" max="5382" width="2.42578125" style="179" customWidth="1"/>
    <col min="5383" max="5383" width="10.85546875" style="179" customWidth="1"/>
    <col min="5384" max="5384" width="2.42578125" style="179" customWidth="1"/>
    <col min="5385" max="5385" width="11.140625" style="179" customWidth="1"/>
    <col min="5386" max="5386" width="1.85546875" style="179" customWidth="1"/>
    <col min="5387" max="5387" width="11" style="179" customWidth="1"/>
    <col min="5388" max="5388" width="0.7109375" style="179" customWidth="1"/>
    <col min="5389" max="5389" width="1.85546875" style="179" customWidth="1"/>
    <col min="5390" max="5390" width="11.85546875" style="179" bestFit="1" customWidth="1"/>
    <col min="5391" max="5391" width="15.28515625" style="179" bestFit="1" customWidth="1"/>
    <col min="5392" max="5392" width="5" style="179" customWidth="1"/>
    <col min="5393" max="5393" width="10.42578125" style="179" bestFit="1" customWidth="1"/>
    <col min="5394" max="5394" width="5" style="179" customWidth="1"/>
    <col min="5395" max="5395" width="10.42578125" style="179" bestFit="1" customWidth="1"/>
    <col min="5396" max="5398" width="9" style="179"/>
    <col min="5399" max="5399" width="10.42578125" style="179" bestFit="1" customWidth="1"/>
    <col min="5400" max="5628" width="9" style="179"/>
    <col min="5629" max="5629" width="3.5703125" style="179" customWidth="1"/>
    <col min="5630" max="5630" width="4.85546875" style="179" customWidth="1"/>
    <col min="5631" max="5631" width="5.42578125" style="179" customWidth="1"/>
    <col min="5632" max="5632" width="31.28515625" style="179" customWidth="1"/>
    <col min="5633" max="5633" width="7.5703125" style="179" customWidth="1"/>
    <col min="5634" max="5634" width="2.42578125" style="179" customWidth="1"/>
    <col min="5635" max="5635" width="11.5703125" style="179" customWidth="1"/>
    <col min="5636" max="5636" width="2.42578125" style="179" customWidth="1"/>
    <col min="5637" max="5637" width="11.5703125" style="179" customWidth="1"/>
    <col min="5638" max="5638" width="2.42578125" style="179" customWidth="1"/>
    <col min="5639" max="5639" width="10.85546875" style="179" customWidth="1"/>
    <col min="5640" max="5640" width="2.42578125" style="179" customWidth="1"/>
    <col min="5641" max="5641" width="11.140625" style="179" customWidth="1"/>
    <col min="5642" max="5642" width="1.85546875" style="179" customWidth="1"/>
    <col min="5643" max="5643" width="11" style="179" customWidth="1"/>
    <col min="5644" max="5644" width="0.7109375" style="179" customWidth="1"/>
    <col min="5645" max="5645" width="1.85546875" style="179" customWidth="1"/>
    <col min="5646" max="5646" width="11.85546875" style="179" bestFit="1" customWidth="1"/>
    <col min="5647" max="5647" width="15.28515625" style="179" bestFit="1" customWidth="1"/>
    <col min="5648" max="5648" width="5" style="179" customWidth="1"/>
    <col min="5649" max="5649" width="10.42578125" style="179" bestFit="1" customWidth="1"/>
    <col min="5650" max="5650" width="5" style="179" customWidth="1"/>
    <col min="5651" max="5651" width="10.42578125" style="179" bestFit="1" customWidth="1"/>
    <col min="5652" max="5654" width="9" style="179"/>
    <col min="5655" max="5655" width="10.42578125" style="179" bestFit="1" customWidth="1"/>
    <col min="5656" max="5884" width="9" style="179"/>
    <col min="5885" max="5885" width="3.5703125" style="179" customWidth="1"/>
    <col min="5886" max="5886" width="4.85546875" style="179" customWidth="1"/>
    <col min="5887" max="5887" width="5.42578125" style="179" customWidth="1"/>
    <col min="5888" max="5888" width="31.28515625" style="179" customWidth="1"/>
    <col min="5889" max="5889" width="7.5703125" style="179" customWidth="1"/>
    <col min="5890" max="5890" width="2.42578125" style="179" customWidth="1"/>
    <col min="5891" max="5891" width="11.5703125" style="179" customWidth="1"/>
    <col min="5892" max="5892" width="2.42578125" style="179" customWidth="1"/>
    <col min="5893" max="5893" width="11.5703125" style="179" customWidth="1"/>
    <col min="5894" max="5894" width="2.42578125" style="179" customWidth="1"/>
    <col min="5895" max="5895" width="10.85546875" style="179" customWidth="1"/>
    <col min="5896" max="5896" width="2.42578125" style="179" customWidth="1"/>
    <col min="5897" max="5897" width="11.140625" style="179" customWidth="1"/>
    <col min="5898" max="5898" width="1.85546875" style="179" customWidth="1"/>
    <col min="5899" max="5899" width="11" style="179" customWidth="1"/>
    <col min="5900" max="5900" width="0.7109375" style="179" customWidth="1"/>
    <col min="5901" max="5901" width="1.85546875" style="179" customWidth="1"/>
    <col min="5902" max="5902" width="11.85546875" style="179" bestFit="1" customWidth="1"/>
    <col min="5903" max="5903" width="15.28515625" style="179" bestFit="1" customWidth="1"/>
    <col min="5904" max="5904" width="5" style="179" customWidth="1"/>
    <col min="5905" max="5905" width="10.42578125" style="179" bestFit="1" customWidth="1"/>
    <col min="5906" max="5906" width="5" style="179" customWidth="1"/>
    <col min="5907" max="5907" width="10.42578125" style="179" bestFit="1" customWidth="1"/>
    <col min="5908" max="5910" width="9" style="179"/>
    <col min="5911" max="5911" width="10.42578125" style="179" bestFit="1" customWidth="1"/>
    <col min="5912" max="6140" width="9" style="179"/>
    <col min="6141" max="6141" width="3.5703125" style="179" customWidth="1"/>
    <col min="6142" max="6142" width="4.85546875" style="179" customWidth="1"/>
    <col min="6143" max="6143" width="5.42578125" style="179" customWidth="1"/>
    <col min="6144" max="6144" width="31.28515625" style="179" customWidth="1"/>
    <col min="6145" max="6145" width="7.5703125" style="179" customWidth="1"/>
    <col min="6146" max="6146" width="2.42578125" style="179" customWidth="1"/>
    <col min="6147" max="6147" width="11.5703125" style="179" customWidth="1"/>
    <col min="6148" max="6148" width="2.42578125" style="179" customWidth="1"/>
    <col min="6149" max="6149" width="11.5703125" style="179" customWidth="1"/>
    <col min="6150" max="6150" width="2.42578125" style="179" customWidth="1"/>
    <col min="6151" max="6151" width="10.85546875" style="179" customWidth="1"/>
    <col min="6152" max="6152" width="2.42578125" style="179" customWidth="1"/>
    <col min="6153" max="6153" width="11.140625" style="179" customWidth="1"/>
    <col min="6154" max="6154" width="1.85546875" style="179" customWidth="1"/>
    <col min="6155" max="6155" width="11" style="179" customWidth="1"/>
    <col min="6156" max="6156" width="0.7109375" style="179" customWidth="1"/>
    <col min="6157" max="6157" width="1.85546875" style="179" customWidth="1"/>
    <col min="6158" max="6158" width="11.85546875" style="179" bestFit="1" customWidth="1"/>
    <col min="6159" max="6159" width="15.28515625" style="179" bestFit="1" customWidth="1"/>
    <col min="6160" max="6160" width="5" style="179" customWidth="1"/>
    <col min="6161" max="6161" width="10.42578125" style="179" bestFit="1" customWidth="1"/>
    <col min="6162" max="6162" width="5" style="179" customWidth="1"/>
    <col min="6163" max="6163" width="10.42578125" style="179" bestFit="1" customWidth="1"/>
    <col min="6164" max="6166" width="9" style="179"/>
    <col min="6167" max="6167" width="10.42578125" style="179" bestFit="1" customWidth="1"/>
    <col min="6168" max="6396" width="9" style="179"/>
    <col min="6397" max="6397" width="3.5703125" style="179" customWidth="1"/>
    <col min="6398" max="6398" width="4.85546875" style="179" customWidth="1"/>
    <col min="6399" max="6399" width="5.42578125" style="179" customWidth="1"/>
    <col min="6400" max="6400" width="31.28515625" style="179" customWidth="1"/>
    <col min="6401" max="6401" width="7.5703125" style="179" customWidth="1"/>
    <col min="6402" max="6402" width="2.42578125" style="179" customWidth="1"/>
    <col min="6403" max="6403" width="11.5703125" style="179" customWidth="1"/>
    <col min="6404" max="6404" width="2.42578125" style="179" customWidth="1"/>
    <col min="6405" max="6405" width="11.5703125" style="179" customWidth="1"/>
    <col min="6406" max="6406" width="2.42578125" style="179" customWidth="1"/>
    <col min="6407" max="6407" width="10.85546875" style="179" customWidth="1"/>
    <col min="6408" max="6408" width="2.42578125" style="179" customWidth="1"/>
    <col min="6409" max="6409" width="11.140625" style="179" customWidth="1"/>
    <col min="6410" max="6410" width="1.85546875" style="179" customWidth="1"/>
    <col min="6411" max="6411" width="11" style="179" customWidth="1"/>
    <col min="6412" max="6412" width="0.7109375" style="179" customWidth="1"/>
    <col min="6413" max="6413" width="1.85546875" style="179" customWidth="1"/>
    <col min="6414" max="6414" width="11.85546875" style="179" bestFit="1" customWidth="1"/>
    <col min="6415" max="6415" width="15.28515625" style="179" bestFit="1" customWidth="1"/>
    <col min="6416" max="6416" width="5" style="179" customWidth="1"/>
    <col min="6417" max="6417" width="10.42578125" style="179" bestFit="1" customWidth="1"/>
    <col min="6418" max="6418" width="5" style="179" customWidth="1"/>
    <col min="6419" max="6419" width="10.42578125" style="179" bestFit="1" customWidth="1"/>
    <col min="6420" max="6422" width="9" style="179"/>
    <col min="6423" max="6423" width="10.42578125" style="179" bestFit="1" customWidth="1"/>
    <col min="6424" max="6652" width="9" style="179"/>
    <col min="6653" max="6653" width="3.5703125" style="179" customWidth="1"/>
    <col min="6654" max="6654" width="4.85546875" style="179" customWidth="1"/>
    <col min="6655" max="6655" width="5.42578125" style="179" customWidth="1"/>
    <col min="6656" max="6656" width="31.28515625" style="179" customWidth="1"/>
    <col min="6657" max="6657" width="7.5703125" style="179" customWidth="1"/>
    <col min="6658" max="6658" width="2.42578125" style="179" customWidth="1"/>
    <col min="6659" max="6659" width="11.5703125" style="179" customWidth="1"/>
    <col min="6660" max="6660" width="2.42578125" style="179" customWidth="1"/>
    <col min="6661" max="6661" width="11.5703125" style="179" customWidth="1"/>
    <col min="6662" max="6662" width="2.42578125" style="179" customWidth="1"/>
    <col min="6663" max="6663" width="10.85546875" style="179" customWidth="1"/>
    <col min="6664" max="6664" width="2.42578125" style="179" customWidth="1"/>
    <col min="6665" max="6665" width="11.140625" style="179" customWidth="1"/>
    <col min="6666" max="6666" width="1.85546875" style="179" customWidth="1"/>
    <col min="6667" max="6667" width="11" style="179" customWidth="1"/>
    <col min="6668" max="6668" width="0.7109375" style="179" customWidth="1"/>
    <col min="6669" max="6669" width="1.85546875" style="179" customWidth="1"/>
    <col min="6670" max="6670" width="11.85546875" style="179" bestFit="1" customWidth="1"/>
    <col min="6671" max="6671" width="15.28515625" style="179" bestFit="1" customWidth="1"/>
    <col min="6672" max="6672" width="5" style="179" customWidth="1"/>
    <col min="6673" max="6673" width="10.42578125" style="179" bestFit="1" customWidth="1"/>
    <col min="6674" max="6674" width="5" style="179" customWidth="1"/>
    <col min="6675" max="6675" width="10.42578125" style="179" bestFit="1" customWidth="1"/>
    <col min="6676" max="6678" width="9" style="179"/>
    <col min="6679" max="6679" width="10.42578125" style="179" bestFit="1" customWidth="1"/>
    <col min="6680" max="6908" width="9" style="179"/>
    <col min="6909" max="6909" width="3.5703125" style="179" customWidth="1"/>
    <col min="6910" max="6910" width="4.85546875" style="179" customWidth="1"/>
    <col min="6911" max="6911" width="5.42578125" style="179" customWidth="1"/>
    <col min="6912" max="6912" width="31.28515625" style="179" customWidth="1"/>
    <col min="6913" max="6913" width="7.5703125" style="179" customWidth="1"/>
    <col min="6914" max="6914" width="2.42578125" style="179" customWidth="1"/>
    <col min="6915" max="6915" width="11.5703125" style="179" customWidth="1"/>
    <col min="6916" max="6916" width="2.42578125" style="179" customWidth="1"/>
    <col min="6917" max="6917" width="11.5703125" style="179" customWidth="1"/>
    <col min="6918" max="6918" width="2.42578125" style="179" customWidth="1"/>
    <col min="6919" max="6919" width="10.85546875" style="179" customWidth="1"/>
    <col min="6920" max="6920" width="2.42578125" style="179" customWidth="1"/>
    <col min="6921" max="6921" width="11.140625" style="179" customWidth="1"/>
    <col min="6922" max="6922" width="1.85546875" style="179" customWidth="1"/>
    <col min="6923" max="6923" width="11" style="179" customWidth="1"/>
    <col min="6924" max="6924" width="0.7109375" style="179" customWidth="1"/>
    <col min="6925" max="6925" width="1.85546875" style="179" customWidth="1"/>
    <col min="6926" max="6926" width="11.85546875" style="179" bestFit="1" customWidth="1"/>
    <col min="6927" max="6927" width="15.28515625" style="179" bestFit="1" customWidth="1"/>
    <col min="6928" max="6928" width="5" style="179" customWidth="1"/>
    <col min="6929" max="6929" width="10.42578125" style="179" bestFit="1" customWidth="1"/>
    <col min="6930" max="6930" width="5" style="179" customWidth="1"/>
    <col min="6931" max="6931" width="10.42578125" style="179" bestFit="1" customWidth="1"/>
    <col min="6932" max="6934" width="9" style="179"/>
    <col min="6935" max="6935" width="10.42578125" style="179" bestFit="1" customWidth="1"/>
    <col min="6936" max="7164" width="9" style="179"/>
    <col min="7165" max="7165" width="3.5703125" style="179" customWidth="1"/>
    <col min="7166" max="7166" width="4.85546875" style="179" customWidth="1"/>
    <col min="7167" max="7167" width="5.42578125" style="179" customWidth="1"/>
    <col min="7168" max="7168" width="31.28515625" style="179" customWidth="1"/>
    <col min="7169" max="7169" width="7.5703125" style="179" customWidth="1"/>
    <col min="7170" max="7170" width="2.42578125" style="179" customWidth="1"/>
    <col min="7171" max="7171" width="11.5703125" style="179" customWidth="1"/>
    <col min="7172" max="7172" width="2.42578125" style="179" customWidth="1"/>
    <col min="7173" max="7173" width="11.5703125" style="179" customWidth="1"/>
    <col min="7174" max="7174" width="2.42578125" style="179" customWidth="1"/>
    <col min="7175" max="7175" width="10.85546875" style="179" customWidth="1"/>
    <col min="7176" max="7176" width="2.42578125" style="179" customWidth="1"/>
    <col min="7177" max="7177" width="11.140625" style="179" customWidth="1"/>
    <col min="7178" max="7178" width="1.85546875" style="179" customWidth="1"/>
    <col min="7179" max="7179" width="11" style="179" customWidth="1"/>
    <col min="7180" max="7180" width="0.7109375" style="179" customWidth="1"/>
    <col min="7181" max="7181" width="1.85546875" style="179" customWidth="1"/>
    <col min="7182" max="7182" width="11.85546875" style="179" bestFit="1" customWidth="1"/>
    <col min="7183" max="7183" width="15.28515625" style="179" bestFit="1" customWidth="1"/>
    <col min="7184" max="7184" width="5" style="179" customWidth="1"/>
    <col min="7185" max="7185" width="10.42578125" style="179" bestFit="1" customWidth="1"/>
    <col min="7186" max="7186" width="5" style="179" customWidth="1"/>
    <col min="7187" max="7187" width="10.42578125" style="179" bestFit="1" customWidth="1"/>
    <col min="7188" max="7190" width="9" style="179"/>
    <col min="7191" max="7191" width="10.42578125" style="179" bestFit="1" customWidth="1"/>
    <col min="7192" max="7420" width="9" style="179"/>
    <col min="7421" max="7421" width="3.5703125" style="179" customWidth="1"/>
    <col min="7422" max="7422" width="4.85546875" style="179" customWidth="1"/>
    <col min="7423" max="7423" width="5.42578125" style="179" customWidth="1"/>
    <col min="7424" max="7424" width="31.28515625" style="179" customWidth="1"/>
    <col min="7425" max="7425" width="7.5703125" style="179" customWidth="1"/>
    <col min="7426" max="7426" width="2.42578125" style="179" customWidth="1"/>
    <col min="7427" max="7427" width="11.5703125" style="179" customWidth="1"/>
    <col min="7428" max="7428" width="2.42578125" style="179" customWidth="1"/>
    <col min="7429" max="7429" width="11.5703125" style="179" customWidth="1"/>
    <col min="7430" max="7430" width="2.42578125" style="179" customWidth="1"/>
    <col min="7431" max="7431" width="10.85546875" style="179" customWidth="1"/>
    <col min="7432" max="7432" width="2.42578125" style="179" customWidth="1"/>
    <col min="7433" max="7433" width="11.140625" style="179" customWidth="1"/>
    <col min="7434" max="7434" width="1.85546875" style="179" customWidth="1"/>
    <col min="7435" max="7435" width="11" style="179" customWidth="1"/>
    <col min="7436" max="7436" width="0.7109375" style="179" customWidth="1"/>
    <col min="7437" max="7437" width="1.85546875" style="179" customWidth="1"/>
    <col min="7438" max="7438" width="11.85546875" style="179" bestFit="1" customWidth="1"/>
    <col min="7439" max="7439" width="15.28515625" style="179" bestFit="1" customWidth="1"/>
    <col min="7440" max="7440" width="5" style="179" customWidth="1"/>
    <col min="7441" max="7441" width="10.42578125" style="179" bestFit="1" customWidth="1"/>
    <col min="7442" max="7442" width="5" style="179" customWidth="1"/>
    <col min="7443" max="7443" width="10.42578125" style="179" bestFit="1" customWidth="1"/>
    <col min="7444" max="7446" width="9" style="179"/>
    <col min="7447" max="7447" width="10.42578125" style="179" bestFit="1" customWidth="1"/>
    <col min="7448" max="7676" width="9" style="179"/>
    <col min="7677" max="7677" width="3.5703125" style="179" customWidth="1"/>
    <col min="7678" max="7678" width="4.85546875" style="179" customWidth="1"/>
    <col min="7679" max="7679" width="5.42578125" style="179" customWidth="1"/>
    <col min="7680" max="7680" width="31.28515625" style="179" customWidth="1"/>
    <col min="7681" max="7681" width="7.5703125" style="179" customWidth="1"/>
    <col min="7682" max="7682" width="2.42578125" style="179" customWidth="1"/>
    <col min="7683" max="7683" width="11.5703125" style="179" customWidth="1"/>
    <col min="7684" max="7684" width="2.42578125" style="179" customWidth="1"/>
    <col min="7685" max="7685" width="11.5703125" style="179" customWidth="1"/>
    <col min="7686" max="7686" width="2.42578125" style="179" customWidth="1"/>
    <col min="7687" max="7687" width="10.85546875" style="179" customWidth="1"/>
    <col min="7688" max="7688" width="2.42578125" style="179" customWidth="1"/>
    <col min="7689" max="7689" width="11.140625" style="179" customWidth="1"/>
    <col min="7690" max="7690" width="1.85546875" style="179" customWidth="1"/>
    <col min="7691" max="7691" width="11" style="179" customWidth="1"/>
    <col min="7692" max="7692" width="0.7109375" style="179" customWidth="1"/>
    <col min="7693" max="7693" width="1.85546875" style="179" customWidth="1"/>
    <col min="7694" max="7694" width="11.85546875" style="179" bestFit="1" customWidth="1"/>
    <col min="7695" max="7695" width="15.28515625" style="179" bestFit="1" customWidth="1"/>
    <col min="7696" max="7696" width="5" style="179" customWidth="1"/>
    <col min="7697" max="7697" width="10.42578125" style="179" bestFit="1" customWidth="1"/>
    <col min="7698" max="7698" width="5" style="179" customWidth="1"/>
    <col min="7699" max="7699" width="10.42578125" style="179" bestFit="1" customWidth="1"/>
    <col min="7700" max="7702" width="9" style="179"/>
    <col min="7703" max="7703" width="10.42578125" style="179" bestFit="1" customWidth="1"/>
    <col min="7704" max="7932" width="9" style="179"/>
    <col min="7933" max="7933" width="3.5703125" style="179" customWidth="1"/>
    <col min="7934" max="7934" width="4.85546875" style="179" customWidth="1"/>
    <col min="7935" max="7935" width="5.42578125" style="179" customWidth="1"/>
    <col min="7936" max="7936" width="31.28515625" style="179" customWidth="1"/>
    <col min="7937" max="7937" width="7.5703125" style="179" customWidth="1"/>
    <col min="7938" max="7938" width="2.42578125" style="179" customWidth="1"/>
    <col min="7939" max="7939" width="11.5703125" style="179" customWidth="1"/>
    <col min="7940" max="7940" width="2.42578125" style="179" customWidth="1"/>
    <col min="7941" max="7941" width="11.5703125" style="179" customWidth="1"/>
    <col min="7942" max="7942" width="2.42578125" style="179" customWidth="1"/>
    <col min="7943" max="7943" width="10.85546875" style="179" customWidth="1"/>
    <col min="7944" max="7944" width="2.42578125" style="179" customWidth="1"/>
    <col min="7945" max="7945" width="11.140625" style="179" customWidth="1"/>
    <col min="7946" max="7946" width="1.85546875" style="179" customWidth="1"/>
    <col min="7947" max="7947" width="11" style="179" customWidth="1"/>
    <col min="7948" max="7948" width="0.7109375" style="179" customWidth="1"/>
    <col min="7949" max="7949" width="1.85546875" style="179" customWidth="1"/>
    <col min="7950" max="7950" width="11.85546875" style="179" bestFit="1" customWidth="1"/>
    <col min="7951" max="7951" width="15.28515625" style="179" bestFit="1" customWidth="1"/>
    <col min="7952" max="7952" width="5" style="179" customWidth="1"/>
    <col min="7953" max="7953" width="10.42578125" style="179" bestFit="1" customWidth="1"/>
    <col min="7954" max="7954" width="5" style="179" customWidth="1"/>
    <col min="7955" max="7955" width="10.42578125" style="179" bestFit="1" customWidth="1"/>
    <col min="7956" max="7958" width="9" style="179"/>
    <col min="7959" max="7959" width="10.42578125" style="179" bestFit="1" customWidth="1"/>
    <col min="7960" max="8188" width="9" style="179"/>
    <col min="8189" max="8189" width="3.5703125" style="179" customWidth="1"/>
    <col min="8190" max="8190" width="4.85546875" style="179" customWidth="1"/>
    <col min="8191" max="8191" width="5.42578125" style="179" customWidth="1"/>
    <col min="8192" max="8192" width="31.28515625" style="179" customWidth="1"/>
    <col min="8193" max="8193" width="7.5703125" style="179" customWidth="1"/>
    <col min="8194" max="8194" width="2.42578125" style="179" customWidth="1"/>
    <col min="8195" max="8195" width="11.5703125" style="179" customWidth="1"/>
    <col min="8196" max="8196" width="2.42578125" style="179" customWidth="1"/>
    <col min="8197" max="8197" width="11.5703125" style="179" customWidth="1"/>
    <col min="8198" max="8198" width="2.42578125" style="179" customWidth="1"/>
    <col min="8199" max="8199" width="10.85546875" style="179" customWidth="1"/>
    <col min="8200" max="8200" width="2.42578125" style="179" customWidth="1"/>
    <col min="8201" max="8201" width="11.140625" style="179" customWidth="1"/>
    <col min="8202" max="8202" width="1.85546875" style="179" customWidth="1"/>
    <col min="8203" max="8203" width="11" style="179" customWidth="1"/>
    <col min="8204" max="8204" width="0.7109375" style="179" customWidth="1"/>
    <col min="8205" max="8205" width="1.85546875" style="179" customWidth="1"/>
    <col min="8206" max="8206" width="11.85546875" style="179" bestFit="1" customWidth="1"/>
    <col min="8207" max="8207" width="15.28515625" style="179" bestFit="1" customWidth="1"/>
    <col min="8208" max="8208" width="5" style="179" customWidth="1"/>
    <col min="8209" max="8209" width="10.42578125" style="179" bestFit="1" customWidth="1"/>
    <col min="8210" max="8210" width="5" style="179" customWidth="1"/>
    <col min="8211" max="8211" width="10.42578125" style="179" bestFit="1" customWidth="1"/>
    <col min="8212" max="8214" width="9" style="179"/>
    <col min="8215" max="8215" width="10.42578125" style="179" bestFit="1" customWidth="1"/>
    <col min="8216" max="8444" width="9" style="179"/>
    <col min="8445" max="8445" width="3.5703125" style="179" customWidth="1"/>
    <col min="8446" max="8446" width="4.85546875" style="179" customWidth="1"/>
    <col min="8447" max="8447" width="5.42578125" style="179" customWidth="1"/>
    <col min="8448" max="8448" width="31.28515625" style="179" customWidth="1"/>
    <col min="8449" max="8449" width="7.5703125" style="179" customWidth="1"/>
    <col min="8450" max="8450" width="2.42578125" style="179" customWidth="1"/>
    <col min="8451" max="8451" width="11.5703125" style="179" customWidth="1"/>
    <col min="8452" max="8452" width="2.42578125" style="179" customWidth="1"/>
    <col min="8453" max="8453" width="11.5703125" style="179" customWidth="1"/>
    <col min="8454" max="8454" width="2.42578125" style="179" customWidth="1"/>
    <col min="8455" max="8455" width="10.85546875" style="179" customWidth="1"/>
    <col min="8456" max="8456" width="2.42578125" style="179" customWidth="1"/>
    <col min="8457" max="8457" width="11.140625" style="179" customWidth="1"/>
    <col min="8458" max="8458" width="1.85546875" style="179" customWidth="1"/>
    <col min="8459" max="8459" width="11" style="179" customWidth="1"/>
    <col min="8460" max="8460" width="0.7109375" style="179" customWidth="1"/>
    <col min="8461" max="8461" width="1.85546875" style="179" customWidth="1"/>
    <col min="8462" max="8462" width="11.85546875" style="179" bestFit="1" customWidth="1"/>
    <col min="8463" max="8463" width="15.28515625" style="179" bestFit="1" customWidth="1"/>
    <col min="8464" max="8464" width="5" style="179" customWidth="1"/>
    <col min="8465" max="8465" width="10.42578125" style="179" bestFit="1" customWidth="1"/>
    <col min="8466" max="8466" width="5" style="179" customWidth="1"/>
    <col min="8467" max="8467" width="10.42578125" style="179" bestFit="1" customWidth="1"/>
    <col min="8468" max="8470" width="9" style="179"/>
    <col min="8471" max="8471" width="10.42578125" style="179" bestFit="1" customWidth="1"/>
    <col min="8472" max="8700" width="9" style="179"/>
    <col min="8701" max="8701" width="3.5703125" style="179" customWidth="1"/>
    <col min="8702" max="8702" width="4.85546875" style="179" customWidth="1"/>
    <col min="8703" max="8703" width="5.42578125" style="179" customWidth="1"/>
    <col min="8704" max="8704" width="31.28515625" style="179" customWidth="1"/>
    <col min="8705" max="8705" width="7.5703125" style="179" customWidth="1"/>
    <col min="8706" max="8706" width="2.42578125" style="179" customWidth="1"/>
    <col min="8707" max="8707" width="11.5703125" style="179" customWidth="1"/>
    <col min="8708" max="8708" width="2.42578125" style="179" customWidth="1"/>
    <col min="8709" max="8709" width="11.5703125" style="179" customWidth="1"/>
    <col min="8710" max="8710" width="2.42578125" style="179" customWidth="1"/>
    <col min="8711" max="8711" width="10.85546875" style="179" customWidth="1"/>
    <col min="8712" max="8712" width="2.42578125" style="179" customWidth="1"/>
    <col min="8713" max="8713" width="11.140625" style="179" customWidth="1"/>
    <col min="8714" max="8714" width="1.85546875" style="179" customWidth="1"/>
    <col min="8715" max="8715" width="11" style="179" customWidth="1"/>
    <col min="8716" max="8716" width="0.7109375" style="179" customWidth="1"/>
    <col min="8717" max="8717" width="1.85546875" style="179" customWidth="1"/>
    <col min="8718" max="8718" width="11.85546875" style="179" bestFit="1" customWidth="1"/>
    <col min="8719" max="8719" width="15.28515625" style="179" bestFit="1" customWidth="1"/>
    <col min="8720" max="8720" width="5" style="179" customWidth="1"/>
    <col min="8721" max="8721" width="10.42578125" style="179" bestFit="1" customWidth="1"/>
    <col min="8722" max="8722" width="5" style="179" customWidth="1"/>
    <col min="8723" max="8723" width="10.42578125" style="179" bestFit="1" customWidth="1"/>
    <col min="8724" max="8726" width="9" style="179"/>
    <col min="8727" max="8727" width="10.42578125" style="179" bestFit="1" customWidth="1"/>
    <col min="8728" max="8956" width="9" style="179"/>
    <col min="8957" max="8957" width="3.5703125" style="179" customWidth="1"/>
    <col min="8958" max="8958" width="4.85546875" style="179" customWidth="1"/>
    <col min="8959" max="8959" width="5.42578125" style="179" customWidth="1"/>
    <col min="8960" max="8960" width="31.28515625" style="179" customWidth="1"/>
    <col min="8961" max="8961" width="7.5703125" style="179" customWidth="1"/>
    <col min="8962" max="8962" width="2.42578125" style="179" customWidth="1"/>
    <col min="8963" max="8963" width="11.5703125" style="179" customWidth="1"/>
    <col min="8964" max="8964" width="2.42578125" style="179" customWidth="1"/>
    <col min="8965" max="8965" width="11.5703125" style="179" customWidth="1"/>
    <col min="8966" max="8966" width="2.42578125" style="179" customWidth="1"/>
    <col min="8967" max="8967" width="10.85546875" style="179" customWidth="1"/>
    <col min="8968" max="8968" width="2.42578125" style="179" customWidth="1"/>
    <col min="8969" max="8969" width="11.140625" style="179" customWidth="1"/>
    <col min="8970" max="8970" width="1.85546875" style="179" customWidth="1"/>
    <col min="8971" max="8971" width="11" style="179" customWidth="1"/>
    <col min="8972" max="8972" width="0.7109375" style="179" customWidth="1"/>
    <col min="8973" max="8973" width="1.85546875" style="179" customWidth="1"/>
    <col min="8974" max="8974" width="11.85546875" style="179" bestFit="1" customWidth="1"/>
    <col min="8975" max="8975" width="15.28515625" style="179" bestFit="1" customWidth="1"/>
    <col min="8976" max="8976" width="5" style="179" customWidth="1"/>
    <col min="8977" max="8977" width="10.42578125" style="179" bestFit="1" customWidth="1"/>
    <col min="8978" max="8978" width="5" style="179" customWidth="1"/>
    <col min="8979" max="8979" width="10.42578125" style="179" bestFit="1" customWidth="1"/>
    <col min="8980" max="8982" width="9" style="179"/>
    <col min="8983" max="8983" width="10.42578125" style="179" bestFit="1" customWidth="1"/>
    <col min="8984" max="9212" width="9" style="179"/>
    <col min="9213" max="9213" width="3.5703125" style="179" customWidth="1"/>
    <col min="9214" max="9214" width="4.85546875" style="179" customWidth="1"/>
    <col min="9215" max="9215" width="5.42578125" style="179" customWidth="1"/>
    <col min="9216" max="9216" width="31.28515625" style="179" customWidth="1"/>
    <col min="9217" max="9217" width="7.5703125" style="179" customWidth="1"/>
    <col min="9218" max="9218" width="2.42578125" style="179" customWidth="1"/>
    <col min="9219" max="9219" width="11.5703125" style="179" customWidth="1"/>
    <col min="9220" max="9220" width="2.42578125" style="179" customWidth="1"/>
    <col min="9221" max="9221" width="11.5703125" style="179" customWidth="1"/>
    <col min="9222" max="9222" width="2.42578125" style="179" customWidth="1"/>
    <col min="9223" max="9223" width="10.85546875" style="179" customWidth="1"/>
    <col min="9224" max="9224" width="2.42578125" style="179" customWidth="1"/>
    <col min="9225" max="9225" width="11.140625" style="179" customWidth="1"/>
    <col min="9226" max="9226" width="1.85546875" style="179" customWidth="1"/>
    <col min="9227" max="9227" width="11" style="179" customWidth="1"/>
    <col min="9228" max="9228" width="0.7109375" style="179" customWidth="1"/>
    <col min="9229" max="9229" width="1.85546875" style="179" customWidth="1"/>
    <col min="9230" max="9230" width="11.85546875" style="179" bestFit="1" customWidth="1"/>
    <col min="9231" max="9231" width="15.28515625" style="179" bestFit="1" customWidth="1"/>
    <col min="9232" max="9232" width="5" style="179" customWidth="1"/>
    <col min="9233" max="9233" width="10.42578125" style="179" bestFit="1" customWidth="1"/>
    <col min="9234" max="9234" width="5" style="179" customWidth="1"/>
    <col min="9235" max="9235" width="10.42578125" style="179" bestFit="1" customWidth="1"/>
    <col min="9236" max="9238" width="9" style="179"/>
    <col min="9239" max="9239" width="10.42578125" style="179" bestFit="1" customWidth="1"/>
    <col min="9240" max="9468" width="9" style="179"/>
    <col min="9469" max="9469" width="3.5703125" style="179" customWidth="1"/>
    <col min="9470" max="9470" width="4.85546875" style="179" customWidth="1"/>
    <col min="9471" max="9471" width="5.42578125" style="179" customWidth="1"/>
    <col min="9472" max="9472" width="31.28515625" style="179" customWidth="1"/>
    <col min="9473" max="9473" width="7.5703125" style="179" customWidth="1"/>
    <col min="9474" max="9474" width="2.42578125" style="179" customWidth="1"/>
    <col min="9475" max="9475" width="11.5703125" style="179" customWidth="1"/>
    <col min="9476" max="9476" width="2.42578125" style="179" customWidth="1"/>
    <col min="9477" max="9477" width="11.5703125" style="179" customWidth="1"/>
    <col min="9478" max="9478" width="2.42578125" style="179" customWidth="1"/>
    <col min="9479" max="9479" width="10.85546875" style="179" customWidth="1"/>
    <col min="9480" max="9480" width="2.42578125" style="179" customWidth="1"/>
    <col min="9481" max="9481" width="11.140625" style="179" customWidth="1"/>
    <col min="9482" max="9482" width="1.85546875" style="179" customWidth="1"/>
    <col min="9483" max="9483" width="11" style="179" customWidth="1"/>
    <col min="9484" max="9484" width="0.7109375" style="179" customWidth="1"/>
    <col min="9485" max="9485" width="1.85546875" style="179" customWidth="1"/>
    <col min="9486" max="9486" width="11.85546875" style="179" bestFit="1" customWidth="1"/>
    <col min="9487" max="9487" width="15.28515625" style="179" bestFit="1" customWidth="1"/>
    <col min="9488" max="9488" width="5" style="179" customWidth="1"/>
    <col min="9489" max="9489" width="10.42578125" style="179" bestFit="1" customWidth="1"/>
    <col min="9490" max="9490" width="5" style="179" customWidth="1"/>
    <col min="9491" max="9491" width="10.42578125" style="179" bestFit="1" customWidth="1"/>
    <col min="9492" max="9494" width="9" style="179"/>
    <col min="9495" max="9495" width="10.42578125" style="179" bestFit="1" customWidth="1"/>
    <col min="9496" max="9724" width="9" style="179"/>
    <col min="9725" max="9725" width="3.5703125" style="179" customWidth="1"/>
    <col min="9726" max="9726" width="4.85546875" style="179" customWidth="1"/>
    <col min="9727" max="9727" width="5.42578125" style="179" customWidth="1"/>
    <col min="9728" max="9728" width="31.28515625" style="179" customWidth="1"/>
    <col min="9729" max="9729" width="7.5703125" style="179" customWidth="1"/>
    <col min="9730" max="9730" width="2.42578125" style="179" customWidth="1"/>
    <col min="9731" max="9731" width="11.5703125" style="179" customWidth="1"/>
    <col min="9732" max="9732" width="2.42578125" style="179" customWidth="1"/>
    <col min="9733" max="9733" width="11.5703125" style="179" customWidth="1"/>
    <col min="9734" max="9734" width="2.42578125" style="179" customWidth="1"/>
    <col min="9735" max="9735" width="10.85546875" style="179" customWidth="1"/>
    <col min="9736" max="9736" width="2.42578125" style="179" customWidth="1"/>
    <col min="9737" max="9737" width="11.140625" style="179" customWidth="1"/>
    <col min="9738" max="9738" width="1.85546875" style="179" customWidth="1"/>
    <col min="9739" max="9739" width="11" style="179" customWidth="1"/>
    <col min="9740" max="9740" width="0.7109375" style="179" customWidth="1"/>
    <col min="9741" max="9741" width="1.85546875" style="179" customWidth="1"/>
    <col min="9742" max="9742" width="11.85546875" style="179" bestFit="1" customWidth="1"/>
    <col min="9743" max="9743" width="15.28515625" style="179" bestFit="1" customWidth="1"/>
    <col min="9744" max="9744" width="5" style="179" customWidth="1"/>
    <col min="9745" max="9745" width="10.42578125" style="179" bestFit="1" customWidth="1"/>
    <col min="9746" max="9746" width="5" style="179" customWidth="1"/>
    <col min="9747" max="9747" width="10.42578125" style="179" bestFit="1" customWidth="1"/>
    <col min="9748" max="9750" width="9" style="179"/>
    <col min="9751" max="9751" width="10.42578125" style="179" bestFit="1" customWidth="1"/>
    <col min="9752" max="9980" width="9" style="179"/>
    <col min="9981" max="9981" width="3.5703125" style="179" customWidth="1"/>
    <col min="9982" max="9982" width="4.85546875" style="179" customWidth="1"/>
    <col min="9983" max="9983" width="5.42578125" style="179" customWidth="1"/>
    <col min="9984" max="9984" width="31.28515625" style="179" customWidth="1"/>
    <col min="9985" max="9985" width="7.5703125" style="179" customWidth="1"/>
    <col min="9986" max="9986" width="2.42578125" style="179" customWidth="1"/>
    <col min="9987" max="9987" width="11.5703125" style="179" customWidth="1"/>
    <col min="9988" max="9988" width="2.42578125" style="179" customWidth="1"/>
    <col min="9989" max="9989" width="11.5703125" style="179" customWidth="1"/>
    <col min="9990" max="9990" width="2.42578125" style="179" customWidth="1"/>
    <col min="9991" max="9991" width="10.85546875" style="179" customWidth="1"/>
    <col min="9992" max="9992" width="2.42578125" style="179" customWidth="1"/>
    <col min="9993" max="9993" width="11.140625" style="179" customWidth="1"/>
    <col min="9994" max="9994" width="1.85546875" style="179" customWidth="1"/>
    <col min="9995" max="9995" width="11" style="179" customWidth="1"/>
    <col min="9996" max="9996" width="0.7109375" style="179" customWidth="1"/>
    <col min="9997" max="9997" width="1.85546875" style="179" customWidth="1"/>
    <col min="9998" max="9998" width="11.85546875" style="179" bestFit="1" customWidth="1"/>
    <col min="9999" max="9999" width="15.28515625" style="179" bestFit="1" customWidth="1"/>
    <col min="10000" max="10000" width="5" style="179" customWidth="1"/>
    <col min="10001" max="10001" width="10.42578125" style="179" bestFit="1" customWidth="1"/>
    <col min="10002" max="10002" width="5" style="179" customWidth="1"/>
    <col min="10003" max="10003" width="10.42578125" style="179" bestFit="1" customWidth="1"/>
    <col min="10004" max="10006" width="9" style="179"/>
    <col min="10007" max="10007" width="10.42578125" style="179" bestFit="1" customWidth="1"/>
    <col min="10008" max="10236" width="9" style="179"/>
    <col min="10237" max="10237" width="3.5703125" style="179" customWidth="1"/>
    <col min="10238" max="10238" width="4.85546875" style="179" customWidth="1"/>
    <col min="10239" max="10239" width="5.42578125" style="179" customWidth="1"/>
    <col min="10240" max="10240" width="31.28515625" style="179" customWidth="1"/>
    <col min="10241" max="10241" width="7.5703125" style="179" customWidth="1"/>
    <col min="10242" max="10242" width="2.42578125" style="179" customWidth="1"/>
    <col min="10243" max="10243" width="11.5703125" style="179" customWidth="1"/>
    <col min="10244" max="10244" width="2.42578125" style="179" customWidth="1"/>
    <col min="10245" max="10245" width="11.5703125" style="179" customWidth="1"/>
    <col min="10246" max="10246" width="2.42578125" style="179" customWidth="1"/>
    <col min="10247" max="10247" width="10.85546875" style="179" customWidth="1"/>
    <col min="10248" max="10248" width="2.42578125" style="179" customWidth="1"/>
    <col min="10249" max="10249" width="11.140625" style="179" customWidth="1"/>
    <col min="10250" max="10250" width="1.85546875" style="179" customWidth="1"/>
    <col min="10251" max="10251" width="11" style="179" customWidth="1"/>
    <col min="10252" max="10252" width="0.7109375" style="179" customWidth="1"/>
    <col min="10253" max="10253" width="1.85546875" style="179" customWidth="1"/>
    <col min="10254" max="10254" width="11.85546875" style="179" bestFit="1" customWidth="1"/>
    <col min="10255" max="10255" width="15.28515625" style="179" bestFit="1" customWidth="1"/>
    <col min="10256" max="10256" width="5" style="179" customWidth="1"/>
    <col min="10257" max="10257" width="10.42578125" style="179" bestFit="1" customWidth="1"/>
    <col min="10258" max="10258" width="5" style="179" customWidth="1"/>
    <col min="10259" max="10259" width="10.42578125" style="179" bestFit="1" customWidth="1"/>
    <col min="10260" max="10262" width="9" style="179"/>
    <col min="10263" max="10263" width="10.42578125" style="179" bestFit="1" customWidth="1"/>
    <col min="10264" max="10492" width="9" style="179"/>
    <col min="10493" max="10493" width="3.5703125" style="179" customWidth="1"/>
    <col min="10494" max="10494" width="4.85546875" style="179" customWidth="1"/>
    <col min="10495" max="10495" width="5.42578125" style="179" customWidth="1"/>
    <col min="10496" max="10496" width="31.28515625" style="179" customWidth="1"/>
    <col min="10497" max="10497" width="7.5703125" style="179" customWidth="1"/>
    <col min="10498" max="10498" width="2.42578125" style="179" customWidth="1"/>
    <col min="10499" max="10499" width="11.5703125" style="179" customWidth="1"/>
    <col min="10500" max="10500" width="2.42578125" style="179" customWidth="1"/>
    <col min="10501" max="10501" width="11.5703125" style="179" customWidth="1"/>
    <col min="10502" max="10502" width="2.42578125" style="179" customWidth="1"/>
    <col min="10503" max="10503" width="10.85546875" style="179" customWidth="1"/>
    <col min="10504" max="10504" width="2.42578125" style="179" customWidth="1"/>
    <col min="10505" max="10505" width="11.140625" style="179" customWidth="1"/>
    <col min="10506" max="10506" width="1.85546875" style="179" customWidth="1"/>
    <col min="10507" max="10507" width="11" style="179" customWidth="1"/>
    <col min="10508" max="10508" width="0.7109375" style="179" customWidth="1"/>
    <col min="10509" max="10509" width="1.85546875" style="179" customWidth="1"/>
    <col min="10510" max="10510" width="11.85546875" style="179" bestFit="1" customWidth="1"/>
    <col min="10511" max="10511" width="15.28515625" style="179" bestFit="1" customWidth="1"/>
    <col min="10512" max="10512" width="5" style="179" customWidth="1"/>
    <col min="10513" max="10513" width="10.42578125" style="179" bestFit="1" customWidth="1"/>
    <col min="10514" max="10514" width="5" style="179" customWidth="1"/>
    <col min="10515" max="10515" width="10.42578125" style="179" bestFit="1" customWidth="1"/>
    <col min="10516" max="10518" width="9" style="179"/>
    <col min="10519" max="10519" width="10.42578125" style="179" bestFit="1" customWidth="1"/>
    <col min="10520" max="10748" width="9" style="179"/>
    <col min="10749" max="10749" width="3.5703125" style="179" customWidth="1"/>
    <col min="10750" max="10750" width="4.85546875" style="179" customWidth="1"/>
    <col min="10751" max="10751" width="5.42578125" style="179" customWidth="1"/>
    <col min="10752" max="10752" width="31.28515625" style="179" customWidth="1"/>
    <col min="10753" max="10753" width="7.5703125" style="179" customWidth="1"/>
    <col min="10754" max="10754" width="2.42578125" style="179" customWidth="1"/>
    <col min="10755" max="10755" width="11.5703125" style="179" customWidth="1"/>
    <col min="10756" max="10756" width="2.42578125" style="179" customWidth="1"/>
    <col min="10757" max="10757" width="11.5703125" style="179" customWidth="1"/>
    <col min="10758" max="10758" width="2.42578125" style="179" customWidth="1"/>
    <col min="10759" max="10759" width="10.85546875" style="179" customWidth="1"/>
    <col min="10760" max="10760" width="2.42578125" style="179" customWidth="1"/>
    <col min="10761" max="10761" width="11.140625" style="179" customWidth="1"/>
    <col min="10762" max="10762" width="1.85546875" style="179" customWidth="1"/>
    <col min="10763" max="10763" width="11" style="179" customWidth="1"/>
    <col min="10764" max="10764" width="0.7109375" style="179" customWidth="1"/>
    <col min="10765" max="10765" width="1.85546875" style="179" customWidth="1"/>
    <col min="10766" max="10766" width="11.85546875" style="179" bestFit="1" customWidth="1"/>
    <col min="10767" max="10767" width="15.28515625" style="179" bestFit="1" customWidth="1"/>
    <col min="10768" max="10768" width="5" style="179" customWidth="1"/>
    <col min="10769" max="10769" width="10.42578125" style="179" bestFit="1" customWidth="1"/>
    <col min="10770" max="10770" width="5" style="179" customWidth="1"/>
    <col min="10771" max="10771" width="10.42578125" style="179" bestFit="1" customWidth="1"/>
    <col min="10772" max="10774" width="9" style="179"/>
    <col min="10775" max="10775" width="10.42578125" style="179" bestFit="1" customWidth="1"/>
    <col min="10776" max="11004" width="9" style="179"/>
    <col min="11005" max="11005" width="3.5703125" style="179" customWidth="1"/>
    <col min="11006" max="11006" width="4.85546875" style="179" customWidth="1"/>
    <col min="11007" max="11007" width="5.42578125" style="179" customWidth="1"/>
    <col min="11008" max="11008" width="31.28515625" style="179" customWidth="1"/>
    <col min="11009" max="11009" width="7.5703125" style="179" customWidth="1"/>
    <col min="11010" max="11010" width="2.42578125" style="179" customWidth="1"/>
    <col min="11011" max="11011" width="11.5703125" style="179" customWidth="1"/>
    <col min="11012" max="11012" width="2.42578125" style="179" customWidth="1"/>
    <col min="11013" max="11013" width="11.5703125" style="179" customWidth="1"/>
    <col min="11014" max="11014" width="2.42578125" style="179" customWidth="1"/>
    <col min="11015" max="11015" width="10.85546875" style="179" customWidth="1"/>
    <col min="11016" max="11016" width="2.42578125" style="179" customWidth="1"/>
    <col min="11017" max="11017" width="11.140625" style="179" customWidth="1"/>
    <col min="11018" max="11018" width="1.85546875" style="179" customWidth="1"/>
    <col min="11019" max="11019" width="11" style="179" customWidth="1"/>
    <col min="11020" max="11020" width="0.7109375" style="179" customWidth="1"/>
    <col min="11021" max="11021" width="1.85546875" style="179" customWidth="1"/>
    <col min="11022" max="11022" width="11.85546875" style="179" bestFit="1" customWidth="1"/>
    <col min="11023" max="11023" width="15.28515625" style="179" bestFit="1" customWidth="1"/>
    <col min="11024" max="11024" width="5" style="179" customWidth="1"/>
    <col min="11025" max="11025" width="10.42578125" style="179" bestFit="1" customWidth="1"/>
    <col min="11026" max="11026" width="5" style="179" customWidth="1"/>
    <col min="11027" max="11027" width="10.42578125" style="179" bestFit="1" customWidth="1"/>
    <col min="11028" max="11030" width="9" style="179"/>
    <col min="11031" max="11031" width="10.42578125" style="179" bestFit="1" customWidth="1"/>
    <col min="11032" max="11260" width="9" style="179"/>
    <col min="11261" max="11261" width="3.5703125" style="179" customWidth="1"/>
    <col min="11262" max="11262" width="4.85546875" style="179" customWidth="1"/>
    <col min="11263" max="11263" width="5.42578125" style="179" customWidth="1"/>
    <col min="11264" max="11264" width="31.28515625" style="179" customWidth="1"/>
    <col min="11265" max="11265" width="7.5703125" style="179" customWidth="1"/>
    <col min="11266" max="11266" width="2.42578125" style="179" customWidth="1"/>
    <col min="11267" max="11267" width="11.5703125" style="179" customWidth="1"/>
    <col min="11268" max="11268" width="2.42578125" style="179" customWidth="1"/>
    <col min="11269" max="11269" width="11.5703125" style="179" customWidth="1"/>
    <col min="11270" max="11270" width="2.42578125" style="179" customWidth="1"/>
    <col min="11271" max="11271" width="10.85546875" style="179" customWidth="1"/>
    <col min="11272" max="11272" width="2.42578125" style="179" customWidth="1"/>
    <col min="11273" max="11273" width="11.140625" style="179" customWidth="1"/>
    <col min="11274" max="11274" width="1.85546875" style="179" customWidth="1"/>
    <col min="11275" max="11275" width="11" style="179" customWidth="1"/>
    <col min="11276" max="11276" width="0.7109375" style="179" customWidth="1"/>
    <col min="11277" max="11277" width="1.85546875" style="179" customWidth="1"/>
    <col min="11278" max="11278" width="11.85546875" style="179" bestFit="1" customWidth="1"/>
    <col min="11279" max="11279" width="15.28515625" style="179" bestFit="1" customWidth="1"/>
    <col min="11280" max="11280" width="5" style="179" customWidth="1"/>
    <col min="11281" max="11281" width="10.42578125" style="179" bestFit="1" customWidth="1"/>
    <col min="11282" max="11282" width="5" style="179" customWidth="1"/>
    <col min="11283" max="11283" width="10.42578125" style="179" bestFit="1" customWidth="1"/>
    <col min="11284" max="11286" width="9" style="179"/>
    <col min="11287" max="11287" width="10.42578125" style="179" bestFit="1" customWidth="1"/>
    <col min="11288" max="11516" width="9" style="179"/>
    <col min="11517" max="11517" width="3.5703125" style="179" customWidth="1"/>
    <col min="11518" max="11518" width="4.85546875" style="179" customWidth="1"/>
    <col min="11519" max="11519" width="5.42578125" style="179" customWidth="1"/>
    <col min="11520" max="11520" width="31.28515625" style="179" customWidth="1"/>
    <col min="11521" max="11521" width="7.5703125" style="179" customWidth="1"/>
    <col min="11522" max="11522" width="2.42578125" style="179" customWidth="1"/>
    <col min="11523" max="11523" width="11.5703125" style="179" customWidth="1"/>
    <col min="11524" max="11524" width="2.42578125" style="179" customWidth="1"/>
    <col min="11525" max="11525" width="11.5703125" style="179" customWidth="1"/>
    <col min="11526" max="11526" width="2.42578125" style="179" customWidth="1"/>
    <col min="11527" max="11527" width="10.85546875" style="179" customWidth="1"/>
    <col min="11528" max="11528" width="2.42578125" style="179" customWidth="1"/>
    <col min="11529" max="11529" width="11.140625" style="179" customWidth="1"/>
    <col min="11530" max="11530" width="1.85546875" style="179" customWidth="1"/>
    <col min="11531" max="11531" width="11" style="179" customWidth="1"/>
    <col min="11532" max="11532" width="0.7109375" style="179" customWidth="1"/>
    <col min="11533" max="11533" width="1.85546875" style="179" customWidth="1"/>
    <col min="11534" max="11534" width="11.85546875" style="179" bestFit="1" customWidth="1"/>
    <col min="11535" max="11535" width="15.28515625" style="179" bestFit="1" customWidth="1"/>
    <col min="11536" max="11536" width="5" style="179" customWidth="1"/>
    <col min="11537" max="11537" width="10.42578125" style="179" bestFit="1" customWidth="1"/>
    <col min="11538" max="11538" width="5" style="179" customWidth="1"/>
    <col min="11539" max="11539" width="10.42578125" style="179" bestFit="1" customWidth="1"/>
    <col min="11540" max="11542" width="9" style="179"/>
    <col min="11543" max="11543" width="10.42578125" style="179" bestFit="1" customWidth="1"/>
    <col min="11544" max="11772" width="9" style="179"/>
    <col min="11773" max="11773" width="3.5703125" style="179" customWidth="1"/>
    <col min="11774" max="11774" width="4.85546875" style="179" customWidth="1"/>
    <col min="11775" max="11775" width="5.42578125" style="179" customWidth="1"/>
    <col min="11776" max="11776" width="31.28515625" style="179" customWidth="1"/>
    <col min="11777" max="11777" width="7.5703125" style="179" customWidth="1"/>
    <col min="11778" max="11778" width="2.42578125" style="179" customWidth="1"/>
    <col min="11779" max="11779" width="11.5703125" style="179" customWidth="1"/>
    <col min="11780" max="11780" width="2.42578125" style="179" customWidth="1"/>
    <col min="11781" max="11781" width="11.5703125" style="179" customWidth="1"/>
    <col min="11782" max="11782" width="2.42578125" style="179" customWidth="1"/>
    <col min="11783" max="11783" width="10.85546875" style="179" customWidth="1"/>
    <col min="11784" max="11784" width="2.42578125" style="179" customWidth="1"/>
    <col min="11785" max="11785" width="11.140625" style="179" customWidth="1"/>
    <col min="11786" max="11786" width="1.85546875" style="179" customWidth="1"/>
    <col min="11787" max="11787" width="11" style="179" customWidth="1"/>
    <col min="11788" max="11788" width="0.7109375" style="179" customWidth="1"/>
    <col min="11789" max="11789" width="1.85546875" style="179" customWidth="1"/>
    <col min="11790" max="11790" width="11.85546875" style="179" bestFit="1" customWidth="1"/>
    <col min="11791" max="11791" width="15.28515625" style="179" bestFit="1" customWidth="1"/>
    <col min="11792" max="11792" width="5" style="179" customWidth="1"/>
    <col min="11793" max="11793" width="10.42578125" style="179" bestFit="1" customWidth="1"/>
    <col min="11794" max="11794" width="5" style="179" customWidth="1"/>
    <col min="11795" max="11795" width="10.42578125" style="179" bestFit="1" customWidth="1"/>
    <col min="11796" max="11798" width="9" style="179"/>
    <col min="11799" max="11799" width="10.42578125" style="179" bestFit="1" customWidth="1"/>
    <col min="11800" max="12028" width="9" style="179"/>
    <col min="12029" max="12029" width="3.5703125" style="179" customWidth="1"/>
    <col min="12030" max="12030" width="4.85546875" style="179" customWidth="1"/>
    <col min="12031" max="12031" width="5.42578125" style="179" customWidth="1"/>
    <col min="12032" max="12032" width="31.28515625" style="179" customWidth="1"/>
    <col min="12033" max="12033" width="7.5703125" style="179" customWidth="1"/>
    <col min="12034" max="12034" width="2.42578125" style="179" customWidth="1"/>
    <col min="12035" max="12035" width="11.5703125" style="179" customWidth="1"/>
    <col min="12036" max="12036" width="2.42578125" style="179" customWidth="1"/>
    <col min="12037" max="12037" width="11.5703125" style="179" customWidth="1"/>
    <col min="12038" max="12038" width="2.42578125" style="179" customWidth="1"/>
    <col min="12039" max="12039" width="10.85546875" style="179" customWidth="1"/>
    <col min="12040" max="12040" width="2.42578125" style="179" customWidth="1"/>
    <col min="12041" max="12041" width="11.140625" style="179" customWidth="1"/>
    <col min="12042" max="12042" width="1.85546875" style="179" customWidth="1"/>
    <col min="12043" max="12043" width="11" style="179" customWidth="1"/>
    <col min="12044" max="12044" width="0.7109375" style="179" customWidth="1"/>
    <col min="12045" max="12045" width="1.85546875" style="179" customWidth="1"/>
    <col min="12046" max="12046" width="11.85546875" style="179" bestFit="1" customWidth="1"/>
    <col min="12047" max="12047" width="15.28515625" style="179" bestFit="1" customWidth="1"/>
    <col min="12048" max="12048" width="5" style="179" customWidth="1"/>
    <col min="12049" max="12049" width="10.42578125" style="179" bestFit="1" customWidth="1"/>
    <col min="12050" max="12050" width="5" style="179" customWidth="1"/>
    <col min="12051" max="12051" width="10.42578125" style="179" bestFit="1" customWidth="1"/>
    <col min="12052" max="12054" width="9" style="179"/>
    <col min="12055" max="12055" width="10.42578125" style="179" bestFit="1" customWidth="1"/>
    <col min="12056" max="12284" width="9" style="179"/>
    <col min="12285" max="12285" width="3.5703125" style="179" customWidth="1"/>
    <col min="12286" max="12286" width="4.85546875" style="179" customWidth="1"/>
    <col min="12287" max="12287" width="5.42578125" style="179" customWidth="1"/>
    <col min="12288" max="12288" width="31.28515625" style="179" customWidth="1"/>
    <col min="12289" max="12289" width="7.5703125" style="179" customWidth="1"/>
    <col min="12290" max="12290" width="2.42578125" style="179" customWidth="1"/>
    <col min="12291" max="12291" width="11.5703125" style="179" customWidth="1"/>
    <col min="12292" max="12292" width="2.42578125" style="179" customWidth="1"/>
    <col min="12293" max="12293" width="11.5703125" style="179" customWidth="1"/>
    <col min="12294" max="12294" width="2.42578125" style="179" customWidth="1"/>
    <col min="12295" max="12295" width="10.85546875" style="179" customWidth="1"/>
    <col min="12296" max="12296" width="2.42578125" style="179" customWidth="1"/>
    <col min="12297" max="12297" width="11.140625" style="179" customWidth="1"/>
    <col min="12298" max="12298" width="1.85546875" style="179" customWidth="1"/>
    <col min="12299" max="12299" width="11" style="179" customWidth="1"/>
    <col min="12300" max="12300" width="0.7109375" style="179" customWidth="1"/>
    <col min="12301" max="12301" width="1.85546875" style="179" customWidth="1"/>
    <col min="12302" max="12302" width="11.85546875" style="179" bestFit="1" customWidth="1"/>
    <col min="12303" max="12303" width="15.28515625" style="179" bestFit="1" customWidth="1"/>
    <col min="12304" max="12304" width="5" style="179" customWidth="1"/>
    <col min="12305" max="12305" width="10.42578125" style="179" bestFit="1" customWidth="1"/>
    <col min="12306" max="12306" width="5" style="179" customWidth="1"/>
    <col min="12307" max="12307" width="10.42578125" style="179" bestFit="1" customWidth="1"/>
    <col min="12308" max="12310" width="9" style="179"/>
    <col min="12311" max="12311" width="10.42578125" style="179" bestFit="1" customWidth="1"/>
    <col min="12312" max="12540" width="9" style="179"/>
    <col min="12541" max="12541" width="3.5703125" style="179" customWidth="1"/>
    <col min="12542" max="12542" width="4.85546875" style="179" customWidth="1"/>
    <col min="12543" max="12543" width="5.42578125" style="179" customWidth="1"/>
    <col min="12544" max="12544" width="31.28515625" style="179" customWidth="1"/>
    <col min="12545" max="12545" width="7.5703125" style="179" customWidth="1"/>
    <col min="12546" max="12546" width="2.42578125" style="179" customWidth="1"/>
    <col min="12547" max="12547" width="11.5703125" style="179" customWidth="1"/>
    <col min="12548" max="12548" width="2.42578125" style="179" customWidth="1"/>
    <col min="12549" max="12549" width="11.5703125" style="179" customWidth="1"/>
    <col min="12550" max="12550" width="2.42578125" style="179" customWidth="1"/>
    <col min="12551" max="12551" width="10.85546875" style="179" customWidth="1"/>
    <col min="12552" max="12552" width="2.42578125" style="179" customWidth="1"/>
    <col min="12553" max="12553" width="11.140625" style="179" customWidth="1"/>
    <col min="12554" max="12554" width="1.85546875" style="179" customWidth="1"/>
    <col min="12555" max="12555" width="11" style="179" customWidth="1"/>
    <col min="12556" max="12556" width="0.7109375" style="179" customWidth="1"/>
    <col min="12557" max="12557" width="1.85546875" style="179" customWidth="1"/>
    <col min="12558" max="12558" width="11.85546875" style="179" bestFit="1" customWidth="1"/>
    <col min="12559" max="12559" width="15.28515625" style="179" bestFit="1" customWidth="1"/>
    <col min="12560" max="12560" width="5" style="179" customWidth="1"/>
    <col min="12561" max="12561" width="10.42578125" style="179" bestFit="1" customWidth="1"/>
    <col min="12562" max="12562" width="5" style="179" customWidth="1"/>
    <col min="12563" max="12563" width="10.42578125" style="179" bestFit="1" customWidth="1"/>
    <col min="12564" max="12566" width="9" style="179"/>
    <col min="12567" max="12567" width="10.42578125" style="179" bestFit="1" customWidth="1"/>
    <col min="12568" max="12796" width="9" style="179"/>
    <col min="12797" max="12797" width="3.5703125" style="179" customWidth="1"/>
    <col min="12798" max="12798" width="4.85546875" style="179" customWidth="1"/>
    <col min="12799" max="12799" width="5.42578125" style="179" customWidth="1"/>
    <col min="12800" max="12800" width="31.28515625" style="179" customWidth="1"/>
    <col min="12801" max="12801" width="7.5703125" style="179" customWidth="1"/>
    <col min="12802" max="12802" width="2.42578125" style="179" customWidth="1"/>
    <col min="12803" max="12803" width="11.5703125" style="179" customWidth="1"/>
    <col min="12804" max="12804" width="2.42578125" style="179" customWidth="1"/>
    <col min="12805" max="12805" width="11.5703125" style="179" customWidth="1"/>
    <col min="12806" max="12806" width="2.42578125" style="179" customWidth="1"/>
    <col min="12807" max="12807" width="10.85546875" style="179" customWidth="1"/>
    <col min="12808" max="12808" width="2.42578125" style="179" customWidth="1"/>
    <col min="12809" max="12809" width="11.140625" style="179" customWidth="1"/>
    <col min="12810" max="12810" width="1.85546875" style="179" customWidth="1"/>
    <col min="12811" max="12811" width="11" style="179" customWidth="1"/>
    <col min="12812" max="12812" width="0.7109375" style="179" customWidth="1"/>
    <col min="12813" max="12813" width="1.85546875" style="179" customWidth="1"/>
    <col min="12814" max="12814" width="11.85546875" style="179" bestFit="1" customWidth="1"/>
    <col min="12815" max="12815" width="15.28515625" style="179" bestFit="1" customWidth="1"/>
    <col min="12816" max="12816" width="5" style="179" customWidth="1"/>
    <col min="12817" max="12817" width="10.42578125" style="179" bestFit="1" customWidth="1"/>
    <col min="12818" max="12818" width="5" style="179" customWidth="1"/>
    <col min="12819" max="12819" width="10.42578125" style="179" bestFit="1" customWidth="1"/>
    <col min="12820" max="12822" width="9" style="179"/>
    <col min="12823" max="12823" width="10.42578125" style="179" bestFit="1" customWidth="1"/>
    <col min="12824" max="13052" width="9" style="179"/>
    <col min="13053" max="13053" width="3.5703125" style="179" customWidth="1"/>
    <col min="13054" max="13054" width="4.85546875" style="179" customWidth="1"/>
    <col min="13055" max="13055" width="5.42578125" style="179" customWidth="1"/>
    <col min="13056" max="13056" width="31.28515625" style="179" customWidth="1"/>
    <col min="13057" max="13057" width="7.5703125" style="179" customWidth="1"/>
    <col min="13058" max="13058" width="2.42578125" style="179" customWidth="1"/>
    <col min="13059" max="13059" width="11.5703125" style="179" customWidth="1"/>
    <col min="13060" max="13060" width="2.42578125" style="179" customWidth="1"/>
    <col min="13061" max="13061" width="11.5703125" style="179" customWidth="1"/>
    <col min="13062" max="13062" width="2.42578125" style="179" customWidth="1"/>
    <col min="13063" max="13063" width="10.85546875" style="179" customWidth="1"/>
    <col min="13064" max="13064" width="2.42578125" style="179" customWidth="1"/>
    <col min="13065" max="13065" width="11.140625" style="179" customWidth="1"/>
    <col min="13066" max="13066" width="1.85546875" style="179" customWidth="1"/>
    <col min="13067" max="13067" width="11" style="179" customWidth="1"/>
    <col min="13068" max="13068" width="0.7109375" style="179" customWidth="1"/>
    <col min="13069" max="13069" width="1.85546875" style="179" customWidth="1"/>
    <col min="13070" max="13070" width="11.85546875" style="179" bestFit="1" customWidth="1"/>
    <col min="13071" max="13071" width="15.28515625" style="179" bestFit="1" customWidth="1"/>
    <col min="13072" max="13072" width="5" style="179" customWidth="1"/>
    <col min="13073" max="13073" width="10.42578125" style="179" bestFit="1" customWidth="1"/>
    <col min="13074" max="13074" width="5" style="179" customWidth="1"/>
    <col min="13075" max="13075" width="10.42578125" style="179" bestFit="1" customWidth="1"/>
    <col min="13076" max="13078" width="9" style="179"/>
    <col min="13079" max="13079" width="10.42578125" style="179" bestFit="1" customWidth="1"/>
    <col min="13080" max="13308" width="9" style="179"/>
    <col min="13309" max="13309" width="3.5703125" style="179" customWidth="1"/>
    <col min="13310" max="13310" width="4.85546875" style="179" customWidth="1"/>
    <col min="13311" max="13311" width="5.42578125" style="179" customWidth="1"/>
    <col min="13312" max="13312" width="31.28515625" style="179" customWidth="1"/>
    <col min="13313" max="13313" width="7.5703125" style="179" customWidth="1"/>
    <col min="13314" max="13314" width="2.42578125" style="179" customWidth="1"/>
    <col min="13315" max="13315" width="11.5703125" style="179" customWidth="1"/>
    <col min="13316" max="13316" width="2.42578125" style="179" customWidth="1"/>
    <col min="13317" max="13317" width="11.5703125" style="179" customWidth="1"/>
    <col min="13318" max="13318" width="2.42578125" style="179" customWidth="1"/>
    <col min="13319" max="13319" width="10.85546875" style="179" customWidth="1"/>
    <col min="13320" max="13320" width="2.42578125" style="179" customWidth="1"/>
    <col min="13321" max="13321" width="11.140625" style="179" customWidth="1"/>
    <col min="13322" max="13322" width="1.85546875" style="179" customWidth="1"/>
    <col min="13323" max="13323" width="11" style="179" customWidth="1"/>
    <col min="13324" max="13324" width="0.7109375" style="179" customWidth="1"/>
    <col min="13325" max="13325" width="1.85546875" style="179" customWidth="1"/>
    <col min="13326" max="13326" width="11.85546875" style="179" bestFit="1" customWidth="1"/>
    <col min="13327" max="13327" width="15.28515625" style="179" bestFit="1" customWidth="1"/>
    <col min="13328" max="13328" width="5" style="179" customWidth="1"/>
    <col min="13329" max="13329" width="10.42578125" style="179" bestFit="1" customWidth="1"/>
    <col min="13330" max="13330" width="5" style="179" customWidth="1"/>
    <col min="13331" max="13331" width="10.42578125" style="179" bestFit="1" customWidth="1"/>
    <col min="13332" max="13334" width="9" style="179"/>
    <col min="13335" max="13335" width="10.42578125" style="179" bestFit="1" customWidth="1"/>
    <col min="13336" max="13564" width="9" style="179"/>
    <col min="13565" max="13565" width="3.5703125" style="179" customWidth="1"/>
    <col min="13566" max="13566" width="4.85546875" style="179" customWidth="1"/>
    <col min="13567" max="13567" width="5.42578125" style="179" customWidth="1"/>
    <col min="13568" max="13568" width="31.28515625" style="179" customWidth="1"/>
    <col min="13569" max="13569" width="7.5703125" style="179" customWidth="1"/>
    <col min="13570" max="13570" width="2.42578125" style="179" customWidth="1"/>
    <col min="13571" max="13571" width="11.5703125" style="179" customWidth="1"/>
    <col min="13572" max="13572" width="2.42578125" style="179" customWidth="1"/>
    <col min="13573" max="13573" width="11.5703125" style="179" customWidth="1"/>
    <col min="13574" max="13574" width="2.42578125" style="179" customWidth="1"/>
    <col min="13575" max="13575" width="10.85546875" style="179" customWidth="1"/>
    <col min="13576" max="13576" width="2.42578125" style="179" customWidth="1"/>
    <col min="13577" max="13577" width="11.140625" style="179" customWidth="1"/>
    <col min="13578" max="13578" width="1.85546875" style="179" customWidth="1"/>
    <col min="13579" max="13579" width="11" style="179" customWidth="1"/>
    <col min="13580" max="13580" width="0.7109375" style="179" customWidth="1"/>
    <col min="13581" max="13581" width="1.85546875" style="179" customWidth="1"/>
    <col min="13582" max="13582" width="11.85546875" style="179" bestFit="1" customWidth="1"/>
    <col min="13583" max="13583" width="15.28515625" style="179" bestFit="1" customWidth="1"/>
    <col min="13584" max="13584" width="5" style="179" customWidth="1"/>
    <col min="13585" max="13585" width="10.42578125" style="179" bestFit="1" customWidth="1"/>
    <col min="13586" max="13586" width="5" style="179" customWidth="1"/>
    <col min="13587" max="13587" width="10.42578125" style="179" bestFit="1" customWidth="1"/>
    <col min="13588" max="13590" width="9" style="179"/>
    <col min="13591" max="13591" width="10.42578125" style="179" bestFit="1" customWidth="1"/>
    <col min="13592" max="13820" width="9" style="179"/>
    <col min="13821" max="13821" width="3.5703125" style="179" customWidth="1"/>
    <col min="13822" max="13822" width="4.85546875" style="179" customWidth="1"/>
    <col min="13823" max="13823" width="5.42578125" style="179" customWidth="1"/>
    <col min="13824" max="13824" width="31.28515625" style="179" customWidth="1"/>
    <col min="13825" max="13825" width="7.5703125" style="179" customWidth="1"/>
    <col min="13826" max="13826" width="2.42578125" style="179" customWidth="1"/>
    <col min="13827" max="13827" width="11.5703125" style="179" customWidth="1"/>
    <col min="13828" max="13828" width="2.42578125" style="179" customWidth="1"/>
    <col min="13829" max="13829" width="11.5703125" style="179" customWidth="1"/>
    <col min="13830" max="13830" width="2.42578125" style="179" customWidth="1"/>
    <col min="13831" max="13831" width="10.85546875" style="179" customWidth="1"/>
    <col min="13832" max="13832" width="2.42578125" style="179" customWidth="1"/>
    <col min="13833" max="13833" width="11.140625" style="179" customWidth="1"/>
    <col min="13834" max="13834" width="1.85546875" style="179" customWidth="1"/>
    <col min="13835" max="13835" width="11" style="179" customWidth="1"/>
    <col min="13836" max="13836" width="0.7109375" style="179" customWidth="1"/>
    <col min="13837" max="13837" width="1.85546875" style="179" customWidth="1"/>
    <col min="13838" max="13838" width="11.85546875" style="179" bestFit="1" customWidth="1"/>
    <col min="13839" max="13839" width="15.28515625" style="179" bestFit="1" customWidth="1"/>
    <col min="13840" max="13840" width="5" style="179" customWidth="1"/>
    <col min="13841" max="13841" width="10.42578125" style="179" bestFit="1" customWidth="1"/>
    <col min="13842" max="13842" width="5" style="179" customWidth="1"/>
    <col min="13843" max="13843" width="10.42578125" style="179" bestFit="1" customWidth="1"/>
    <col min="13844" max="13846" width="9" style="179"/>
    <col min="13847" max="13847" width="10.42578125" style="179" bestFit="1" customWidth="1"/>
    <col min="13848" max="14076" width="9" style="179"/>
    <col min="14077" max="14077" width="3.5703125" style="179" customWidth="1"/>
    <col min="14078" max="14078" width="4.85546875" style="179" customWidth="1"/>
    <col min="14079" max="14079" width="5.42578125" style="179" customWidth="1"/>
    <col min="14080" max="14080" width="31.28515625" style="179" customWidth="1"/>
    <col min="14081" max="14081" width="7.5703125" style="179" customWidth="1"/>
    <col min="14082" max="14082" width="2.42578125" style="179" customWidth="1"/>
    <col min="14083" max="14083" width="11.5703125" style="179" customWidth="1"/>
    <col min="14084" max="14084" width="2.42578125" style="179" customWidth="1"/>
    <col min="14085" max="14085" width="11.5703125" style="179" customWidth="1"/>
    <col min="14086" max="14086" width="2.42578125" style="179" customWidth="1"/>
    <col min="14087" max="14087" width="10.85546875" style="179" customWidth="1"/>
    <col min="14088" max="14088" width="2.42578125" style="179" customWidth="1"/>
    <col min="14089" max="14089" width="11.140625" style="179" customWidth="1"/>
    <col min="14090" max="14090" width="1.85546875" style="179" customWidth="1"/>
    <col min="14091" max="14091" width="11" style="179" customWidth="1"/>
    <col min="14092" max="14092" width="0.7109375" style="179" customWidth="1"/>
    <col min="14093" max="14093" width="1.85546875" style="179" customWidth="1"/>
    <col min="14094" max="14094" width="11.85546875" style="179" bestFit="1" customWidth="1"/>
    <col min="14095" max="14095" width="15.28515625" style="179" bestFit="1" customWidth="1"/>
    <col min="14096" max="14096" width="5" style="179" customWidth="1"/>
    <col min="14097" max="14097" width="10.42578125" style="179" bestFit="1" customWidth="1"/>
    <col min="14098" max="14098" width="5" style="179" customWidth="1"/>
    <col min="14099" max="14099" width="10.42578125" style="179" bestFit="1" customWidth="1"/>
    <col min="14100" max="14102" width="9" style="179"/>
    <col min="14103" max="14103" width="10.42578125" style="179" bestFit="1" customWidth="1"/>
    <col min="14104" max="14332" width="9" style="179"/>
    <col min="14333" max="14333" width="3.5703125" style="179" customWidth="1"/>
    <col min="14334" max="14334" width="4.85546875" style="179" customWidth="1"/>
    <col min="14335" max="14335" width="5.42578125" style="179" customWidth="1"/>
    <col min="14336" max="14336" width="31.28515625" style="179" customWidth="1"/>
    <col min="14337" max="14337" width="7.5703125" style="179" customWidth="1"/>
    <col min="14338" max="14338" width="2.42578125" style="179" customWidth="1"/>
    <col min="14339" max="14339" width="11.5703125" style="179" customWidth="1"/>
    <col min="14340" max="14340" width="2.42578125" style="179" customWidth="1"/>
    <col min="14341" max="14341" width="11.5703125" style="179" customWidth="1"/>
    <col min="14342" max="14342" width="2.42578125" style="179" customWidth="1"/>
    <col min="14343" max="14343" width="10.85546875" style="179" customWidth="1"/>
    <col min="14344" max="14344" width="2.42578125" style="179" customWidth="1"/>
    <col min="14345" max="14345" width="11.140625" style="179" customWidth="1"/>
    <col min="14346" max="14346" width="1.85546875" style="179" customWidth="1"/>
    <col min="14347" max="14347" width="11" style="179" customWidth="1"/>
    <col min="14348" max="14348" width="0.7109375" style="179" customWidth="1"/>
    <col min="14349" max="14349" width="1.85546875" style="179" customWidth="1"/>
    <col min="14350" max="14350" width="11.85546875" style="179" bestFit="1" customWidth="1"/>
    <col min="14351" max="14351" width="15.28515625" style="179" bestFit="1" customWidth="1"/>
    <col min="14352" max="14352" width="5" style="179" customWidth="1"/>
    <col min="14353" max="14353" width="10.42578125" style="179" bestFit="1" customWidth="1"/>
    <col min="14354" max="14354" width="5" style="179" customWidth="1"/>
    <col min="14355" max="14355" width="10.42578125" style="179" bestFit="1" customWidth="1"/>
    <col min="14356" max="14358" width="9" style="179"/>
    <col min="14359" max="14359" width="10.42578125" style="179" bestFit="1" customWidth="1"/>
    <col min="14360" max="14588" width="9" style="179"/>
    <col min="14589" max="14589" width="3.5703125" style="179" customWidth="1"/>
    <col min="14590" max="14590" width="4.85546875" style="179" customWidth="1"/>
    <col min="14591" max="14591" width="5.42578125" style="179" customWidth="1"/>
    <col min="14592" max="14592" width="31.28515625" style="179" customWidth="1"/>
    <col min="14593" max="14593" width="7.5703125" style="179" customWidth="1"/>
    <col min="14594" max="14594" width="2.42578125" style="179" customWidth="1"/>
    <col min="14595" max="14595" width="11.5703125" style="179" customWidth="1"/>
    <col min="14596" max="14596" width="2.42578125" style="179" customWidth="1"/>
    <col min="14597" max="14597" width="11.5703125" style="179" customWidth="1"/>
    <col min="14598" max="14598" width="2.42578125" style="179" customWidth="1"/>
    <col min="14599" max="14599" width="10.85546875" style="179" customWidth="1"/>
    <col min="14600" max="14600" width="2.42578125" style="179" customWidth="1"/>
    <col min="14601" max="14601" width="11.140625" style="179" customWidth="1"/>
    <col min="14602" max="14602" width="1.85546875" style="179" customWidth="1"/>
    <col min="14603" max="14603" width="11" style="179" customWidth="1"/>
    <col min="14604" max="14604" width="0.7109375" style="179" customWidth="1"/>
    <col min="14605" max="14605" width="1.85546875" style="179" customWidth="1"/>
    <col min="14606" max="14606" width="11.85546875" style="179" bestFit="1" customWidth="1"/>
    <col min="14607" max="14607" width="15.28515625" style="179" bestFit="1" customWidth="1"/>
    <col min="14608" max="14608" width="5" style="179" customWidth="1"/>
    <col min="14609" max="14609" width="10.42578125" style="179" bestFit="1" customWidth="1"/>
    <col min="14610" max="14610" width="5" style="179" customWidth="1"/>
    <col min="14611" max="14611" width="10.42578125" style="179" bestFit="1" customWidth="1"/>
    <col min="14612" max="14614" width="9" style="179"/>
    <col min="14615" max="14615" width="10.42578125" style="179" bestFit="1" customWidth="1"/>
    <col min="14616" max="14844" width="9" style="179"/>
    <col min="14845" max="14845" width="3.5703125" style="179" customWidth="1"/>
    <col min="14846" max="14846" width="4.85546875" style="179" customWidth="1"/>
    <col min="14847" max="14847" width="5.42578125" style="179" customWidth="1"/>
    <col min="14848" max="14848" width="31.28515625" style="179" customWidth="1"/>
    <col min="14849" max="14849" width="7.5703125" style="179" customWidth="1"/>
    <col min="14850" max="14850" width="2.42578125" style="179" customWidth="1"/>
    <col min="14851" max="14851" width="11.5703125" style="179" customWidth="1"/>
    <col min="14852" max="14852" width="2.42578125" style="179" customWidth="1"/>
    <col min="14853" max="14853" width="11.5703125" style="179" customWidth="1"/>
    <col min="14854" max="14854" width="2.42578125" style="179" customWidth="1"/>
    <col min="14855" max="14855" width="10.85546875" style="179" customWidth="1"/>
    <col min="14856" max="14856" width="2.42578125" style="179" customWidth="1"/>
    <col min="14857" max="14857" width="11.140625" style="179" customWidth="1"/>
    <col min="14858" max="14858" width="1.85546875" style="179" customWidth="1"/>
    <col min="14859" max="14859" width="11" style="179" customWidth="1"/>
    <col min="14860" max="14860" width="0.7109375" style="179" customWidth="1"/>
    <col min="14861" max="14861" width="1.85546875" style="179" customWidth="1"/>
    <col min="14862" max="14862" width="11.85546875" style="179" bestFit="1" customWidth="1"/>
    <col min="14863" max="14863" width="15.28515625" style="179" bestFit="1" customWidth="1"/>
    <col min="14864" max="14864" width="5" style="179" customWidth="1"/>
    <col min="14865" max="14865" width="10.42578125" style="179" bestFit="1" customWidth="1"/>
    <col min="14866" max="14866" width="5" style="179" customWidth="1"/>
    <col min="14867" max="14867" width="10.42578125" style="179" bestFit="1" customWidth="1"/>
    <col min="14868" max="14870" width="9" style="179"/>
    <col min="14871" max="14871" width="10.42578125" style="179" bestFit="1" customWidth="1"/>
    <col min="14872" max="15100" width="9" style="179"/>
    <col min="15101" max="15101" width="3.5703125" style="179" customWidth="1"/>
    <col min="15102" max="15102" width="4.85546875" style="179" customWidth="1"/>
    <col min="15103" max="15103" width="5.42578125" style="179" customWidth="1"/>
    <col min="15104" max="15104" width="31.28515625" style="179" customWidth="1"/>
    <col min="15105" max="15105" width="7.5703125" style="179" customWidth="1"/>
    <col min="15106" max="15106" width="2.42578125" style="179" customWidth="1"/>
    <col min="15107" max="15107" width="11.5703125" style="179" customWidth="1"/>
    <col min="15108" max="15108" width="2.42578125" style="179" customWidth="1"/>
    <col min="15109" max="15109" width="11.5703125" style="179" customWidth="1"/>
    <col min="15110" max="15110" width="2.42578125" style="179" customWidth="1"/>
    <col min="15111" max="15111" width="10.85546875" style="179" customWidth="1"/>
    <col min="15112" max="15112" width="2.42578125" style="179" customWidth="1"/>
    <col min="15113" max="15113" width="11.140625" style="179" customWidth="1"/>
    <col min="15114" max="15114" width="1.85546875" style="179" customWidth="1"/>
    <col min="15115" max="15115" width="11" style="179" customWidth="1"/>
    <col min="15116" max="15116" width="0.7109375" style="179" customWidth="1"/>
    <col min="15117" max="15117" width="1.85546875" style="179" customWidth="1"/>
    <col min="15118" max="15118" width="11.85546875" style="179" bestFit="1" customWidth="1"/>
    <col min="15119" max="15119" width="15.28515625" style="179" bestFit="1" customWidth="1"/>
    <col min="15120" max="15120" width="5" style="179" customWidth="1"/>
    <col min="15121" max="15121" width="10.42578125" style="179" bestFit="1" customWidth="1"/>
    <col min="15122" max="15122" width="5" style="179" customWidth="1"/>
    <col min="15123" max="15123" width="10.42578125" style="179" bestFit="1" customWidth="1"/>
    <col min="15124" max="15126" width="9" style="179"/>
    <col min="15127" max="15127" width="10.42578125" style="179" bestFit="1" customWidth="1"/>
    <col min="15128" max="15356" width="9" style="179"/>
    <col min="15357" max="15357" width="3.5703125" style="179" customWidth="1"/>
    <col min="15358" max="15358" width="4.85546875" style="179" customWidth="1"/>
    <col min="15359" max="15359" width="5.42578125" style="179" customWidth="1"/>
    <col min="15360" max="15360" width="31.28515625" style="179" customWidth="1"/>
    <col min="15361" max="15361" width="7.5703125" style="179" customWidth="1"/>
    <col min="15362" max="15362" width="2.42578125" style="179" customWidth="1"/>
    <col min="15363" max="15363" width="11.5703125" style="179" customWidth="1"/>
    <col min="15364" max="15364" width="2.42578125" style="179" customWidth="1"/>
    <col min="15365" max="15365" width="11.5703125" style="179" customWidth="1"/>
    <col min="15366" max="15366" width="2.42578125" style="179" customWidth="1"/>
    <col min="15367" max="15367" width="10.85546875" style="179" customWidth="1"/>
    <col min="15368" max="15368" width="2.42578125" style="179" customWidth="1"/>
    <col min="15369" max="15369" width="11.140625" style="179" customWidth="1"/>
    <col min="15370" max="15370" width="1.85546875" style="179" customWidth="1"/>
    <col min="15371" max="15371" width="11" style="179" customWidth="1"/>
    <col min="15372" max="15372" width="0.7109375" style="179" customWidth="1"/>
    <col min="15373" max="15373" width="1.85546875" style="179" customWidth="1"/>
    <col min="15374" max="15374" width="11.85546875" style="179" bestFit="1" customWidth="1"/>
    <col min="15375" max="15375" width="15.28515625" style="179" bestFit="1" customWidth="1"/>
    <col min="15376" max="15376" width="5" style="179" customWidth="1"/>
    <col min="15377" max="15377" width="10.42578125" style="179" bestFit="1" customWidth="1"/>
    <col min="15378" max="15378" width="5" style="179" customWidth="1"/>
    <col min="15379" max="15379" width="10.42578125" style="179" bestFit="1" customWidth="1"/>
    <col min="15380" max="15382" width="9" style="179"/>
    <col min="15383" max="15383" width="10.42578125" style="179" bestFit="1" customWidth="1"/>
    <col min="15384" max="15612" width="9" style="179"/>
    <col min="15613" max="15613" width="3.5703125" style="179" customWidth="1"/>
    <col min="15614" max="15614" width="4.85546875" style="179" customWidth="1"/>
    <col min="15615" max="15615" width="5.42578125" style="179" customWidth="1"/>
    <col min="15616" max="15616" width="31.28515625" style="179" customWidth="1"/>
    <col min="15617" max="15617" width="7.5703125" style="179" customWidth="1"/>
    <col min="15618" max="15618" width="2.42578125" style="179" customWidth="1"/>
    <col min="15619" max="15619" width="11.5703125" style="179" customWidth="1"/>
    <col min="15620" max="15620" width="2.42578125" style="179" customWidth="1"/>
    <col min="15621" max="15621" width="11.5703125" style="179" customWidth="1"/>
    <col min="15622" max="15622" width="2.42578125" style="179" customWidth="1"/>
    <col min="15623" max="15623" width="10.85546875" style="179" customWidth="1"/>
    <col min="15624" max="15624" width="2.42578125" style="179" customWidth="1"/>
    <col min="15625" max="15625" width="11.140625" style="179" customWidth="1"/>
    <col min="15626" max="15626" width="1.85546875" style="179" customWidth="1"/>
    <col min="15627" max="15627" width="11" style="179" customWidth="1"/>
    <col min="15628" max="15628" width="0.7109375" style="179" customWidth="1"/>
    <col min="15629" max="15629" width="1.85546875" style="179" customWidth="1"/>
    <col min="15630" max="15630" width="11.85546875" style="179" bestFit="1" customWidth="1"/>
    <col min="15631" max="15631" width="15.28515625" style="179" bestFit="1" customWidth="1"/>
    <col min="15632" max="15632" width="5" style="179" customWidth="1"/>
    <col min="15633" max="15633" width="10.42578125" style="179" bestFit="1" customWidth="1"/>
    <col min="15634" max="15634" width="5" style="179" customWidth="1"/>
    <col min="15635" max="15635" width="10.42578125" style="179" bestFit="1" customWidth="1"/>
    <col min="15636" max="15638" width="9" style="179"/>
    <col min="15639" max="15639" width="10.42578125" style="179" bestFit="1" customWidth="1"/>
    <col min="15640" max="15868" width="9" style="179"/>
    <col min="15869" max="15869" width="3.5703125" style="179" customWidth="1"/>
    <col min="15870" max="15870" width="4.85546875" style="179" customWidth="1"/>
    <col min="15871" max="15871" width="5.42578125" style="179" customWidth="1"/>
    <col min="15872" max="15872" width="31.28515625" style="179" customWidth="1"/>
    <col min="15873" max="15873" width="7.5703125" style="179" customWidth="1"/>
    <col min="15874" max="15874" width="2.42578125" style="179" customWidth="1"/>
    <col min="15875" max="15875" width="11.5703125" style="179" customWidth="1"/>
    <col min="15876" max="15876" width="2.42578125" style="179" customWidth="1"/>
    <col min="15877" max="15877" width="11.5703125" style="179" customWidth="1"/>
    <col min="15878" max="15878" width="2.42578125" style="179" customWidth="1"/>
    <col min="15879" max="15879" width="10.85546875" style="179" customWidth="1"/>
    <col min="15880" max="15880" width="2.42578125" style="179" customWidth="1"/>
    <col min="15881" max="15881" width="11.140625" style="179" customWidth="1"/>
    <col min="15882" max="15882" width="1.85546875" style="179" customWidth="1"/>
    <col min="15883" max="15883" width="11" style="179" customWidth="1"/>
    <col min="15884" max="15884" width="0.7109375" style="179" customWidth="1"/>
    <col min="15885" max="15885" width="1.85546875" style="179" customWidth="1"/>
    <col min="15886" max="15886" width="11.85546875" style="179" bestFit="1" customWidth="1"/>
    <col min="15887" max="15887" width="15.28515625" style="179" bestFit="1" customWidth="1"/>
    <col min="15888" max="15888" width="5" style="179" customWidth="1"/>
    <col min="15889" max="15889" width="10.42578125" style="179" bestFit="1" customWidth="1"/>
    <col min="15890" max="15890" width="5" style="179" customWidth="1"/>
    <col min="15891" max="15891" width="10.42578125" style="179" bestFit="1" customWidth="1"/>
    <col min="15892" max="15894" width="9" style="179"/>
    <col min="15895" max="15895" width="10.42578125" style="179" bestFit="1" customWidth="1"/>
    <col min="15896" max="16124" width="9" style="179"/>
    <col min="16125" max="16125" width="3.5703125" style="179" customWidth="1"/>
    <col min="16126" max="16126" width="4.85546875" style="179" customWidth="1"/>
    <col min="16127" max="16127" width="5.42578125" style="179" customWidth="1"/>
    <col min="16128" max="16128" width="31.28515625" style="179" customWidth="1"/>
    <col min="16129" max="16129" width="7.5703125" style="179" customWidth="1"/>
    <col min="16130" max="16130" width="2.42578125" style="179" customWidth="1"/>
    <col min="16131" max="16131" width="11.5703125" style="179" customWidth="1"/>
    <col min="16132" max="16132" width="2.42578125" style="179" customWidth="1"/>
    <col min="16133" max="16133" width="11.5703125" style="179" customWidth="1"/>
    <col min="16134" max="16134" width="2.42578125" style="179" customWidth="1"/>
    <col min="16135" max="16135" width="10.85546875" style="179" customWidth="1"/>
    <col min="16136" max="16136" width="2.42578125" style="179" customWidth="1"/>
    <col min="16137" max="16137" width="11.140625" style="179" customWidth="1"/>
    <col min="16138" max="16138" width="1.85546875" style="179" customWidth="1"/>
    <col min="16139" max="16139" width="11" style="179" customWidth="1"/>
    <col min="16140" max="16140" width="0.7109375" style="179" customWidth="1"/>
    <col min="16141" max="16141" width="1.85546875" style="179" customWidth="1"/>
    <col min="16142" max="16142" width="11.85546875" style="179" bestFit="1" customWidth="1"/>
    <col min="16143" max="16143" width="15.28515625" style="179" bestFit="1" customWidth="1"/>
    <col min="16144" max="16144" width="5" style="179" customWidth="1"/>
    <col min="16145" max="16145" width="10.42578125" style="179" bestFit="1" customWidth="1"/>
    <col min="16146" max="16146" width="5" style="179" customWidth="1"/>
    <col min="16147" max="16147" width="10.42578125" style="179" bestFit="1" customWidth="1"/>
    <col min="16148" max="16150" width="9" style="179"/>
    <col min="16151" max="16151" width="10.42578125" style="179" bestFit="1" customWidth="1"/>
    <col min="16152" max="16384" width="9" style="179"/>
  </cols>
  <sheetData>
    <row r="1" spans="1:19" s="177" customFormat="1" ht="24" x14ac:dyDescent="0.55000000000000004">
      <c r="A1" s="1409" t="s">
        <v>244</v>
      </c>
      <c r="B1" s="1409"/>
      <c r="C1" s="1409"/>
      <c r="D1" s="1409"/>
      <c r="E1" s="1409"/>
      <c r="F1" s="1409"/>
      <c r="G1" s="1409"/>
      <c r="H1" s="1409"/>
      <c r="I1" s="1409"/>
      <c r="J1" s="1409"/>
      <c r="K1" s="1409"/>
      <c r="L1" s="1409"/>
      <c r="M1" s="1409"/>
      <c r="N1" s="176"/>
      <c r="O1" s="176"/>
      <c r="P1" s="176"/>
      <c r="Q1" s="176"/>
    </row>
    <row r="2" spans="1:19" s="177" customFormat="1" ht="24" x14ac:dyDescent="0.55000000000000004">
      <c r="A2" s="1410" t="str">
        <f>تاريخچه!A2</f>
        <v>يادداشتهاي توضيحي صورتهاي مالي</v>
      </c>
      <c r="B2" s="1410" t="e">
        <f>#REF!</f>
        <v>#REF!</v>
      </c>
      <c r="C2" s="1410"/>
      <c r="D2" s="1410"/>
      <c r="E2" s="1410"/>
      <c r="F2" s="1410"/>
      <c r="G2" s="1410"/>
      <c r="H2" s="1410"/>
      <c r="I2" s="1410"/>
      <c r="J2" s="1410"/>
      <c r="K2" s="1410"/>
      <c r="L2" s="1410"/>
      <c r="M2" s="1410"/>
      <c r="N2" s="176"/>
      <c r="O2" s="176"/>
      <c r="P2" s="176"/>
      <c r="Q2" s="176"/>
    </row>
    <row r="3" spans="1:19" s="177" customFormat="1" ht="24" x14ac:dyDescent="0.55000000000000004">
      <c r="A3" s="1410" t="str">
        <f>سودوزيان!A3</f>
        <v>سال مالی منتهی به 30 اسفند 1403</v>
      </c>
      <c r="B3" s="1410" t="e">
        <f>#REF!</f>
        <v>#REF!</v>
      </c>
      <c r="C3" s="1410"/>
      <c r="D3" s="1410"/>
      <c r="E3" s="1410"/>
      <c r="F3" s="1410"/>
      <c r="G3" s="1410"/>
      <c r="H3" s="1410"/>
      <c r="I3" s="1410"/>
      <c r="J3" s="1410"/>
      <c r="K3" s="1410"/>
      <c r="L3" s="1410"/>
      <c r="M3" s="1410"/>
      <c r="N3" s="176"/>
      <c r="O3" s="176"/>
      <c r="P3" s="176"/>
      <c r="Q3" s="176"/>
    </row>
    <row r="4" spans="1:19" ht="24" x14ac:dyDescent="0.25">
      <c r="A4" s="1411" t="s">
        <v>793</v>
      </c>
      <c r="B4" s="1411"/>
      <c r="C4" s="1411"/>
      <c r="D4" s="1411"/>
      <c r="E4" s="1411"/>
      <c r="F4" s="1411"/>
      <c r="G4" s="1411"/>
      <c r="H4" s="1411"/>
      <c r="I4" s="1411"/>
      <c r="J4" s="1411"/>
      <c r="K4" s="1411"/>
      <c r="L4" s="1411"/>
      <c r="M4" s="1411"/>
    </row>
    <row r="5" spans="1:19" ht="23.25" customHeight="1" x14ac:dyDescent="0.6">
      <c r="B5" s="180"/>
      <c r="C5" s="180"/>
      <c r="D5" s="181"/>
      <c r="E5" s="182" t="s">
        <v>438</v>
      </c>
      <c r="F5" s="183"/>
      <c r="G5" s="184"/>
      <c r="H5" s="185">
        <v>1403</v>
      </c>
      <c r="I5" s="186"/>
      <c r="J5" s="187"/>
      <c r="K5" s="187"/>
      <c r="L5" s="185">
        <v>1402</v>
      </c>
    </row>
    <row r="6" spans="1:19" ht="19.5" customHeight="1" x14ac:dyDescent="0.6">
      <c r="B6" s="180"/>
      <c r="C6" s="180"/>
      <c r="D6" s="181"/>
      <c r="E6" s="189"/>
      <c r="F6" s="189"/>
      <c r="G6" s="184"/>
      <c r="H6" s="190" t="s">
        <v>702</v>
      </c>
      <c r="I6" s="190"/>
      <c r="J6" s="184"/>
      <c r="K6" s="184"/>
      <c r="L6" s="190" t="s">
        <v>702</v>
      </c>
    </row>
    <row r="7" spans="1:19" ht="24" hidden="1" x14ac:dyDescent="0.6">
      <c r="B7" s="1408" t="s">
        <v>68</v>
      </c>
      <c r="C7" s="1408"/>
      <c r="D7" s="1408"/>
      <c r="E7" s="189"/>
      <c r="F7" s="189"/>
      <c r="G7" s="184"/>
      <c r="H7" s="191"/>
      <c r="I7" s="191"/>
      <c r="J7" s="192"/>
      <c r="K7" s="192"/>
      <c r="L7" s="191"/>
    </row>
    <row r="8" spans="1:19" ht="24" hidden="1" x14ac:dyDescent="0.6">
      <c r="B8" s="180"/>
      <c r="C8" s="1408" t="s">
        <v>57</v>
      </c>
      <c r="D8" s="1408"/>
      <c r="E8" s="189"/>
      <c r="F8" s="189"/>
      <c r="G8" s="184"/>
      <c r="H8" s="191"/>
      <c r="I8" s="191"/>
      <c r="J8" s="192"/>
      <c r="K8" s="192"/>
      <c r="L8" s="191"/>
    </row>
    <row r="9" spans="1:19" ht="21" customHeight="1" x14ac:dyDescent="0.6">
      <c r="A9" s="179" t="s">
        <v>490</v>
      </c>
      <c r="B9" s="180"/>
      <c r="C9" s="180"/>
      <c r="D9" s="193" t="s">
        <v>393</v>
      </c>
      <c r="E9" s="190" t="s">
        <v>387</v>
      </c>
      <c r="F9" s="191"/>
      <c r="G9" s="184"/>
      <c r="H9" s="183">
        <f>H29</f>
        <v>10916820404618</v>
      </c>
      <c r="I9" s="183"/>
      <c r="J9" s="194"/>
      <c r="K9" s="194"/>
      <c r="L9" s="195">
        <f>L29</f>
        <v>9537785823292</v>
      </c>
      <c r="R9" s="179" t="b">
        <f>H9=H29</f>
        <v>1</v>
      </c>
      <c r="S9" s="179" t="b">
        <f>L9=L29</f>
        <v>1</v>
      </c>
    </row>
    <row r="10" spans="1:19" ht="21" customHeight="1" x14ac:dyDescent="0.6">
      <c r="B10" s="180"/>
      <c r="C10" s="180"/>
      <c r="D10" s="193" t="s">
        <v>394</v>
      </c>
      <c r="E10" s="190" t="s">
        <v>388</v>
      </c>
      <c r="F10" s="191"/>
      <c r="G10" s="184"/>
      <c r="H10" s="183">
        <f>H39</f>
        <v>353451928071</v>
      </c>
      <c r="I10" s="183"/>
      <c r="J10" s="194"/>
      <c r="K10" s="194"/>
      <c r="L10" s="196">
        <f>L39</f>
        <v>270633805359</v>
      </c>
      <c r="R10" s="179" t="b">
        <f>H10=H39</f>
        <v>1</v>
      </c>
      <c r="S10" s="179" t="b">
        <f>L10=L39</f>
        <v>1</v>
      </c>
    </row>
    <row r="11" spans="1:19" ht="21" customHeight="1" x14ac:dyDescent="0.6">
      <c r="B11" s="180"/>
      <c r="C11" s="180"/>
      <c r="D11" s="193" t="s">
        <v>58</v>
      </c>
      <c r="E11" s="190"/>
      <c r="F11" s="191"/>
      <c r="G11" s="184"/>
      <c r="H11" s="199">
        <f>SUM(H9:H10)</f>
        <v>11270272332689</v>
      </c>
      <c r="I11" s="183"/>
      <c r="J11" s="194"/>
      <c r="K11" s="194"/>
      <c r="L11" s="1000">
        <f>SUM(L9:L10)</f>
        <v>9808419628651</v>
      </c>
    </row>
    <row r="12" spans="1:19" ht="21" customHeight="1" x14ac:dyDescent="0.6">
      <c r="B12" s="180"/>
      <c r="C12" s="180"/>
      <c r="D12" s="193" t="s">
        <v>851</v>
      </c>
      <c r="E12" s="190" t="s">
        <v>389</v>
      </c>
      <c r="F12" s="191"/>
      <c r="G12" s="184"/>
      <c r="H12" s="183">
        <f>H50*-1</f>
        <v>-3438799588956</v>
      </c>
      <c r="I12" s="183"/>
      <c r="J12" s="194"/>
      <c r="K12" s="194"/>
      <c r="L12" s="1001">
        <f>L50*-1</f>
        <v>-1856000581953</v>
      </c>
      <c r="R12" s="179" t="b">
        <f>H12=-H50</f>
        <v>1</v>
      </c>
      <c r="S12" s="179" t="b">
        <f>L12=-L50</f>
        <v>1</v>
      </c>
    </row>
    <row r="13" spans="1:19" ht="21" customHeight="1" x14ac:dyDescent="0.6">
      <c r="B13" s="180"/>
      <c r="C13" s="180"/>
      <c r="D13" s="193" t="s">
        <v>1049</v>
      </c>
      <c r="E13" s="190" t="s">
        <v>390</v>
      </c>
      <c r="F13" s="191"/>
      <c r="G13" s="184"/>
      <c r="H13" s="183">
        <f>H60*-1</f>
        <v>-210974715464.64688</v>
      </c>
      <c r="I13" s="183"/>
      <c r="J13" s="194"/>
      <c r="K13" s="194"/>
      <c r="L13" s="951">
        <f>L60*-1</f>
        <v>-103668967444</v>
      </c>
      <c r="R13" s="179" t="b">
        <f>H13=-H60</f>
        <v>1</v>
      </c>
      <c r="S13" s="179" t="b">
        <f>L13=-L60</f>
        <v>1</v>
      </c>
    </row>
    <row r="14" spans="1:19" ht="21" customHeight="1" x14ac:dyDescent="0.6">
      <c r="B14" s="180"/>
      <c r="C14" s="180"/>
      <c r="D14" s="193" t="s">
        <v>59</v>
      </c>
      <c r="E14" s="190"/>
      <c r="F14" s="191"/>
      <c r="G14" s="184"/>
      <c r="H14" s="199">
        <f>SUM(H11:H13)</f>
        <v>7620498028268.3535</v>
      </c>
      <c r="I14" s="183"/>
      <c r="J14" s="194"/>
      <c r="K14" s="194"/>
      <c r="L14" s="195">
        <f>SUM(L11:L13)</f>
        <v>7848750079254</v>
      </c>
    </row>
    <row r="15" spans="1:19" ht="21" customHeight="1" x14ac:dyDescent="0.6">
      <c r="B15" s="180"/>
      <c r="C15" s="180"/>
      <c r="D15" s="193" t="s">
        <v>64</v>
      </c>
      <c r="E15" s="190" t="s">
        <v>391</v>
      </c>
      <c r="F15" s="191"/>
      <c r="G15" s="184"/>
      <c r="H15" s="200">
        <v>168819820716</v>
      </c>
      <c r="I15" s="200"/>
      <c r="J15" s="194"/>
      <c r="K15" s="194"/>
      <c r="L15" s="195">
        <v>69574099716</v>
      </c>
      <c r="R15" s="179" t="b">
        <f>H16=-H71</f>
        <v>1</v>
      </c>
    </row>
    <row r="16" spans="1:19" ht="21" customHeight="1" x14ac:dyDescent="0.6">
      <c r="B16" s="180"/>
      <c r="C16" s="180"/>
      <c r="D16" s="193" t="s">
        <v>1197</v>
      </c>
      <c r="E16" s="190" t="s">
        <v>1201</v>
      </c>
      <c r="F16" s="1084"/>
      <c r="G16" s="1085"/>
      <c r="H16" s="183">
        <f>H71*-1</f>
        <v>-9101038809</v>
      </c>
      <c r="I16" s="200"/>
      <c r="J16" s="194"/>
      <c r="K16" s="194"/>
      <c r="L16" s="195">
        <v>0</v>
      </c>
    </row>
    <row r="17" spans="2:19" ht="24.75" thickBot="1" x14ac:dyDescent="0.65">
      <c r="B17" s="180"/>
      <c r="E17" s="189"/>
      <c r="F17" s="189"/>
      <c r="G17" s="192"/>
      <c r="H17" s="202">
        <f>SUM(H14:H16)</f>
        <v>7780216810175.3535</v>
      </c>
      <c r="I17" s="181"/>
      <c r="J17" s="203"/>
      <c r="K17" s="203"/>
      <c r="L17" s="204">
        <f>SUM(L14:L15)</f>
        <v>7918324178970</v>
      </c>
      <c r="N17" s="178">
        <f>H17-سودوزيان!F9</f>
        <v>0</v>
      </c>
      <c r="O17" s="178">
        <f>L17-سودوزيان!H9</f>
        <v>0</v>
      </c>
      <c r="R17" s="179" t="b">
        <f>سودوزيان!F9=H17</f>
        <v>1</v>
      </c>
      <c r="S17" s="179" t="b">
        <f>L17=سودوزيان!H9</f>
        <v>1</v>
      </c>
    </row>
    <row r="18" spans="2:19" ht="2.25" customHeight="1" thickTop="1" x14ac:dyDescent="0.6">
      <c r="B18" s="180"/>
      <c r="E18" s="189"/>
      <c r="F18" s="189"/>
      <c r="G18" s="192"/>
      <c r="H18" s="181"/>
      <c r="I18" s="181"/>
      <c r="J18" s="203"/>
      <c r="K18" s="203"/>
      <c r="L18" s="181"/>
    </row>
    <row r="19" spans="2:19" ht="4.5" customHeight="1" x14ac:dyDescent="0.6">
      <c r="B19" s="180"/>
      <c r="C19" s="180"/>
      <c r="D19" s="205"/>
      <c r="E19" s="183"/>
      <c r="F19" s="183"/>
      <c r="G19" s="206"/>
      <c r="H19" s="181"/>
      <c r="I19" s="181"/>
      <c r="J19" s="207"/>
      <c r="K19" s="207"/>
      <c r="L19" s="184"/>
      <c r="N19" s="208"/>
      <c r="O19" s="208"/>
    </row>
    <row r="20" spans="2:19" ht="21" customHeight="1" x14ac:dyDescent="0.6">
      <c r="B20" s="180"/>
      <c r="C20" s="180"/>
      <c r="D20" s="1411" t="s">
        <v>395</v>
      </c>
      <c r="E20" s="1411"/>
      <c r="F20" s="1411"/>
      <c r="G20" s="1411"/>
      <c r="H20" s="1411"/>
      <c r="I20" s="209"/>
      <c r="J20" s="184"/>
      <c r="K20" s="184"/>
      <c r="L20" s="191"/>
      <c r="N20" s="208"/>
      <c r="O20" s="208"/>
    </row>
    <row r="21" spans="2:19" ht="18" customHeight="1" x14ac:dyDescent="0.6">
      <c r="B21" s="180"/>
      <c r="C21" s="180"/>
      <c r="D21" s="181"/>
      <c r="E21" s="189"/>
      <c r="F21" s="182" t="s">
        <v>908</v>
      </c>
      <c r="G21" s="184"/>
      <c r="H21" s="185">
        <v>1403</v>
      </c>
      <c r="I21" s="186"/>
      <c r="J21" s="182" t="s">
        <v>908</v>
      </c>
      <c r="K21" s="183"/>
      <c r="L21" s="185">
        <v>1402</v>
      </c>
      <c r="N21" s="208"/>
      <c r="O21" s="208"/>
      <c r="R21" s="1295">
        <f>H10+H13</f>
        <v>142477212606.35312</v>
      </c>
      <c r="S21" s="1295">
        <f>L10+L13</f>
        <v>166964837915</v>
      </c>
    </row>
    <row r="22" spans="2:19" ht="20.25" customHeight="1" x14ac:dyDescent="0.6">
      <c r="B22" s="180"/>
      <c r="C22" s="180"/>
      <c r="D22" s="181"/>
      <c r="E22" s="189"/>
      <c r="G22" s="184"/>
      <c r="H22" s="190" t="s">
        <v>702</v>
      </c>
      <c r="I22" s="190"/>
      <c r="J22" s="179"/>
      <c r="K22" s="179"/>
      <c r="L22" s="190" t="s">
        <v>702</v>
      </c>
      <c r="N22" s="208"/>
      <c r="O22" s="208"/>
      <c r="R22" s="1295">
        <f>H10+H13-'5-5'!E50</f>
        <v>0.353118896484375</v>
      </c>
    </row>
    <row r="23" spans="2:19" ht="21" customHeight="1" x14ac:dyDescent="0.55000000000000004">
      <c r="B23" s="180"/>
      <c r="C23" s="180"/>
      <c r="D23" s="193" t="s">
        <v>283</v>
      </c>
      <c r="E23" s="210"/>
      <c r="F23" s="200">
        <v>12193272</v>
      </c>
      <c r="G23" s="210"/>
      <c r="H23" s="200">
        <v>4501601456581</v>
      </c>
      <c r="I23" s="200"/>
      <c r="J23" s="200">
        <v>8313802</v>
      </c>
      <c r="K23" s="200"/>
      <c r="L23" s="200">
        <v>3637415516484</v>
      </c>
      <c r="N23" s="208"/>
      <c r="O23" s="208"/>
      <c r="R23" s="211"/>
    </row>
    <row r="24" spans="2:19" ht="21" customHeight="1" x14ac:dyDescent="0.55000000000000004">
      <c r="B24" s="180"/>
      <c r="C24" s="180"/>
      <c r="D24" s="193" t="s">
        <v>284</v>
      </c>
      <c r="E24" s="210"/>
      <c r="F24" s="200">
        <v>20808008</v>
      </c>
      <c r="G24" s="210"/>
      <c r="H24" s="200">
        <v>3695271386635</v>
      </c>
      <c r="I24" s="200"/>
      <c r="J24" s="200">
        <v>29210517</v>
      </c>
      <c r="K24" s="200"/>
      <c r="L24" s="200">
        <v>4057086082460</v>
      </c>
      <c r="N24" s="208"/>
      <c r="O24" s="208"/>
      <c r="R24" s="1320">
        <f>L10+L13</f>
        <v>166964837915</v>
      </c>
    </row>
    <row r="25" spans="2:19" ht="21" customHeight="1" x14ac:dyDescent="0.55000000000000004">
      <c r="B25" s="180"/>
      <c r="C25" s="180"/>
      <c r="D25" s="193" t="s">
        <v>285</v>
      </c>
      <c r="E25" s="210"/>
      <c r="F25" s="200">
        <v>11021626</v>
      </c>
      <c r="G25" s="210"/>
      <c r="H25" s="200">
        <v>1956051141522</v>
      </c>
      <c r="I25" s="200"/>
      <c r="J25" s="200">
        <v>10237864</v>
      </c>
      <c r="K25" s="200"/>
      <c r="L25" s="200">
        <v>1254682988050</v>
      </c>
      <c r="N25" s="208"/>
      <c r="O25" s="208"/>
      <c r="R25" s="211"/>
    </row>
    <row r="26" spans="2:19" ht="21" customHeight="1" x14ac:dyDescent="0.55000000000000004">
      <c r="B26" s="180"/>
      <c r="C26" s="180"/>
      <c r="D26" s="193" t="s">
        <v>286</v>
      </c>
      <c r="E26" s="210"/>
      <c r="F26" s="200">
        <v>327269</v>
      </c>
      <c r="G26" s="210"/>
      <c r="H26" s="200">
        <v>181078629154</v>
      </c>
      <c r="I26" s="200"/>
      <c r="J26" s="200">
        <v>674600</v>
      </c>
      <c r="K26" s="200"/>
      <c r="L26" s="200">
        <v>234856678390</v>
      </c>
      <c r="N26" s="208"/>
      <c r="O26" s="208"/>
      <c r="R26" s="211"/>
    </row>
    <row r="27" spans="2:19" ht="21" customHeight="1" x14ac:dyDescent="0.55000000000000004">
      <c r="B27" s="180"/>
      <c r="C27" s="180"/>
      <c r="D27" s="193" t="s">
        <v>287</v>
      </c>
      <c r="E27" s="210"/>
      <c r="F27" s="200">
        <v>1661451</v>
      </c>
      <c r="G27" s="210"/>
      <c r="H27" s="200">
        <v>569014159580</v>
      </c>
      <c r="I27" s="200"/>
      <c r="J27" s="200">
        <v>1404806</v>
      </c>
      <c r="K27" s="200"/>
      <c r="L27" s="200">
        <v>339148019908</v>
      </c>
      <c r="N27" s="208"/>
      <c r="O27" s="208"/>
      <c r="R27" s="211"/>
    </row>
    <row r="28" spans="2:19" ht="21" customHeight="1" x14ac:dyDescent="0.55000000000000004">
      <c r="B28" s="180"/>
      <c r="C28" s="180"/>
      <c r="D28" s="193" t="s">
        <v>522</v>
      </c>
      <c r="E28" s="210"/>
      <c r="F28" s="200">
        <v>147893</v>
      </c>
      <c r="G28" s="210"/>
      <c r="H28" s="200">
        <v>13803631146</v>
      </c>
      <c r="I28" s="200"/>
      <c r="J28" s="200">
        <v>177232</v>
      </c>
      <c r="K28" s="200"/>
      <c r="L28" s="200">
        <v>14596538000</v>
      </c>
      <c r="N28" s="208"/>
      <c r="O28" s="208"/>
      <c r="R28" s="211"/>
    </row>
    <row r="29" spans="2:19" ht="21.75" customHeight="1" thickBot="1" x14ac:dyDescent="0.6">
      <c r="B29" s="180"/>
      <c r="C29" s="180"/>
      <c r="D29" s="210"/>
      <c r="E29" s="210"/>
      <c r="F29"/>
      <c r="G29" s="210"/>
      <c r="H29" s="212">
        <f>SUM(H23:H28)</f>
        <v>10916820404618</v>
      </c>
      <c r="I29" s="191"/>
      <c r="J29"/>
      <c r="K29" s="191"/>
      <c r="L29" s="213">
        <f>SUM(L23:L28)</f>
        <v>9537785823292</v>
      </c>
      <c r="N29" s="208">
        <f>H29-H9</f>
        <v>0</v>
      </c>
      <c r="O29" s="208">
        <f>L29-L9</f>
        <v>0</v>
      </c>
      <c r="R29" s="211"/>
    </row>
    <row r="30" spans="2:19" ht="9" customHeight="1" thickTop="1" x14ac:dyDescent="0.55000000000000004">
      <c r="B30" s="180"/>
      <c r="C30" s="180"/>
      <c r="D30" s="210"/>
      <c r="E30" s="210"/>
      <c r="F30" s="210"/>
      <c r="G30" s="210"/>
      <c r="H30" s="210"/>
      <c r="I30" s="210"/>
      <c r="J30" s="210"/>
      <c r="K30" s="210"/>
      <c r="L30" s="210"/>
      <c r="N30" s="208"/>
      <c r="O30" s="208"/>
      <c r="R30" s="211"/>
    </row>
    <row r="31" spans="2:19" ht="25.5" customHeight="1" x14ac:dyDescent="0.55000000000000004">
      <c r="B31" s="180"/>
      <c r="C31" s="180"/>
      <c r="D31" s="1411" t="s">
        <v>396</v>
      </c>
      <c r="E31" s="1411"/>
      <c r="F31" s="1411"/>
      <c r="G31" s="1411"/>
      <c r="H31" s="1411"/>
      <c r="I31" s="1411"/>
      <c r="J31" s="1411"/>
      <c r="K31" s="1411"/>
      <c r="L31" s="1411"/>
      <c r="N31" s="208"/>
      <c r="O31" s="208"/>
    </row>
    <row r="32" spans="2:19" ht="18" customHeight="1" x14ac:dyDescent="0.6">
      <c r="B32" s="180"/>
      <c r="C32" s="180"/>
      <c r="D32" s="210"/>
      <c r="E32" s="210"/>
      <c r="F32" s="182" t="s">
        <v>908</v>
      </c>
      <c r="G32" s="210"/>
      <c r="H32" s="185">
        <v>1403</v>
      </c>
      <c r="I32" s="186"/>
      <c r="J32" s="182" t="s">
        <v>908</v>
      </c>
      <c r="K32" s="183"/>
      <c r="L32" s="185">
        <v>1402</v>
      </c>
      <c r="N32" s="208"/>
      <c r="O32" s="208"/>
    </row>
    <row r="33" spans="2:15" ht="22.5" customHeight="1" x14ac:dyDescent="0.55000000000000004">
      <c r="B33" s="180"/>
      <c r="C33" s="180"/>
      <c r="D33" s="210"/>
      <c r="E33" s="210"/>
      <c r="G33" s="210"/>
      <c r="H33" s="190" t="s">
        <v>702</v>
      </c>
      <c r="I33" s="190"/>
      <c r="J33" s="179"/>
      <c r="K33" s="179"/>
      <c r="L33" s="190" t="s">
        <v>702</v>
      </c>
      <c r="N33" s="208"/>
      <c r="O33" s="208"/>
    </row>
    <row r="34" spans="2:15" ht="18.75" customHeight="1" x14ac:dyDescent="0.55000000000000004">
      <c r="B34" s="180"/>
      <c r="C34" s="180"/>
      <c r="D34" s="193" t="s">
        <v>283</v>
      </c>
      <c r="E34" s="210"/>
      <c r="F34" s="200">
        <v>634329</v>
      </c>
      <c r="G34" s="210"/>
      <c r="H34" s="214">
        <v>168996462220</v>
      </c>
      <c r="I34" s="214"/>
      <c r="J34" s="200">
        <v>278397</v>
      </c>
      <c r="K34" s="200"/>
      <c r="L34" s="214">
        <v>62495538540</v>
      </c>
      <c r="N34" s="208"/>
      <c r="O34" s="208"/>
    </row>
    <row r="35" spans="2:15" ht="18.75" customHeight="1" x14ac:dyDescent="0.55000000000000004">
      <c r="B35" s="180"/>
      <c r="C35" s="180"/>
      <c r="D35" s="193" t="s">
        <v>284</v>
      </c>
      <c r="E35" s="210"/>
      <c r="F35" s="200">
        <v>330619</v>
      </c>
      <c r="G35" s="210"/>
      <c r="H35" s="214">
        <v>78422396937</v>
      </c>
      <c r="I35" s="214"/>
      <c r="J35" s="200">
        <v>900662</v>
      </c>
      <c r="K35" s="200"/>
      <c r="L35" s="214">
        <v>124340785307</v>
      </c>
      <c r="N35" s="208"/>
      <c r="O35" s="208"/>
    </row>
    <row r="36" spans="2:15" ht="18.75" customHeight="1" x14ac:dyDescent="0.55000000000000004">
      <c r="B36" s="180"/>
      <c r="C36" s="180"/>
      <c r="D36" s="193" t="s">
        <v>285</v>
      </c>
      <c r="E36" s="210"/>
      <c r="F36" s="200">
        <v>545123</v>
      </c>
      <c r="G36" s="210"/>
      <c r="H36" s="214">
        <v>47399574100</v>
      </c>
      <c r="I36" s="214"/>
      <c r="J36" s="200">
        <v>1114320</v>
      </c>
      <c r="K36" s="200"/>
      <c r="L36" s="214">
        <v>82868861300</v>
      </c>
      <c r="N36" s="208"/>
      <c r="O36" s="208"/>
    </row>
    <row r="37" spans="2:15" ht="18.75" customHeight="1" x14ac:dyDescent="0.55000000000000004">
      <c r="B37" s="180"/>
      <c r="C37" s="180"/>
      <c r="D37" s="193" t="s">
        <v>286</v>
      </c>
      <c r="E37" s="210"/>
      <c r="F37" s="200">
        <v>121000</v>
      </c>
      <c r="G37" s="210"/>
      <c r="H37" s="214">
        <v>26375582500</v>
      </c>
      <c r="I37" s="214"/>
      <c r="J37" s="200">
        <v>437</v>
      </c>
      <c r="K37" s="200"/>
      <c r="L37" s="214">
        <v>928620212</v>
      </c>
      <c r="N37" s="208"/>
      <c r="O37" s="208"/>
    </row>
    <row r="38" spans="2:15" ht="18.75" customHeight="1" x14ac:dyDescent="0.55000000000000004">
      <c r="B38" s="180"/>
      <c r="C38" s="180"/>
      <c r="D38" s="193" t="s">
        <v>287</v>
      </c>
      <c r="E38" s="210"/>
      <c r="F38" s="200">
        <v>80040</v>
      </c>
      <c r="G38" s="210"/>
      <c r="H38" s="214">
        <v>32257912314</v>
      </c>
      <c r="I38" s="214"/>
      <c r="J38" s="200" t="s">
        <v>1094</v>
      </c>
      <c r="K38" s="200"/>
      <c r="L38" s="214">
        <v>0</v>
      </c>
      <c r="N38" s="208"/>
      <c r="O38" s="208"/>
    </row>
    <row r="39" spans="2:15" ht="21.75" customHeight="1" thickBot="1" x14ac:dyDescent="0.6">
      <c r="B39" s="180"/>
      <c r="C39" s="180"/>
      <c r="D39" s="210"/>
      <c r="E39" s="210"/>
      <c r="F39" s="210"/>
      <c r="G39" s="210"/>
      <c r="H39" s="213">
        <f>SUM(H34:H38)</f>
        <v>353451928071</v>
      </c>
      <c r="I39" s="215"/>
      <c r="J39" s="210"/>
      <c r="K39" s="210"/>
      <c r="L39" s="213">
        <f>SUM(L34:L38)</f>
        <v>270633805359</v>
      </c>
      <c r="N39" s="208">
        <f>H39-H10</f>
        <v>0</v>
      </c>
      <c r="O39" s="208">
        <f>L39-L10</f>
        <v>0</v>
      </c>
    </row>
    <row r="40" spans="2:15" ht="9" customHeight="1" thickTop="1" x14ac:dyDescent="0.55000000000000004">
      <c r="B40" s="180"/>
      <c r="C40" s="180"/>
      <c r="D40" s="210"/>
      <c r="E40" s="210"/>
      <c r="F40" s="210"/>
      <c r="G40" s="210"/>
      <c r="H40" s="210"/>
      <c r="I40" s="210"/>
      <c r="J40" s="210"/>
      <c r="K40" s="210"/>
      <c r="L40" s="216"/>
      <c r="N40" s="208"/>
      <c r="O40" s="208"/>
    </row>
    <row r="41" spans="2:15" ht="21" customHeight="1" x14ac:dyDescent="0.55000000000000004">
      <c r="B41" s="180"/>
      <c r="C41" s="180"/>
      <c r="D41" s="1411" t="s">
        <v>392</v>
      </c>
      <c r="E41" s="1411"/>
      <c r="F41" s="1411"/>
      <c r="G41" s="1411"/>
      <c r="H41" s="1411"/>
      <c r="I41" s="209"/>
      <c r="J41" s="210"/>
      <c r="K41" s="210"/>
      <c r="L41" s="216"/>
      <c r="N41" s="208"/>
      <c r="O41" s="208"/>
    </row>
    <row r="42" spans="2:15" ht="18.75" customHeight="1" x14ac:dyDescent="0.6">
      <c r="B42" s="180"/>
      <c r="C42" s="180"/>
      <c r="D42" s="210"/>
      <c r="E42" s="210"/>
      <c r="F42" s="210"/>
      <c r="G42" s="210"/>
      <c r="H42" s="185">
        <v>1403</v>
      </c>
      <c r="I42" s="186"/>
      <c r="J42" s="186"/>
      <c r="K42" s="187"/>
      <c r="L42" s="185">
        <v>1402</v>
      </c>
      <c r="N42" s="208"/>
      <c r="O42" s="208"/>
    </row>
    <row r="43" spans="2:15" ht="22.5" customHeight="1" x14ac:dyDescent="0.6">
      <c r="B43" s="180"/>
      <c r="C43" s="180"/>
      <c r="D43" s="210"/>
      <c r="E43" s="210"/>
      <c r="F43" s="210"/>
      <c r="G43" s="210"/>
      <c r="H43" s="190" t="s">
        <v>702</v>
      </c>
      <c r="I43" s="190"/>
      <c r="J43" s="184"/>
      <c r="K43" s="184"/>
      <c r="L43" s="190" t="s">
        <v>702</v>
      </c>
      <c r="N43" s="208"/>
      <c r="O43" s="208"/>
    </row>
    <row r="44" spans="2:15" ht="18.75" customHeight="1" x14ac:dyDescent="0.55000000000000004">
      <c r="B44" s="180"/>
      <c r="C44" s="180"/>
      <c r="D44" s="193" t="s">
        <v>288</v>
      </c>
      <c r="E44" s="210"/>
      <c r="F44" s="210"/>
      <c r="G44" s="210"/>
      <c r="H44" s="214">
        <v>1623225011135</v>
      </c>
      <c r="I44" s="214"/>
      <c r="J44" s="194"/>
      <c r="K44" s="194"/>
      <c r="L44" s="214">
        <v>646999538054</v>
      </c>
      <c r="N44" s="208"/>
      <c r="O44" s="208"/>
    </row>
    <row r="45" spans="2:15" ht="18.75" customHeight="1" x14ac:dyDescent="0.55000000000000004">
      <c r="B45" s="180"/>
      <c r="C45" s="180"/>
      <c r="D45" s="193" t="s">
        <v>289</v>
      </c>
      <c r="E45" s="210"/>
      <c r="F45" s="210"/>
      <c r="G45" s="210"/>
      <c r="H45" s="214">
        <f>1125954678614+25777793004</f>
        <v>1151732471618</v>
      </c>
      <c r="I45" s="214"/>
      <c r="J45" s="194"/>
      <c r="K45" s="194"/>
      <c r="L45" s="214">
        <v>585044029728</v>
      </c>
      <c r="N45" s="208"/>
      <c r="O45" s="208"/>
    </row>
    <row r="46" spans="2:15" ht="18.75" customHeight="1" x14ac:dyDescent="0.55000000000000004">
      <c r="B46" s="180"/>
      <c r="C46" s="180"/>
      <c r="D46" s="193" t="s">
        <v>290</v>
      </c>
      <c r="E46" s="210"/>
      <c r="F46" s="210"/>
      <c r="G46" s="210"/>
      <c r="H46" s="214">
        <f>444703377846+28981457540</f>
        <v>473684835386</v>
      </c>
      <c r="I46" s="214"/>
      <c r="J46" s="194"/>
      <c r="K46" s="194"/>
      <c r="L46" s="214">
        <v>266025070384</v>
      </c>
      <c r="N46" s="208"/>
      <c r="O46" s="208"/>
    </row>
    <row r="47" spans="2:15" ht="18.75" customHeight="1" x14ac:dyDescent="0.55000000000000004">
      <c r="B47" s="180"/>
      <c r="C47" s="180"/>
      <c r="D47" s="193" t="s">
        <v>291</v>
      </c>
      <c r="E47" s="210"/>
      <c r="F47" s="210"/>
      <c r="G47" s="210"/>
      <c r="H47" s="214">
        <f>63614923731+3673187853</f>
        <v>67288111584</v>
      </c>
      <c r="I47" s="214"/>
      <c r="J47" s="194"/>
      <c r="K47" s="194"/>
      <c r="L47" s="214">
        <v>82977761892</v>
      </c>
      <c r="N47" s="208"/>
      <c r="O47" s="208"/>
    </row>
    <row r="48" spans="2:15" ht="18.75" customHeight="1" x14ac:dyDescent="0.55000000000000004">
      <c r="B48" s="180"/>
      <c r="C48" s="180"/>
      <c r="D48" s="193" t="s">
        <v>292</v>
      </c>
      <c r="E48" s="210"/>
      <c r="F48" s="210"/>
      <c r="G48" s="210"/>
      <c r="H48" s="214">
        <f>121502581279+500000</f>
        <v>121503081279</v>
      </c>
      <c r="I48" s="214"/>
      <c r="J48" s="194"/>
      <c r="K48" s="194"/>
      <c r="L48" s="214">
        <v>270891278637</v>
      </c>
      <c r="N48" s="208"/>
      <c r="O48" s="208"/>
    </row>
    <row r="49" spans="2:15" ht="18.75" customHeight="1" x14ac:dyDescent="0.55000000000000004">
      <c r="B49" s="180"/>
      <c r="C49" s="180"/>
      <c r="D49" s="193" t="s">
        <v>523</v>
      </c>
      <c r="E49" s="210"/>
      <c r="F49" s="210"/>
      <c r="G49" s="210"/>
      <c r="H49" s="214">
        <v>1366077954</v>
      </c>
      <c r="I49" s="214"/>
      <c r="J49" s="194"/>
      <c r="K49" s="194"/>
      <c r="L49" s="214">
        <v>4062903258</v>
      </c>
      <c r="N49" s="208"/>
      <c r="O49" s="208"/>
    </row>
    <row r="50" spans="2:15" ht="24.75" thickBot="1" x14ac:dyDescent="0.6">
      <c r="B50" s="180"/>
      <c r="C50" s="180"/>
      <c r="D50" s="183"/>
      <c r="E50" s="210"/>
      <c r="F50" s="210"/>
      <c r="G50" s="210"/>
      <c r="H50" s="217">
        <f>SUM(H44:H49)</f>
        <v>3438799588956</v>
      </c>
      <c r="I50" s="218"/>
      <c r="J50" s="210"/>
      <c r="K50" s="210"/>
      <c r="L50" s="213">
        <f>SUM(L44:L49)</f>
        <v>1856000581953</v>
      </c>
      <c r="N50" s="208">
        <f>H50+H12</f>
        <v>0</v>
      </c>
      <c r="O50" s="208">
        <f>L50+L12</f>
        <v>0</v>
      </c>
    </row>
    <row r="51" spans="2:15" ht="12.75" customHeight="1" thickTop="1" x14ac:dyDescent="0.6">
      <c r="B51" s="180"/>
      <c r="C51" s="180"/>
      <c r="D51" s="216"/>
      <c r="E51" s="219"/>
      <c r="F51" s="210"/>
      <c r="G51" s="210"/>
      <c r="H51" s="220"/>
      <c r="I51" s="220"/>
      <c r="J51" s="210"/>
      <c r="K51" s="210"/>
      <c r="L51" s="216"/>
      <c r="N51" s="208"/>
      <c r="O51" s="208"/>
    </row>
    <row r="52" spans="2:15" ht="15" customHeight="1" x14ac:dyDescent="0.55000000000000004">
      <c r="B52" s="180"/>
      <c r="C52" s="180"/>
      <c r="D52" s="1412" t="s">
        <v>1024</v>
      </c>
      <c r="E52" s="1412"/>
      <c r="F52" s="1412"/>
      <c r="G52" s="1412"/>
      <c r="H52" s="1412"/>
      <c r="I52" s="221"/>
      <c r="J52" s="210"/>
      <c r="K52" s="210"/>
      <c r="L52" s="216"/>
      <c r="N52" s="208"/>
      <c r="O52" s="208"/>
    </row>
    <row r="53" spans="2:15" ht="18.75" customHeight="1" x14ac:dyDescent="0.6">
      <c r="B53" s="180"/>
      <c r="C53" s="180"/>
      <c r="D53" s="210"/>
      <c r="E53" s="210"/>
      <c r="F53" s="210"/>
      <c r="G53" s="210"/>
      <c r="H53" s="1063">
        <v>1403</v>
      </c>
      <c r="I53" s="186"/>
      <c r="J53" s="186"/>
      <c r="K53" s="187"/>
      <c r="L53" s="1063">
        <v>1402</v>
      </c>
      <c r="N53" s="208"/>
      <c r="O53" s="208"/>
    </row>
    <row r="54" spans="2:15" ht="15.75" customHeight="1" x14ac:dyDescent="0.6">
      <c r="B54" s="180"/>
      <c r="C54" s="180"/>
      <c r="D54" s="210"/>
      <c r="E54" s="210"/>
      <c r="F54" s="210"/>
      <c r="G54" s="210"/>
      <c r="H54" s="190" t="s">
        <v>702</v>
      </c>
      <c r="I54" s="190"/>
      <c r="J54" s="184"/>
      <c r="K54" s="184"/>
      <c r="L54" s="190" t="s">
        <v>702</v>
      </c>
      <c r="N54" s="208"/>
      <c r="O54" s="208"/>
    </row>
    <row r="55" spans="2:15" ht="21" customHeight="1" x14ac:dyDescent="0.55000000000000004">
      <c r="B55" s="180"/>
      <c r="C55" s="180"/>
      <c r="D55" s="193" t="s">
        <v>288</v>
      </c>
      <c r="E55" s="210"/>
      <c r="F55" s="210"/>
      <c r="G55" s="210"/>
      <c r="H55" s="222">
        <v>98411210905.283722</v>
      </c>
      <c r="J55" s="194"/>
      <c r="K55" s="194"/>
      <c r="L55" s="1062">
        <v>20547454286</v>
      </c>
      <c r="N55" s="208"/>
      <c r="O55" s="208"/>
    </row>
    <row r="56" spans="2:15" ht="21" customHeight="1" x14ac:dyDescent="0.55000000000000004">
      <c r="B56" s="180"/>
      <c r="C56" s="180"/>
      <c r="D56" s="193" t="s">
        <v>289</v>
      </c>
      <c r="E56" s="210"/>
      <c r="F56" s="210"/>
      <c r="G56" s="210"/>
      <c r="H56" s="222">
        <v>44790596544.34977</v>
      </c>
      <c r="J56" s="194"/>
      <c r="K56" s="194"/>
      <c r="L56" s="1062">
        <v>53624525686</v>
      </c>
      <c r="N56" s="208"/>
      <c r="O56" s="208"/>
    </row>
    <row r="57" spans="2:15" ht="21" customHeight="1" x14ac:dyDescent="0.55000000000000004">
      <c r="B57" s="180"/>
      <c r="C57" s="180"/>
      <c r="D57" s="193" t="s">
        <v>290</v>
      </c>
      <c r="E57" s="210"/>
      <c r="F57" s="210"/>
      <c r="G57" s="210"/>
      <c r="H57" s="222">
        <v>29421284019</v>
      </c>
      <c r="J57" s="194"/>
      <c r="K57" s="194"/>
      <c r="L57" s="1062">
        <v>28957375262</v>
      </c>
      <c r="N57" s="208"/>
      <c r="O57" s="208"/>
    </row>
    <row r="58" spans="2:15" ht="21" customHeight="1" x14ac:dyDescent="0.55000000000000004">
      <c r="B58" s="180"/>
      <c r="C58" s="180"/>
      <c r="D58" s="193" t="s">
        <v>291</v>
      </c>
      <c r="E58" s="210"/>
      <c r="F58" s="210"/>
      <c r="G58" s="210"/>
      <c r="H58" s="222">
        <v>17605930973.013401</v>
      </c>
      <c r="J58" s="194"/>
      <c r="K58" s="194"/>
      <c r="L58" s="1062">
        <v>539612210</v>
      </c>
      <c r="N58" s="208"/>
      <c r="O58" s="208"/>
    </row>
    <row r="59" spans="2:15" ht="21" customHeight="1" x14ac:dyDescent="0.55000000000000004">
      <c r="B59" s="180"/>
      <c r="C59" s="180"/>
      <c r="D59" s="193" t="s">
        <v>292</v>
      </c>
      <c r="E59" s="210"/>
      <c r="F59" s="210"/>
      <c r="G59" s="210"/>
      <c r="H59" s="222">
        <v>20745693023</v>
      </c>
      <c r="J59" s="194"/>
      <c r="K59" s="194"/>
      <c r="L59" s="1062">
        <v>0</v>
      </c>
      <c r="N59" s="208"/>
      <c r="O59" s="208"/>
    </row>
    <row r="60" spans="2:15" ht="23.25" customHeight="1" thickBot="1" x14ac:dyDescent="0.6">
      <c r="B60" s="180"/>
      <c r="C60" s="180"/>
      <c r="D60" s="210"/>
      <c r="E60" s="210"/>
      <c r="F60" s="210"/>
      <c r="G60" s="210"/>
      <c r="H60" s="213">
        <f>SUM(H55:H59)</f>
        <v>210974715464.64688</v>
      </c>
      <c r="I60" s="215"/>
      <c r="J60" s="210"/>
      <c r="K60" s="210"/>
      <c r="L60" s="213">
        <f>SUM(L55:L59)</f>
        <v>103668967444</v>
      </c>
      <c r="N60" s="208">
        <f>H60+H13</f>
        <v>0</v>
      </c>
      <c r="O60" s="208">
        <f>L60+L13</f>
        <v>0</v>
      </c>
    </row>
    <row r="61" spans="2:15" ht="12" customHeight="1" thickTop="1" x14ac:dyDescent="0.55000000000000004">
      <c r="B61" s="180"/>
      <c r="C61" s="180"/>
      <c r="D61" s="210"/>
      <c r="E61" s="210"/>
      <c r="F61" s="210"/>
      <c r="G61" s="210"/>
      <c r="H61" s="1185"/>
      <c r="I61" s="215"/>
      <c r="J61" s="210"/>
      <c r="K61" s="210"/>
      <c r="L61" s="1185"/>
      <c r="N61" s="208"/>
      <c r="O61" s="208"/>
    </row>
    <row r="62" spans="2:15" ht="23.25" customHeight="1" x14ac:dyDescent="0.25">
      <c r="B62" s="180"/>
      <c r="C62" s="180"/>
      <c r="D62" s="1413" t="s">
        <v>1203</v>
      </c>
      <c r="E62" s="1413"/>
      <c r="F62" s="1413"/>
      <c r="G62" s="1413"/>
      <c r="H62" s="1413"/>
      <c r="I62" s="1413"/>
      <c r="J62" s="1413"/>
      <c r="K62" s="1413"/>
      <c r="L62" s="1413"/>
      <c r="M62" s="1413"/>
      <c r="N62" s="1413"/>
      <c r="O62" s="1413"/>
    </row>
    <row r="63" spans="2:15" ht="23.25" customHeight="1" x14ac:dyDescent="0.25">
      <c r="B63" s="180"/>
      <c r="C63" s="180"/>
      <c r="D63" s="1413"/>
      <c r="E63" s="1413"/>
      <c r="F63" s="1413"/>
      <c r="G63" s="1413"/>
      <c r="H63" s="1413"/>
      <c r="I63" s="1413"/>
      <c r="J63" s="1413"/>
      <c r="K63" s="1413"/>
      <c r="L63" s="1413"/>
      <c r="M63" s="1413"/>
      <c r="N63" s="1413"/>
      <c r="O63" s="1413"/>
    </row>
    <row r="64" spans="2:15" ht="4.5" customHeight="1" x14ac:dyDescent="0.55000000000000004">
      <c r="B64" s="180"/>
      <c r="C64" s="180"/>
      <c r="D64" s="210"/>
      <c r="E64" s="210"/>
      <c r="F64" s="210"/>
      <c r="G64" s="210"/>
      <c r="H64" s="1185"/>
      <c r="I64" s="215"/>
      <c r="J64" s="210"/>
      <c r="K64" s="210"/>
      <c r="L64" s="1185"/>
      <c r="N64" s="208"/>
      <c r="O64" s="208"/>
    </row>
    <row r="65" spans="2:15" ht="3.75" customHeight="1" x14ac:dyDescent="0.55000000000000004">
      <c r="B65" s="180"/>
      <c r="C65" s="180"/>
      <c r="D65" s="210"/>
      <c r="E65" s="210"/>
      <c r="F65" s="210"/>
      <c r="G65" s="210"/>
      <c r="H65" s="215"/>
      <c r="I65" s="215"/>
      <c r="J65" s="210"/>
      <c r="K65" s="210"/>
      <c r="L65" s="215"/>
      <c r="N65" s="208"/>
      <c r="O65" s="208"/>
    </row>
    <row r="66" spans="2:15" ht="16.5" customHeight="1" x14ac:dyDescent="0.55000000000000004">
      <c r="B66" s="180"/>
      <c r="C66" s="180"/>
      <c r="D66" s="1412" t="s">
        <v>1202</v>
      </c>
      <c r="E66" s="1412"/>
      <c r="F66" s="1412"/>
      <c r="G66" s="1412"/>
      <c r="H66" s="1412"/>
      <c r="I66" s="1082"/>
      <c r="J66" s="210"/>
      <c r="K66" s="210"/>
      <c r="L66" s="216"/>
      <c r="N66" s="208"/>
      <c r="O66" s="208"/>
    </row>
    <row r="67" spans="2:15" ht="21" customHeight="1" x14ac:dyDescent="0.6">
      <c r="B67" s="180"/>
      <c r="C67" s="180"/>
      <c r="D67" s="210"/>
      <c r="E67" s="210"/>
      <c r="F67" s="210"/>
      <c r="G67" s="210"/>
      <c r="H67" s="1083">
        <v>1403</v>
      </c>
      <c r="I67" s="186"/>
      <c r="J67" s="186"/>
      <c r="K67" s="187"/>
      <c r="L67" s="1083">
        <v>1402</v>
      </c>
      <c r="N67" s="208"/>
      <c r="O67" s="208"/>
    </row>
    <row r="68" spans="2:15" ht="19.5" customHeight="1" x14ac:dyDescent="0.6">
      <c r="B68" s="180"/>
      <c r="C68" s="180"/>
      <c r="D68" s="210"/>
      <c r="E68" s="210"/>
      <c r="F68" s="210"/>
      <c r="G68" s="210"/>
      <c r="H68" s="190" t="s">
        <v>702</v>
      </c>
      <c r="I68" s="190"/>
      <c r="J68" s="1085"/>
      <c r="K68" s="1085"/>
      <c r="L68" s="190" t="s">
        <v>702</v>
      </c>
      <c r="N68" s="208"/>
      <c r="O68" s="208"/>
    </row>
    <row r="69" spans="2:15" ht="21" customHeight="1" x14ac:dyDescent="0.55000000000000004">
      <c r="B69" s="180"/>
      <c r="C69" s="180"/>
      <c r="D69" s="1082" t="s">
        <v>1121</v>
      </c>
      <c r="E69" s="1082"/>
      <c r="F69" s="1082"/>
      <c r="G69" s="1082"/>
      <c r="H69" s="1081">
        <v>9091438252</v>
      </c>
      <c r="I69" s="1082"/>
      <c r="J69" s="210"/>
      <c r="K69" s="210"/>
      <c r="L69" s="1089">
        <v>0</v>
      </c>
      <c r="N69" s="208"/>
      <c r="O69" s="208"/>
    </row>
    <row r="70" spans="2:15" ht="21" customHeight="1" x14ac:dyDescent="0.55000000000000004">
      <c r="B70" s="180"/>
      <c r="C70" s="180"/>
      <c r="D70" s="1082" t="s">
        <v>130</v>
      </c>
      <c r="E70" s="1082"/>
      <c r="F70" s="1082"/>
      <c r="G70" s="1082"/>
      <c r="H70" s="1081">
        <v>9600557</v>
      </c>
      <c r="I70" s="1082"/>
      <c r="J70" s="210"/>
      <c r="K70" s="210"/>
      <c r="L70" s="1089">
        <v>0</v>
      </c>
      <c r="N70" s="208"/>
      <c r="O70" s="208"/>
    </row>
    <row r="71" spans="2:15" ht="24.75" thickBot="1" x14ac:dyDescent="0.6">
      <c r="D71" s="1082"/>
      <c r="E71" s="1082"/>
      <c r="F71" s="1082"/>
      <c r="G71" s="1082"/>
      <c r="H71" s="1088">
        <f>SUM(H69:H70)</f>
        <v>9101038809</v>
      </c>
      <c r="I71" s="1082"/>
      <c r="J71" s="210"/>
      <c r="K71" s="210"/>
      <c r="L71" s="1088"/>
      <c r="N71" s="208"/>
      <c r="O71" s="208"/>
    </row>
    <row r="72" spans="2:15" ht="23.25" thickTop="1" x14ac:dyDescent="0.25">
      <c r="D72" s="1407">
        <v>9</v>
      </c>
      <c r="E72" s="1407"/>
      <c r="F72" s="1407"/>
      <c r="G72" s="1407"/>
      <c r="H72" s="1407"/>
      <c r="I72" s="1407"/>
      <c r="J72" s="1407"/>
      <c r="K72" s="1407"/>
      <c r="L72" s="1407"/>
      <c r="M72" s="1407"/>
    </row>
  </sheetData>
  <customSheetViews>
    <customSheetView guid="{39716EAB-185B-4ADF-90CF-1B1041867F58}" scale="85" showPageBreaks="1" printArea="1" view="pageBreakPreview" topLeftCell="B43">
      <selection activeCell="H33" sqref="H33:H37"/>
      <rowBreaks count="1" manualBreakCount="1">
        <brk id="61" max="11" man="1"/>
      </rowBreaks>
      <pageMargins left="0.39370078740157499" right="0.78740157480314998" top="0.39370078740157499" bottom="0.39370078740157499" header="0.31496062992126" footer="0.31496062992126"/>
      <pageSetup paperSize="9" scale="55" orientation="portrait" r:id="rId1"/>
    </customSheetView>
    <customSheetView guid="{5CB8382F-C212-4512-9396-17792C62978E}" scale="85" showPageBreaks="1" printArea="1" view="pageBreakPreview" topLeftCell="B43">
      <selection activeCell="H33" sqref="H33:H37"/>
      <rowBreaks count="1" manualBreakCount="1">
        <brk id="61" max="11" man="1"/>
      </rowBreaks>
      <pageMargins left="0.39370078740157499" right="0.78740157480314998" top="0.39370078740157499" bottom="0.39370078740157499" header="0.31496062992126" footer="0.31496062992126"/>
      <pageSetup paperSize="9" scale="55" orientation="portrait" r:id="rId2"/>
    </customSheetView>
    <customSheetView guid="{184BCED3-EADB-44CF-BFDA-DA8D3E7206C0}" scale="85" showPageBreaks="1" printArea="1" view="pageBreakPreview" topLeftCell="B1">
      <selection activeCell="H59" sqref="H59"/>
      <rowBreaks count="1" manualBreakCount="1">
        <brk id="61" max="11" man="1"/>
      </rowBreaks>
      <pageMargins left="0.39370078740157499" right="0.78740157480314998" top="0.39370078740157499" bottom="0.39370078740157499" header="0.31496062992126" footer="0.31496062992126"/>
      <pageSetup paperSize="9" scale="55" orientation="portrait" r:id="rId3"/>
    </customSheetView>
  </customSheetViews>
  <mergeCells count="13">
    <mergeCell ref="D72:M72"/>
    <mergeCell ref="C8:D8"/>
    <mergeCell ref="A1:M1"/>
    <mergeCell ref="A2:M2"/>
    <mergeCell ref="A3:M3"/>
    <mergeCell ref="B7:D7"/>
    <mergeCell ref="A4:M4"/>
    <mergeCell ref="D20:H20"/>
    <mergeCell ref="D41:H41"/>
    <mergeCell ref="D52:H52"/>
    <mergeCell ref="D31:L31"/>
    <mergeCell ref="D66:H66"/>
    <mergeCell ref="D62:O63"/>
  </mergeCells>
  <conditionalFormatting sqref="E9:G16 J9:K16 J20:L20 G21:G28 G29:I29 K29:L29 G30:L30 G32:G39 G40:L40 J41:L41 G42:G50 G51:L51 J52:L52 G53:G61 J54:K61 H60:I61 L60:L61 G64:L65">
    <cfRule type="cellIs" dxfId="128" priority="44" stopIfTrue="1" operator="lessThan">
      <formula>0</formula>
    </cfRule>
  </conditionalFormatting>
  <conditionalFormatting sqref="G67:G68">
    <cfRule type="cellIs" dxfId="127" priority="2" stopIfTrue="1" operator="lessThan">
      <formula>0</formula>
    </cfRule>
  </conditionalFormatting>
  <conditionalFormatting sqref="H50:I50">
    <cfRule type="cellIs" dxfId="126" priority="17" stopIfTrue="1" operator="lessThan">
      <formula>0</formula>
    </cfRule>
  </conditionalFormatting>
  <conditionalFormatting sqref="H39:L39">
    <cfRule type="cellIs" dxfId="125" priority="7" stopIfTrue="1" operator="lessThan">
      <formula>0</formula>
    </cfRule>
  </conditionalFormatting>
  <conditionalFormatting sqref="J6:K6">
    <cfRule type="cellIs" dxfId="124" priority="25" stopIfTrue="1" operator="lessThan">
      <formula>0</formula>
    </cfRule>
  </conditionalFormatting>
  <conditionalFormatting sqref="J43:K50">
    <cfRule type="cellIs" dxfId="123" priority="20" stopIfTrue="1" operator="lessThan">
      <formula>0</formula>
    </cfRule>
  </conditionalFormatting>
  <conditionalFormatting sqref="J68:K68">
    <cfRule type="cellIs" dxfId="122" priority="1" stopIfTrue="1" operator="lessThan">
      <formula>0</formula>
    </cfRule>
  </conditionalFormatting>
  <conditionalFormatting sqref="J66:L66 J69:L70 J71:K71">
    <cfRule type="cellIs" dxfId="121" priority="3" stopIfTrue="1" operator="lessThan">
      <formula>0</formula>
    </cfRule>
  </conditionalFormatting>
  <conditionalFormatting sqref="L9:L17">
    <cfRule type="cellIs" dxfId="120" priority="8" stopIfTrue="1" operator="lessThan">
      <formula>0</formula>
    </cfRule>
  </conditionalFormatting>
  <conditionalFormatting sqref="L50">
    <cfRule type="cellIs" dxfId="119" priority="6" stopIfTrue="1" operator="lessThan">
      <formula>0</formula>
    </cfRule>
  </conditionalFormatting>
  <hyperlinks>
    <hyperlink ref="A1:XFD3" r:id="rId4" display="http://modiriatmali.com/" xr:uid="{00000000-0004-0000-0800-000000000000}"/>
  </hyperlinks>
  <pageMargins left="0.39370078740157499" right="0.78740157480314998" top="0.39370078740157499" bottom="0.39370078740157499" header="0.31496062992126" footer="0.31496062992126"/>
  <pageSetup paperSize="9" scale="60"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V93"/>
  <sheetViews>
    <sheetView rightToLeft="1" view="pageBreakPreview" topLeftCell="A23" zoomScale="96" zoomScaleSheetLayoutView="96" workbookViewId="0">
      <selection activeCell="K34" sqref="K34"/>
    </sheetView>
  </sheetViews>
  <sheetFormatPr defaultRowHeight="22.5" x14ac:dyDescent="0.25"/>
  <cols>
    <col min="1" max="1" width="1.42578125" style="179" customWidth="1"/>
    <col min="2" max="2" width="5" style="179" customWidth="1"/>
    <col min="3" max="3" width="16.5703125" style="179" customWidth="1"/>
    <col min="4" max="4" width="2.42578125" style="179" customWidth="1"/>
    <col min="5" max="5" width="29" style="222" bestFit="1" customWidth="1"/>
    <col min="6" max="6" width="0.7109375" style="222" customWidth="1"/>
    <col min="7" max="7" width="29" style="222" bestFit="1" customWidth="1"/>
    <col min="8" max="8" width="0.7109375" style="222" customWidth="1"/>
    <col min="9" max="9" width="28.5703125" style="222" customWidth="1"/>
    <col min="10" max="10" width="0.7109375" style="222" customWidth="1"/>
    <col min="11" max="11" width="20.5703125" style="222" customWidth="1"/>
    <col min="12" max="12" width="0.7109375" style="222" customWidth="1"/>
    <col min="13" max="13" width="20.5703125" style="222" customWidth="1"/>
    <col min="14" max="14" width="23.7109375" style="178" bestFit="1" customWidth="1"/>
    <col min="15" max="15" width="22.7109375" style="179" bestFit="1" customWidth="1"/>
    <col min="16" max="16" width="20.7109375" style="179" bestFit="1" customWidth="1"/>
    <col min="17" max="17" width="10.7109375" style="179" customWidth="1"/>
    <col min="18" max="18" width="10.42578125" style="179" bestFit="1" customWidth="1"/>
    <col min="19" max="21" width="9" style="179"/>
    <col min="22" max="22" width="10.42578125" style="179" bestFit="1" customWidth="1"/>
    <col min="23" max="251" width="9" style="179"/>
    <col min="252" max="252" width="3.5703125" style="179" customWidth="1"/>
    <col min="253" max="253" width="4.85546875" style="179" customWidth="1"/>
    <col min="254" max="254" width="5.42578125" style="179" customWidth="1"/>
    <col min="255" max="255" width="31.28515625" style="179" customWidth="1"/>
    <col min="256" max="256" width="7.5703125" style="179" customWidth="1"/>
    <col min="257" max="257" width="2.42578125" style="179" customWidth="1"/>
    <col min="258" max="258" width="11.5703125" style="179" customWidth="1"/>
    <col min="259" max="259" width="2.42578125" style="179" customWidth="1"/>
    <col min="260" max="260" width="11.5703125" style="179" customWidth="1"/>
    <col min="261" max="261" width="2.42578125" style="179" customWidth="1"/>
    <col min="262" max="262" width="10.85546875" style="179" customWidth="1"/>
    <col min="263" max="263" width="2.42578125" style="179" customWidth="1"/>
    <col min="264" max="264" width="11.140625" style="179" customWidth="1"/>
    <col min="265" max="265" width="1.85546875" style="179" customWidth="1"/>
    <col min="266" max="266" width="11" style="179" customWidth="1"/>
    <col min="267" max="267" width="0.7109375" style="179" customWidth="1"/>
    <col min="268" max="268" width="1.85546875" style="179" customWidth="1"/>
    <col min="269" max="269" width="11.85546875" style="179" bestFit="1" customWidth="1"/>
    <col min="270" max="270" width="15.28515625" style="179" bestFit="1" customWidth="1"/>
    <col min="271" max="271" width="5" style="179" customWidth="1"/>
    <col min="272" max="272" width="10.42578125" style="179" bestFit="1" customWidth="1"/>
    <col min="273" max="273" width="5" style="179" customWidth="1"/>
    <col min="274" max="274" width="10.42578125" style="179" bestFit="1" customWidth="1"/>
    <col min="275" max="277" width="9" style="179"/>
    <col min="278" max="278" width="10.42578125" style="179" bestFit="1" customWidth="1"/>
    <col min="279" max="507" width="9" style="179"/>
    <col min="508" max="508" width="3.5703125" style="179" customWidth="1"/>
    <col min="509" max="509" width="4.85546875" style="179" customWidth="1"/>
    <col min="510" max="510" width="5.42578125" style="179" customWidth="1"/>
    <col min="511" max="511" width="31.28515625" style="179" customWidth="1"/>
    <col min="512" max="512" width="7.5703125" style="179" customWidth="1"/>
    <col min="513" max="513" width="2.42578125" style="179" customWidth="1"/>
    <col min="514" max="514" width="11.5703125" style="179" customWidth="1"/>
    <col min="515" max="515" width="2.42578125" style="179" customWidth="1"/>
    <col min="516" max="516" width="11.5703125" style="179" customWidth="1"/>
    <col min="517" max="517" width="2.42578125" style="179" customWidth="1"/>
    <col min="518" max="518" width="10.85546875" style="179" customWidth="1"/>
    <col min="519" max="519" width="2.42578125" style="179" customWidth="1"/>
    <col min="520" max="520" width="11.140625" style="179" customWidth="1"/>
    <col min="521" max="521" width="1.85546875" style="179" customWidth="1"/>
    <col min="522" max="522" width="11" style="179" customWidth="1"/>
    <col min="523" max="523" width="0.7109375" style="179" customWidth="1"/>
    <col min="524" max="524" width="1.85546875" style="179" customWidth="1"/>
    <col min="525" max="525" width="11.85546875" style="179" bestFit="1" customWidth="1"/>
    <col min="526" max="526" width="15.28515625" style="179" bestFit="1" customWidth="1"/>
    <col min="527" max="527" width="5" style="179" customWidth="1"/>
    <col min="528" max="528" width="10.42578125" style="179" bestFit="1" customWidth="1"/>
    <col min="529" max="529" width="5" style="179" customWidth="1"/>
    <col min="530" max="530" width="10.42578125" style="179" bestFit="1" customWidth="1"/>
    <col min="531" max="533" width="9" style="179"/>
    <col min="534" max="534" width="10.42578125" style="179" bestFit="1" customWidth="1"/>
    <col min="535" max="763" width="9" style="179"/>
    <col min="764" max="764" width="3.5703125" style="179" customWidth="1"/>
    <col min="765" max="765" width="4.85546875" style="179" customWidth="1"/>
    <col min="766" max="766" width="5.42578125" style="179" customWidth="1"/>
    <col min="767" max="767" width="31.28515625" style="179" customWidth="1"/>
    <col min="768" max="768" width="7.5703125" style="179" customWidth="1"/>
    <col min="769" max="769" width="2.42578125" style="179" customWidth="1"/>
    <col min="770" max="770" width="11.5703125" style="179" customWidth="1"/>
    <col min="771" max="771" width="2.42578125" style="179" customWidth="1"/>
    <col min="772" max="772" width="11.5703125" style="179" customWidth="1"/>
    <col min="773" max="773" width="2.42578125" style="179" customWidth="1"/>
    <col min="774" max="774" width="10.85546875" style="179" customWidth="1"/>
    <col min="775" max="775" width="2.42578125" style="179" customWidth="1"/>
    <col min="776" max="776" width="11.140625" style="179" customWidth="1"/>
    <col min="777" max="777" width="1.85546875" style="179" customWidth="1"/>
    <col min="778" max="778" width="11" style="179" customWidth="1"/>
    <col min="779" max="779" width="0.7109375" style="179" customWidth="1"/>
    <col min="780" max="780" width="1.85546875" style="179" customWidth="1"/>
    <col min="781" max="781" width="11.85546875" style="179" bestFit="1" customWidth="1"/>
    <col min="782" max="782" width="15.28515625" style="179" bestFit="1" customWidth="1"/>
    <col min="783" max="783" width="5" style="179" customWidth="1"/>
    <col min="784" max="784" width="10.42578125" style="179" bestFit="1" customWidth="1"/>
    <col min="785" max="785" width="5" style="179" customWidth="1"/>
    <col min="786" max="786" width="10.42578125" style="179" bestFit="1" customWidth="1"/>
    <col min="787" max="789" width="9" style="179"/>
    <col min="790" max="790" width="10.42578125" style="179" bestFit="1" customWidth="1"/>
    <col min="791" max="1019" width="9" style="179"/>
    <col min="1020" max="1020" width="3.5703125" style="179" customWidth="1"/>
    <col min="1021" max="1021" width="4.85546875" style="179" customWidth="1"/>
    <col min="1022" max="1022" width="5.42578125" style="179" customWidth="1"/>
    <col min="1023" max="1023" width="31.28515625" style="179" customWidth="1"/>
    <col min="1024" max="1024" width="7.5703125" style="179" customWidth="1"/>
    <col min="1025" max="1025" width="2.42578125" style="179" customWidth="1"/>
    <col min="1026" max="1026" width="11.5703125" style="179" customWidth="1"/>
    <col min="1027" max="1027" width="2.42578125" style="179" customWidth="1"/>
    <col min="1028" max="1028" width="11.5703125" style="179" customWidth="1"/>
    <col min="1029" max="1029" width="2.42578125" style="179" customWidth="1"/>
    <col min="1030" max="1030" width="10.85546875" style="179" customWidth="1"/>
    <col min="1031" max="1031" width="2.42578125" style="179" customWidth="1"/>
    <col min="1032" max="1032" width="11.140625" style="179" customWidth="1"/>
    <col min="1033" max="1033" width="1.85546875" style="179" customWidth="1"/>
    <col min="1034" max="1034" width="11" style="179" customWidth="1"/>
    <col min="1035" max="1035" width="0.7109375" style="179" customWidth="1"/>
    <col min="1036" max="1036" width="1.85546875" style="179" customWidth="1"/>
    <col min="1037" max="1037" width="11.85546875" style="179" bestFit="1" customWidth="1"/>
    <col min="1038" max="1038" width="15.28515625" style="179" bestFit="1" customWidth="1"/>
    <col min="1039" max="1039" width="5" style="179" customWidth="1"/>
    <col min="1040" max="1040" width="10.42578125" style="179" bestFit="1" customWidth="1"/>
    <col min="1041" max="1041" width="5" style="179" customWidth="1"/>
    <col min="1042" max="1042" width="10.42578125" style="179" bestFit="1" customWidth="1"/>
    <col min="1043" max="1045" width="9" style="179"/>
    <col min="1046" max="1046" width="10.42578125" style="179" bestFit="1" customWidth="1"/>
    <col min="1047" max="1275" width="9" style="179"/>
    <col min="1276" max="1276" width="3.5703125" style="179" customWidth="1"/>
    <col min="1277" max="1277" width="4.85546875" style="179" customWidth="1"/>
    <col min="1278" max="1278" width="5.42578125" style="179" customWidth="1"/>
    <col min="1279" max="1279" width="31.28515625" style="179" customWidth="1"/>
    <col min="1280" max="1280" width="7.5703125" style="179" customWidth="1"/>
    <col min="1281" max="1281" width="2.42578125" style="179" customWidth="1"/>
    <col min="1282" max="1282" width="11.5703125" style="179" customWidth="1"/>
    <col min="1283" max="1283" width="2.42578125" style="179" customWidth="1"/>
    <col min="1284" max="1284" width="11.5703125" style="179" customWidth="1"/>
    <col min="1285" max="1285" width="2.42578125" style="179" customWidth="1"/>
    <col min="1286" max="1286" width="10.85546875" style="179" customWidth="1"/>
    <col min="1287" max="1287" width="2.42578125" style="179" customWidth="1"/>
    <col min="1288" max="1288" width="11.140625" style="179" customWidth="1"/>
    <col min="1289" max="1289" width="1.85546875" style="179" customWidth="1"/>
    <col min="1290" max="1290" width="11" style="179" customWidth="1"/>
    <col min="1291" max="1291" width="0.7109375" style="179" customWidth="1"/>
    <col min="1292" max="1292" width="1.85546875" style="179" customWidth="1"/>
    <col min="1293" max="1293" width="11.85546875" style="179" bestFit="1" customWidth="1"/>
    <col min="1294" max="1294" width="15.28515625" style="179" bestFit="1" customWidth="1"/>
    <col min="1295" max="1295" width="5" style="179" customWidth="1"/>
    <col min="1296" max="1296" width="10.42578125" style="179" bestFit="1" customWidth="1"/>
    <col min="1297" max="1297" width="5" style="179" customWidth="1"/>
    <col min="1298" max="1298" width="10.42578125" style="179" bestFit="1" customWidth="1"/>
    <col min="1299" max="1301" width="9" style="179"/>
    <col min="1302" max="1302" width="10.42578125" style="179" bestFit="1" customWidth="1"/>
    <col min="1303" max="1531" width="9" style="179"/>
    <col min="1532" max="1532" width="3.5703125" style="179" customWidth="1"/>
    <col min="1533" max="1533" width="4.85546875" style="179" customWidth="1"/>
    <col min="1534" max="1534" width="5.42578125" style="179" customWidth="1"/>
    <col min="1535" max="1535" width="31.28515625" style="179" customWidth="1"/>
    <col min="1536" max="1536" width="7.5703125" style="179" customWidth="1"/>
    <col min="1537" max="1537" width="2.42578125" style="179" customWidth="1"/>
    <col min="1538" max="1538" width="11.5703125" style="179" customWidth="1"/>
    <col min="1539" max="1539" width="2.42578125" style="179" customWidth="1"/>
    <col min="1540" max="1540" width="11.5703125" style="179" customWidth="1"/>
    <col min="1541" max="1541" width="2.42578125" style="179" customWidth="1"/>
    <col min="1542" max="1542" width="10.85546875" style="179" customWidth="1"/>
    <col min="1543" max="1543" width="2.42578125" style="179" customWidth="1"/>
    <col min="1544" max="1544" width="11.140625" style="179" customWidth="1"/>
    <col min="1545" max="1545" width="1.85546875" style="179" customWidth="1"/>
    <col min="1546" max="1546" width="11" style="179" customWidth="1"/>
    <col min="1547" max="1547" width="0.7109375" style="179" customWidth="1"/>
    <col min="1548" max="1548" width="1.85546875" style="179" customWidth="1"/>
    <col min="1549" max="1549" width="11.85546875" style="179" bestFit="1" customWidth="1"/>
    <col min="1550" max="1550" width="15.28515625" style="179" bestFit="1" customWidth="1"/>
    <col min="1551" max="1551" width="5" style="179" customWidth="1"/>
    <col min="1552" max="1552" width="10.42578125" style="179" bestFit="1" customWidth="1"/>
    <col min="1553" max="1553" width="5" style="179" customWidth="1"/>
    <col min="1554" max="1554" width="10.42578125" style="179" bestFit="1" customWidth="1"/>
    <col min="1555" max="1557" width="9" style="179"/>
    <col min="1558" max="1558" width="10.42578125" style="179" bestFit="1" customWidth="1"/>
    <col min="1559" max="1787" width="9" style="179"/>
    <col min="1788" max="1788" width="3.5703125" style="179" customWidth="1"/>
    <col min="1789" max="1789" width="4.85546875" style="179" customWidth="1"/>
    <col min="1790" max="1790" width="5.42578125" style="179" customWidth="1"/>
    <col min="1791" max="1791" width="31.28515625" style="179" customWidth="1"/>
    <col min="1792" max="1792" width="7.5703125" style="179" customWidth="1"/>
    <col min="1793" max="1793" width="2.42578125" style="179" customWidth="1"/>
    <col min="1794" max="1794" width="11.5703125" style="179" customWidth="1"/>
    <col min="1795" max="1795" width="2.42578125" style="179" customWidth="1"/>
    <col min="1796" max="1796" width="11.5703125" style="179" customWidth="1"/>
    <col min="1797" max="1797" width="2.42578125" style="179" customWidth="1"/>
    <col min="1798" max="1798" width="10.85546875" style="179" customWidth="1"/>
    <col min="1799" max="1799" width="2.42578125" style="179" customWidth="1"/>
    <col min="1800" max="1800" width="11.140625" style="179" customWidth="1"/>
    <col min="1801" max="1801" width="1.85546875" style="179" customWidth="1"/>
    <col min="1802" max="1802" width="11" style="179" customWidth="1"/>
    <col min="1803" max="1803" width="0.7109375" style="179" customWidth="1"/>
    <col min="1804" max="1804" width="1.85546875" style="179" customWidth="1"/>
    <col min="1805" max="1805" width="11.85546875" style="179" bestFit="1" customWidth="1"/>
    <col min="1806" max="1806" width="15.28515625" style="179" bestFit="1" customWidth="1"/>
    <col min="1807" max="1807" width="5" style="179" customWidth="1"/>
    <col min="1808" max="1808" width="10.42578125" style="179" bestFit="1" customWidth="1"/>
    <col min="1809" max="1809" width="5" style="179" customWidth="1"/>
    <col min="1810" max="1810" width="10.42578125" style="179" bestFit="1" customWidth="1"/>
    <col min="1811" max="1813" width="9" style="179"/>
    <col min="1814" max="1814" width="10.42578125" style="179" bestFit="1" customWidth="1"/>
    <col min="1815" max="2043" width="9" style="179"/>
    <col min="2044" max="2044" width="3.5703125" style="179" customWidth="1"/>
    <col min="2045" max="2045" width="4.85546875" style="179" customWidth="1"/>
    <col min="2046" max="2046" width="5.42578125" style="179" customWidth="1"/>
    <col min="2047" max="2047" width="31.28515625" style="179" customWidth="1"/>
    <col min="2048" max="2048" width="7.5703125" style="179" customWidth="1"/>
    <col min="2049" max="2049" width="2.42578125" style="179" customWidth="1"/>
    <col min="2050" max="2050" width="11.5703125" style="179" customWidth="1"/>
    <col min="2051" max="2051" width="2.42578125" style="179" customWidth="1"/>
    <col min="2052" max="2052" width="11.5703125" style="179" customWidth="1"/>
    <col min="2053" max="2053" width="2.42578125" style="179" customWidth="1"/>
    <col min="2054" max="2054" width="10.85546875" style="179" customWidth="1"/>
    <col min="2055" max="2055" width="2.42578125" style="179" customWidth="1"/>
    <col min="2056" max="2056" width="11.140625" style="179" customWidth="1"/>
    <col min="2057" max="2057" width="1.85546875" style="179" customWidth="1"/>
    <col min="2058" max="2058" width="11" style="179" customWidth="1"/>
    <col min="2059" max="2059" width="0.7109375" style="179" customWidth="1"/>
    <col min="2060" max="2060" width="1.85546875" style="179" customWidth="1"/>
    <col min="2061" max="2061" width="11.85546875" style="179" bestFit="1" customWidth="1"/>
    <col min="2062" max="2062" width="15.28515625" style="179" bestFit="1" customWidth="1"/>
    <col min="2063" max="2063" width="5" style="179" customWidth="1"/>
    <col min="2064" max="2064" width="10.42578125" style="179" bestFit="1" customWidth="1"/>
    <col min="2065" max="2065" width="5" style="179" customWidth="1"/>
    <col min="2066" max="2066" width="10.42578125" style="179" bestFit="1" customWidth="1"/>
    <col min="2067" max="2069" width="9" style="179"/>
    <col min="2070" max="2070" width="10.42578125" style="179" bestFit="1" customWidth="1"/>
    <col min="2071" max="2299" width="9" style="179"/>
    <col min="2300" max="2300" width="3.5703125" style="179" customWidth="1"/>
    <col min="2301" max="2301" width="4.85546875" style="179" customWidth="1"/>
    <col min="2302" max="2302" width="5.42578125" style="179" customWidth="1"/>
    <col min="2303" max="2303" width="31.28515625" style="179" customWidth="1"/>
    <col min="2304" max="2304" width="7.5703125" style="179" customWidth="1"/>
    <col min="2305" max="2305" width="2.42578125" style="179" customWidth="1"/>
    <col min="2306" max="2306" width="11.5703125" style="179" customWidth="1"/>
    <col min="2307" max="2307" width="2.42578125" style="179" customWidth="1"/>
    <col min="2308" max="2308" width="11.5703125" style="179" customWidth="1"/>
    <col min="2309" max="2309" width="2.42578125" style="179" customWidth="1"/>
    <col min="2310" max="2310" width="10.85546875" style="179" customWidth="1"/>
    <col min="2311" max="2311" width="2.42578125" style="179" customWidth="1"/>
    <col min="2312" max="2312" width="11.140625" style="179" customWidth="1"/>
    <col min="2313" max="2313" width="1.85546875" style="179" customWidth="1"/>
    <col min="2314" max="2314" width="11" style="179" customWidth="1"/>
    <col min="2315" max="2315" width="0.7109375" style="179" customWidth="1"/>
    <col min="2316" max="2316" width="1.85546875" style="179" customWidth="1"/>
    <col min="2317" max="2317" width="11.85546875" style="179" bestFit="1" customWidth="1"/>
    <col min="2318" max="2318" width="15.28515625" style="179" bestFit="1" customWidth="1"/>
    <col min="2319" max="2319" width="5" style="179" customWidth="1"/>
    <col min="2320" max="2320" width="10.42578125" style="179" bestFit="1" customWidth="1"/>
    <col min="2321" max="2321" width="5" style="179" customWidth="1"/>
    <col min="2322" max="2322" width="10.42578125" style="179" bestFit="1" customWidth="1"/>
    <col min="2323" max="2325" width="9" style="179"/>
    <col min="2326" max="2326" width="10.42578125" style="179" bestFit="1" customWidth="1"/>
    <col min="2327" max="2555" width="9" style="179"/>
    <col min="2556" max="2556" width="3.5703125" style="179" customWidth="1"/>
    <col min="2557" max="2557" width="4.85546875" style="179" customWidth="1"/>
    <col min="2558" max="2558" width="5.42578125" style="179" customWidth="1"/>
    <col min="2559" max="2559" width="31.28515625" style="179" customWidth="1"/>
    <col min="2560" max="2560" width="7.5703125" style="179" customWidth="1"/>
    <col min="2561" max="2561" width="2.42578125" style="179" customWidth="1"/>
    <col min="2562" max="2562" width="11.5703125" style="179" customWidth="1"/>
    <col min="2563" max="2563" width="2.42578125" style="179" customWidth="1"/>
    <col min="2564" max="2564" width="11.5703125" style="179" customWidth="1"/>
    <col min="2565" max="2565" width="2.42578125" style="179" customWidth="1"/>
    <col min="2566" max="2566" width="10.85546875" style="179" customWidth="1"/>
    <col min="2567" max="2567" width="2.42578125" style="179" customWidth="1"/>
    <col min="2568" max="2568" width="11.140625" style="179" customWidth="1"/>
    <col min="2569" max="2569" width="1.85546875" style="179" customWidth="1"/>
    <col min="2570" max="2570" width="11" style="179" customWidth="1"/>
    <col min="2571" max="2571" width="0.7109375" style="179" customWidth="1"/>
    <col min="2572" max="2572" width="1.85546875" style="179" customWidth="1"/>
    <col min="2573" max="2573" width="11.85546875" style="179" bestFit="1" customWidth="1"/>
    <col min="2574" max="2574" width="15.28515625" style="179" bestFit="1" customWidth="1"/>
    <col min="2575" max="2575" width="5" style="179" customWidth="1"/>
    <col min="2576" max="2576" width="10.42578125" style="179" bestFit="1" customWidth="1"/>
    <col min="2577" max="2577" width="5" style="179" customWidth="1"/>
    <col min="2578" max="2578" width="10.42578125" style="179" bestFit="1" customWidth="1"/>
    <col min="2579" max="2581" width="9" style="179"/>
    <col min="2582" max="2582" width="10.42578125" style="179" bestFit="1" customWidth="1"/>
    <col min="2583" max="2811" width="9" style="179"/>
    <col min="2812" max="2812" width="3.5703125" style="179" customWidth="1"/>
    <col min="2813" max="2813" width="4.85546875" style="179" customWidth="1"/>
    <col min="2814" max="2814" width="5.42578125" style="179" customWidth="1"/>
    <col min="2815" max="2815" width="31.28515625" style="179" customWidth="1"/>
    <col min="2816" max="2816" width="7.5703125" style="179" customWidth="1"/>
    <col min="2817" max="2817" width="2.42578125" style="179" customWidth="1"/>
    <col min="2818" max="2818" width="11.5703125" style="179" customWidth="1"/>
    <col min="2819" max="2819" width="2.42578125" style="179" customWidth="1"/>
    <col min="2820" max="2820" width="11.5703125" style="179" customWidth="1"/>
    <col min="2821" max="2821" width="2.42578125" style="179" customWidth="1"/>
    <col min="2822" max="2822" width="10.85546875" style="179" customWidth="1"/>
    <col min="2823" max="2823" width="2.42578125" style="179" customWidth="1"/>
    <col min="2824" max="2824" width="11.140625" style="179" customWidth="1"/>
    <col min="2825" max="2825" width="1.85546875" style="179" customWidth="1"/>
    <col min="2826" max="2826" width="11" style="179" customWidth="1"/>
    <col min="2827" max="2827" width="0.7109375" style="179" customWidth="1"/>
    <col min="2828" max="2828" width="1.85546875" style="179" customWidth="1"/>
    <col min="2829" max="2829" width="11.85546875" style="179" bestFit="1" customWidth="1"/>
    <col min="2830" max="2830" width="15.28515625" style="179" bestFit="1" customWidth="1"/>
    <col min="2831" max="2831" width="5" style="179" customWidth="1"/>
    <col min="2832" max="2832" width="10.42578125" style="179" bestFit="1" customWidth="1"/>
    <col min="2833" max="2833" width="5" style="179" customWidth="1"/>
    <col min="2834" max="2834" width="10.42578125" style="179" bestFit="1" customWidth="1"/>
    <col min="2835" max="2837" width="9" style="179"/>
    <col min="2838" max="2838" width="10.42578125" style="179" bestFit="1" customWidth="1"/>
    <col min="2839" max="3067" width="9" style="179"/>
    <col min="3068" max="3068" width="3.5703125" style="179" customWidth="1"/>
    <col min="3069" max="3069" width="4.85546875" style="179" customWidth="1"/>
    <col min="3070" max="3070" width="5.42578125" style="179" customWidth="1"/>
    <col min="3071" max="3071" width="31.28515625" style="179" customWidth="1"/>
    <col min="3072" max="3072" width="7.5703125" style="179" customWidth="1"/>
    <col min="3073" max="3073" width="2.42578125" style="179" customWidth="1"/>
    <col min="3074" max="3074" width="11.5703125" style="179" customWidth="1"/>
    <col min="3075" max="3075" width="2.42578125" style="179" customWidth="1"/>
    <col min="3076" max="3076" width="11.5703125" style="179" customWidth="1"/>
    <col min="3077" max="3077" width="2.42578125" style="179" customWidth="1"/>
    <col min="3078" max="3078" width="10.85546875" style="179" customWidth="1"/>
    <col min="3079" max="3079" width="2.42578125" style="179" customWidth="1"/>
    <col min="3080" max="3080" width="11.140625" style="179" customWidth="1"/>
    <col min="3081" max="3081" width="1.85546875" style="179" customWidth="1"/>
    <col min="3082" max="3082" width="11" style="179" customWidth="1"/>
    <col min="3083" max="3083" width="0.7109375" style="179" customWidth="1"/>
    <col min="3084" max="3084" width="1.85546875" style="179" customWidth="1"/>
    <col min="3085" max="3085" width="11.85546875" style="179" bestFit="1" customWidth="1"/>
    <col min="3086" max="3086" width="15.28515625" style="179" bestFit="1" customWidth="1"/>
    <col min="3087" max="3087" width="5" style="179" customWidth="1"/>
    <col min="3088" max="3088" width="10.42578125" style="179" bestFit="1" customWidth="1"/>
    <col min="3089" max="3089" width="5" style="179" customWidth="1"/>
    <col min="3090" max="3090" width="10.42578125" style="179" bestFit="1" customWidth="1"/>
    <col min="3091" max="3093" width="9" style="179"/>
    <col min="3094" max="3094" width="10.42578125" style="179" bestFit="1" customWidth="1"/>
    <col min="3095" max="3323" width="9" style="179"/>
    <col min="3324" max="3324" width="3.5703125" style="179" customWidth="1"/>
    <col min="3325" max="3325" width="4.85546875" style="179" customWidth="1"/>
    <col min="3326" max="3326" width="5.42578125" style="179" customWidth="1"/>
    <col min="3327" max="3327" width="31.28515625" style="179" customWidth="1"/>
    <col min="3328" max="3328" width="7.5703125" style="179" customWidth="1"/>
    <col min="3329" max="3329" width="2.42578125" style="179" customWidth="1"/>
    <col min="3330" max="3330" width="11.5703125" style="179" customWidth="1"/>
    <col min="3331" max="3331" width="2.42578125" style="179" customWidth="1"/>
    <col min="3332" max="3332" width="11.5703125" style="179" customWidth="1"/>
    <col min="3333" max="3333" width="2.42578125" style="179" customWidth="1"/>
    <col min="3334" max="3334" width="10.85546875" style="179" customWidth="1"/>
    <col min="3335" max="3335" width="2.42578125" style="179" customWidth="1"/>
    <col min="3336" max="3336" width="11.140625" style="179" customWidth="1"/>
    <col min="3337" max="3337" width="1.85546875" style="179" customWidth="1"/>
    <col min="3338" max="3338" width="11" style="179" customWidth="1"/>
    <col min="3339" max="3339" width="0.7109375" style="179" customWidth="1"/>
    <col min="3340" max="3340" width="1.85546875" style="179" customWidth="1"/>
    <col min="3341" max="3341" width="11.85546875" style="179" bestFit="1" customWidth="1"/>
    <col min="3342" max="3342" width="15.28515625" style="179" bestFit="1" customWidth="1"/>
    <col min="3343" max="3343" width="5" style="179" customWidth="1"/>
    <col min="3344" max="3344" width="10.42578125" style="179" bestFit="1" customWidth="1"/>
    <col min="3345" max="3345" width="5" style="179" customWidth="1"/>
    <col min="3346" max="3346" width="10.42578125" style="179" bestFit="1" customWidth="1"/>
    <col min="3347" max="3349" width="9" style="179"/>
    <col min="3350" max="3350" width="10.42578125" style="179" bestFit="1" customWidth="1"/>
    <col min="3351" max="3579" width="9" style="179"/>
    <col min="3580" max="3580" width="3.5703125" style="179" customWidth="1"/>
    <col min="3581" max="3581" width="4.85546875" style="179" customWidth="1"/>
    <col min="3582" max="3582" width="5.42578125" style="179" customWidth="1"/>
    <col min="3583" max="3583" width="31.28515625" style="179" customWidth="1"/>
    <col min="3584" max="3584" width="7.5703125" style="179" customWidth="1"/>
    <col min="3585" max="3585" width="2.42578125" style="179" customWidth="1"/>
    <col min="3586" max="3586" width="11.5703125" style="179" customWidth="1"/>
    <col min="3587" max="3587" width="2.42578125" style="179" customWidth="1"/>
    <col min="3588" max="3588" width="11.5703125" style="179" customWidth="1"/>
    <col min="3589" max="3589" width="2.42578125" style="179" customWidth="1"/>
    <col min="3590" max="3590" width="10.85546875" style="179" customWidth="1"/>
    <col min="3591" max="3591" width="2.42578125" style="179" customWidth="1"/>
    <col min="3592" max="3592" width="11.140625" style="179" customWidth="1"/>
    <col min="3593" max="3593" width="1.85546875" style="179" customWidth="1"/>
    <col min="3594" max="3594" width="11" style="179" customWidth="1"/>
    <col min="3595" max="3595" width="0.7109375" style="179" customWidth="1"/>
    <col min="3596" max="3596" width="1.85546875" style="179" customWidth="1"/>
    <col min="3597" max="3597" width="11.85546875" style="179" bestFit="1" customWidth="1"/>
    <col min="3598" max="3598" width="15.28515625" style="179" bestFit="1" customWidth="1"/>
    <col min="3599" max="3599" width="5" style="179" customWidth="1"/>
    <col min="3600" max="3600" width="10.42578125" style="179" bestFit="1" customWidth="1"/>
    <col min="3601" max="3601" width="5" style="179" customWidth="1"/>
    <col min="3602" max="3602" width="10.42578125" style="179" bestFit="1" customWidth="1"/>
    <col min="3603" max="3605" width="9" style="179"/>
    <col min="3606" max="3606" width="10.42578125" style="179" bestFit="1" customWidth="1"/>
    <col min="3607" max="3835" width="9" style="179"/>
    <col min="3836" max="3836" width="3.5703125" style="179" customWidth="1"/>
    <col min="3837" max="3837" width="4.85546875" style="179" customWidth="1"/>
    <col min="3838" max="3838" width="5.42578125" style="179" customWidth="1"/>
    <col min="3839" max="3839" width="31.28515625" style="179" customWidth="1"/>
    <col min="3840" max="3840" width="7.5703125" style="179" customWidth="1"/>
    <col min="3841" max="3841" width="2.42578125" style="179" customWidth="1"/>
    <col min="3842" max="3842" width="11.5703125" style="179" customWidth="1"/>
    <col min="3843" max="3843" width="2.42578125" style="179" customWidth="1"/>
    <col min="3844" max="3844" width="11.5703125" style="179" customWidth="1"/>
    <col min="3845" max="3845" width="2.42578125" style="179" customWidth="1"/>
    <col min="3846" max="3846" width="10.85546875" style="179" customWidth="1"/>
    <col min="3847" max="3847" width="2.42578125" style="179" customWidth="1"/>
    <col min="3848" max="3848" width="11.140625" style="179" customWidth="1"/>
    <col min="3849" max="3849" width="1.85546875" style="179" customWidth="1"/>
    <col min="3850" max="3850" width="11" style="179" customWidth="1"/>
    <col min="3851" max="3851" width="0.7109375" style="179" customWidth="1"/>
    <col min="3852" max="3852" width="1.85546875" style="179" customWidth="1"/>
    <col min="3853" max="3853" width="11.85546875" style="179" bestFit="1" customWidth="1"/>
    <col min="3854" max="3854" width="15.28515625" style="179" bestFit="1" customWidth="1"/>
    <col min="3855" max="3855" width="5" style="179" customWidth="1"/>
    <col min="3856" max="3856" width="10.42578125" style="179" bestFit="1" customWidth="1"/>
    <col min="3857" max="3857" width="5" style="179" customWidth="1"/>
    <col min="3858" max="3858" width="10.42578125" style="179" bestFit="1" customWidth="1"/>
    <col min="3859" max="3861" width="9" style="179"/>
    <col min="3862" max="3862" width="10.42578125" style="179" bestFit="1" customWidth="1"/>
    <col min="3863" max="4091" width="9" style="179"/>
    <col min="4092" max="4092" width="3.5703125" style="179" customWidth="1"/>
    <col min="4093" max="4093" width="4.85546875" style="179" customWidth="1"/>
    <col min="4094" max="4094" width="5.42578125" style="179" customWidth="1"/>
    <col min="4095" max="4095" width="31.28515625" style="179" customWidth="1"/>
    <col min="4096" max="4096" width="7.5703125" style="179" customWidth="1"/>
    <col min="4097" max="4097" width="2.42578125" style="179" customWidth="1"/>
    <col min="4098" max="4098" width="11.5703125" style="179" customWidth="1"/>
    <col min="4099" max="4099" width="2.42578125" style="179" customWidth="1"/>
    <col min="4100" max="4100" width="11.5703125" style="179" customWidth="1"/>
    <col min="4101" max="4101" width="2.42578125" style="179" customWidth="1"/>
    <col min="4102" max="4102" width="10.85546875" style="179" customWidth="1"/>
    <col min="4103" max="4103" width="2.42578125" style="179" customWidth="1"/>
    <col min="4104" max="4104" width="11.140625" style="179" customWidth="1"/>
    <col min="4105" max="4105" width="1.85546875" style="179" customWidth="1"/>
    <col min="4106" max="4106" width="11" style="179" customWidth="1"/>
    <col min="4107" max="4107" width="0.7109375" style="179" customWidth="1"/>
    <col min="4108" max="4108" width="1.85546875" style="179" customWidth="1"/>
    <col min="4109" max="4109" width="11.85546875" style="179" bestFit="1" customWidth="1"/>
    <col min="4110" max="4110" width="15.28515625" style="179" bestFit="1" customWidth="1"/>
    <col min="4111" max="4111" width="5" style="179" customWidth="1"/>
    <col min="4112" max="4112" width="10.42578125" style="179" bestFit="1" customWidth="1"/>
    <col min="4113" max="4113" width="5" style="179" customWidth="1"/>
    <col min="4114" max="4114" width="10.42578125" style="179" bestFit="1" customWidth="1"/>
    <col min="4115" max="4117" width="9" style="179"/>
    <col min="4118" max="4118" width="10.42578125" style="179" bestFit="1" customWidth="1"/>
    <col min="4119" max="4347" width="9" style="179"/>
    <col min="4348" max="4348" width="3.5703125" style="179" customWidth="1"/>
    <col min="4349" max="4349" width="4.85546875" style="179" customWidth="1"/>
    <col min="4350" max="4350" width="5.42578125" style="179" customWidth="1"/>
    <col min="4351" max="4351" width="31.28515625" style="179" customWidth="1"/>
    <col min="4352" max="4352" width="7.5703125" style="179" customWidth="1"/>
    <col min="4353" max="4353" width="2.42578125" style="179" customWidth="1"/>
    <col min="4354" max="4354" width="11.5703125" style="179" customWidth="1"/>
    <col min="4355" max="4355" width="2.42578125" style="179" customWidth="1"/>
    <col min="4356" max="4356" width="11.5703125" style="179" customWidth="1"/>
    <col min="4357" max="4357" width="2.42578125" style="179" customWidth="1"/>
    <col min="4358" max="4358" width="10.85546875" style="179" customWidth="1"/>
    <col min="4359" max="4359" width="2.42578125" style="179" customWidth="1"/>
    <col min="4360" max="4360" width="11.140625" style="179" customWidth="1"/>
    <col min="4361" max="4361" width="1.85546875" style="179" customWidth="1"/>
    <col min="4362" max="4362" width="11" style="179" customWidth="1"/>
    <col min="4363" max="4363" width="0.7109375" style="179" customWidth="1"/>
    <col min="4364" max="4364" width="1.85546875" style="179" customWidth="1"/>
    <col min="4365" max="4365" width="11.85546875" style="179" bestFit="1" customWidth="1"/>
    <col min="4366" max="4366" width="15.28515625" style="179" bestFit="1" customWidth="1"/>
    <col min="4367" max="4367" width="5" style="179" customWidth="1"/>
    <col min="4368" max="4368" width="10.42578125" style="179" bestFit="1" customWidth="1"/>
    <col min="4369" max="4369" width="5" style="179" customWidth="1"/>
    <col min="4370" max="4370" width="10.42578125" style="179" bestFit="1" customWidth="1"/>
    <col min="4371" max="4373" width="9" style="179"/>
    <col min="4374" max="4374" width="10.42578125" style="179" bestFit="1" customWidth="1"/>
    <col min="4375" max="4603" width="9" style="179"/>
    <col min="4604" max="4604" width="3.5703125" style="179" customWidth="1"/>
    <col min="4605" max="4605" width="4.85546875" style="179" customWidth="1"/>
    <col min="4606" max="4606" width="5.42578125" style="179" customWidth="1"/>
    <col min="4607" max="4607" width="31.28515625" style="179" customWidth="1"/>
    <col min="4608" max="4608" width="7.5703125" style="179" customWidth="1"/>
    <col min="4609" max="4609" width="2.42578125" style="179" customWidth="1"/>
    <col min="4610" max="4610" width="11.5703125" style="179" customWidth="1"/>
    <col min="4611" max="4611" width="2.42578125" style="179" customWidth="1"/>
    <col min="4612" max="4612" width="11.5703125" style="179" customWidth="1"/>
    <col min="4613" max="4613" width="2.42578125" style="179" customWidth="1"/>
    <col min="4614" max="4614" width="10.85546875" style="179" customWidth="1"/>
    <col min="4615" max="4615" width="2.42578125" style="179" customWidth="1"/>
    <col min="4616" max="4616" width="11.140625" style="179" customWidth="1"/>
    <col min="4617" max="4617" width="1.85546875" style="179" customWidth="1"/>
    <col min="4618" max="4618" width="11" style="179" customWidth="1"/>
    <col min="4619" max="4619" width="0.7109375" style="179" customWidth="1"/>
    <col min="4620" max="4620" width="1.85546875" style="179" customWidth="1"/>
    <col min="4621" max="4621" width="11.85546875" style="179" bestFit="1" customWidth="1"/>
    <col min="4622" max="4622" width="15.28515625" style="179" bestFit="1" customWidth="1"/>
    <col min="4623" max="4623" width="5" style="179" customWidth="1"/>
    <col min="4624" max="4624" width="10.42578125" style="179" bestFit="1" customWidth="1"/>
    <col min="4625" max="4625" width="5" style="179" customWidth="1"/>
    <col min="4626" max="4626" width="10.42578125" style="179" bestFit="1" customWidth="1"/>
    <col min="4627" max="4629" width="9" style="179"/>
    <col min="4630" max="4630" width="10.42578125" style="179" bestFit="1" customWidth="1"/>
    <col min="4631" max="4859" width="9" style="179"/>
    <col min="4860" max="4860" width="3.5703125" style="179" customWidth="1"/>
    <col min="4861" max="4861" width="4.85546875" style="179" customWidth="1"/>
    <col min="4862" max="4862" width="5.42578125" style="179" customWidth="1"/>
    <col min="4863" max="4863" width="31.28515625" style="179" customWidth="1"/>
    <col min="4864" max="4864" width="7.5703125" style="179" customWidth="1"/>
    <col min="4865" max="4865" width="2.42578125" style="179" customWidth="1"/>
    <col min="4866" max="4866" width="11.5703125" style="179" customWidth="1"/>
    <col min="4867" max="4867" width="2.42578125" style="179" customWidth="1"/>
    <col min="4868" max="4868" width="11.5703125" style="179" customWidth="1"/>
    <col min="4869" max="4869" width="2.42578125" style="179" customWidth="1"/>
    <col min="4870" max="4870" width="10.85546875" style="179" customWidth="1"/>
    <col min="4871" max="4871" width="2.42578125" style="179" customWidth="1"/>
    <col min="4872" max="4872" width="11.140625" style="179" customWidth="1"/>
    <col min="4873" max="4873" width="1.85546875" style="179" customWidth="1"/>
    <col min="4874" max="4874" width="11" style="179" customWidth="1"/>
    <col min="4875" max="4875" width="0.7109375" style="179" customWidth="1"/>
    <col min="4876" max="4876" width="1.85546875" style="179" customWidth="1"/>
    <col min="4877" max="4877" width="11.85546875" style="179" bestFit="1" customWidth="1"/>
    <col min="4878" max="4878" width="15.28515625" style="179" bestFit="1" customWidth="1"/>
    <col min="4879" max="4879" width="5" style="179" customWidth="1"/>
    <col min="4880" max="4880" width="10.42578125" style="179" bestFit="1" customWidth="1"/>
    <col min="4881" max="4881" width="5" style="179" customWidth="1"/>
    <col min="4882" max="4882" width="10.42578125" style="179" bestFit="1" customWidth="1"/>
    <col min="4883" max="4885" width="9" style="179"/>
    <col min="4886" max="4886" width="10.42578125" style="179" bestFit="1" customWidth="1"/>
    <col min="4887" max="5115" width="9" style="179"/>
    <col min="5116" max="5116" width="3.5703125" style="179" customWidth="1"/>
    <col min="5117" max="5117" width="4.85546875" style="179" customWidth="1"/>
    <col min="5118" max="5118" width="5.42578125" style="179" customWidth="1"/>
    <col min="5119" max="5119" width="31.28515625" style="179" customWidth="1"/>
    <col min="5120" max="5120" width="7.5703125" style="179" customWidth="1"/>
    <col min="5121" max="5121" width="2.42578125" style="179" customWidth="1"/>
    <col min="5122" max="5122" width="11.5703125" style="179" customWidth="1"/>
    <col min="5123" max="5123" width="2.42578125" style="179" customWidth="1"/>
    <col min="5124" max="5124" width="11.5703125" style="179" customWidth="1"/>
    <col min="5125" max="5125" width="2.42578125" style="179" customWidth="1"/>
    <col min="5126" max="5126" width="10.85546875" style="179" customWidth="1"/>
    <col min="5127" max="5127" width="2.42578125" style="179" customWidth="1"/>
    <col min="5128" max="5128" width="11.140625" style="179" customWidth="1"/>
    <col min="5129" max="5129" width="1.85546875" style="179" customWidth="1"/>
    <col min="5130" max="5130" width="11" style="179" customWidth="1"/>
    <col min="5131" max="5131" width="0.7109375" style="179" customWidth="1"/>
    <col min="5132" max="5132" width="1.85546875" style="179" customWidth="1"/>
    <col min="5133" max="5133" width="11.85546875" style="179" bestFit="1" customWidth="1"/>
    <col min="5134" max="5134" width="15.28515625" style="179" bestFit="1" customWidth="1"/>
    <col min="5135" max="5135" width="5" style="179" customWidth="1"/>
    <col min="5136" max="5136" width="10.42578125" style="179" bestFit="1" customWidth="1"/>
    <col min="5137" max="5137" width="5" style="179" customWidth="1"/>
    <col min="5138" max="5138" width="10.42578125" style="179" bestFit="1" customWidth="1"/>
    <col min="5139" max="5141" width="9" style="179"/>
    <col min="5142" max="5142" width="10.42578125" style="179" bestFit="1" customWidth="1"/>
    <col min="5143" max="5371" width="9" style="179"/>
    <col min="5372" max="5372" width="3.5703125" style="179" customWidth="1"/>
    <col min="5373" max="5373" width="4.85546875" style="179" customWidth="1"/>
    <col min="5374" max="5374" width="5.42578125" style="179" customWidth="1"/>
    <col min="5375" max="5375" width="31.28515625" style="179" customWidth="1"/>
    <col min="5376" max="5376" width="7.5703125" style="179" customWidth="1"/>
    <col min="5377" max="5377" width="2.42578125" style="179" customWidth="1"/>
    <col min="5378" max="5378" width="11.5703125" style="179" customWidth="1"/>
    <col min="5379" max="5379" width="2.42578125" style="179" customWidth="1"/>
    <col min="5380" max="5380" width="11.5703125" style="179" customWidth="1"/>
    <col min="5381" max="5381" width="2.42578125" style="179" customWidth="1"/>
    <col min="5382" max="5382" width="10.85546875" style="179" customWidth="1"/>
    <col min="5383" max="5383" width="2.42578125" style="179" customWidth="1"/>
    <col min="5384" max="5384" width="11.140625" style="179" customWidth="1"/>
    <col min="5385" max="5385" width="1.85546875" style="179" customWidth="1"/>
    <col min="5386" max="5386" width="11" style="179" customWidth="1"/>
    <col min="5387" max="5387" width="0.7109375" style="179" customWidth="1"/>
    <col min="5388" max="5388" width="1.85546875" style="179" customWidth="1"/>
    <col min="5389" max="5389" width="11.85546875" style="179" bestFit="1" customWidth="1"/>
    <col min="5390" max="5390" width="15.28515625" style="179" bestFit="1" customWidth="1"/>
    <col min="5391" max="5391" width="5" style="179" customWidth="1"/>
    <col min="5392" max="5392" width="10.42578125" style="179" bestFit="1" customWidth="1"/>
    <col min="5393" max="5393" width="5" style="179" customWidth="1"/>
    <col min="5394" max="5394" width="10.42578125" style="179" bestFit="1" customWidth="1"/>
    <col min="5395" max="5397" width="9" style="179"/>
    <col min="5398" max="5398" width="10.42578125" style="179" bestFit="1" customWidth="1"/>
    <col min="5399" max="5627" width="9" style="179"/>
    <col min="5628" max="5628" width="3.5703125" style="179" customWidth="1"/>
    <col min="5629" max="5629" width="4.85546875" style="179" customWidth="1"/>
    <col min="5630" max="5630" width="5.42578125" style="179" customWidth="1"/>
    <col min="5631" max="5631" width="31.28515625" style="179" customWidth="1"/>
    <col min="5632" max="5632" width="7.5703125" style="179" customWidth="1"/>
    <col min="5633" max="5633" width="2.42578125" style="179" customWidth="1"/>
    <col min="5634" max="5634" width="11.5703125" style="179" customWidth="1"/>
    <col min="5635" max="5635" width="2.42578125" style="179" customWidth="1"/>
    <col min="5636" max="5636" width="11.5703125" style="179" customWidth="1"/>
    <col min="5637" max="5637" width="2.42578125" style="179" customWidth="1"/>
    <col min="5638" max="5638" width="10.85546875" style="179" customWidth="1"/>
    <col min="5639" max="5639" width="2.42578125" style="179" customWidth="1"/>
    <col min="5640" max="5640" width="11.140625" style="179" customWidth="1"/>
    <col min="5641" max="5641" width="1.85546875" style="179" customWidth="1"/>
    <col min="5642" max="5642" width="11" style="179" customWidth="1"/>
    <col min="5643" max="5643" width="0.7109375" style="179" customWidth="1"/>
    <col min="5644" max="5644" width="1.85546875" style="179" customWidth="1"/>
    <col min="5645" max="5645" width="11.85546875" style="179" bestFit="1" customWidth="1"/>
    <col min="5646" max="5646" width="15.28515625" style="179" bestFit="1" customWidth="1"/>
    <col min="5647" max="5647" width="5" style="179" customWidth="1"/>
    <col min="5648" max="5648" width="10.42578125" style="179" bestFit="1" customWidth="1"/>
    <col min="5649" max="5649" width="5" style="179" customWidth="1"/>
    <col min="5650" max="5650" width="10.42578125" style="179" bestFit="1" customWidth="1"/>
    <col min="5651" max="5653" width="9" style="179"/>
    <col min="5654" max="5654" width="10.42578125" style="179" bestFit="1" customWidth="1"/>
    <col min="5655" max="5883" width="9" style="179"/>
    <col min="5884" max="5884" width="3.5703125" style="179" customWidth="1"/>
    <col min="5885" max="5885" width="4.85546875" style="179" customWidth="1"/>
    <col min="5886" max="5886" width="5.42578125" style="179" customWidth="1"/>
    <col min="5887" max="5887" width="31.28515625" style="179" customWidth="1"/>
    <col min="5888" max="5888" width="7.5703125" style="179" customWidth="1"/>
    <col min="5889" max="5889" width="2.42578125" style="179" customWidth="1"/>
    <col min="5890" max="5890" width="11.5703125" style="179" customWidth="1"/>
    <col min="5891" max="5891" width="2.42578125" style="179" customWidth="1"/>
    <col min="5892" max="5892" width="11.5703125" style="179" customWidth="1"/>
    <col min="5893" max="5893" width="2.42578125" style="179" customWidth="1"/>
    <col min="5894" max="5894" width="10.85546875" style="179" customWidth="1"/>
    <col min="5895" max="5895" width="2.42578125" style="179" customWidth="1"/>
    <col min="5896" max="5896" width="11.140625" style="179" customWidth="1"/>
    <col min="5897" max="5897" width="1.85546875" style="179" customWidth="1"/>
    <col min="5898" max="5898" width="11" style="179" customWidth="1"/>
    <col min="5899" max="5899" width="0.7109375" style="179" customWidth="1"/>
    <col min="5900" max="5900" width="1.85546875" style="179" customWidth="1"/>
    <col min="5901" max="5901" width="11.85546875" style="179" bestFit="1" customWidth="1"/>
    <col min="5902" max="5902" width="15.28515625" style="179" bestFit="1" customWidth="1"/>
    <col min="5903" max="5903" width="5" style="179" customWidth="1"/>
    <col min="5904" max="5904" width="10.42578125" style="179" bestFit="1" customWidth="1"/>
    <col min="5905" max="5905" width="5" style="179" customWidth="1"/>
    <col min="5906" max="5906" width="10.42578125" style="179" bestFit="1" customWidth="1"/>
    <col min="5907" max="5909" width="9" style="179"/>
    <col min="5910" max="5910" width="10.42578125" style="179" bestFit="1" customWidth="1"/>
    <col min="5911" max="6139" width="9" style="179"/>
    <col min="6140" max="6140" width="3.5703125" style="179" customWidth="1"/>
    <col min="6141" max="6141" width="4.85546875" style="179" customWidth="1"/>
    <col min="6142" max="6142" width="5.42578125" style="179" customWidth="1"/>
    <col min="6143" max="6143" width="31.28515625" style="179" customWidth="1"/>
    <col min="6144" max="6144" width="7.5703125" style="179" customWidth="1"/>
    <col min="6145" max="6145" width="2.42578125" style="179" customWidth="1"/>
    <col min="6146" max="6146" width="11.5703125" style="179" customWidth="1"/>
    <col min="6147" max="6147" width="2.42578125" style="179" customWidth="1"/>
    <col min="6148" max="6148" width="11.5703125" style="179" customWidth="1"/>
    <col min="6149" max="6149" width="2.42578125" style="179" customWidth="1"/>
    <col min="6150" max="6150" width="10.85546875" style="179" customWidth="1"/>
    <col min="6151" max="6151" width="2.42578125" style="179" customWidth="1"/>
    <col min="6152" max="6152" width="11.140625" style="179" customWidth="1"/>
    <col min="6153" max="6153" width="1.85546875" style="179" customWidth="1"/>
    <col min="6154" max="6154" width="11" style="179" customWidth="1"/>
    <col min="6155" max="6155" width="0.7109375" style="179" customWidth="1"/>
    <col min="6156" max="6156" width="1.85546875" style="179" customWidth="1"/>
    <col min="6157" max="6157" width="11.85546875" style="179" bestFit="1" customWidth="1"/>
    <col min="6158" max="6158" width="15.28515625" style="179" bestFit="1" customWidth="1"/>
    <col min="6159" max="6159" width="5" style="179" customWidth="1"/>
    <col min="6160" max="6160" width="10.42578125" style="179" bestFit="1" customWidth="1"/>
    <col min="6161" max="6161" width="5" style="179" customWidth="1"/>
    <col min="6162" max="6162" width="10.42578125" style="179" bestFit="1" customWidth="1"/>
    <col min="6163" max="6165" width="9" style="179"/>
    <col min="6166" max="6166" width="10.42578125" style="179" bestFit="1" customWidth="1"/>
    <col min="6167" max="6395" width="9" style="179"/>
    <col min="6396" max="6396" width="3.5703125" style="179" customWidth="1"/>
    <col min="6397" max="6397" width="4.85546875" style="179" customWidth="1"/>
    <col min="6398" max="6398" width="5.42578125" style="179" customWidth="1"/>
    <col min="6399" max="6399" width="31.28515625" style="179" customWidth="1"/>
    <col min="6400" max="6400" width="7.5703125" style="179" customWidth="1"/>
    <col min="6401" max="6401" width="2.42578125" style="179" customWidth="1"/>
    <col min="6402" max="6402" width="11.5703125" style="179" customWidth="1"/>
    <col min="6403" max="6403" width="2.42578125" style="179" customWidth="1"/>
    <col min="6404" max="6404" width="11.5703125" style="179" customWidth="1"/>
    <col min="6405" max="6405" width="2.42578125" style="179" customWidth="1"/>
    <col min="6406" max="6406" width="10.85546875" style="179" customWidth="1"/>
    <col min="6407" max="6407" width="2.42578125" style="179" customWidth="1"/>
    <col min="6408" max="6408" width="11.140625" style="179" customWidth="1"/>
    <col min="6409" max="6409" width="1.85546875" style="179" customWidth="1"/>
    <col min="6410" max="6410" width="11" style="179" customWidth="1"/>
    <col min="6411" max="6411" width="0.7109375" style="179" customWidth="1"/>
    <col min="6412" max="6412" width="1.85546875" style="179" customWidth="1"/>
    <col min="6413" max="6413" width="11.85546875" style="179" bestFit="1" customWidth="1"/>
    <col min="6414" max="6414" width="15.28515625" style="179" bestFit="1" customWidth="1"/>
    <col min="6415" max="6415" width="5" style="179" customWidth="1"/>
    <col min="6416" max="6416" width="10.42578125" style="179" bestFit="1" customWidth="1"/>
    <col min="6417" max="6417" width="5" style="179" customWidth="1"/>
    <col min="6418" max="6418" width="10.42578125" style="179" bestFit="1" customWidth="1"/>
    <col min="6419" max="6421" width="9" style="179"/>
    <col min="6422" max="6422" width="10.42578125" style="179" bestFit="1" customWidth="1"/>
    <col min="6423" max="6651" width="9" style="179"/>
    <col min="6652" max="6652" width="3.5703125" style="179" customWidth="1"/>
    <col min="6653" max="6653" width="4.85546875" style="179" customWidth="1"/>
    <col min="6654" max="6654" width="5.42578125" style="179" customWidth="1"/>
    <col min="6655" max="6655" width="31.28515625" style="179" customWidth="1"/>
    <col min="6656" max="6656" width="7.5703125" style="179" customWidth="1"/>
    <col min="6657" max="6657" width="2.42578125" style="179" customWidth="1"/>
    <col min="6658" max="6658" width="11.5703125" style="179" customWidth="1"/>
    <col min="6659" max="6659" width="2.42578125" style="179" customWidth="1"/>
    <col min="6660" max="6660" width="11.5703125" style="179" customWidth="1"/>
    <col min="6661" max="6661" width="2.42578125" style="179" customWidth="1"/>
    <col min="6662" max="6662" width="10.85546875" style="179" customWidth="1"/>
    <col min="6663" max="6663" width="2.42578125" style="179" customWidth="1"/>
    <col min="6664" max="6664" width="11.140625" style="179" customWidth="1"/>
    <col min="6665" max="6665" width="1.85546875" style="179" customWidth="1"/>
    <col min="6666" max="6666" width="11" style="179" customWidth="1"/>
    <col min="6667" max="6667" width="0.7109375" style="179" customWidth="1"/>
    <col min="6668" max="6668" width="1.85546875" style="179" customWidth="1"/>
    <col min="6669" max="6669" width="11.85546875" style="179" bestFit="1" customWidth="1"/>
    <col min="6670" max="6670" width="15.28515625" style="179" bestFit="1" customWidth="1"/>
    <col min="6671" max="6671" width="5" style="179" customWidth="1"/>
    <col min="6672" max="6672" width="10.42578125" style="179" bestFit="1" customWidth="1"/>
    <col min="6673" max="6673" width="5" style="179" customWidth="1"/>
    <col min="6674" max="6674" width="10.42578125" style="179" bestFit="1" customWidth="1"/>
    <col min="6675" max="6677" width="9" style="179"/>
    <col min="6678" max="6678" width="10.42578125" style="179" bestFit="1" customWidth="1"/>
    <col min="6679" max="6907" width="9" style="179"/>
    <col min="6908" max="6908" width="3.5703125" style="179" customWidth="1"/>
    <col min="6909" max="6909" width="4.85546875" style="179" customWidth="1"/>
    <col min="6910" max="6910" width="5.42578125" style="179" customWidth="1"/>
    <col min="6911" max="6911" width="31.28515625" style="179" customWidth="1"/>
    <col min="6912" max="6912" width="7.5703125" style="179" customWidth="1"/>
    <col min="6913" max="6913" width="2.42578125" style="179" customWidth="1"/>
    <col min="6914" max="6914" width="11.5703125" style="179" customWidth="1"/>
    <col min="6915" max="6915" width="2.42578125" style="179" customWidth="1"/>
    <col min="6916" max="6916" width="11.5703125" style="179" customWidth="1"/>
    <col min="6917" max="6917" width="2.42578125" style="179" customWidth="1"/>
    <col min="6918" max="6918" width="10.85546875" style="179" customWidth="1"/>
    <col min="6919" max="6919" width="2.42578125" style="179" customWidth="1"/>
    <col min="6920" max="6920" width="11.140625" style="179" customWidth="1"/>
    <col min="6921" max="6921" width="1.85546875" style="179" customWidth="1"/>
    <col min="6922" max="6922" width="11" style="179" customWidth="1"/>
    <col min="6923" max="6923" width="0.7109375" style="179" customWidth="1"/>
    <col min="6924" max="6924" width="1.85546875" style="179" customWidth="1"/>
    <col min="6925" max="6925" width="11.85546875" style="179" bestFit="1" customWidth="1"/>
    <col min="6926" max="6926" width="15.28515625" style="179" bestFit="1" customWidth="1"/>
    <col min="6927" max="6927" width="5" style="179" customWidth="1"/>
    <col min="6928" max="6928" width="10.42578125" style="179" bestFit="1" customWidth="1"/>
    <col min="6929" max="6929" width="5" style="179" customWidth="1"/>
    <col min="6930" max="6930" width="10.42578125" style="179" bestFit="1" customWidth="1"/>
    <col min="6931" max="6933" width="9" style="179"/>
    <col min="6934" max="6934" width="10.42578125" style="179" bestFit="1" customWidth="1"/>
    <col min="6935" max="7163" width="9" style="179"/>
    <col min="7164" max="7164" width="3.5703125" style="179" customWidth="1"/>
    <col min="7165" max="7165" width="4.85546875" style="179" customWidth="1"/>
    <col min="7166" max="7166" width="5.42578125" style="179" customWidth="1"/>
    <col min="7167" max="7167" width="31.28515625" style="179" customWidth="1"/>
    <col min="7168" max="7168" width="7.5703125" style="179" customWidth="1"/>
    <col min="7169" max="7169" width="2.42578125" style="179" customWidth="1"/>
    <col min="7170" max="7170" width="11.5703125" style="179" customWidth="1"/>
    <col min="7171" max="7171" width="2.42578125" style="179" customWidth="1"/>
    <col min="7172" max="7172" width="11.5703125" style="179" customWidth="1"/>
    <col min="7173" max="7173" width="2.42578125" style="179" customWidth="1"/>
    <col min="7174" max="7174" width="10.85546875" style="179" customWidth="1"/>
    <col min="7175" max="7175" width="2.42578125" style="179" customWidth="1"/>
    <col min="7176" max="7176" width="11.140625" style="179" customWidth="1"/>
    <col min="7177" max="7177" width="1.85546875" style="179" customWidth="1"/>
    <col min="7178" max="7178" width="11" style="179" customWidth="1"/>
    <col min="7179" max="7179" width="0.7109375" style="179" customWidth="1"/>
    <col min="7180" max="7180" width="1.85546875" style="179" customWidth="1"/>
    <col min="7181" max="7181" width="11.85546875" style="179" bestFit="1" customWidth="1"/>
    <col min="7182" max="7182" width="15.28515625" style="179" bestFit="1" customWidth="1"/>
    <col min="7183" max="7183" width="5" style="179" customWidth="1"/>
    <col min="7184" max="7184" width="10.42578125" style="179" bestFit="1" customWidth="1"/>
    <col min="7185" max="7185" width="5" style="179" customWidth="1"/>
    <col min="7186" max="7186" width="10.42578125" style="179" bestFit="1" customWidth="1"/>
    <col min="7187" max="7189" width="9" style="179"/>
    <col min="7190" max="7190" width="10.42578125" style="179" bestFit="1" customWidth="1"/>
    <col min="7191" max="7419" width="9" style="179"/>
    <col min="7420" max="7420" width="3.5703125" style="179" customWidth="1"/>
    <col min="7421" max="7421" width="4.85546875" style="179" customWidth="1"/>
    <col min="7422" max="7422" width="5.42578125" style="179" customWidth="1"/>
    <col min="7423" max="7423" width="31.28515625" style="179" customWidth="1"/>
    <col min="7424" max="7424" width="7.5703125" style="179" customWidth="1"/>
    <col min="7425" max="7425" width="2.42578125" style="179" customWidth="1"/>
    <col min="7426" max="7426" width="11.5703125" style="179" customWidth="1"/>
    <col min="7427" max="7427" width="2.42578125" style="179" customWidth="1"/>
    <col min="7428" max="7428" width="11.5703125" style="179" customWidth="1"/>
    <col min="7429" max="7429" width="2.42578125" style="179" customWidth="1"/>
    <col min="7430" max="7430" width="10.85546875" style="179" customWidth="1"/>
    <col min="7431" max="7431" width="2.42578125" style="179" customWidth="1"/>
    <col min="7432" max="7432" width="11.140625" style="179" customWidth="1"/>
    <col min="7433" max="7433" width="1.85546875" style="179" customWidth="1"/>
    <col min="7434" max="7434" width="11" style="179" customWidth="1"/>
    <col min="7435" max="7435" width="0.7109375" style="179" customWidth="1"/>
    <col min="7436" max="7436" width="1.85546875" style="179" customWidth="1"/>
    <col min="7437" max="7437" width="11.85546875" style="179" bestFit="1" customWidth="1"/>
    <col min="7438" max="7438" width="15.28515625" style="179" bestFit="1" customWidth="1"/>
    <col min="7439" max="7439" width="5" style="179" customWidth="1"/>
    <col min="7440" max="7440" width="10.42578125" style="179" bestFit="1" customWidth="1"/>
    <col min="7441" max="7441" width="5" style="179" customWidth="1"/>
    <col min="7442" max="7442" width="10.42578125" style="179" bestFit="1" customWidth="1"/>
    <col min="7443" max="7445" width="9" style="179"/>
    <col min="7446" max="7446" width="10.42578125" style="179" bestFit="1" customWidth="1"/>
    <col min="7447" max="7675" width="9" style="179"/>
    <col min="7676" max="7676" width="3.5703125" style="179" customWidth="1"/>
    <col min="7677" max="7677" width="4.85546875" style="179" customWidth="1"/>
    <col min="7678" max="7678" width="5.42578125" style="179" customWidth="1"/>
    <col min="7679" max="7679" width="31.28515625" style="179" customWidth="1"/>
    <col min="7680" max="7680" width="7.5703125" style="179" customWidth="1"/>
    <col min="7681" max="7681" width="2.42578125" style="179" customWidth="1"/>
    <col min="7682" max="7682" width="11.5703125" style="179" customWidth="1"/>
    <col min="7683" max="7683" width="2.42578125" style="179" customWidth="1"/>
    <col min="7684" max="7684" width="11.5703125" style="179" customWidth="1"/>
    <col min="7685" max="7685" width="2.42578125" style="179" customWidth="1"/>
    <col min="7686" max="7686" width="10.85546875" style="179" customWidth="1"/>
    <col min="7687" max="7687" width="2.42578125" style="179" customWidth="1"/>
    <col min="7688" max="7688" width="11.140625" style="179" customWidth="1"/>
    <col min="7689" max="7689" width="1.85546875" style="179" customWidth="1"/>
    <col min="7690" max="7690" width="11" style="179" customWidth="1"/>
    <col min="7691" max="7691" width="0.7109375" style="179" customWidth="1"/>
    <col min="7692" max="7692" width="1.85546875" style="179" customWidth="1"/>
    <col min="7693" max="7693" width="11.85546875" style="179" bestFit="1" customWidth="1"/>
    <col min="7694" max="7694" width="15.28515625" style="179" bestFit="1" customWidth="1"/>
    <col min="7695" max="7695" width="5" style="179" customWidth="1"/>
    <col min="7696" max="7696" width="10.42578125" style="179" bestFit="1" customWidth="1"/>
    <col min="7697" max="7697" width="5" style="179" customWidth="1"/>
    <col min="7698" max="7698" width="10.42578125" style="179" bestFit="1" customWidth="1"/>
    <col min="7699" max="7701" width="9" style="179"/>
    <col min="7702" max="7702" width="10.42578125" style="179" bestFit="1" customWidth="1"/>
    <col min="7703" max="7931" width="9" style="179"/>
    <col min="7932" max="7932" width="3.5703125" style="179" customWidth="1"/>
    <col min="7933" max="7933" width="4.85546875" style="179" customWidth="1"/>
    <col min="7934" max="7934" width="5.42578125" style="179" customWidth="1"/>
    <col min="7935" max="7935" width="31.28515625" style="179" customWidth="1"/>
    <col min="7936" max="7936" width="7.5703125" style="179" customWidth="1"/>
    <col min="7937" max="7937" width="2.42578125" style="179" customWidth="1"/>
    <col min="7938" max="7938" width="11.5703125" style="179" customWidth="1"/>
    <col min="7939" max="7939" width="2.42578125" style="179" customWidth="1"/>
    <col min="7940" max="7940" width="11.5703125" style="179" customWidth="1"/>
    <col min="7941" max="7941" width="2.42578125" style="179" customWidth="1"/>
    <col min="7942" max="7942" width="10.85546875" style="179" customWidth="1"/>
    <col min="7943" max="7943" width="2.42578125" style="179" customWidth="1"/>
    <col min="7944" max="7944" width="11.140625" style="179" customWidth="1"/>
    <col min="7945" max="7945" width="1.85546875" style="179" customWidth="1"/>
    <col min="7946" max="7946" width="11" style="179" customWidth="1"/>
    <col min="7947" max="7947" width="0.7109375" style="179" customWidth="1"/>
    <col min="7948" max="7948" width="1.85546875" style="179" customWidth="1"/>
    <col min="7949" max="7949" width="11.85546875" style="179" bestFit="1" customWidth="1"/>
    <col min="7950" max="7950" width="15.28515625" style="179" bestFit="1" customWidth="1"/>
    <col min="7951" max="7951" width="5" style="179" customWidth="1"/>
    <col min="7952" max="7952" width="10.42578125" style="179" bestFit="1" customWidth="1"/>
    <col min="7953" max="7953" width="5" style="179" customWidth="1"/>
    <col min="7954" max="7954" width="10.42578125" style="179" bestFit="1" customWidth="1"/>
    <col min="7955" max="7957" width="9" style="179"/>
    <col min="7958" max="7958" width="10.42578125" style="179" bestFit="1" customWidth="1"/>
    <col min="7959" max="8187" width="9" style="179"/>
    <col min="8188" max="8188" width="3.5703125" style="179" customWidth="1"/>
    <col min="8189" max="8189" width="4.85546875" style="179" customWidth="1"/>
    <col min="8190" max="8190" width="5.42578125" style="179" customWidth="1"/>
    <col min="8191" max="8191" width="31.28515625" style="179" customWidth="1"/>
    <col min="8192" max="8192" width="7.5703125" style="179" customWidth="1"/>
    <col min="8193" max="8193" width="2.42578125" style="179" customWidth="1"/>
    <col min="8194" max="8194" width="11.5703125" style="179" customWidth="1"/>
    <col min="8195" max="8195" width="2.42578125" style="179" customWidth="1"/>
    <col min="8196" max="8196" width="11.5703125" style="179" customWidth="1"/>
    <col min="8197" max="8197" width="2.42578125" style="179" customWidth="1"/>
    <col min="8198" max="8198" width="10.85546875" style="179" customWidth="1"/>
    <col min="8199" max="8199" width="2.42578125" style="179" customWidth="1"/>
    <col min="8200" max="8200" width="11.140625" style="179" customWidth="1"/>
    <col min="8201" max="8201" width="1.85546875" style="179" customWidth="1"/>
    <col min="8202" max="8202" width="11" style="179" customWidth="1"/>
    <col min="8203" max="8203" width="0.7109375" style="179" customWidth="1"/>
    <col min="8204" max="8204" width="1.85546875" style="179" customWidth="1"/>
    <col min="8205" max="8205" width="11.85546875" style="179" bestFit="1" customWidth="1"/>
    <col min="8206" max="8206" width="15.28515625" style="179" bestFit="1" customWidth="1"/>
    <col min="8207" max="8207" width="5" style="179" customWidth="1"/>
    <col min="8208" max="8208" width="10.42578125" style="179" bestFit="1" customWidth="1"/>
    <col min="8209" max="8209" width="5" style="179" customWidth="1"/>
    <col min="8210" max="8210" width="10.42578125" style="179" bestFit="1" customWidth="1"/>
    <col min="8211" max="8213" width="9" style="179"/>
    <col min="8214" max="8214" width="10.42578125" style="179" bestFit="1" customWidth="1"/>
    <col min="8215" max="8443" width="9" style="179"/>
    <col min="8444" max="8444" width="3.5703125" style="179" customWidth="1"/>
    <col min="8445" max="8445" width="4.85546875" style="179" customWidth="1"/>
    <col min="8446" max="8446" width="5.42578125" style="179" customWidth="1"/>
    <col min="8447" max="8447" width="31.28515625" style="179" customWidth="1"/>
    <col min="8448" max="8448" width="7.5703125" style="179" customWidth="1"/>
    <col min="8449" max="8449" width="2.42578125" style="179" customWidth="1"/>
    <col min="8450" max="8450" width="11.5703125" style="179" customWidth="1"/>
    <col min="8451" max="8451" width="2.42578125" style="179" customWidth="1"/>
    <col min="8452" max="8452" width="11.5703125" style="179" customWidth="1"/>
    <col min="8453" max="8453" width="2.42578125" style="179" customWidth="1"/>
    <col min="8454" max="8454" width="10.85546875" style="179" customWidth="1"/>
    <col min="8455" max="8455" width="2.42578125" style="179" customWidth="1"/>
    <col min="8456" max="8456" width="11.140625" style="179" customWidth="1"/>
    <col min="8457" max="8457" width="1.85546875" style="179" customWidth="1"/>
    <col min="8458" max="8458" width="11" style="179" customWidth="1"/>
    <col min="8459" max="8459" width="0.7109375" style="179" customWidth="1"/>
    <col min="8460" max="8460" width="1.85546875" style="179" customWidth="1"/>
    <col min="8461" max="8461" width="11.85546875" style="179" bestFit="1" customWidth="1"/>
    <col min="8462" max="8462" width="15.28515625" style="179" bestFit="1" customWidth="1"/>
    <col min="8463" max="8463" width="5" style="179" customWidth="1"/>
    <col min="8464" max="8464" width="10.42578125" style="179" bestFit="1" customWidth="1"/>
    <col min="8465" max="8465" width="5" style="179" customWidth="1"/>
    <col min="8466" max="8466" width="10.42578125" style="179" bestFit="1" customWidth="1"/>
    <col min="8467" max="8469" width="9" style="179"/>
    <col min="8470" max="8470" width="10.42578125" style="179" bestFit="1" customWidth="1"/>
    <col min="8471" max="8699" width="9" style="179"/>
    <col min="8700" max="8700" width="3.5703125" style="179" customWidth="1"/>
    <col min="8701" max="8701" width="4.85546875" style="179" customWidth="1"/>
    <col min="8702" max="8702" width="5.42578125" style="179" customWidth="1"/>
    <col min="8703" max="8703" width="31.28515625" style="179" customWidth="1"/>
    <col min="8704" max="8704" width="7.5703125" style="179" customWidth="1"/>
    <col min="8705" max="8705" width="2.42578125" style="179" customWidth="1"/>
    <col min="8706" max="8706" width="11.5703125" style="179" customWidth="1"/>
    <col min="8707" max="8707" width="2.42578125" style="179" customWidth="1"/>
    <col min="8708" max="8708" width="11.5703125" style="179" customWidth="1"/>
    <col min="8709" max="8709" width="2.42578125" style="179" customWidth="1"/>
    <col min="8710" max="8710" width="10.85546875" style="179" customWidth="1"/>
    <col min="8711" max="8711" width="2.42578125" style="179" customWidth="1"/>
    <col min="8712" max="8712" width="11.140625" style="179" customWidth="1"/>
    <col min="8713" max="8713" width="1.85546875" style="179" customWidth="1"/>
    <col min="8714" max="8714" width="11" style="179" customWidth="1"/>
    <col min="8715" max="8715" width="0.7109375" style="179" customWidth="1"/>
    <col min="8716" max="8716" width="1.85546875" style="179" customWidth="1"/>
    <col min="8717" max="8717" width="11.85546875" style="179" bestFit="1" customWidth="1"/>
    <col min="8718" max="8718" width="15.28515625" style="179" bestFit="1" customWidth="1"/>
    <col min="8719" max="8719" width="5" style="179" customWidth="1"/>
    <col min="8720" max="8720" width="10.42578125" style="179" bestFit="1" customWidth="1"/>
    <col min="8721" max="8721" width="5" style="179" customWidth="1"/>
    <col min="8722" max="8722" width="10.42578125" style="179" bestFit="1" customWidth="1"/>
    <col min="8723" max="8725" width="9" style="179"/>
    <col min="8726" max="8726" width="10.42578125" style="179" bestFit="1" customWidth="1"/>
    <col min="8727" max="8955" width="9" style="179"/>
    <col min="8956" max="8956" width="3.5703125" style="179" customWidth="1"/>
    <col min="8957" max="8957" width="4.85546875" style="179" customWidth="1"/>
    <col min="8958" max="8958" width="5.42578125" style="179" customWidth="1"/>
    <col min="8959" max="8959" width="31.28515625" style="179" customWidth="1"/>
    <col min="8960" max="8960" width="7.5703125" style="179" customWidth="1"/>
    <col min="8961" max="8961" width="2.42578125" style="179" customWidth="1"/>
    <col min="8962" max="8962" width="11.5703125" style="179" customWidth="1"/>
    <col min="8963" max="8963" width="2.42578125" style="179" customWidth="1"/>
    <col min="8964" max="8964" width="11.5703125" style="179" customWidth="1"/>
    <col min="8965" max="8965" width="2.42578125" style="179" customWidth="1"/>
    <col min="8966" max="8966" width="10.85546875" style="179" customWidth="1"/>
    <col min="8967" max="8967" width="2.42578125" style="179" customWidth="1"/>
    <col min="8968" max="8968" width="11.140625" style="179" customWidth="1"/>
    <col min="8969" max="8969" width="1.85546875" style="179" customWidth="1"/>
    <col min="8970" max="8970" width="11" style="179" customWidth="1"/>
    <col min="8971" max="8971" width="0.7109375" style="179" customWidth="1"/>
    <col min="8972" max="8972" width="1.85546875" style="179" customWidth="1"/>
    <col min="8973" max="8973" width="11.85546875" style="179" bestFit="1" customWidth="1"/>
    <col min="8974" max="8974" width="15.28515625" style="179" bestFit="1" customWidth="1"/>
    <col min="8975" max="8975" width="5" style="179" customWidth="1"/>
    <col min="8976" max="8976" width="10.42578125" style="179" bestFit="1" customWidth="1"/>
    <col min="8977" max="8977" width="5" style="179" customWidth="1"/>
    <col min="8978" max="8978" width="10.42578125" style="179" bestFit="1" customWidth="1"/>
    <col min="8979" max="8981" width="9" style="179"/>
    <col min="8982" max="8982" width="10.42578125" style="179" bestFit="1" customWidth="1"/>
    <col min="8983" max="9211" width="9" style="179"/>
    <col min="9212" max="9212" width="3.5703125" style="179" customWidth="1"/>
    <col min="9213" max="9213" width="4.85546875" style="179" customWidth="1"/>
    <col min="9214" max="9214" width="5.42578125" style="179" customWidth="1"/>
    <col min="9215" max="9215" width="31.28515625" style="179" customWidth="1"/>
    <col min="9216" max="9216" width="7.5703125" style="179" customWidth="1"/>
    <col min="9217" max="9217" width="2.42578125" style="179" customWidth="1"/>
    <col min="9218" max="9218" width="11.5703125" style="179" customWidth="1"/>
    <col min="9219" max="9219" width="2.42578125" style="179" customWidth="1"/>
    <col min="9220" max="9220" width="11.5703125" style="179" customWidth="1"/>
    <col min="9221" max="9221" width="2.42578125" style="179" customWidth="1"/>
    <col min="9222" max="9222" width="10.85546875" style="179" customWidth="1"/>
    <col min="9223" max="9223" width="2.42578125" style="179" customWidth="1"/>
    <col min="9224" max="9224" width="11.140625" style="179" customWidth="1"/>
    <col min="9225" max="9225" width="1.85546875" style="179" customWidth="1"/>
    <col min="9226" max="9226" width="11" style="179" customWidth="1"/>
    <col min="9227" max="9227" width="0.7109375" style="179" customWidth="1"/>
    <col min="9228" max="9228" width="1.85546875" style="179" customWidth="1"/>
    <col min="9229" max="9229" width="11.85546875" style="179" bestFit="1" customWidth="1"/>
    <col min="9230" max="9230" width="15.28515625" style="179" bestFit="1" customWidth="1"/>
    <col min="9231" max="9231" width="5" style="179" customWidth="1"/>
    <col min="9232" max="9232" width="10.42578125" style="179" bestFit="1" customWidth="1"/>
    <col min="9233" max="9233" width="5" style="179" customWidth="1"/>
    <col min="9234" max="9234" width="10.42578125" style="179" bestFit="1" customWidth="1"/>
    <col min="9235" max="9237" width="9" style="179"/>
    <col min="9238" max="9238" width="10.42578125" style="179" bestFit="1" customWidth="1"/>
    <col min="9239" max="9467" width="9" style="179"/>
    <col min="9468" max="9468" width="3.5703125" style="179" customWidth="1"/>
    <col min="9469" max="9469" width="4.85546875" style="179" customWidth="1"/>
    <col min="9470" max="9470" width="5.42578125" style="179" customWidth="1"/>
    <col min="9471" max="9471" width="31.28515625" style="179" customWidth="1"/>
    <col min="9472" max="9472" width="7.5703125" style="179" customWidth="1"/>
    <col min="9473" max="9473" width="2.42578125" style="179" customWidth="1"/>
    <col min="9474" max="9474" width="11.5703125" style="179" customWidth="1"/>
    <col min="9475" max="9475" width="2.42578125" style="179" customWidth="1"/>
    <col min="9476" max="9476" width="11.5703125" style="179" customWidth="1"/>
    <col min="9477" max="9477" width="2.42578125" style="179" customWidth="1"/>
    <col min="9478" max="9478" width="10.85546875" style="179" customWidth="1"/>
    <col min="9479" max="9479" width="2.42578125" style="179" customWidth="1"/>
    <col min="9480" max="9480" width="11.140625" style="179" customWidth="1"/>
    <col min="9481" max="9481" width="1.85546875" style="179" customWidth="1"/>
    <col min="9482" max="9482" width="11" style="179" customWidth="1"/>
    <col min="9483" max="9483" width="0.7109375" style="179" customWidth="1"/>
    <col min="9484" max="9484" width="1.85546875" style="179" customWidth="1"/>
    <col min="9485" max="9485" width="11.85546875" style="179" bestFit="1" customWidth="1"/>
    <col min="9486" max="9486" width="15.28515625" style="179" bestFit="1" customWidth="1"/>
    <col min="9487" max="9487" width="5" style="179" customWidth="1"/>
    <col min="9488" max="9488" width="10.42578125" style="179" bestFit="1" customWidth="1"/>
    <col min="9489" max="9489" width="5" style="179" customWidth="1"/>
    <col min="9490" max="9490" width="10.42578125" style="179" bestFit="1" customWidth="1"/>
    <col min="9491" max="9493" width="9" style="179"/>
    <col min="9494" max="9494" width="10.42578125" style="179" bestFit="1" customWidth="1"/>
    <col min="9495" max="9723" width="9" style="179"/>
    <col min="9724" max="9724" width="3.5703125" style="179" customWidth="1"/>
    <col min="9725" max="9725" width="4.85546875" style="179" customWidth="1"/>
    <col min="9726" max="9726" width="5.42578125" style="179" customWidth="1"/>
    <col min="9727" max="9727" width="31.28515625" style="179" customWidth="1"/>
    <col min="9728" max="9728" width="7.5703125" style="179" customWidth="1"/>
    <col min="9729" max="9729" width="2.42578125" style="179" customWidth="1"/>
    <col min="9730" max="9730" width="11.5703125" style="179" customWidth="1"/>
    <col min="9731" max="9731" width="2.42578125" style="179" customWidth="1"/>
    <col min="9732" max="9732" width="11.5703125" style="179" customWidth="1"/>
    <col min="9733" max="9733" width="2.42578125" style="179" customWidth="1"/>
    <col min="9734" max="9734" width="10.85546875" style="179" customWidth="1"/>
    <col min="9735" max="9735" width="2.42578125" style="179" customWidth="1"/>
    <col min="9736" max="9736" width="11.140625" style="179" customWidth="1"/>
    <col min="9737" max="9737" width="1.85546875" style="179" customWidth="1"/>
    <col min="9738" max="9738" width="11" style="179" customWidth="1"/>
    <col min="9739" max="9739" width="0.7109375" style="179" customWidth="1"/>
    <col min="9740" max="9740" width="1.85546875" style="179" customWidth="1"/>
    <col min="9741" max="9741" width="11.85546875" style="179" bestFit="1" customWidth="1"/>
    <col min="9742" max="9742" width="15.28515625" style="179" bestFit="1" customWidth="1"/>
    <col min="9743" max="9743" width="5" style="179" customWidth="1"/>
    <col min="9744" max="9744" width="10.42578125" style="179" bestFit="1" customWidth="1"/>
    <col min="9745" max="9745" width="5" style="179" customWidth="1"/>
    <col min="9746" max="9746" width="10.42578125" style="179" bestFit="1" customWidth="1"/>
    <col min="9747" max="9749" width="9" style="179"/>
    <col min="9750" max="9750" width="10.42578125" style="179" bestFit="1" customWidth="1"/>
    <col min="9751" max="9979" width="9" style="179"/>
    <col min="9980" max="9980" width="3.5703125" style="179" customWidth="1"/>
    <col min="9981" max="9981" width="4.85546875" style="179" customWidth="1"/>
    <col min="9982" max="9982" width="5.42578125" style="179" customWidth="1"/>
    <col min="9983" max="9983" width="31.28515625" style="179" customWidth="1"/>
    <col min="9984" max="9984" width="7.5703125" style="179" customWidth="1"/>
    <col min="9985" max="9985" width="2.42578125" style="179" customWidth="1"/>
    <col min="9986" max="9986" width="11.5703125" style="179" customWidth="1"/>
    <col min="9987" max="9987" width="2.42578125" style="179" customWidth="1"/>
    <col min="9988" max="9988" width="11.5703125" style="179" customWidth="1"/>
    <col min="9989" max="9989" width="2.42578125" style="179" customWidth="1"/>
    <col min="9990" max="9990" width="10.85546875" style="179" customWidth="1"/>
    <col min="9991" max="9991" width="2.42578125" style="179" customWidth="1"/>
    <col min="9992" max="9992" width="11.140625" style="179" customWidth="1"/>
    <col min="9993" max="9993" width="1.85546875" style="179" customWidth="1"/>
    <col min="9994" max="9994" width="11" style="179" customWidth="1"/>
    <col min="9995" max="9995" width="0.7109375" style="179" customWidth="1"/>
    <col min="9996" max="9996" width="1.85546875" style="179" customWidth="1"/>
    <col min="9997" max="9997" width="11.85546875" style="179" bestFit="1" customWidth="1"/>
    <col min="9998" max="9998" width="15.28515625" style="179" bestFit="1" customWidth="1"/>
    <col min="9999" max="9999" width="5" style="179" customWidth="1"/>
    <col min="10000" max="10000" width="10.42578125" style="179" bestFit="1" customWidth="1"/>
    <col min="10001" max="10001" width="5" style="179" customWidth="1"/>
    <col min="10002" max="10002" width="10.42578125" style="179" bestFit="1" customWidth="1"/>
    <col min="10003" max="10005" width="9" style="179"/>
    <col min="10006" max="10006" width="10.42578125" style="179" bestFit="1" customWidth="1"/>
    <col min="10007" max="10235" width="9" style="179"/>
    <col min="10236" max="10236" width="3.5703125" style="179" customWidth="1"/>
    <col min="10237" max="10237" width="4.85546875" style="179" customWidth="1"/>
    <col min="10238" max="10238" width="5.42578125" style="179" customWidth="1"/>
    <col min="10239" max="10239" width="31.28515625" style="179" customWidth="1"/>
    <col min="10240" max="10240" width="7.5703125" style="179" customWidth="1"/>
    <col min="10241" max="10241" width="2.42578125" style="179" customWidth="1"/>
    <col min="10242" max="10242" width="11.5703125" style="179" customWidth="1"/>
    <col min="10243" max="10243" width="2.42578125" style="179" customWidth="1"/>
    <col min="10244" max="10244" width="11.5703125" style="179" customWidth="1"/>
    <col min="10245" max="10245" width="2.42578125" style="179" customWidth="1"/>
    <col min="10246" max="10246" width="10.85546875" style="179" customWidth="1"/>
    <col min="10247" max="10247" width="2.42578125" style="179" customWidth="1"/>
    <col min="10248" max="10248" width="11.140625" style="179" customWidth="1"/>
    <col min="10249" max="10249" width="1.85546875" style="179" customWidth="1"/>
    <col min="10250" max="10250" width="11" style="179" customWidth="1"/>
    <col min="10251" max="10251" width="0.7109375" style="179" customWidth="1"/>
    <col min="10252" max="10252" width="1.85546875" style="179" customWidth="1"/>
    <col min="10253" max="10253" width="11.85546875" style="179" bestFit="1" customWidth="1"/>
    <col min="10254" max="10254" width="15.28515625" style="179" bestFit="1" customWidth="1"/>
    <col min="10255" max="10255" width="5" style="179" customWidth="1"/>
    <col min="10256" max="10256" width="10.42578125" style="179" bestFit="1" customWidth="1"/>
    <col min="10257" max="10257" width="5" style="179" customWidth="1"/>
    <col min="10258" max="10258" width="10.42578125" style="179" bestFit="1" customWidth="1"/>
    <col min="10259" max="10261" width="9" style="179"/>
    <col min="10262" max="10262" width="10.42578125" style="179" bestFit="1" customWidth="1"/>
    <col min="10263" max="10491" width="9" style="179"/>
    <col min="10492" max="10492" width="3.5703125" style="179" customWidth="1"/>
    <col min="10493" max="10493" width="4.85546875" style="179" customWidth="1"/>
    <col min="10494" max="10494" width="5.42578125" style="179" customWidth="1"/>
    <col min="10495" max="10495" width="31.28515625" style="179" customWidth="1"/>
    <col min="10496" max="10496" width="7.5703125" style="179" customWidth="1"/>
    <col min="10497" max="10497" width="2.42578125" style="179" customWidth="1"/>
    <col min="10498" max="10498" width="11.5703125" style="179" customWidth="1"/>
    <col min="10499" max="10499" width="2.42578125" style="179" customWidth="1"/>
    <col min="10500" max="10500" width="11.5703125" style="179" customWidth="1"/>
    <col min="10501" max="10501" width="2.42578125" style="179" customWidth="1"/>
    <col min="10502" max="10502" width="10.85546875" style="179" customWidth="1"/>
    <col min="10503" max="10503" width="2.42578125" style="179" customWidth="1"/>
    <col min="10504" max="10504" width="11.140625" style="179" customWidth="1"/>
    <col min="10505" max="10505" width="1.85546875" style="179" customWidth="1"/>
    <col min="10506" max="10506" width="11" style="179" customWidth="1"/>
    <col min="10507" max="10507" width="0.7109375" style="179" customWidth="1"/>
    <col min="10508" max="10508" width="1.85546875" style="179" customWidth="1"/>
    <col min="10509" max="10509" width="11.85546875" style="179" bestFit="1" customWidth="1"/>
    <col min="10510" max="10510" width="15.28515625" style="179" bestFit="1" customWidth="1"/>
    <col min="10511" max="10511" width="5" style="179" customWidth="1"/>
    <col min="10512" max="10512" width="10.42578125" style="179" bestFit="1" customWidth="1"/>
    <col min="10513" max="10513" width="5" style="179" customWidth="1"/>
    <col min="10514" max="10514" width="10.42578125" style="179" bestFit="1" customWidth="1"/>
    <col min="10515" max="10517" width="9" style="179"/>
    <col min="10518" max="10518" width="10.42578125" style="179" bestFit="1" customWidth="1"/>
    <col min="10519" max="10747" width="9" style="179"/>
    <col min="10748" max="10748" width="3.5703125" style="179" customWidth="1"/>
    <col min="10749" max="10749" width="4.85546875" style="179" customWidth="1"/>
    <col min="10750" max="10750" width="5.42578125" style="179" customWidth="1"/>
    <col min="10751" max="10751" width="31.28515625" style="179" customWidth="1"/>
    <col min="10752" max="10752" width="7.5703125" style="179" customWidth="1"/>
    <col min="10753" max="10753" width="2.42578125" style="179" customWidth="1"/>
    <col min="10754" max="10754" width="11.5703125" style="179" customWidth="1"/>
    <col min="10755" max="10755" width="2.42578125" style="179" customWidth="1"/>
    <col min="10756" max="10756" width="11.5703125" style="179" customWidth="1"/>
    <col min="10757" max="10757" width="2.42578125" style="179" customWidth="1"/>
    <col min="10758" max="10758" width="10.85546875" style="179" customWidth="1"/>
    <col min="10759" max="10759" width="2.42578125" style="179" customWidth="1"/>
    <col min="10760" max="10760" width="11.140625" style="179" customWidth="1"/>
    <col min="10761" max="10761" width="1.85546875" style="179" customWidth="1"/>
    <col min="10762" max="10762" width="11" style="179" customWidth="1"/>
    <col min="10763" max="10763" width="0.7109375" style="179" customWidth="1"/>
    <col min="10764" max="10764" width="1.85546875" style="179" customWidth="1"/>
    <col min="10765" max="10765" width="11.85546875" style="179" bestFit="1" customWidth="1"/>
    <col min="10766" max="10766" width="15.28515625" style="179" bestFit="1" customWidth="1"/>
    <col min="10767" max="10767" width="5" style="179" customWidth="1"/>
    <col min="10768" max="10768" width="10.42578125" style="179" bestFit="1" customWidth="1"/>
    <col min="10769" max="10769" width="5" style="179" customWidth="1"/>
    <col min="10770" max="10770" width="10.42578125" style="179" bestFit="1" customWidth="1"/>
    <col min="10771" max="10773" width="9" style="179"/>
    <col min="10774" max="10774" width="10.42578125" style="179" bestFit="1" customWidth="1"/>
    <col min="10775" max="11003" width="9" style="179"/>
    <col min="11004" max="11004" width="3.5703125" style="179" customWidth="1"/>
    <col min="11005" max="11005" width="4.85546875" style="179" customWidth="1"/>
    <col min="11006" max="11006" width="5.42578125" style="179" customWidth="1"/>
    <col min="11007" max="11007" width="31.28515625" style="179" customWidth="1"/>
    <col min="11008" max="11008" width="7.5703125" style="179" customWidth="1"/>
    <col min="11009" max="11009" width="2.42578125" style="179" customWidth="1"/>
    <col min="11010" max="11010" width="11.5703125" style="179" customWidth="1"/>
    <col min="11011" max="11011" width="2.42578125" style="179" customWidth="1"/>
    <col min="11012" max="11012" width="11.5703125" style="179" customWidth="1"/>
    <col min="11013" max="11013" width="2.42578125" style="179" customWidth="1"/>
    <col min="11014" max="11014" width="10.85546875" style="179" customWidth="1"/>
    <col min="11015" max="11015" width="2.42578125" style="179" customWidth="1"/>
    <col min="11016" max="11016" width="11.140625" style="179" customWidth="1"/>
    <col min="11017" max="11017" width="1.85546875" style="179" customWidth="1"/>
    <col min="11018" max="11018" width="11" style="179" customWidth="1"/>
    <col min="11019" max="11019" width="0.7109375" style="179" customWidth="1"/>
    <col min="11020" max="11020" width="1.85546875" style="179" customWidth="1"/>
    <col min="11021" max="11021" width="11.85546875" style="179" bestFit="1" customWidth="1"/>
    <col min="11022" max="11022" width="15.28515625" style="179" bestFit="1" customWidth="1"/>
    <col min="11023" max="11023" width="5" style="179" customWidth="1"/>
    <col min="11024" max="11024" width="10.42578125" style="179" bestFit="1" customWidth="1"/>
    <col min="11025" max="11025" width="5" style="179" customWidth="1"/>
    <col min="11026" max="11026" width="10.42578125" style="179" bestFit="1" customWidth="1"/>
    <col min="11027" max="11029" width="9" style="179"/>
    <col min="11030" max="11030" width="10.42578125" style="179" bestFit="1" customWidth="1"/>
    <col min="11031" max="11259" width="9" style="179"/>
    <col min="11260" max="11260" width="3.5703125" style="179" customWidth="1"/>
    <col min="11261" max="11261" width="4.85546875" style="179" customWidth="1"/>
    <col min="11262" max="11262" width="5.42578125" style="179" customWidth="1"/>
    <col min="11263" max="11263" width="31.28515625" style="179" customWidth="1"/>
    <col min="11264" max="11264" width="7.5703125" style="179" customWidth="1"/>
    <col min="11265" max="11265" width="2.42578125" style="179" customWidth="1"/>
    <col min="11266" max="11266" width="11.5703125" style="179" customWidth="1"/>
    <col min="11267" max="11267" width="2.42578125" style="179" customWidth="1"/>
    <col min="11268" max="11268" width="11.5703125" style="179" customWidth="1"/>
    <col min="11269" max="11269" width="2.42578125" style="179" customWidth="1"/>
    <col min="11270" max="11270" width="10.85546875" style="179" customWidth="1"/>
    <col min="11271" max="11271" width="2.42578125" style="179" customWidth="1"/>
    <col min="11272" max="11272" width="11.140625" style="179" customWidth="1"/>
    <col min="11273" max="11273" width="1.85546875" style="179" customWidth="1"/>
    <col min="11274" max="11274" width="11" style="179" customWidth="1"/>
    <col min="11275" max="11275" width="0.7109375" style="179" customWidth="1"/>
    <col min="11276" max="11276" width="1.85546875" style="179" customWidth="1"/>
    <col min="11277" max="11277" width="11.85546875" style="179" bestFit="1" customWidth="1"/>
    <col min="11278" max="11278" width="15.28515625" style="179" bestFit="1" customWidth="1"/>
    <col min="11279" max="11279" width="5" style="179" customWidth="1"/>
    <col min="11280" max="11280" width="10.42578125" style="179" bestFit="1" customWidth="1"/>
    <col min="11281" max="11281" width="5" style="179" customWidth="1"/>
    <col min="11282" max="11282" width="10.42578125" style="179" bestFit="1" customWidth="1"/>
    <col min="11283" max="11285" width="9" style="179"/>
    <col min="11286" max="11286" width="10.42578125" style="179" bestFit="1" customWidth="1"/>
    <col min="11287" max="11515" width="9" style="179"/>
    <col min="11516" max="11516" width="3.5703125" style="179" customWidth="1"/>
    <col min="11517" max="11517" width="4.85546875" style="179" customWidth="1"/>
    <col min="11518" max="11518" width="5.42578125" style="179" customWidth="1"/>
    <col min="11519" max="11519" width="31.28515625" style="179" customWidth="1"/>
    <col min="11520" max="11520" width="7.5703125" style="179" customWidth="1"/>
    <col min="11521" max="11521" width="2.42578125" style="179" customWidth="1"/>
    <col min="11522" max="11522" width="11.5703125" style="179" customWidth="1"/>
    <col min="11523" max="11523" width="2.42578125" style="179" customWidth="1"/>
    <col min="11524" max="11524" width="11.5703125" style="179" customWidth="1"/>
    <col min="11525" max="11525" width="2.42578125" style="179" customWidth="1"/>
    <col min="11526" max="11526" width="10.85546875" style="179" customWidth="1"/>
    <col min="11527" max="11527" width="2.42578125" style="179" customWidth="1"/>
    <col min="11528" max="11528" width="11.140625" style="179" customWidth="1"/>
    <col min="11529" max="11529" width="1.85546875" style="179" customWidth="1"/>
    <col min="11530" max="11530" width="11" style="179" customWidth="1"/>
    <col min="11531" max="11531" width="0.7109375" style="179" customWidth="1"/>
    <col min="11532" max="11532" width="1.85546875" style="179" customWidth="1"/>
    <col min="11533" max="11533" width="11.85546875" style="179" bestFit="1" customWidth="1"/>
    <col min="11534" max="11534" width="15.28515625" style="179" bestFit="1" customWidth="1"/>
    <col min="11535" max="11535" width="5" style="179" customWidth="1"/>
    <col min="11536" max="11536" width="10.42578125" style="179" bestFit="1" customWidth="1"/>
    <col min="11537" max="11537" width="5" style="179" customWidth="1"/>
    <col min="11538" max="11538" width="10.42578125" style="179" bestFit="1" customWidth="1"/>
    <col min="11539" max="11541" width="9" style="179"/>
    <col min="11542" max="11542" width="10.42578125" style="179" bestFit="1" customWidth="1"/>
    <col min="11543" max="11771" width="9" style="179"/>
    <col min="11772" max="11772" width="3.5703125" style="179" customWidth="1"/>
    <col min="11773" max="11773" width="4.85546875" style="179" customWidth="1"/>
    <col min="11774" max="11774" width="5.42578125" style="179" customWidth="1"/>
    <col min="11775" max="11775" width="31.28515625" style="179" customWidth="1"/>
    <col min="11776" max="11776" width="7.5703125" style="179" customWidth="1"/>
    <col min="11777" max="11777" width="2.42578125" style="179" customWidth="1"/>
    <col min="11778" max="11778" width="11.5703125" style="179" customWidth="1"/>
    <col min="11779" max="11779" width="2.42578125" style="179" customWidth="1"/>
    <col min="11780" max="11780" width="11.5703125" style="179" customWidth="1"/>
    <col min="11781" max="11781" width="2.42578125" style="179" customWidth="1"/>
    <col min="11782" max="11782" width="10.85546875" style="179" customWidth="1"/>
    <col min="11783" max="11783" width="2.42578125" style="179" customWidth="1"/>
    <col min="11784" max="11784" width="11.140625" style="179" customWidth="1"/>
    <col min="11785" max="11785" width="1.85546875" style="179" customWidth="1"/>
    <col min="11786" max="11786" width="11" style="179" customWidth="1"/>
    <col min="11787" max="11787" width="0.7109375" style="179" customWidth="1"/>
    <col min="11788" max="11788" width="1.85546875" style="179" customWidth="1"/>
    <col min="11789" max="11789" width="11.85546875" style="179" bestFit="1" customWidth="1"/>
    <col min="11790" max="11790" width="15.28515625" style="179" bestFit="1" customWidth="1"/>
    <col min="11791" max="11791" width="5" style="179" customWidth="1"/>
    <col min="11792" max="11792" width="10.42578125" style="179" bestFit="1" customWidth="1"/>
    <col min="11793" max="11793" width="5" style="179" customWidth="1"/>
    <col min="11794" max="11794" width="10.42578125" style="179" bestFit="1" customWidth="1"/>
    <col min="11795" max="11797" width="9" style="179"/>
    <col min="11798" max="11798" width="10.42578125" style="179" bestFit="1" customWidth="1"/>
    <col min="11799" max="12027" width="9" style="179"/>
    <col min="12028" max="12028" width="3.5703125" style="179" customWidth="1"/>
    <col min="12029" max="12029" width="4.85546875" style="179" customWidth="1"/>
    <col min="12030" max="12030" width="5.42578125" style="179" customWidth="1"/>
    <col min="12031" max="12031" width="31.28515625" style="179" customWidth="1"/>
    <col min="12032" max="12032" width="7.5703125" style="179" customWidth="1"/>
    <col min="12033" max="12033" width="2.42578125" style="179" customWidth="1"/>
    <col min="12034" max="12034" width="11.5703125" style="179" customWidth="1"/>
    <col min="12035" max="12035" width="2.42578125" style="179" customWidth="1"/>
    <col min="12036" max="12036" width="11.5703125" style="179" customWidth="1"/>
    <col min="12037" max="12037" width="2.42578125" style="179" customWidth="1"/>
    <col min="12038" max="12038" width="10.85546875" style="179" customWidth="1"/>
    <col min="12039" max="12039" width="2.42578125" style="179" customWidth="1"/>
    <col min="12040" max="12040" width="11.140625" style="179" customWidth="1"/>
    <col min="12041" max="12041" width="1.85546875" style="179" customWidth="1"/>
    <col min="12042" max="12042" width="11" style="179" customWidth="1"/>
    <col min="12043" max="12043" width="0.7109375" style="179" customWidth="1"/>
    <col min="12044" max="12044" width="1.85546875" style="179" customWidth="1"/>
    <col min="12045" max="12045" width="11.85546875" style="179" bestFit="1" customWidth="1"/>
    <col min="12046" max="12046" width="15.28515625" style="179" bestFit="1" customWidth="1"/>
    <col min="12047" max="12047" width="5" style="179" customWidth="1"/>
    <col min="12048" max="12048" width="10.42578125" style="179" bestFit="1" customWidth="1"/>
    <col min="12049" max="12049" width="5" style="179" customWidth="1"/>
    <col min="12050" max="12050" width="10.42578125" style="179" bestFit="1" customWidth="1"/>
    <col min="12051" max="12053" width="9" style="179"/>
    <col min="12054" max="12054" width="10.42578125" style="179" bestFit="1" customWidth="1"/>
    <col min="12055" max="12283" width="9" style="179"/>
    <col min="12284" max="12284" width="3.5703125" style="179" customWidth="1"/>
    <col min="12285" max="12285" width="4.85546875" style="179" customWidth="1"/>
    <col min="12286" max="12286" width="5.42578125" style="179" customWidth="1"/>
    <col min="12287" max="12287" width="31.28515625" style="179" customWidth="1"/>
    <col min="12288" max="12288" width="7.5703125" style="179" customWidth="1"/>
    <col min="12289" max="12289" width="2.42578125" style="179" customWidth="1"/>
    <col min="12290" max="12290" width="11.5703125" style="179" customWidth="1"/>
    <col min="12291" max="12291" width="2.42578125" style="179" customWidth="1"/>
    <col min="12292" max="12292" width="11.5703125" style="179" customWidth="1"/>
    <col min="12293" max="12293" width="2.42578125" style="179" customWidth="1"/>
    <col min="12294" max="12294" width="10.85546875" style="179" customWidth="1"/>
    <col min="12295" max="12295" width="2.42578125" style="179" customWidth="1"/>
    <col min="12296" max="12296" width="11.140625" style="179" customWidth="1"/>
    <col min="12297" max="12297" width="1.85546875" style="179" customWidth="1"/>
    <col min="12298" max="12298" width="11" style="179" customWidth="1"/>
    <col min="12299" max="12299" width="0.7109375" style="179" customWidth="1"/>
    <col min="12300" max="12300" width="1.85546875" style="179" customWidth="1"/>
    <col min="12301" max="12301" width="11.85546875" style="179" bestFit="1" customWidth="1"/>
    <col min="12302" max="12302" width="15.28515625" style="179" bestFit="1" customWidth="1"/>
    <col min="12303" max="12303" width="5" style="179" customWidth="1"/>
    <col min="12304" max="12304" width="10.42578125" style="179" bestFit="1" customWidth="1"/>
    <col min="12305" max="12305" width="5" style="179" customWidth="1"/>
    <col min="12306" max="12306" width="10.42578125" style="179" bestFit="1" customWidth="1"/>
    <col min="12307" max="12309" width="9" style="179"/>
    <col min="12310" max="12310" width="10.42578125" style="179" bestFit="1" customWidth="1"/>
    <col min="12311" max="12539" width="9" style="179"/>
    <col min="12540" max="12540" width="3.5703125" style="179" customWidth="1"/>
    <col min="12541" max="12541" width="4.85546875" style="179" customWidth="1"/>
    <col min="12542" max="12542" width="5.42578125" style="179" customWidth="1"/>
    <col min="12543" max="12543" width="31.28515625" style="179" customWidth="1"/>
    <col min="12544" max="12544" width="7.5703125" style="179" customWidth="1"/>
    <col min="12545" max="12545" width="2.42578125" style="179" customWidth="1"/>
    <col min="12546" max="12546" width="11.5703125" style="179" customWidth="1"/>
    <col min="12547" max="12547" width="2.42578125" style="179" customWidth="1"/>
    <col min="12548" max="12548" width="11.5703125" style="179" customWidth="1"/>
    <col min="12549" max="12549" width="2.42578125" style="179" customWidth="1"/>
    <col min="12550" max="12550" width="10.85546875" style="179" customWidth="1"/>
    <col min="12551" max="12551" width="2.42578125" style="179" customWidth="1"/>
    <col min="12552" max="12552" width="11.140625" style="179" customWidth="1"/>
    <col min="12553" max="12553" width="1.85546875" style="179" customWidth="1"/>
    <col min="12554" max="12554" width="11" style="179" customWidth="1"/>
    <col min="12555" max="12555" width="0.7109375" style="179" customWidth="1"/>
    <col min="12556" max="12556" width="1.85546875" style="179" customWidth="1"/>
    <col min="12557" max="12557" width="11.85546875" style="179" bestFit="1" customWidth="1"/>
    <col min="12558" max="12558" width="15.28515625" style="179" bestFit="1" customWidth="1"/>
    <col min="12559" max="12559" width="5" style="179" customWidth="1"/>
    <col min="12560" max="12560" width="10.42578125" style="179" bestFit="1" customWidth="1"/>
    <col min="12561" max="12561" width="5" style="179" customWidth="1"/>
    <col min="12562" max="12562" width="10.42578125" style="179" bestFit="1" customWidth="1"/>
    <col min="12563" max="12565" width="9" style="179"/>
    <col min="12566" max="12566" width="10.42578125" style="179" bestFit="1" customWidth="1"/>
    <col min="12567" max="12795" width="9" style="179"/>
    <col min="12796" max="12796" width="3.5703125" style="179" customWidth="1"/>
    <col min="12797" max="12797" width="4.85546875" style="179" customWidth="1"/>
    <col min="12798" max="12798" width="5.42578125" style="179" customWidth="1"/>
    <col min="12799" max="12799" width="31.28515625" style="179" customWidth="1"/>
    <col min="12800" max="12800" width="7.5703125" style="179" customWidth="1"/>
    <col min="12801" max="12801" width="2.42578125" style="179" customWidth="1"/>
    <col min="12802" max="12802" width="11.5703125" style="179" customWidth="1"/>
    <col min="12803" max="12803" width="2.42578125" style="179" customWidth="1"/>
    <col min="12804" max="12804" width="11.5703125" style="179" customWidth="1"/>
    <col min="12805" max="12805" width="2.42578125" style="179" customWidth="1"/>
    <col min="12806" max="12806" width="10.85546875" style="179" customWidth="1"/>
    <col min="12807" max="12807" width="2.42578125" style="179" customWidth="1"/>
    <col min="12808" max="12808" width="11.140625" style="179" customWidth="1"/>
    <col min="12809" max="12809" width="1.85546875" style="179" customWidth="1"/>
    <col min="12810" max="12810" width="11" style="179" customWidth="1"/>
    <col min="12811" max="12811" width="0.7109375" style="179" customWidth="1"/>
    <col min="12812" max="12812" width="1.85546875" style="179" customWidth="1"/>
    <col min="12813" max="12813" width="11.85546875" style="179" bestFit="1" customWidth="1"/>
    <col min="12814" max="12814" width="15.28515625" style="179" bestFit="1" customWidth="1"/>
    <col min="12815" max="12815" width="5" style="179" customWidth="1"/>
    <col min="12816" max="12816" width="10.42578125" style="179" bestFit="1" customWidth="1"/>
    <col min="12817" max="12817" width="5" style="179" customWidth="1"/>
    <col min="12818" max="12818" width="10.42578125" style="179" bestFit="1" customWidth="1"/>
    <col min="12819" max="12821" width="9" style="179"/>
    <col min="12822" max="12822" width="10.42578125" style="179" bestFit="1" customWidth="1"/>
    <col min="12823" max="13051" width="9" style="179"/>
    <col min="13052" max="13052" width="3.5703125" style="179" customWidth="1"/>
    <col min="13053" max="13053" width="4.85546875" style="179" customWidth="1"/>
    <col min="13054" max="13054" width="5.42578125" style="179" customWidth="1"/>
    <col min="13055" max="13055" width="31.28515625" style="179" customWidth="1"/>
    <col min="13056" max="13056" width="7.5703125" style="179" customWidth="1"/>
    <col min="13057" max="13057" width="2.42578125" style="179" customWidth="1"/>
    <col min="13058" max="13058" width="11.5703125" style="179" customWidth="1"/>
    <col min="13059" max="13059" width="2.42578125" style="179" customWidth="1"/>
    <col min="13060" max="13060" width="11.5703125" style="179" customWidth="1"/>
    <col min="13061" max="13061" width="2.42578125" style="179" customWidth="1"/>
    <col min="13062" max="13062" width="10.85546875" style="179" customWidth="1"/>
    <col min="13063" max="13063" width="2.42578125" style="179" customWidth="1"/>
    <col min="13064" max="13064" width="11.140625" style="179" customWidth="1"/>
    <col min="13065" max="13065" width="1.85546875" style="179" customWidth="1"/>
    <col min="13066" max="13066" width="11" style="179" customWidth="1"/>
    <col min="13067" max="13067" width="0.7109375" style="179" customWidth="1"/>
    <col min="13068" max="13068" width="1.85546875" style="179" customWidth="1"/>
    <col min="13069" max="13069" width="11.85546875" style="179" bestFit="1" customWidth="1"/>
    <col min="13070" max="13070" width="15.28515625" style="179" bestFit="1" customWidth="1"/>
    <col min="13071" max="13071" width="5" style="179" customWidth="1"/>
    <col min="13072" max="13072" width="10.42578125" style="179" bestFit="1" customWidth="1"/>
    <col min="13073" max="13073" width="5" style="179" customWidth="1"/>
    <col min="13074" max="13074" width="10.42578125" style="179" bestFit="1" customWidth="1"/>
    <col min="13075" max="13077" width="9" style="179"/>
    <col min="13078" max="13078" width="10.42578125" style="179" bestFit="1" customWidth="1"/>
    <col min="13079" max="13307" width="9" style="179"/>
    <col min="13308" max="13308" width="3.5703125" style="179" customWidth="1"/>
    <col min="13309" max="13309" width="4.85546875" style="179" customWidth="1"/>
    <col min="13310" max="13310" width="5.42578125" style="179" customWidth="1"/>
    <col min="13311" max="13311" width="31.28515625" style="179" customWidth="1"/>
    <col min="13312" max="13312" width="7.5703125" style="179" customWidth="1"/>
    <col min="13313" max="13313" width="2.42578125" style="179" customWidth="1"/>
    <col min="13314" max="13314" width="11.5703125" style="179" customWidth="1"/>
    <col min="13315" max="13315" width="2.42578125" style="179" customWidth="1"/>
    <col min="13316" max="13316" width="11.5703125" style="179" customWidth="1"/>
    <col min="13317" max="13317" width="2.42578125" style="179" customWidth="1"/>
    <col min="13318" max="13318" width="10.85546875" style="179" customWidth="1"/>
    <col min="13319" max="13319" width="2.42578125" style="179" customWidth="1"/>
    <col min="13320" max="13320" width="11.140625" style="179" customWidth="1"/>
    <col min="13321" max="13321" width="1.85546875" style="179" customWidth="1"/>
    <col min="13322" max="13322" width="11" style="179" customWidth="1"/>
    <col min="13323" max="13323" width="0.7109375" style="179" customWidth="1"/>
    <col min="13324" max="13324" width="1.85546875" style="179" customWidth="1"/>
    <col min="13325" max="13325" width="11.85546875" style="179" bestFit="1" customWidth="1"/>
    <col min="13326" max="13326" width="15.28515625" style="179" bestFit="1" customWidth="1"/>
    <col min="13327" max="13327" width="5" style="179" customWidth="1"/>
    <col min="13328" max="13328" width="10.42578125" style="179" bestFit="1" customWidth="1"/>
    <col min="13329" max="13329" width="5" style="179" customWidth="1"/>
    <col min="13330" max="13330" width="10.42578125" style="179" bestFit="1" customWidth="1"/>
    <col min="13331" max="13333" width="9" style="179"/>
    <col min="13334" max="13334" width="10.42578125" style="179" bestFit="1" customWidth="1"/>
    <col min="13335" max="13563" width="9" style="179"/>
    <col min="13564" max="13564" width="3.5703125" style="179" customWidth="1"/>
    <col min="13565" max="13565" width="4.85546875" style="179" customWidth="1"/>
    <col min="13566" max="13566" width="5.42578125" style="179" customWidth="1"/>
    <col min="13567" max="13567" width="31.28515625" style="179" customWidth="1"/>
    <col min="13568" max="13568" width="7.5703125" style="179" customWidth="1"/>
    <col min="13569" max="13569" width="2.42578125" style="179" customWidth="1"/>
    <col min="13570" max="13570" width="11.5703125" style="179" customWidth="1"/>
    <col min="13571" max="13571" width="2.42578125" style="179" customWidth="1"/>
    <col min="13572" max="13572" width="11.5703125" style="179" customWidth="1"/>
    <col min="13573" max="13573" width="2.42578125" style="179" customWidth="1"/>
    <col min="13574" max="13574" width="10.85546875" style="179" customWidth="1"/>
    <col min="13575" max="13575" width="2.42578125" style="179" customWidth="1"/>
    <col min="13576" max="13576" width="11.140625" style="179" customWidth="1"/>
    <col min="13577" max="13577" width="1.85546875" style="179" customWidth="1"/>
    <col min="13578" max="13578" width="11" style="179" customWidth="1"/>
    <col min="13579" max="13579" width="0.7109375" style="179" customWidth="1"/>
    <col min="13580" max="13580" width="1.85546875" style="179" customWidth="1"/>
    <col min="13581" max="13581" width="11.85546875" style="179" bestFit="1" customWidth="1"/>
    <col min="13582" max="13582" width="15.28515625" style="179" bestFit="1" customWidth="1"/>
    <col min="13583" max="13583" width="5" style="179" customWidth="1"/>
    <col min="13584" max="13584" width="10.42578125" style="179" bestFit="1" customWidth="1"/>
    <col min="13585" max="13585" width="5" style="179" customWidth="1"/>
    <col min="13586" max="13586" width="10.42578125" style="179" bestFit="1" customWidth="1"/>
    <col min="13587" max="13589" width="9" style="179"/>
    <col min="13590" max="13590" width="10.42578125" style="179" bestFit="1" customWidth="1"/>
    <col min="13591" max="13819" width="9" style="179"/>
    <col min="13820" max="13820" width="3.5703125" style="179" customWidth="1"/>
    <col min="13821" max="13821" width="4.85546875" style="179" customWidth="1"/>
    <col min="13822" max="13822" width="5.42578125" style="179" customWidth="1"/>
    <col min="13823" max="13823" width="31.28515625" style="179" customWidth="1"/>
    <col min="13824" max="13824" width="7.5703125" style="179" customWidth="1"/>
    <col min="13825" max="13825" width="2.42578125" style="179" customWidth="1"/>
    <col min="13826" max="13826" width="11.5703125" style="179" customWidth="1"/>
    <col min="13827" max="13827" width="2.42578125" style="179" customWidth="1"/>
    <col min="13828" max="13828" width="11.5703125" style="179" customWidth="1"/>
    <col min="13829" max="13829" width="2.42578125" style="179" customWidth="1"/>
    <col min="13830" max="13830" width="10.85546875" style="179" customWidth="1"/>
    <col min="13831" max="13831" width="2.42578125" style="179" customWidth="1"/>
    <col min="13832" max="13832" width="11.140625" style="179" customWidth="1"/>
    <col min="13833" max="13833" width="1.85546875" style="179" customWidth="1"/>
    <col min="13834" max="13834" width="11" style="179" customWidth="1"/>
    <col min="13835" max="13835" width="0.7109375" style="179" customWidth="1"/>
    <col min="13836" max="13836" width="1.85546875" style="179" customWidth="1"/>
    <col min="13837" max="13837" width="11.85546875" style="179" bestFit="1" customWidth="1"/>
    <col min="13838" max="13838" width="15.28515625" style="179" bestFit="1" customWidth="1"/>
    <col min="13839" max="13839" width="5" style="179" customWidth="1"/>
    <col min="13840" max="13840" width="10.42578125" style="179" bestFit="1" customWidth="1"/>
    <col min="13841" max="13841" width="5" style="179" customWidth="1"/>
    <col min="13842" max="13842" width="10.42578125" style="179" bestFit="1" customWidth="1"/>
    <col min="13843" max="13845" width="9" style="179"/>
    <col min="13846" max="13846" width="10.42578125" style="179" bestFit="1" customWidth="1"/>
    <col min="13847" max="14075" width="9" style="179"/>
    <col min="14076" max="14076" width="3.5703125" style="179" customWidth="1"/>
    <col min="14077" max="14077" width="4.85546875" style="179" customWidth="1"/>
    <col min="14078" max="14078" width="5.42578125" style="179" customWidth="1"/>
    <col min="14079" max="14079" width="31.28515625" style="179" customWidth="1"/>
    <col min="14080" max="14080" width="7.5703125" style="179" customWidth="1"/>
    <col min="14081" max="14081" width="2.42578125" style="179" customWidth="1"/>
    <col min="14082" max="14082" width="11.5703125" style="179" customWidth="1"/>
    <col min="14083" max="14083" width="2.42578125" style="179" customWidth="1"/>
    <col min="14084" max="14084" width="11.5703125" style="179" customWidth="1"/>
    <col min="14085" max="14085" width="2.42578125" style="179" customWidth="1"/>
    <col min="14086" max="14086" width="10.85546875" style="179" customWidth="1"/>
    <col min="14087" max="14087" width="2.42578125" style="179" customWidth="1"/>
    <col min="14088" max="14088" width="11.140625" style="179" customWidth="1"/>
    <col min="14089" max="14089" width="1.85546875" style="179" customWidth="1"/>
    <col min="14090" max="14090" width="11" style="179" customWidth="1"/>
    <col min="14091" max="14091" width="0.7109375" style="179" customWidth="1"/>
    <col min="14092" max="14092" width="1.85546875" style="179" customWidth="1"/>
    <col min="14093" max="14093" width="11.85546875" style="179" bestFit="1" customWidth="1"/>
    <col min="14094" max="14094" width="15.28515625" style="179" bestFit="1" customWidth="1"/>
    <col min="14095" max="14095" width="5" style="179" customWidth="1"/>
    <col min="14096" max="14096" width="10.42578125" style="179" bestFit="1" customWidth="1"/>
    <col min="14097" max="14097" width="5" style="179" customWidth="1"/>
    <col min="14098" max="14098" width="10.42578125" style="179" bestFit="1" customWidth="1"/>
    <col min="14099" max="14101" width="9" style="179"/>
    <col min="14102" max="14102" width="10.42578125" style="179" bestFit="1" customWidth="1"/>
    <col min="14103" max="14331" width="9" style="179"/>
    <col min="14332" max="14332" width="3.5703125" style="179" customWidth="1"/>
    <col min="14333" max="14333" width="4.85546875" style="179" customWidth="1"/>
    <col min="14334" max="14334" width="5.42578125" style="179" customWidth="1"/>
    <col min="14335" max="14335" width="31.28515625" style="179" customWidth="1"/>
    <col min="14336" max="14336" width="7.5703125" style="179" customWidth="1"/>
    <col min="14337" max="14337" width="2.42578125" style="179" customWidth="1"/>
    <col min="14338" max="14338" width="11.5703125" style="179" customWidth="1"/>
    <col min="14339" max="14339" width="2.42578125" style="179" customWidth="1"/>
    <col min="14340" max="14340" width="11.5703125" style="179" customWidth="1"/>
    <col min="14341" max="14341" width="2.42578125" style="179" customWidth="1"/>
    <col min="14342" max="14342" width="10.85546875" style="179" customWidth="1"/>
    <col min="14343" max="14343" width="2.42578125" style="179" customWidth="1"/>
    <col min="14344" max="14344" width="11.140625" style="179" customWidth="1"/>
    <col min="14345" max="14345" width="1.85546875" style="179" customWidth="1"/>
    <col min="14346" max="14346" width="11" style="179" customWidth="1"/>
    <col min="14347" max="14347" width="0.7109375" style="179" customWidth="1"/>
    <col min="14348" max="14348" width="1.85546875" style="179" customWidth="1"/>
    <col min="14349" max="14349" width="11.85546875" style="179" bestFit="1" customWidth="1"/>
    <col min="14350" max="14350" width="15.28515625" style="179" bestFit="1" customWidth="1"/>
    <col min="14351" max="14351" width="5" style="179" customWidth="1"/>
    <col min="14352" max="14352" width="10.42578125" style="179" bestFit="1" customWidth="1"/>
    <col min="14353" max="14353" width="5" style="179" customWidth="1"/>
    <col min="14354" max="14354" width="10.42578125" style="179" bestFit="1" customWidth="1"/>
    <col min="14355" max="14357" width="9" style="179"/>
    <col min="14358" max="14358" width="10.42578125" style="179" bestFit="1" customWidth="1"/>
    <col min="14359" max="14587" width="9" style="179"/>
    <col min="14588" max="14588" width="3.5703125" style="179" customWidth="1"/>
    <col min="14589" max="14589" width="4.85546875" style="179" customWidth="1"/>
    <col min="14590" max="14590" width="5.42578125" style="179" customWidth="1"/>
    <col min="14591" max="14591" width="31.28515625" style="179" customWidth="1"/>
    <col min="14592" max="14592" width="7.5703125" style="179" customWidth="1"/>
    <col min="14593" max="14593" width="2.42578125" style="179" customWidth="1"/>
    <col min="14594" max="14594" width="11.5703125" style="179" customWidth="1"/>
    <col min="14595" max="14595" width="2.42578125" style="179" customWidth="1"/>
    <col min="14596" max="14596" width="11.5703125" style="179" customWidth="1"/>
    <col min="14597" max="14597" width="2.42578125" style="179" customWidth="1"/>
    <col min="14598" max="14598" width="10.85546875" style="179" customWidth="1"/>
    <col min="14599" max="14599" width="2.42578125" style="179" customWidth="1"/>
    <col min="14600" max="14600" width="11.140625" style="179" customWidth="1"/>
    <col min="14601" max="14601" width="1.85546875" style="179" customWidth="1"/>
    <col min="14602" max="14602" width="11" style="179" customWidth="1"/>
    <col min="14603" max="14603" width="0.7109375" style="179" customWidth="1"/>
    <col min="14604" max="14604" width="1.85546875" style="179" customWidth="1"/>
    <col min="14605" max="14605" width="11.85546875" style="179" bestFit="1" customWidth="1"/>
    <col min="14606" max="14606" width="15.28515625" style="179" bestFit="1" customWidth="1"/>
    <col min="14607" max="14607" width="5" style="179" customWidth="1"/>
    <col min="14608" max="14608" width="10.42578125" style="179" bestFit="1" customWidth="1"/>
    <col min="14609" max="14609" width="5" style="179" customWidth="1"/>
    <col min="14610" max="14610" width="10.42578125" style="179" bestFit="1" customWidth="1"/>
    <col min="14611" max="14613" width="9" style="179"/>
    <col min="14614" max="14614" width="10.42578125" style="179" bestFit="1" customWidth="1"/>
    <col min="14615" max="14843" width="9" style="179"/>
    <col min="14844" max="14844" width="3.5703125" style="179" customWidth="1"/>
    <col min="14845" max="14845" width="4.85546875" style="179" customWidth="1"/>
    <col min="14846" max="14846" width="5.42578125" style="179" customWidth="1"/>
    <col min="14847" max="14847" width="31.28515625" style="179" customWidth="1"/>
    <col min="14848" max="14848" width="7.5703125" style="179" customWidth="1"/>
    <col min="14849" max="14849" width="2.42578125" style="179" customWidth="1"/>
    <col min="14850" max="14850" width="11.5703125" style="179" customWidth="1"/>
    <col min="14851" max="14851" width="2.42578125" style="179" customWidth="1"/>
    <col min="14852" max="14852" width="11.5703125" style="179" customWidth="1"/>
    <col min="14853" max="14853" width="2.42578125" style="179" customWidth="1"/>
    <col min="14854" max="14854" width="10.85546875" style="179" customWidth="1"/>
    <col min="14855" max="14855" width="2.42578125" style="179" customWidth="1"/>
    <col min="14856" max="14856" width="11.140625" style="179" customWidth="1"/>
    <col min="14857" max="14857" width="1.85546875" style="179" customWidth="1"/>
    <col min="14858" max="14858" width="11" style="179" customWidth="1"/>
    <col min="14859" max="14859" width="0.7109375" style="179" customWidth="1"/>
    <col min="14860" max="14860" width="1.85546875" style="179" customWidth="1"/>
    <col min="14861" max="14861" width="11.85546875" style="179" bestFit="1" customWidth="1"/>
    <col min="14862" max="14862" width="15.28515625" style="179" bestFit="1" customWidth="1"/>
    <col min="14863" max="14863" width="5" style="179" customWidth="1"/>
    <col min="14864" max="14864" width="10.42578125" style="179" bestFit="1" customWidth="1"/>
    <col min="14865" max="14865" width="5" style="179" customWidth="1"/>
    <col min="14866" max="14866" width="10.42578125" style="179" bestFit="1" customWidth="1"/>
    <col min="14867" max="14869" width="9" style="179"/>
    <col min="14870" max="14870" width="10.42578125" style="179" bestFit="1" customWidth="1"/>
    <col min="14871" max="15099" width="9" style="179"/>
    <col min="15100" max="15100" width="3.5703125" style="179" customWidth="1"/>
    <col min="15101" max="15101" width="4.85546875" style="179" customWidth="1"/>
    <col min="15102" max="15102" width="5.42578125" style="179" customWidth="1"/>
    <col min="15103" max="15103" width="31.28515625" style="179" customWidth="1"/>
    <col min="15104" max="15104" width="7.5703125" style="179" customWidth="1"/>
    <col min="15105" max="15105" width="2.42578125" style="179" customWidth="1"/>
    <col min="15106" max="15106" width="11.5703125" style="179" customWidth="1"/>
    <col min="15107" max="15107" width="2.42578125" style="179" customWidth="1"/>
    <col min="15108" max="15108" width="11.5703125" style="179" customWidth="1"/>
    <col min="15109" max="15109" width="2.42578125" style="179" customWidth="1"/>
    <col min="15110" max="15110" width="10.85546875" style="179" customWidth="1"/>
    <col min="15111" max="15111" width="2.42578125" style="179" customWidth="1"/>
    <col min="15112" max="15112" width="11.140625" style="179" customWidth="1"/>
    <col min="15113" max="15113" width="1.85546875" style="179" customWidth="1"/>
    <col min="15114" max="15114" width="11" style="179" customWidth="1"/>
    <col min="15115" max="15115" width="0.7109375" style="179" customWidth="1"/>
    <col min="15116" max="15116" width="1.85546875" style="179" customWidth="1"/>
    <col min="15117" max="15117" width="11.85546875" style="179" bestFit="1" customWidth="1"/>
    <col min="15118" max="15118" width="15.28515625" style="179" bestFit="1" customWidth="1"/>
    <col min="15119" max="15119" width="5" style="179" customWidth="1"/>
    <col min="15120" max="15120" width="10.42578125" style="179" bestFit="1" customWidth="1"/>
    <col min="15121" max="15121" width="5" style="179" customWidth="1"/>
    <col min="15122" max="15122" width="10.42578125" style="179" bestFit="1" customWidth="1"/>
    <col min="15123" max="15125" width="9" style="179"/>
    <col min="15126" max="15126" width="10.42578125" style="179" bestFit="1" customWidth="1"/>
    <col min="15127" max="15355" width="9" style="179"/>
    <col min="15356" max="15356" width="3.5703125" style="179" customWidth="1"/>
    <col min="15357" max="15357" width="4.85546875" style="179" customWidth="1"/>
    <col min="15358" max="15358" width="5.42578125" style="179" customWidth="1"/>
    <col min="15359" max="15359" width="31.28515625" style="179" customWidth="1"/>
    <col min="15360" max="15360" width="7.5703125" style="179" customWidth="1"/>
    <col min="15361" max="15361" width="2.42578125" style="179" customWidth="1"/>
    <col min="15362" max="15362" width="11.5703125" style="179" customWidth="1"/>
    <col min="15363" max="15363" width="2.42578125" style="179" customWidth="1"/>
    <col min="15364" max="15364" width="11.5703125" style="179" customWidth="1"/>
    <col min="15365" max="15365" width="2.42578125" style="179" customWidth="1"/>
    <col min="15366" max="15366" width="10.85546875" style="179" customWidth="1"/>
    <col min="15367" max="15367" width="2.42578125" style="179" customWidth="1"/>
    <col min="15368" max="15368" width="11.140625" style="179" customWidth="1"/>
    <col min="15369" max="15369" width="1.85546875" style="179" customWidth="1"/>
    <col min="15370" max="15370" width="11" style="179" customWidth="1"/>
    <col min="15371" max="15371" width="0.7109375" style="179" customWidth="1"/>
    <col min="15372" max="15372" width="1.85546875" style="179" customWidth="1"/>
    <col min="15373" max="15373" width="11.85546875" style="179" bestFit="1" customWidth="1"/>
    <col min="15374" max="15374" width="15.28515625" style="179" bestFit="1" customWidth="1"/>
    <col min="15375" max="15375" width="5" style="179" customWidth="1"/>
    <col min="15376" max="15376" width="10.42578125" style="179" bestFit="1" customWidth="1"/>
    <col min="15377" max="15377" width="5" style="179" customWidth="1"/>
    <col min="15378" max="15378" width="10.42578125" style="179" bestFit="1" customWidth="1"/>
    <col min="15379" max="15381" width="9" style="179"/>
    <col min="15382" max="15382" width="10.42578125" style="179" bestFit="1" customWidth="1"/>
    <col min="15383" max="15611" width="9" style="179"/>
    <col min="15612" max="15612" width="3.5703125" style="179" customWidth="1"/>
    <col min="15613" max="15613" width="4.85546875" style="179" customWidth="1"/>
    <col min="15614" max="15614" width="5.42578125" style="179" customWidth="1"/>
    <col min="15615" max="15615" width="31.28515625" style="179" customWidth="1"/>
    <col min="15616" max="15616" width="7.5703125" style="179" customWidth="1"/>
    <col min="15617" max="15617" width="2.42578125" style="179" customWidth="1"/>
    <col min="15618" max="15618" width="11.5703125" style="179" customWidth="1"/>
    <col min="15619" max="15619" width="2.42578125" style="179" customWidth="1"/>
    <col min="15620" max="15620" width="11.5703125" style="179" customWidth="1"/>
    <col min="15621" max="15621" width="2.42578125" style="179" customWidth="1"/>
    <col min="15622" max="15622" width="10.85546875" style="179" customWidth="1"/>
    <col min="15623" max="15623" width="2.42578125" style="179" customWidth="1"/>
    <col min="15624" max="15624" width="11.140625" style="179" customWidth="1"/>
    <col min="15625" max="15625" width="1.85546875" style="179" customWidth="1"/>
    <col min="15626" max="15626" width="11" style="179" customWidth="1"/>
    <col min="15627" max="15627" width="0.7109375" style="179" customWidth="1"/>
    <col min="15628" max="15628" width="1.85546875" style="179" customWidth="1"/>
    <col min="15629" max="15629" width="11.85546875" style="179" bestFit="1" customWidth="1"/>
    <col min="15630" max="15630" width="15.28515625" style="179" bestFit="1" customWidth="1"/>
    <col min="15631" max="15631" width="5" style="179" customWidth="1"/>
    <col min="15632" max="15632" width="10.42578125" style="179" bestFit="1" customWidth="1"/>
    <col min="15633" max="15633" width="5" style="179" customWidth="1"/>
    <col min="15634" max="15634" width="10.42578125" style="179" bestFit="1" customWidth="1"/>
    <col min="15635" max="15637" width="9" style="179"/>
    <col min="15638" max="15638" width="10.42578125" style="179" bestFit="1" customWidth="1"/>
    <col min="15639" max="15867" width="9" style="179"/>
    <col min="15868" max="15868" width="3.5703125" style="179" customWidth="1"/>
    <col min="15869" max="15869" width="4.85546875" style="179" customWidth="1"/>
    <col min="15870" max="15870" width="5.42578125" style="179" customWidth="1"/>
    <col min="15871" max="15871" width="31.28515625" style="179" customWidth="1"/>
    <col min="15872" max="15872" width="7.5703125" style="179" customWidth="1"/>
    <col min="15873" max="15873" width="2.42578125" style="179" customWidth="1"/>
    <col min="15874" max="15874" width="11.5703125" style="179" customWidth="1"/>
    <col min="15875" max="15875" width="2.42578125" style="179" customWidth="1"/>
    <col min="15876" max="15876" width="11.5703125" style="179" customWidth="1"/>
    <col min="15877" max="15877" width="2.42578125" style="179" customWidth="1"/>
    <col min="15878" max="15878" width="10.85546875" style="179" customWidth="1"/>
    <col min="15879" max="15879" width="2.42578125" style="179" customWidth="1"/>
    <col min="15880" max="15880" width="11.140625" style="179" customWidth="1"/>
    <col min="15881" max="15881" width="1.85546875" style="179" customWidth="1"/>
    <col min="15882" max="15882" width="11" style="179" customWidth="1"/>
    <col min="15883" max="15883" width="0.7109375" style="179" customWidth="1"/>
    <col min="15884" max="15884" width="1.85546875" style="179" customWidth="1"/>
    <col min="15885" max="15885" width="11.85546875" style="179" bestFit="1" customWidth="1"/>
    <col min="15886" max="15886" width="15.28515625" style="179" bestFit="1" customWidth="1"/>
    <col min="15887" max="15887" width="5" style="179" customWidth="1"/>
    <col min="15888" max="15888" width="10.42578125" style="179" bestFit="1" customWidth="1"/>
    <col min="15889" max="15889" width="5" style="179" customWidth="1"/>
    <col min="15890" max="15890" width="10.42578125" style="179" bestFit="1" customWidth="1"/>
    <col min="15891" max="15893" width="9" style="179"/>
    <col min="15894" max="15894" width="10.42578125" style="179" bestFit="1" customWidth="1"/>
    <col min="15895" max="16123" width="9" style="179"/>
    <col min="16124" max="16124" width="3.5703125" style="179" customWidth="1"/>
    <col min="16125" max="16125" width="4.85546875" style="179" customWidth="1"/>
    <col min="16126" max="16126" width="5.42578125" style="179" customWidth="1"/>
    <col min="16127" max="16127" width="31.28515625" style="179" customWidth="1"/>
    <col min="16128" max="16128" width="7.5703125" style="179" customWidth="1"/>
    <col min="16129" max="16129" width="2.42578125" style="179" customWidth="1"/>
    <col min="16130" max="16130" width="11.5703125" style="179" customWidth="1"/>
    <col min="16131" max="16131" width="2.42578125" style="179" customWidth="1"/>
    <col min="16132" max="16132" width="11.5703125" style="179" customWidth="1"/>
    <col min="16133" max="16133" width="2.42578125" style="179" customWidth="1"/>
    <col min="16134" max="16134" width="10.85546875" style="179" customWidth="1"/>
    <col min="16135" max="16135" width="2.42578125" style="179" customWidth="1"/>
    <col min="16136" max="16136" width="11.140625" style="179" customWidth="1"/>
    <col min="16137" max="16137" width="1.85546875" style="179" customWidth="1"/>
    <col min="16138" max="16138" width="11" style="179" customWidth="1"/>
    <col min="16139" max="16139" width="0.7109375" style="179" customWidth="1"/>
    <col min="16140" max="16140" width="1.85546875" style="179" customWidth="1"/>
    <col min="16141" max="16141" width="11.85546875" style="179" bestFit="1" customWidth="1"/>
    <col min="16142" max="16142" width="15.28515625" style="179" bestFit="1" customWidth="1"/>
    <col min="16143" max="16143" width="5" style="179" customWidth="1"/>
    <col min="16144" max="16144" width="10.42578125" style="179" bestFit="1" customWidth="1"/>
    <col min="16145" max="16145" width="5" style="179" customWidth="1"/>
    <col min="16146" max="16146" width="10.42578125" style="179" bestFit="1" customWidth="1"/>
    <col min="16147" max="16149" width="9" style="179"/>
    <col min="16150" max="16150" width="10.42578125" style="179" bestFit="1" customWidth="1"/>
    <col min="16151" max="16384" width="9" style="179"/>
  </cols>
  <sheetData>
    <row r="1" spans="1:17" s="224" customFormat="1" x14ac:dyDescent="0.55000000000000004">
      <c r="A1" s="1419" t="s">
        <v>261</v>
      </c>
      <c r="B1" s="1419"/>
      <c r="C1" s="1419"/>
      <c r="D1" s="1419"/>
      <c r="E1" s="1419"/>
      <c r="F1" s="1419"/>
      <c r="G1" s="1419"/>
      <c r="H1" s="1419"/>
      <c r="I1" s="1419"/>
      <c r="J1" s="1419"/>
      <c r="K1" s="1419"/>
      <c r="L1" s="1419"/>
      <c r="M1" s="1419"/>
      <c r="N1" s="223"/>
      <c r="O1" s="223"/>
      <c r="P1" s="223"/>
    </row>
    <row r="2" spans="1:17" s="224" customFormat="1" x14ac:dyDescent="0.55000000000000004">
      <c r="A2" s="1419" t="str">
        <f>تاريخچه!A2</f>
        <v>يادداشتهاي توضيحي صورتهاي مالي</v>
      </c>
      <c r="B2" s="1419" t="e">
        <f>#REF!</f>
        <v>#REF!</v>
      </c>
      <c r="C2" s="1419"/>
      <c r="D2" s="1419"/>
      <c r="E2" s="1419"/>
      <c r="F2" s="1419"/>
      <c r="G2" s="1419"/>
      <c r="H2" s="1419"/>
      <c r="I2" s="1419"/>
      <c r="J2" s="1419"/>
      <c r="K2" s="1419"/>
      <c r="L2" s="1419"/>
      <c r="M2" s="1419"/>
      <c r="N2" s="223"/>
      <c r="O2" s="223"/>
      <c r="P2" s="223"/>
    </row>
    <row r="3" spans="1:17" s="224" customFormat="1" x14ac:dyDescent="0.55000000000000004">
      <c r="A3" s="1419" t="str">
        <f>سودوزيان!A3</f>
        <v>سال مالی منتهی به 30 اسفند 1403</v>
      </c>
      <c r="B3" s="1419" t="e">
        <f>#REF!</f>
        <v>#REF!</v>
      </c>
      <c r="C3" s="1419"/>
      <c r="D3" s="1419"/>
      <c r="E3" s="1419"/>
      <c r="F3" s="1419"/>
      <c r="G3" s="1419"/>
      <c r="H3" s="1419"/>
      <c r="I3" s="1419"/>
      <c r="J3" s="1419"/>
      <c r="K3" s="1419"/>
      <c r="L3" s="1419"/>
      <c r="M3" s="1419"/>
      <c r="N3" s="223"/>
      <c r="O3" s="223"/>
      <c r="P3" s="223"/>
    </row>
    <row r="4" spans="1:17" s="224" customFormat="1" x14ac:dyDescent="0.55000000000000004">
      <c r="A4" s="225"/>
      <c r="B4" s="225"/>
      <c r="C4" s="225"/>
      <c r="D4" s="225"/>
      <c r="E4" s="225"/>
      <c r="F4" s="225"/>
      <c r="G4" s="225"/>
      <c r="H4" s="225"/>
      <c r="I4" s="225"/>
      <c r="J4" s="225"/>
      <c r="K4" s="225"/>
      <c r="L4" s="225"/>
      <c r="M4" s="225"/>
      <c r="N4" s="223"/>
      <c r="O4" s="223"/>
      <c r="P4" s="223"/>
    </row>
    <row r="5" spans="1:17" s="224" customFormat="1" x14ac:dyDescent="0.55000000000000004">
      <c r="A5" s="225"/>
      <c r="B5" s="225"/>
      <c r="C5" s="225"/>
      <c r="D5" s="225"/>
      <c r="E5" s="225"/>
      <c r="F5" s="225"/>
      <c r="G5" s="225"/>
      <c r="H5" s="225"/>
      <c r="I5" s="225"/>
      <c r="J5" s="225"/>
      <c r="K5" s="225"/>
      <c r="L5" s="225"/>
      <c r="M5" s="225"/>
      <c r="N5" s="223"/>
      <c r="O5" s="223"/>
      <c r="P5" s="223"/>
    </row>
    <row r="6" spans="1:17" ht="5.25" customHeight="1" x14ac:dyDescent="0.25"/>
    <row r="7" spans="1:17" s="226" customFormat="1" ht="18.75" customHeight="1" x14ac:dyDescent="0.6">
      <c r="B7" s="227"/>
      <c r="C7" s="227"/>
      <c r="D7" s="227"/>
      <c r="E7" s="227"/>
      <c r="F7" s="227"/>
      <c r="G7" s="227"/>
      <c r="H7" s="227"/>
      <c r="I7" s="227"/>
      <c r="J7" s="227"/>
      <c r="K7" s="227"/>
      <c r="L7" s="227"/>
      <c r="M7" s="227"/>
      <c r="N7" s="228"/>
      <c r="O7" s="229"/>
      <c r="P7" s="229"/>
    </row>
    <row r="8" spans="1:17" ht="24" x14ac:dyDescent="0.25">
      <c r="B8" s="1412" t="s">
        <v>1204</v>
      </c>
      <c r="C8" s="1412"/>
      <c r="D8" s="1412"/>
      <c r="E8" s="1412"/>
      <c r="F8" s="1412"/>
      <c r="G8" s="1412"/>
      <c r="H8" s="1412"/>
      <c r="I8" s="1412"/>
      <c r="J8" s="1412"/>
      <c r="K8" s="1412"/>
      <c r="L8" s="1412"/>
      <c r="M8" s="1412"/>
    </row>
    <row r="9" spans="1:17" ht="24" x14ac:dyDescent="0.6">
      <c r="C9" s="180"/>
      <c r="E9" s="1420">
        <v>1403</v>
      </c>
      <c r="F9" s="1420"/>
      <c r="G9" s="1420"/>
      <c r="I9" s="1420">
        <v>1402</v>
      </c>
      <c r="J9" s="1420"/>
      <c r="K9" s="1420"/>
    </row>
    <row r="10" spans="1:17" ht="29.25" customHeight="1" x14ac:dyDescent="0.6">
      <c r="C10" s="180"/>
      <c r="E10" s="230" t="s">
        <v>60</v>
      </c>
      <c r="F10" s="184"/>
      <c r="G10" s="230" t="s">
        <v>61</v>
      </c>
      <c r="I10" s="230" t="s">
        <v>60</v>
      </c>
      <c r="J10" s="184"/>
      <c r="K10" s="230" t="s">
        <v>61</v>
      </c>
    </row>
    <row r="11" spans="1:17" ht="24" x14ac:dyDescent="0.6">
      <c r="A11" s="179" t="s">
        <v>490</v>
      </c>
      <c r="C11" s="180"/>
      <c r="E11" s="190" t="s">
        <v>702</v>
      </c>
      <c r="F11" s="184"/>
      <c r="G11" s="191"/>
      <c r="I11" s="190" t="s">
        <v>702</v>
      </c>
      <c r="J11" s="184"/>
      <c r="K11" s="191"/>
    </row>
    <row r="12" spans="1:17" x14ac:dyDescent="0.55000000000000004">
      <c r="C12" s="231" t="s">
        <v>62</v>
      </c>
      <c r="E12" s="190">
        <f>5069706404634-1851134270372-47423060382</f>
        <v>3171149073880</v>
      </c>
      <c r="F12" s="194"/>
      <c r="G12" s="190">
        <f>E12/E14*100</f>
        <v>40.759135011926837</v>
      </c>
      <c r="I12" s="190">
        <v>3175532884389</v>
      </c>
      <c r="J12" s="194"/>
      <c r="K12" s="190">
        <f>I12/I14*100</f>
        <v>40.103597839840745</v>
      </c>
      <c r="N12" s="178">
        <f>E12-'5-10'!F9</f>
        <v>-1898557330754</v>
      </c>
      <c r="O12" s="179">
        <f>N12-'5'!H12</f>
        <v>1540242258202</v>
      </c>
    </row>
    <row r="13" spans="1:17" ht="23.25" customHeight="1" x14ac:dyDescent="0.55000000000000004">
      <c r="C13" s="231" t="s">
        <v>63</v>
      </c>
      <c r="E13" s="190">
        <f>سودوزيان!F9-'5-5'!E12</f>
        <v>4609067736295.3535</v>
      </c>
      <c r="F13" s="194"/>
      <c r="G13" s="190">
        <f>E13/E14*100</f>
        <v>59.240864988073163</v>
      </c>
      <c r="I13" s="233">
        <v>4742791294581</v>
      </c>
      <c r="J13" s="194"/>
      <c r="K13" s="190">
        <f>I13/I14*100</f>
        <v>59.896402160159255</v>
      </c>
      <c r="O13" s="1002">
        <f>N12/'5'!H12</f>
        <v>0.55209885939598802</v>
      </c>
    </row>
    <row r="14" spans="1:17" ht="29.25" customHeight="1" thickBot="1" x14ac:dyDescent="0.65">
      <c r="C14" s="180"/>
      <c r="E14" s="234">
        <f>SUM(E12:E13)</f>
        <v>7780216810175.3535</v>
      </c>
      <c r="F14" s="184"/>
      <c r="G14" s="212">
        <f>SUM(G12:G13)</f>
        <v>100</v>
      </c>
      <c r="I14" s="212">
        <f>SUM(I12:I13)</f>
        <v>7918324178970</v>
      </c>
      <c r="J14" s="184"/>
      <c r="K14" s="212">
        <f>SUM(K12:K13)</f>
        <v>100</v>
      </c>
      <c r="N14" s="178">
        <f>E14-'5'!H17</f>
        <v>0</v>
      </c>
      <c r="P14" s="179" t="b">
        <f>E14='5'!H17</f>
        <v>1</v>
      </c>
      <c r="Q14" s="179" t="b">
        <f>I14='5'!L17</f>
        <v>1</v>
      </c>
    </row>
    <row r="15" spans="1:17" ht="18.75" customHeight="1" thickTop="1" x14ac:dyDescent="0.6">
      <c r="C15" s="180"/>
      <c r="D15" s="180"/>
      <c r="E15" s="181"/>
      <c r="F15" s="189"/>
      <c r="G15" s="191"/>
      <c r="H15" s="184"/>
      <c r="I15" s="191"/>
      <c r="J15" s="184"/>
      <c r="K15" s="191"/>
      <c r="L15" s="184"/>
      <c r="M15" s="191"/>
    </row>
    <row r="16" spans="1:17" ht="39" customHeight="1" x14ac:dyDescent="0.25">
      <c r="B16" s="1418" t="s">
        <v>1205</v>
      </c>
      <c r="C16" s="1418"/>
      <c r="D16" s="1418"/>
      <c r="E16" s="1418"/>
      <c r="F16" s="1418"/>
      <c r="G16" s="1418"/>
      <c r="H16" s="1418"/>
      <c r="I16" s="1418"/>
      <c r="J16" s="1418"/>
      <c r="K16" s="1418"/>
      <c r="L16" s="1418"/>
      <c r="M16" s="1418"/>
    </row>
    <row r="17" spans="2:22" ht="18.75" customHeight="1" x14ac:dyDescent="0.25">
      <c r="B17" s="190"/>
      <c r="C17" s="190"/>
      <c r="D17" s="190"/>
      <c r="E17" s="190"/>
      <c r="F17" s="190"/>
      <c r="G17" s="190"/>
      <c r="H17" s="190"/>
      <c r="I17" s="190"/>
      <c r="J17" s="190"/>
      <c r="K17" s="190"/>
      <c r="L17" s="190"/>
      <c r="M17" s="190"/>
    </row>
    <row r="18" spans="2:22" s="237" customFormat="1" ht="24" x14ac:dyDescent="0.25">
      <c r="B18" s="235" t="s">
        <v>905</v>
      </c>
      <c r="C18" s="1408" t="s">
        <v>1005</v>
      </c>
      <c r="D18" s="1408"/>
      <c r="E18" s="1408"/>
      <c r="F18" s="1408"/>
      <c r="G18" s="1408"/>
      <c r="H18" s="1408"/>
      <c r="I18" s="1408"/>
      <c r="J18" s="1408"/>
      <c r="K18" s="1408"/>
      <c r="L18" s="1408"/>
      <c r="M18" s="1408"/>
      <c r="N18" s="236"/>
    </row>
    <row r="19" spans="2:22" ht="24" x14ac:dyDescent="0.25">
      <c r="B19" s="189"/>
      <c r="C19" s="181"/>
      <c r="D19" s="183"/>
      <c r="E19" s="1416">
        <v>1403</v>
      </c>
      <c r="F19" s="1416"/>
      <c r="G19" s="1416"/>
      <c r="H19" s="1416"/>
      <c r="I19" s="1416"/>
      <c r="J19" s="1416"/>
      <c r="K19" s="1416"/>
      <c r="L19" s="191"/>
      <c r="M19" s="240">
        <v>1402</v>
      </c>
    </row>
    <row r="20" spans="2:22" ht="48.75" thickBot="1" x14ac:dyDescent="0.3">
      <c r="B20" s="189"/>
      <c r="C20" s="181"/>
      <c r="D20" s="189"/>
      <c r="E20" s="241" t="s">
        <v>60</v>
      </c>
      <c r="F20" s="191"/>
      <c r="G20" s="241" t="s">
        <v>65</v>
      </c>
      <c r="H20" s="191"/>
      <c r="I20" s="241" t="s">
        <v>66</v>
      </c>
      <c r="J20" s="191"/>
      <c r="K20" s="241" t="s">
        <v>67</v>
      </c>
      <c r="L20" s="191"/>
      <c r="M20" s="241" t="s">
        <v>67</v>
      </c>
      <c r="O20" s="1415" t="s">
        <v>240</v>
      </c>
      <c r="P20" s="1415"/>
      <c r="Q20" s="1415"/>
    </row>
    <row r="21" spans="2:22" ht="23.25" thickBot="1" x14ac:dyDescent="0.3">
      <c r="B21" s="189"/>
      <c r="C21" s="183"/>
      <c r="D21" s="189"/>
      <c r="E21" s="190" t="s">
        <v>702</v>
      </c>
      <c r="F21" s="190"/>
      <c r="G21" s="190" t="s">
        <v>702</v>
      </c>
      <c r="H21" s="190"/>
      <c r="I21" s="190" t="s">
        <v>702</v>
      </c>
      <c r="J21" s="190"/>
      <c r="K21" s="190"/>
      <c r="L21" s="183"/>
      <c r="M21" s="190"/>
      <c r="O21" s="242" t="e">
        <f>'5'!#REF!-'5-5'!E29</f>
        <v>#REF!</v>
      </c>
      <c r="P21" s="243" t="e">
        <f>'6'!K29-'5-5'!G29</f>
        <v>#REF!</v>
      </c>
      <c r="Q21" s="244">
        <f>سودوزيان!F11-'5-5'!I29</f>
        <v>-213910762176.64648</v>
      </c>
    </row>
    <row r="22" spans="2:22" ht="24" x14ac:dyDescent="0.25">
      <c r="B22" s="189"/>
      <c r="C22" s="239" t="s">
        <v>68</v>
      </c>
      <c r="D22" s="189"/>
      <c r="E22" s="191"/>
      <c r="F22" s="191"/>
      <c r="G22" s="191"/>
      <c r="H22" s="191"/>
      <c r="I22" s="191"/>
      <c r="J22" s="191"/>
      <c r="K22" s="191"/>
      <c r="L22" s="183"/>
      <c r="M22" s="191"/>
      <c r="N22" s="208"/>
    </row>
    <row r="23" spans="2:22" ht="24.75" x14ac:dyDescent="0.25">
      <c r="B23" s="189"/>
      <c r="C23" s="245" t="s">
        <v>358</v>
      </c>
      <c r="D23" s="189"/>
      <c r="E23" s="190">
        <v>2878376445446</v>
      </c>
      <c r="F23" s="190"/>
      <c r="G23" s="190">
        <v>2308026557840</v>
      </c>
      <c r="H23" s="190"/>
      <c r="I23" s="190">
        <f t="shared" ref="I23:I28" si="0">E23-G23</f>
        <v>570349887606</v>
      </c>
      <c r="J23" s="190"/>
      <c r="K23" s="1001">
        <f>I23/E23*100</f>
        <v>19.814985927513909</v>
      </c>
      <c r="L23" s="1004"/>
      <c r="M23" s="1001">
        <v>36</v>
      </c>
      <c r="N23" s="208"/>
    </row>
    <row r="24" spans="2:22" ht="24.75" x14ac:dyDescent="0.25">
      <c r="B24" s="189"/>
      <c r="C24" s="245" t="s">
        <v>359</v>
      </c>
      <c r="D24" s="189"/>
      <c r="E24" s="190">
        <v>2543538915017</v>
      </c>
      <c r="F24" s="190"/>
      <c r="G24" s="190">
        <v>1610337864276</v>
      </c>
      <c r="H24" s="190"/>
      <c r="I24" s="190">
        <f t="shared" si="0"/>
        <v>933201050741</v>
      </c>
      <c r="J24" s="190"/>
      <c r="K24" s="1001">
        <f t="shared" ref="K24:K29" si="1">I24/E24*100</f>
        <v>36.68908091916348</v>
      </c>
      <c r="L24" s="1004"/>
      <c r="M24" s="1001">
        <v>51</v>
      </c>
      <c r="N24" s="208"/>
      <c r="P24" s="208"/>
      <c r="Q24" s="208"/>
      <c r="R24" s="208"/>
      <c r="S24" s="208"/>
      <c r="T24" s="208"/>
      <c r="U24" s="208"/>
      <c r="V24" s="208"/>
    </row>
    <row r="25" spans="2:22" ht="24.75" x14ac:dyDescent="0.25">
      <c r="B25" s="189"/>
      <c r="C25" s="246" t="s">
        <v>360</v>
      </c>
      <c r="D25" s="189"/>
      <c r="E25" s="190">
        <v>1482366306136</v>
      </c>
      <c r="F25" s="190"/>
      <c r="G25" s="190">
        <v>837885110608</v>
      </c>
      <c r="H25" s="190"/>
      <c r="I25" s="190">
        <f t="shared" si="0"/>
        <v>644481195528</v>
      </c>
      <c r="J25" s="190"/>
      <c r="K25" s="1001">
        <f t="shared" si="1"/>
        <v>43.476514061354543</v>
      </c>
      <c r="L25" s="1001"/>
      <c r="M25" s="1001">
        <v>42</v>
      </c>
      <c r="N25" s="208"/>
      <c r="P25" s="208"/>
      <c r="Q25" s="208"/>
      <c r="R25" s="208"/>
      <c r="S25" s="208"/>
      <c r="T25" s="208"/>
      <c r="U25" s="208"/>
      <c r="V25" s="208"/>
    </row>
    <row r="26" spans="2:22" ht="24.75" x14ac:dyDescent="0.25">
      <c r="B26" s="189"/>
      <c r="C26" s="247" t="s">
        <v>361</v>
      </c>
      <c r="D26" s="189"/>
      <c r="E26" s="190">
        <v>113790517570</v>
      </c>
      <c r="F26" s="190"/>
      <c r="G26" s="190">
        <v>116483865022</v>
      </c>
      <c r="H26" s="190"/>
      <c r="I26" s="190">
        <f t="shared" si="0"/>
        <v>-2693347452</v>
      </c>
      <c r="J26" s="190"/>
      <c r="K26" s="1001">
        <f t="shared" si="1"/>
        <v>-2.3669348813209723</v>
      </c>
      <c r="L26" s="1001"/>
      <c r="M26" s="1001">
        <v>-24</v>
      </c>
      <c r="N26" s="208"/>
      <c r="P26" s="208"/>
      <c r="Q26" s="208"/>
      <c r="R26" s="208"/>
      <c r="S26" s="208"/>
      <c r="T26" s="208"/>
      <c r="U26" s="208"/>
      <c r="V26" s="208"/>
    </row>
    <row r="27" spans="2:22" ht="24.75" x14ac:dyDescent="0.25">
      <c r="B27" s="189"/>
      <c r="C27" s="237" t="s">
        <v>362</v>
      </c>
      <c r="D27" s="189"/>
      <c r="E27" s="190">
        <v>447511078301</v>
      </c>
      <c r="F27" s="190"/>
      <c r="G27" s="190">
        <v>274198480069</v>
      </c>
      <c r="H27" s="190"/>
      <c r="I27" s="190">
        <f t="shared" si="0"/>
        <v>173312598232</v>
      </c>
      <c r="J27" s="190"/>
      <c r="K27" s="1001">
        <f t="shared" si="1"/>
        <v>38.728113478216144</v>
      </c>
      <c r="L27" s="1001"/>
      <c r="M27" s="1001">
        <v>-162</v>
      </c>
      <c r="N27" s="208"/>
      <c r="P27" s="208"/>
      <c r="Q27" s="208"/>
      <c r="R27" s="208"/>
      <c r="S27" s="208"/>
      <c r="T27" s="208"/>
      <c r="U27" s="208"/>
      <c r="V27" s="208"/>
    </row>
    <row r="28" spans="2:22" ht="24.75" x14ac:dyDescent="0.25">
      <c r="B28" s="189"/>
      <c r="C28" s="237" t="s">
        <v>524</v>
      </c>
      <c r="D28" s="189"/>
      <c r="E28" s="190">
        <v>12437553192</v>
      </c>
      <c r="F28" s="190"/>
      <c r="G28" s="190">
        <v>3780192600</v>
      </c>
      <c r="H28" s="190"/>
      <c r="I28" s="190">
        <f t="shared" si="0"/>
        <v>8657360592</v>
      </c>
      <c r="J28" s="190"/>
      <c r="K28" s="1001">
        <f t="shared" si="1"/>
        <v>69.606621642981438</v>
      </c>
      <c r="L28" s="1001"/>
      <c r="M28" s="1001">
        <v>40</v>
      </c>
      <c r="N28" s="208"/>
      <c r="P28" s="208"/>
      <c r="Q28" s="208"/>
      <c r="R28" s="208"/>
      <c r="S28" s="208"/>
      <c r="T28" s="208"/>
      <c r="U28" s="208"/>
      <c r="V28" s="208"/>
    </row>
    <row r="29" spans="2:22" s="1293" customFormat="1" ht="26.25" x14ac:dyDescent="0.25">
      <c r="B29" s="189"/>
      <c r="C29" s="189"/>
      <c r="D29" s="189"/>
      <c r="E29" s="1317">
        <f>SUM(E23:E28)</f>
        <v>7478020815662</v>
      </c>
      <c r="F29" s="1292"/>
      <c r="G29" s="1317">
        <f>SUM(G23:G28)</f>
        <v>5150712070415</v>
      </c>
      <c r="H29" s="1292"/>
      <c r="I29" s="1317">
        <f>SUM(I23:I28)</f>
        <v>2327308745247</v>
      </c>
      <c r="J29" s="1292"/>
      <c r="K29" s="1318">
        <f t="shared" si="1"/>
        <v>31.121988058293098</v>
      </c>
      <c r="L29" s="1291"/>
      <c r="M29" s="1319">
        <v>41</v>
      </c>
      <c r="N29" s="1307"/>
      <c r="O29" s="1293" t="b">
        <f>E29='5'!H9+'5'!H12</f>
        <v>1</v>
      </c>
    </row>
    <row r="30" spans="2:22" ht="26.25" hidden="1" x14ac:dyDescent="0.55000000000000004">
      <c r="B30" s="235"/>
      <c r="C30" s="248"/>
      <c r="D30" s="192"/>
      <c r="E30" s="191"/>
      <c r="F30" s="191"/>
      <c r="G30" s="191"/>
      <c r="H30" s="191"/>
      <c r="I30" s="191"/>
      <c r="J30" s="191"/>
      <c r="K30" s="1003"/>
      <c r="L30" s="1003"/>
      <c r="M30" s="1003"/>
      <c r="N30" s="208"/>
    </row>
    <row r="31" spans="2:22" ht="26.25" hidden="1" x14ac:dyDescent="0.55000000000000004">
      <c r="B31" s="235"/>
      <c r="C31" s="248"/>
      <c r="D31" s="192"/>
      <c r="E31" s="191"/>
      <c r="F31" s="191"/>
      <c r="G31" s="191"/>
      <c r="H31" s="191"/>
      <c r="I31" s="191"/>
      <c r="J31" s="191"/>
      <c r="K31" s="1005"/>
      <c r="L31" s="1003"/>
      <c r="M31" s="1003"/>
      <c r="N31" s="208"/>
    </row>
    <row r="32" spans="2:22" ht="26.25" hidden="1" x14ac:dyDescent="0.55000000000000004">
      <c r="B32" s="235"/>
      <c r="C32" s="248"/>
      <c r="D32" s="192"/>
      <c r="E32" s="191"/>
      <c r="F32" s="191"/>
      <c r="G32" s="191"/>
      <c r="H32" s="191"/>
      <c r="I32" s="191"/>
      <c r="J32" s="191"/>
      <c r="K32" s="1003"/>
      <c r="L32" s="1003"/>
      <c r="M32" s="1003"/>
      <c r="N32" s="208"/>
    </row>
    <row r="33" spans="2:15" ht="26.25" x14ac:dyDescent="0.55000000000000004">
      <c r="B33" s="235"/>
      <c r="C33" s="248"/>
      <c r="D33" s="192"/>
      <c r="E33" s="191"/>
      <c r="F33" s="191"/>
      <c r="G33" s="191"/>
      <c r="H33" s="191"/>
      <c r="I33" s="191"/>
      <c r="J33" s="191"/>
      <c r="K33" s="1003"/>
      <c r="L33" s="1003"/>
      <c r="M33" s="1003"/>
      <c r="N33" s="208"/>
    </row>
    <row r="34" spans="2:15" ht="24.75" x14ac:dyDescent="0.25">
      <c r="B34" s="189"/>
      <c r="C34" s="237" t="s">
        <v>64</v>
      </c>
      <c r="D34" s="189"/>
      <c r="E34" s="183">
        <v>159718781907</v>
      </c>
      <c r="F34" s="249"/>
      <c r="G34" s="183">
        <v>196307563357</v>
      </c>
      <c r="H34" s="249"/>
      <c r="I34" s="249">
        <f>E34-G34</f>
        <v>-36588781450</v>
      </c>
      <c r="J34" s="190"/>
      <c r="K34" s="1006">
        <f>I34/E34</f>
        <v>-0.22908252250073305</v>
      </c>
      <c r="L34" s="1001"/>
      <c r="M34" s="1006">
        <v>0.1</v>
      </c>
      <c r="N34" s="208"/>
      <c r="O34" s="179" t="b">
        <f>E34='5'!H15+'5'!H16</f>
        <v>1</v>
      </c>
    </row>
    <row r="35" spans="2:15" ht="14.25" customHeight="1" x14ac:dyDescent="0.25">
      <c r="B35" s="189"/>
      <c r="C35" s="250"/>
      <c r="D35" s="189"/>
      <c r="E35" s="191"/>
      <c r="F35" s="251"/>
      <c r="G35" s="191"/>
      <c r="H35" s="251"/>
      <c r="I35" s="191"/>
      <c r="J35" s="191"/>
      <c r="K35" s="1007"/>
      <c r="L35" s="1003"/>
      <c r="M35" s="1007"/>
    </row>
    <row r="36" spans="2:15" ht="41.25" customHeight="1" thickBot="1" x14ac:dyDescent="0.3">
      <c r="B36" s="189"/>
      <c r="C36" s="181"/>
      <c r="D36" s="189"/>
      <c r="E36" s="212">
        <f>E29+E34</f>
        <v>7637739597569</v>
      </c>
      <c r="F36" s="191"/>
      <c r="G36" s="212">
        <f>G29+G34+G33+G32+G31</f>
        <v>5347019633772</v>
      </c>
      <c r="H36" s="191"/>
      <c r="I36" s="212">
        <f>E36-G36</f>
        <v>2290719963797</v>
      </c>
      <c r="J36" s="191"/>
      <c r="K36" s="1008">
        <f>I36/E36</f>
        <v>0.2999211919356492</v>
      </c>
      <c r="L36" s="1003"/>
      <c r="M36" s="1008">
        <v>0.4</v>
      </c>
    </row>
    <row r="37" spans="2:15" ht="24.75" thickTop="1" x14ac:dyDescent="0.25">
      <c r="B37" s="189"/>
      <c r="C37" s="181"/>
      <c r="D37" s="189"/>
      <c r="E37" s="191"/>
      <c r="F37" s="191"/>
      <c r="G37" s="191"/>
      <c r="H37" s="191"/>
      <c r="I37" s="191"/>
      <c r="J37" s="191"/>
      <c r="K37" s="191"/>
      <c r="L37" s="191"/>
      <c r="M37" s="191"/>
      <c r="N37" s="178">
        <f>E29-'5'!H9-'5'!H12</f>
        <v>0</v>
      </c>
    </row>
    <row r="38" spans="2:15" ht="30" x14ac:dyDescent="0.25">
      <c r="B38" s="74" t="s">
        <v>1050</v>
      </c>
      <c r="C38" s="1417" t="s">
        <v>906</v>
      </c>
      <c r="D38" s="1417"/>
      <c r="E38" s="1417"/>
      <c r="F38" s="1417"/>
      <c r="G38" s="1417"/>
      <c r="H38" s="1417"/>
      <c r="I38" s="1417"/>
      <c r="J38" s="1417"/>
      <c r="K38" s="1417"/>
      <c r="L38" s="1417"/>
      <c r="M38" s="1417"/>
    </row>
    <row r="39" spans="2:15" ht="24" x14ac:dyDescent="0.25">
      <c r="B39" s="189"/>
      <c r="C39" s="181"/>
      <c r="D39" s="189"/>
      <c r="E39" s="191"/>
      <c r="F39" s="191"/>
      <c r="G39" s="191"/>
      <c r="H39" s="191"/>
      <c r="I39" s="191"/>
      <c r="J39" s="191"/>
      <c r="K39" s="191"/>
      <c r="L39" s="191"/>
      <c r="M39" s="191"/>
    </row>
    <row r="40" spans="2:15" ht="30" x14ac:dyDescent="0.25">
      <c r="B40" s="263"/>
      <c r="C40" s="264"/>
      <c r="D40" s="265"/>
      <c r="E40" s="1416">
        <v>1403</v>
      </c>
      <c r="F40" s="1416"/>
      <c r="G40" s="1416"/>
      <c r="H40" s="1416"/>
      <c r="I40" s="1416"/>
      <c r="J40" s="1416"/>
      <c r="K40" s="1416"/>
      <c r="L40" s="191"/>
      <c r="M40" s="240">
        <v>1402</v>
      </c>
    </row>
    <row r="41" spans="2:15" ht="63.75" customHeight="1" x14ac:dyDescent="0.25">
      <c r="B41" s="263"/>
      <c r="C41" s="264"/>
      <c r="D41" s="263"/>
      <c r="E41" s="268" t="s">
        <v>60</v>
      </c>
      <c r="F41" s="266"/>
      <c r="G41" s="268" t="s">
        <v>65</v>
      </c>
      <c r="H41" s="266"/>
      <c r="I41" s="268" t="s">
        <v>66</v>
      </c>
      <c r="J41" s="266"/>
      <c r="K41" s="241" t="s">
        <v>67</v>
      </c>
      <c r="L41" s="796"/>
      <c r="M41" s="241" t="s">
        <v>67</v>
      </c>
      <c r="N41" s="178">
        <f>G36+G50</f>
        <v>5666818827105</v>
      </c>
      <c r="O41" s="179">
        <f>'6-1'!I34</f>
        <v>5666818827105</v>
      </c>
    </row>
    <row r="42" spans="2:15" ht="27.75" x14ac:dyDescent="0.25">
      <c r="B42" s="263"/>
      <c r="C42" s="265"/>
      <c r="D42" s="263"/>
      <c r="E42" s="198" t="s">
        <v>702</v>
      </c>
      <c r="F42" s="198"/>
      <c r="G42" s="198" t="s">
        <v>702</v>
      </c>
      <c r="H42" s="198"/>
      <c r="I42" s="198" t="s">
        <v>702</v>
      </c>
      <c r="J42" s="198"/>
      <c r="K42" s="198"/>
      <c r="L42" s="191"/>
      <c r="M42" s="191"/>
      <c r="O42" s="179">
        <f>O41-N41</f>
        <v>0</v>
      </c>
    </row>
    <row r="43" spans="2:15" ht="30" x14ac:dyDescent="0.25">
      <c r="B43" s="263"/>
      <c r="C43" s="974" t="s">
        <v>68</v>
      </c>
      <c r="D43" s="263"/>
      <c r="E43" s="198"/>
      <c r="F43" s="266"/>
      <c r="G43" s="198"/>
      <c r="H43" s="266"/>
      <c r="I43" s="198">
        <f>G43-E43</f>
        <v>0</v>
      </c>
      <c r="J43" s="266"/>
      <c r="K43" s="266"/>
      <c r="L43" s="191"/>
      <c r="M43" s="191"/>
    </row>
    <row r="44" spans="2:15" ht="27.75" x14ac:dyDescent="0.25">
      <c r="B44" s="263"/>
      <c r="C44" s="270" t="s">
        <v>358</v>
      </c>
      <c r="D44" s="263"/>
      <c r="E44" s="198">
        <v>70585251315</v>
      </c>
      <c r="F44" s="198"/>
      <c r="G44" s="198">
        <v>178972628147</v>
      </c>
      <c r="H44" s="198"/>
      <c r="I44" s="198">
        <f t="shared" ref="I44:I49" si="2">E44-G44</f>
        <v>-108387376832</v>
      </c>
      <c r="J44" s="198"/>
      <c r="K44" s="1001">
        <f>I44/E44*100</f>
        <v>-153.55527509323568</v>
      </c>
      <c r="L44" s="1003"/>
      <c r="M44" s="1001">
        <v>-14</v>
      </c>
    </row>
    <row r="45" spans="2:15" ht="27.75" x14ac:dyDescent="0.25">
      <c r="B45" s="263"/>
      <c r="C45" s="270" t="s">
        <v>359</v>
      </c>
      <c r="D45" s="263"/>
      <c r="E45" s="198">
        <v>33631800393</v>
      </c>
      <c r="F45" s="198"/>
      <c r="G45" s="198">
        <v>73666440249</v>
      </c>
      <c r="H45" s="198"/>
      <c r="I45" s="198">
        <f t="shared" si="2"/>
        <v>-40034639856</v>
      </c>
      <c r="J45" s="198"/>
      <c r="K45" s="1001">
        <f>I45/E45*100</f>
        <v>-119.03805145184158</v>
      </c>
      <c r="L45" s="1003"/>
      <c r="M45" s="1001">
        <v>-37</v>
      </c>
    </row>
    <row r="46" spans="2:15" ht="27.75" x14ac:dyDescent="0.25">
      <c r="B46" s="263"/>
      <c r="C46" s="271" t="s">
        <v>360</v>
      </c>
      <c r="D46" s="263"/>
      <c r="E46" s="198">
        <v>17978290081</v>
      </c>
      <c r="F46" s="198"/>
      <c r="G46" s="198">
        <v>33980568775</v>
      </c>
      <c r="H46" s="198"/>
      <c r="I46" s="198">
        <f t="shared" si="2"/>
        <v>-16002278694</v>
      </c>
      <c r="J46" s="198"/>
      <c r="K46" s="1001">
        <f>I46/E46*100</f>
        <v>-89.008902525784094</v>
      </c>
      <c r="L46" s="1003"/>
      <c r="M46" s="1001">
        <v>-22</v>
      </c>
    </row>
    <row r="47" spans="2:15" ht="27.75" x14ac:dyDescent="0.25">
      <c r="B47" s="263"/>
      <c r="C47" s="272" t="s">
        <v>361</v>
      </c>
      <c r="D47" s="263"/>
      <c r="E47" s="198">
        <v>8769651526</v>
      </c>
      <c r="F47" s="198"/>
      <c r="G47" s="198">
        <v>17754058173</v>
      </c>
      <c r="H47" s="198"/>
      <c r="I47" s="198">
        <f t="shared" si="2"/>
        <v>-8984406647</v>
      </c>
      <c r="J47" s="198"/>
      <c r="K47" s="1001">
        <f>I47/E47*100</f>
        <v>-102.44884440805089</v>
      </c>
      <c r="L47" s="1003"/>
      <c r="M47" s="1001">
        <v>-1</v>
      </c>
    </row>
    <row r="48" spans="2:15" ht="27.75" x14ac:dyDescent="0.25">
      <c r="B48" s="263"/>
      <c r="C48" s="258" t="s">
        <v>362</v>
      </c>
      <c r="D48" s="263"/>
      <c r="E48" s="198">
        <v>11512219291</v>
      </c>
      <c r="F48" s="198"/>
      <c r="G48" s="198">
        <v>15425497989</v>
      </c>
      <c r="H48" s="198"/>
      <c r="I48" s="198">
        <f t="shared" si="2"/>
        <v>-3913278698</v>
      </c>
      <c r="J48" s="198"/>
      <c r="K48" s="1001">
        <f>I48/E48*100</f>
        <v>-33.992391901875216</v>
      </c>
      <c r="L48" s="1003"/>
      <c r="M48" s="1001">
        <v>0</v>
      </c>
    </row>
    <row r="49" spans="1:14" ht="27.75" hidden="1" x14ac:dyDescent="0.25">
      <c r="B49" s="263"/>
      <c r="C49" s="258" t="s">
        <v>524</v>
      </c>
      <c r="D49" s="263"/>
      <c r="E49" s="198">
        <v>0</v>
      </c>
      <c r="F49" s="198"/>
      <c r="G49" s="198">
        <v>0</v>
      </c>
      <c r="H49" s="198"/>
      <c r="I49" s="198">
        <f t="shared" si="2"/>
        <v>0</v>
      </c>
      <c r="J49" s="198"/>
      <c r="K49" s="1001">
        <v>0</v>
      </c>
      <c r="L49" s="1003"/>
      <c r="M49" s="1001"/>
    </row>
    <row r="50" spans="1:14" s="1293" customFormat="1" ht="30" x14ac:dyDescent="0.25">
      <c r="A50" s="189"/>
      <c r="B50" s="263"/>
      <c r="C50" s="263"/>
      <c r="D50" s="263"/>
      <c r="E50" s="1316">
        <f>SUM(E44:E49)</f>
        <v>142477212606</v>
      </c>
      <c r="F50" s="264"/>
      <c r="G50" s="1316">
        <f>SUM(G44:G49)</f>
        <v>319799193333</v>
      </c>
      <c r="H50" s="264"/>
      <c r="I50" s="1316">
        <f>SUM(I44:I49)</f>
        <v>-177321980727</v>
      </c>
      <c r="J50" s="264"/>
      <c r="K50" s="1318">
        <f>I50/E50*100</f>
        <v>-124.45637971410778</v>
      </c>
      <c r="L50" s="1003"/>
      <c r="M50" s="1318">
        <v>-26</v>
      </c>
      <c r="N50" s="1294"/>
    </row>
    <row r="51" spans="1:14" ht="24" x14ac:dyDescent="0.25">
      <c r="B51" s="189"/>
      <c r="C51" s="181"/>
      <c r="D51" s="189"/>
      <c r="E51" s="191"/>
      <c r="F51" s="191"/>
      <c r="G51" s="191"/>
      <c r="H51" s="191"/>
      <c r="I51" s="191"/>
      <c r="J51" s="191"/>
      <c r="K51" s="191"/>
      <c r="L51" s="191"/>
      <c r="M51" s="191"/>
      <c r="N51" s="178">
        <f>N50-E50</f>
        <v>-142477212606</v>
      </c>
    </row>
    <row r="52" spans="1:14" ht="30.75" customHeight="1" x14ac:dyDescent="0.25">
      <c r="B52" s="189"/>
      <c r="C52" s="181"/>
      <c r="D52" s="189"/>
      <c r="E52" s="191"/>
      <c r="F52" s="191"/>
      <c r="G52" s="191"/>
      <c r="H52" s="191"/>
      <c r="I52" s="191"/>
      <c r="J52" s="191"/>
      <c r="K52" s="191"/>
      <c r="L52" s="191"/>
      <c r="M52" s="191"/>
    </row>
    <row r="53" spans="1:14" ht="24" customHeight="1" x14ac:dyDescent="0.25">
      <c r="A53" s="1407">
        <v>10</v>
      </c>
      <c r="B53" s="1407"/>
      <c r="C53" s="1407"/>
      <c r="D53" s="1407"/>
      <c r="E53" s="1407"/>
      <c r="F53" s="1407"/>
      <c r="G53" s="1407"/>
      <c r="H53" s="1407"/>
      <c r="I53" s="1407"/>
      <c r="J53" s="1407"/>
      <c r="K53" s="1407"/>
      <c r="L53" s="1407"/>
      <c r="M53" s="1407"/>
    </row>
    <row r="54" spans="1:14" ht="24" customHeight="1" x14ac:dyDescent="0.25">
      <c r="A54" s="1175">
        <v>10</v>
      </c>
      <c r="B54" s="1175"/>
      <c r="C54" s="1175"/>
      <c r="D54" s="1175"/>
      <c r="E54" s="1175"/>
      <c r="F54" s="1175"/>
      <c r="G54" s="1175"/>
      <c r="H54" s="1175"/>
      <c r="I54" s="1175"/>
      <c r="J54" s="1175"/>
      <c r="K54" s="1175"/>
      <c r="L54" s="1175"/>
      <c r="M54" s="1175"/>
    </row>
    <row r="55" spans="1:14" ht="24" customHeight="1" x14ac:dyDescent="0.25">
      <c r="A55" s="1174"/>
      <c r="B55" s="1174"/>
      <c r="C55" s="1174"/>
      <c r="D55" s="1174"/>
      <c r="E55" s="1174"/>
      <c r="F55" s="1174"/>
      <c r="G55" s="1174"/>
      <c r="H55" s="1174"/>
      <c r="I55" s="1174"/>
      <c r="J55" s="1174"/>
      <c r="K55" s="1174"/>
      <c r="L55" s="1174"/>
      <c r="M55" s="1174"/>
    </row>
    <row r="56" spans="1:14" x14ac:dyDescent="0.25">
      <c r="A56" s="1173"/>
      <c r="B56" s="1173"/>
      <c r="C56" s="1173"/>
      <c r="D56" s="1173"/>
      <c r="E56" s="1173"/>
      <c r="F56" s="1173"/>
      <c r="G56" s="1173"/>
      <c r="H56" s="1173"/>
      <c r="I56" s="1173"/>
      <c r="J56" s="1173"/>
      <c r="K56" s="1173"/>
      <c r="L56" s="1173"/>
      <c r="M56" s="1173"/>
    </row>
    <row r="57" spans="1:14" x14ac:dyDescent="0.25">
      <c r="A57" s="1173"/>
      <c r="B57" s="1173"/>
      <c r="C57" s="1173"/>
      <c r="D57" s="1173"/>
      <c r="E57" s="1173"/>
      <c r="F57" s="1173"/>
      <c r="G57" s="1173"/>
      <c r="H57" s="1173"/>
      <c r="I57" s="1173"/>
      <c r="J57" s="1173"/>
      <c r="K57" s="1173"/>
      <c r="L57" s="1173"/>
      <c r="M57" s="1173"/>
    </row>
    <row r="58" spans="1:14" x14ac:dyDescent="0.25">
      <c r="A58" s="1174"/>
      <c r="B58" s="1174"/>
      <c r="C58" s="1174"/>
      <c r="D58" s="1174"/>
      <c r="E58" s="1174"/>
      <c r="F58" s="1174"/>
      <c r="G58" s="1174"/>
      <c r="H58" s="1174"/>
      <c r="I58" s="1174"/>
      <c r="J58" s="1174"/>
      <c r="K58" s="1174"/>
      <c r="L58" s="1174"/>
      <c r="M58" s="1174"/>
    </row>
    <row r="59" spans="1:14" ht="24" x14ac:dyDescent="0.25">
      <c r="B59" s="189"/>
      <c r="C59" s="181"/>
      <c r="D59" s="189"/>
      <c r="E59" s="191"/>
      <c r="F59" s="191"/>
      <c r="G59" s="191"/>
      <c r="H59" s="191"/>
      <c r="I59" s="191"/>
      <c r="J59" s="191"/>
      <c r="K59" s="191"/>
      <c r="L59" s="191"/>
      <c r="M59" s="191"/>
    </row>
    <row r="60" spans="1:14" ht="24" x14ac:dyDescent="0.6">
      <c r="B60" s="189"/>
      <c r="C60" s="181"/>
      <c r="D60" s="189"/>
      <c r="E60" s="191"/>
      <c r="F60" s="191"/>
      <c r="G60" s="191"/>
      <c r="H60" s="191"/>
      <c r="I60" s="185"/>
      <c r="J60" s="191"/>
      <c r="K60" s="185"/>
      <c r="L60" s="191"/>
      <c r="M60" s="191"/>
    </row>
    <row r="61" spans="1:14" ht="24" x14ac:dyDescent="0.25">
      <c r="B61" s="252"/>
      <c r="C61" s="253"/>
      <c r="D61" s="189"/>
      <c r="E61" s="254"/>
      <c r="F61" s="191"/>
      <c r="G61" s="254"/>
      <c r="H61" s="191"/>
      <c r="I61" s="190"/>
      <c r="J61" s="191"/>
      <c r="K61" s="190"/>
      <c r="L61" s="191"/>
      <c r="M61" s="191"/>
    </row>
    <row r="62" spans="1:14" ht="24" x14ac:dyDescent="0.25">
      <c r="B62" s="235"/>
      <c r="C62" s="231"/>
      <c r="D62" s="231"/>
      <c r="E62" s="231"/>
      <c r="F62" s="255"/>
      <c r="G62" s="190"/>
      <c r="H62" s="255"/>
      <c r="I62" s="190"/>
      <c r="J62" s="255"/>
      <c r="K62" s="190"/>
      <c r="L62" s="191"/>
      <c r="M62" s="191"/>
    </row>
    <row r="63" spans="1:14" ht="24" x14ac:dyDescent="0.25">
      <c r="B63" s="231"/>
      <c r="C63" s="231"/>
      <c r="D63" s="231"/>
      <c r="E63" s="231"/>
      <c r="F63" s="255"/>
      <c r="G63" s="190"/>
      <c r="H63" s="255"/>
      <c r="I63" s="190"/>
      <c r="J63" s="255"/>
      <c r="K63" s="190"/>
      <c r="L63" s="191"/>
      <c r="M63" s="191"/>
    </row>
    <row r="64" spans="1:14" ht="24" x14ac:dyDescent="0.25">
      <c r="B64" s="231"/>
      <c r="C64" s="231"/>
      <c r="D64" s="231"/>
      <c r="E64" s="231"/>
      <c r="F64" s="255"/>
      <c r="G64" s="190"/>
      <c r="H64" s="255"/>
      <c r="I64" s="190"/>
      <c r="J64" s="255"/>
      <c r="K64" s="190"/>
      <c r="L64" s="191"/>
      <c r="M64" s="191"/>
    </row>
    <row r="65" spans="2:13" ht="24" x14ac:dyDescent="0.25">
      <c r="B65" s="231"/>
      <c r="C65" s="231"/>
      <c r="D65" s="231"/>
      <c r="E65" s="231"/>
      <c r="F65" s="255"/>
      <c r="G65" s="190"/>
      <c r="H65" s="255"/>
      <c r="I65" s="190"/>
      <c r="J65" s="255"/>
      <c r="K65" s="190"/>
      <c r="L65" s="191"/>
      <c r="M65" s="191"/>
    </row>
    <row r="66" spans="2:13" ht="24" x14ac:dyDescent="0.25">
      <c r="B66" s="231"/>
      <c r="C66" s="231"/>
      <c r="D66" s="231"/>
      <c r="E66" s="231"/>
      <c r="F66" s="255"/>
      <c r="G66" s="190"/>
      <c r="H66" s="255"/>
      <c r="I66" s="190"/>
      <c r="J66" s="255"/>
      <c r="K66" s="190"/>
      <c r="L66" s="191"/>
      <c r="M66" s="191"/>
    </row>
    <row r="67" spans="2:13" ht="24" x14ac:dyDescent="0.25">
      <c r="B67" s="231"/>
      <c r="C67" s="231"/>
      <c r="D67" s="231"/>
      <c r="E67" s="231"/>
      <c r="F67" s="255"/>
      <c r="G67" s="190"/>
      <c r="H67" s="255"/>
      <c r="I67" s="190"/>
      <c r="J67" s="255"/>
      <c r="K67" s="190"/>
      <c r="L67" s="191"/>
      <c r="M67" s="191"/>
    </row>
    <row r="68" spans="2:13" ht="24" x14ac:dyDescent="0.25">
      <c r="B68" s="231"/>
      <c r="C68" s="231"/>
      <c r="D68" s="231"/>
      <c r="E68" s="231"/>
      <c r="F68" s="255"/>
      <c r="G68" s="190"/>
      <c r="H68" s="255"/>
      <c r="I68" s="190"/>
      <c r="J68" s="255"/>
      <c r="K68" s="190"/>
      <c r="L68" s="191"/>
      <c r="M68" s="191"/>
    </row>
    <row r="69" spans="2:13" ht="24" x14ac:dyDescent="0.25">
      <c r="B69" s="231"/>
      <c r="C69" s="231"/>
      <c r="D69" s="231"/>
      <c r="E69" s="231"/>
      <c r="F69" s="255"/>
      <c r="G69" s="190"/>
      <c r="H69" s="255"/>
      <c r="I69" s="190"/>
      <c r="J69" s="255"/>
      <c r="K69" s="190"/>
      <c r="L69" s="191"/>
      <c r="M69" s="191"/>
    </row>
    <row r="70" spans="2:13" ht="24" x14ac:dyDescent="0.25">
      <c r="B70" s="231"/>
      <c r="C70" s="231"/>
      <c r="D70" s="231"/>
      <c r="E70" s="231"/>
      <c r="F70" s="255"/>
      <c r="G70" s="190"/>
      <c r="H70" s="255"/>
      <c r="I70" s="190"/>
      <c r="J70" s="255"/>
      <c r="K70" s="190"/>
      <c r="L70" s="191"/>
      <c r="M70" s="191"/>
    </row>
    <row r="71" spans="2:13" ht="24" x14ac:dyDescent="0.25">
      <c r="B71" s="231"/>
      <c r="C71" s="231"/>
      <c r="D71" s="231"/>
      <c r="E71" s="231"/>
      <c r="F71" s="255"/>
      <c r="G71" s="190"/>
      <c r="H71" s="255"/>
      <c r="I71" s="190"/>
      <c r="J71" s="255"/>
      <c r="K71" s="190"/>
      <c r="L71" s="191"/>
      <c r="M71" s="191"/>
    </row>
    <row r="72" spans="2:13" ht="24" x14ac:dyDescent="0.25">
      <c r="B72" s="231"/>
      <c r="C72" s="231"/>
      <c r="D72" s="231"/>
      <c r="E72" s="231"/>
      <c r="F72" s="255"/>
      <c r="G72" s="190"/>
      <c r="H72" s="255"/>
      <c r="I72" s="190"/>
      <c r="J72" s="255"/>
      <c r="K72" s="190"/>
      <c r="L72" s="191"/>
      <c r="M72" s="191"/>
    </row>
    <row r="73" spans="2:13" ht="24" x14ac:dyDescent="0.25">
      <c r="B73" s="231"/>
      <c r="C73" s="231"/>
      <c r="D73" s="231"/>
      <c r="E73" s="231"/>
      <c r="F73" s="255"/>
      <c r="G73" s="190"/>
      <c r="H73" s="255"/>
      <c r="I73" s="190"/>
      <c r="J73" s="255"/>
      <c r="K73" s="190"/>
      <c r="L73" s="191"/>
      <c r="M73" s="191"/>
    </row>
    <row r="74" spans="2:13" ht="24" x14ac:dyDescent="0.25">
      <c r="B74" s="231"/>
      <c r="C74" s="231"/>
      <c r="D74" s="231"/>
      <c r="E74" s="231"/>
      <c r="F74" s="255"/>
      <c r="G74" s="190"/>
      <c r="H74" s="255"/>
      <c r="I74" s="190"/>
      <c r="J74" s="255"/>
      <c r="K74" s="190"/>
      <c r="L74" s="191"/>
      <c r="M74" s="191"/>
    </row>
    <row r="75" spans="2:13" ht="24" x14ac:dyDescent="0.25">
      <c r="B75" s="231"/>
      <c r="C75" s="231"/>
      <c r="D75" s="231"/>
      <c r="E75" s="231"/>
      <c r="F75" s="255"/>
      <c r="G75" s="190"/>
      <c r="H75" s="255"/>
      <c r="I75" s="190"/>
      <c r="J75" s="255"/>
      <c r="K75" s="190"/>
      <c r="L75" s="191"/>
      <c r="M75" s="191"/>
    </row>
    <row r="76" spans="2:13" ht="36.75" customHeight="1" x14ac:dyDescent="0.25">
      <c r="B76" s="231"/>
      <c r="C76" s="231"/>
      <c r="D76" s="231"/>
      <c r="E76" s="231"/>
      <c r="F76" s="255"/>
      <c r="G76" s="190"/>
      <c r="H76" s="255"/>
      <c r="I76" s="190"/>
      <c r="J76" s="255"/>
      <c r="K76" s="190"/>
      <c r="L76" s="191"/>
      <c r="M76" s="191"/>
    </row>
    <row r="77" spans="2:13" ht="24" x14ac:dyDescent="0.25">
      <c r="B77" s="231"/>
      <c r="C77" s="231"/>
      <c r="D77" s="231"/>
      <c r="E77" s="231"/>
      <c r="F77" s="255"/>
      <c r="G77" s="190"/>
      <c r="H77" s="255"/>
      <c r="I77" s="233"/>
      <c r="J77" s="255"/>
      <c r="K77" s="233"/>
      <c r="L77" s="191"/>
      <c r="M77" s="191"/>
    </row>
    <row r="78" spans="2:13" ht="24.75" thickBot="1" x14ac:dyDescent="0.3">
      <c r="B78" s="189"/>
      <c r="C78" s="181"/>
      <c r="D78" s="189"/>
      <c r="F78" s="191"/>
      <c r="G78" s="191"/>
      <c r="H78" s="191"/>
      <c r="I78" s="212"/>
      <c r="J78" s="191"/>
      <c r="K78" s="212"/>
      <c r="L78" s="191"/>
      <c r="M78" s="191"/>
    </row>
    <row r="79" spans="2:13" ht="24.75" thickTop="1" x14ac:dyDescent="0.25">
      <c r="B79" s="1414"/>
      <c r="C79" s="1414"/>
      <c r="D79" s="1414"/>
      <c r="E79" s="1414"/>
      <c r="F79" s="1414"/>
      <c r="G79" s="1414"/>
      <c r="H79" s="1414"/>
      <c r="I79" s="1414"/>
      <c r="J79" s="1414"/>
      <c r="K79" s="1414"/>
      <c r="L79" s="1414"/>
      <c r="M79" s="1414"/>
    </row>
    <row r="83" spans="1:16" s="226" customFormat="1" ht="24" x14ac:dyDescent="0.6">
      <c r="A83" s="179"/>
      <c r="B83" s="179"/>
      <c r="C83" s="179"/>
      <c r="D83" s="179"/>
      <c r="E83" s="222"/>
      <c r="F83" s="222"/>
      <c r="G83" s="222"/>
      <c r="H83" s="222"/>
      <c r="I83" s="222"/>
      <c r="J83" s="222"/>
      <c r="K83" s="222"/>
      <c r="L83" s="222"/>
      <c r="M83" s="222"/>
      <c r="N83" s="228"/>
      <c r="O83" s="229"/>
      <c r="P83" s="229"/>
    </row>
    <row r="86" spans="1:16" ht="24" x14ac:dyDescent="0.25">
      <c r="A86" s="181">
        <v>18</v>
      </c>
      <c r="G86" s="191"/>
    </row>
    <row r="87" spans="1:16" x14ac:dyDescent="0.25">
      <c r="B87" s="1407"/>
      <c r="C87" s="1407"/>
      <c r="D87" s="1407"/>
      <c r="E87" s="1407"/>
      <c r="F87" s="1407"/>
      <c r="G87" s="1407"/>
      <c r="H87" s="1407"/>
      <c r="I87" s="1407"/>
      <c r="J87" s="1407"/>
      <c r="K87" s="1407"/>
      <c r="L87" s="1407"/>
      <c r="M87" s="1407"/>
    </row>
    <row r="93" spans="1:16" ht="24" x14ac:dyDescent="0.25">
      <c r="B93" s="181"/>
      <c r="C93" s="181"/>
      <c r="D93" s="181"/>
      <c r="E93" s="181"/>
      <c r="F93" s="181"/>
      <c r="G93" s="181"/>
      <c r="H93" s="181"/>
      <c r="I93" s="181"/>
      <c r="J93" s="181"/>
      <c r="K93" s="181"/>
      <c r="L93" s="181"/>
      <c r="M93" s="181"/>
    </row>
  </sheetData>
  <customSheetViews>
    <customSheetView guid="{39716EAB-185B-4ADF-90CF-1B1041867F58}" scale="96" showPageBreaks="1" printArea="1" hiddenRows="1" view="pageBreakPreview" topLeftCell="B23">
      <selection activeCell="F28" sqref="F28"/>
      <pageMargins left="0.39370078740157499" right="0.78740157480314998" top="0.39370078740157499" bottom="0.39370078740157499" header="0.31496062992126" footer="0.31496062992126"/>
      <pageSetup paperSize="9" scale="44" orientation="portrait" r:id="rId1"/>
    </customSheetView>
    <customSheetView guid="{5CB8382F-C212-4512-9396-17792C62978E}" scale="96" showPageBreaks="1" printArea="1" hiddenRows="1" view="pageBreakPreview" topLeftCell="B23">
      <selection activeCell="F28" sqref="F28"/>
      <pageMargins left="0.39370078740157499" right="0.78740157480314998" top="0.39370078740157499" bottom="0.39370078740157499" header="0.31496062992126" footer="0.31496062992126"/>
      <pageSetup paperSize="9" scale="44" orientation="portrait" r:id="rId2"/>
    </customSheetView>
    <customSheetView guid="{184BCED3-EADB-44CF-BFDA-DA8D3E7206C0}" scale="96" showPageBreaks="1" printArea="1" hiddenRows="1" view="pageBreakPreview" topLeftCell="B26">
      <selection activeCell="I39" sqref="I39"/>
      <pageMargins left="0.39370078740157499" right="0.78740157480314998" top="0.39370078740157499" bottom="0.39370078740157499" header="0.31496062992126" footer="0.31496062992126"/>
      <pageSetup paperSize="9" scale="44" orientation="portrait" r:id="rId3"/>
    </customSheetView>
  </customSheetViews>
  <mergeCells count="15">
    <mergeCell ref="B16:M16"/>
    <mergeCell ref="A1:M1"/>
    <mergeCell ref="A2:M2"/>
    <mergeCell ref="A3:M3"/>
    <mergeCell ref="E9:G9"/>
    <mergeCell ref="I9:K9"/>
    <mergeCell ref="B8:M8"/>
    <mergeCell ref="B87:M87"/>
    <mergeCell ref="B79:M79"/>
    <mergeCell ref="O20:Q20"/>
    <mergeCell ref="C18:M18"/>
    <mergeCell ref="E19:K19"/>
    <mergeCell ref="C38:M38"/>
    <mergeCell ref="E40:K40"/>
    <mergeCell ref="A53:M53"/>
  </mergeCells>
  <conditionalFormatting sqref="E12:G14">
    <cfRule type="cellIs" dxfId="118" priority="6" stopIfTrue="1" operator="lessThan">
      <formula>0</formula>
    </cfRule>
  </conditionalFormatting>
  <conditionalFormatting sqref="E35:M36">
    <cfRule type="cellIs" dxfId="117" priority="1" stopIfTrue="1" operator="lessThan">
      <formula>0</formula>
    </cfRule>
  </conditionalFormatting>
  <conditionalFormatting sqref="F34">
    <cfRule type="cellIs" dxfId="116" priority="29" stopIfTrue="1" operator="lessThan">
      <formula>0</formula>
    </cfRule>
  </conditionalFormatting>
  <conditionalFormatting sqref="F11:G11 I12:K14 G15:M15 F25:G26 J25:J28 F27:F28">
    <cfRule type="cellIs" dxfId="115" priority="30" stopIfTrue="1" operator="lessThan">
      <formula>0</formula>
    </cfRule>
  </conditionalFormatting>
  <conditionalFormatting sqref="F46:G47 J46:J49 F48:F49">
    <cfRule type="cellIs" dxfId="114" priority="5" stopIfTrue="1" operator="lessThan">
      <formula>0</formula>
    </cfRule>
  </conditionalFormatting>
  <conditionalFormatting sqref="H25:H28">
    <cfRule type="cellIs" dxfId="113" priority="24" stopIfTrue="1" operator="lessThan">
      <formula>0</formula>
    </cfRule>
  </conditionalFormatting>
  <conditionalFormatting sqref="H46:H49">
    <cfRule type="cellIs" dxfId="112" priority="4" stopIfTrue="1" operator="lessThan">
      <formula>0</formula>
    </cfRule>
  </conditionalFormatting>
  <conditionalFormatting sqref="H34:M34">
    <cfRule type="cellIs" dxfId="111" priority="16" stopIfTrue="1" operator="lessThan">
      <formula>0</formula>
    </cfRule>
  </conditionalFormatting>
  <conditionalFormatting sqref="J11:K11">
    <cfRule type="cellIs" dxfId="110" priority="18" stopIfTrue="1" operator="lessThan">
      <formula>0</formula>
    </cfRule>
  </conditionalFormatting>
  <conditionalFormatting sqref="L25:L28">
    <cfRule type="cellIs" dxfId="109" priority="17" stopIfTrue="1" operator="lessThan">
      <formula>0</formula>
    </cfRule>
  </conditionalFormatting>
  <hyperlinks>
    <hyperlink ref="A1:XFD3" r:id="rId4" display="http://modiriatmali.com/" xr:uid="{00000000-0004-0000-0900-000000000000}"/>
  </hyperlinks>
  <printOptions horizontalCentered="1"/>
  <pageMargins left="0.143700787" right="0.143700787" top="0.39370078740157499" bottom="0.39370078740157499" header="0.31496062992126" footer="0.31496062992126"/>
  <pageSetup paperSize="9" scale="60" orientation="portrait"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AE77"/>
  <sheetViews>
    <sheetView rightToLeft="1" view="pageBreakPreview" topLeftCell="A13" zoomScale="90" zoomScaleNormal="100" zoomScaleSheetLayoutView="90" workbookViewId="0">
      <selection activeCell="E22" sqref="E22"/>
    </sheetView>
  </sheetViews>
  <sheetFormatPr defaultRowHeight="15.75" x14ac:dyDescent="0.25"/>
  <cols>
    <col min="1" max="1" width="5.85546875" style="6" bestFit="1" customWidth="1"/>
    <col min="2" max="2" width="30.42578125" style="4" bestFit="1" customWidth="1"/>
    <col min="3" max="3" width="9.85546875" style="4" customWidth="1"/>
    <col min="4" max="4" width="1.140625" style="4" customWidth="1"/>
    <col min="5" max="5" width="17.42578125" style="4" customWidth="1"/>
    <col min="6" max="6" width="0.5703125" style="4" customWidth="1"/>
    <col min="7" max="7" width="21.140625" style="4" bestFit="1" customWidth="1"/>
    <col min="8" max="8" width="0.42578125" style="4" customWidth="1"/>
    <col min="9" max="9" width="21.140625" style="4" customWidth="1"/>
    <col min="10" max="10" width="1" style="4" customWidth="1"/>
    <col min="11" max="11" width="17.7109375" style="4" bestFit="1" customWidth="1"/>
    <col min="12" max="12" width="0.7109375" style="4" customWidth="1"/>
    <col min="13" max="13" width="20.7109375" style="4" bestFit="1" customWidth="1"/>
    <col min="14" max="14" width="0.7109375" style="4" customWidth="1"/>
    <col min="15" max="15" width="15.140625" style="4" customWidth="1"/>
    <col min="16" max="16" width="1.42578125" style="4" customWidth="1"/>
    <col min="17" max="17" width="22" style="4" bestFit="1" customWidth="1"/>
    <col min="18" max="18" width="0.7109375" style="4" customWidth="1"/>
    <col min="19" max="19" width="17.7109375" style="4" bestFit="1" customWidth="1"/>
    <col min="20" max="20" width="0.7109375" style="4" customWidth="1"/>
    <col min="21" max="21" width="20" style="4" bestFit="1" customWidth="1"/>
    <col min="22" max="22" width="3.85546875" style="4" customWidth="1"/>
    <col min="23" max="23" width="4.140625" style="4" customWidth="1"/>
    <col min="24" max="24" width="1.85546875" style="4" customWidth="1"/>
    <col min="25" max="25" width="18.140625" style="4" bestFit="1" customWidth="1"/>
    <col min="26" max="26" width="0.7109375" style="4" customWidth="1"/>
    <col min="27" max="27" width="1.85546875" style="4" customWidth="1"/>
    <col min="28" max="28" width="16.85546875" style="3" bestFit="1" customWidth="1"/>
    <col min="29" max="29" width="15.28515625" style="3" bestFit="1" customWidth="1"/>
    <col min="30" max="30" width="5" style="4" customWidth="1"/>
    <col min="31" max="31" width="10.42578125" style="4" bestFit="1" customWidth="1"/>
    <col min="32" max="32" width="5" style="4" customWidth="1"/>
    <col min="33" max="33" width="10.42578125" style="4" bestFit="1" customWidth="1"/>
    <col min="34" max="36" width="9" style="4"/>
    <col min="37" max="37" width="10.42578125" style="4" bestFit="1" customWidth="1"/>
    <col min="38" max="266" width="9" style="4"/>
    <col min="267" max="267" width="3.5703125" style="4" customWidth="1"/>
    <col min="268" max="268" width="4.85546875" style="4" customWidth="1"/>
    <col min="269" max="269" width="5.42578125" style="4" customWidth="1"/>
    <col min="270" max="270" width="31.28515625" style="4" customWidth="1"/>
    <col min="271" max="271" width="7.5703125" style="4" customWidth="1"/>
    <col min="272" max="272" width="2.42578125" style="4" customWidth="1"/>
    <col min="273" max="273" width="11.5703125" style="4" customWidth="1"/>
    <col min="274" max="274" width="2.42578125" style="4" customWidth="1"/>
    <col min="275" max="275" width="11.5703125" style="4" customWidth="1"/>
    <col min="276" max="276" width="2.42578125" style="4" customWidth="1"/>
    <col min="277" max="277" width="10.85546875" style="4" customWidth="1"/>
    <col min="278" max="278" width="2.42578125" style="4" customWidth="1"/>
    <col min="279" max="279" width="11.140625" style="4" customWidth="1"/>
    <col min="280" max="280" width="1.85546875" style="4" customWidth="1"/>
    <col min="281" max="281" width="11" style="4" customWidth="1"/>
    <col min="282" max="282" width="0.7109375" style="4" customWidth="1"/>
    <col min="283" max="283" width="1.85546875" style="4" customWidth="1"/>
    <col min="284" max="284" width="11.85546875" style="4" bestFit="1" customWidth="1"/>
    <col min="285" max="285" width="15.28515625" style="4" bestFit="1" customWidth="1"/>
    <col min="286" max="286" width="5" style="4" customWidth="1"/>
    <col min="287" max="287" width="10.42578125" style="4" bestFit="1" customWidth="1"/>
    <col min="288" max="288" width="5" style="4" customWidth="1"/>
    <col min="289" max="289" width="10.42578125" style="4" bestFit="1" customWidth="1"/>
    <col min="290" max="292" width="9" style="4"/>
    <col min="293" max="293" width="10.42578125" style="4" bestFit="1" customWidth="1"/>
    <col min="294" max="522" width="9" style="4"/>
    <col min="523" max="523" width="3.5703125" style="4" customWidth="1"/>
    <col min="524" max="524" width="4.85546875" style="4" customWidth="1"/>
    <col min="525" max="525" width="5.42578125" style="4" customWidth="1"/>
    <col min="526" max="526" width="31.28515625" style="4" customWidth="1"/>
    <col min="527" max="527" width="7.5703125" style="4" customWidth="1"/>
    <col min="528" max="528" width="2.42578125" style="4" customWidth="1"/>
    <col min="529" max="529" width="11.5703125" style="4" customWidth="1"/>
    <col min="530" max="530" width="2.42578125" style="4" customWidth="1"/>
    <col min="531" max="531" width="11.5703125" style="4" customWidth="1"/>
    <col min="532" max="532" width="2.42578125" style="4" customWidth="1"/>
    <col min="533" max="533" width="10.85546875" style="4" customWidth="1"/>
    <col min="534" max="534" width="2.42578125" style="4" customWidth="1"/>
    <col min="535" max="535" width="11.140625" style="4" customWidth="1"/>
    <col min="536" max="536" width="1.85546875" style="4" customWidth="1"/>
    <col min="537" max="537" width="11" style="4" customWidth="1"/>
    <col min="538" max="538" width="0.7109375" style="4" customWidth="1"/>
    <col min="539" max="539" width="1.85546875" style="4" customWidth="1"/>
    <col min="540" max="540" width="11.85546875" style="4" bestFit="1" customWidth="1"/>
    <col min="541" max="541" width="15.28515625" style="4" bestFit="1" customWidth="1"/>
    <col min="542" max="542" width="5" style="4" customWidth="1"/>
    <col min="543" max="543" width="10.42578125" style="4" bestFit="1" customWidth="1"/>
    <col min="544" max="544" width="5" style="4" customWidth="1"/>
    <col min="545" max="545" width="10.42578125" style="4" bestFit="1" customWidth="1"/>
    <col min="546" max="548" width="9" style="4"/>
    <col min="549" max="549" width="10.42578125" style="4" bestFit="1" customWidth="1"/>
    <col min="550" max="778" width="9" style="4"/>
    <col min="779" max="779" width="3.5703125" style="4" customWidth="1"/>
    <col min="780" max="780" width="4.85546875" style="4" customWidth="1"/>
    <col min="781" max="781" width="5.42578125" style="4" customWidth="1"/>
    <col min="782" max="782" width="31.28515625" style="4" customWidth="1"/>
    <col min="783" max="783" width="7.5703125" style="4" customWidth="1"/>
    <col min="784" max="784" width="2.42578125" style="4" customWidth="1"/>
    <col min="785" max="785" width="11.5703125" style="4" customWidth="1"/>
    <col min="786" max="786" width="2.42578125" style="4" customWidth="1"/>
    <col min="787" max="787" width="11.5703125" style="4" customWidth="1"/>
    <col min="788" max="788" width="2.42578125" style="4" customWidth="1"/>
    <col min="789" max="789" width="10.85546875" style="4" customWidth="1"/>
    <col min="790" max="790" width="2.42578125" style="4" customWidth="1"/>
    <col min="791" max="791" width="11.140625" style="4" customWidth="1"/>
    <col min="792" max="792" width="1.85546875" style="4" customWidth="1"/>
    <col min="793" max="793" width="11" style="4" customWidth="1"/>
    <col min="794" max="794" width="0.7109375" style="4" customWidth="1"/>
    <col min="795" max="795" width="1.85546875" style="4" customWidth="1"/>
    <col min="796" max="796" width="11.85546875" style="4" bestFit="1" customWidth="1"/>
    <col min="797" max="797" width="15.28515625" style="4" bestFit="1" customWidth="1"/>
    <col min="798" max="798" width="5" style="4" customWidth="1"/>
    <col min="799" max="799" width="10.42578125" style="4" bestFit="1" customWidth="1"/>
    <col min="800" max="800" width="5" style="4" customWidth="1"/>
    <col min="801" max="801" width="10.42578125" style="4" bestFit="1" customWidth="1"/>
    <col min="802" max="804" width="9" style="4"/>
    <col min="805" max="805" width="10.42578125" style="4" bestFit="1" customWidth="1"/>
    <col min="806" max="1034" width="9" style="4"/>
    <col min="1035" max="1035" width="3.5703125" style="4" customWidth="1"/>
    <col min="1036" max="1036" width="4.85546875" style="4" customWidth="1"/>
    <col min="1037" max="1037" width="5.42578125" style="4" customWidth="1"/>
    <col min="1038" max="1038" width="31.28515625" style="4" customWidth="1"/>
    <col min="1039" max="1039" width="7.5703125" style="4" customWidth="1"/>
    <col min="1040" max="1040" width="2.42578125" style="4" customWidth="1"/>
    <col min="1041" max="1041" width="11.5703125" style="4" customWidth="1"/>
    <col min="1042" max="1042" width="2.42578125" style="4" customWidth="1"/>
    <col min="1043" max="1043" width="11.5703125" style="4" customWidth="1"/>
    <col min="1044" max="1044" width="2.42578125" style="4" customWidth="1"/>
    <col min="1045" max="1045" width="10.85546875" style="4" customWidth="1"/>
    <col min="1046" max="1046" width="2.42578125" style="4" customWidth="1"/>
    <col min="1047" max="1047" width="11.140625" style="4" customWidth="1"/>
    <col min="1048" max="1048" width="1.85546875" style="4" customWidth="1"/>
    <col min="1049" max="1049" width="11" style="4" customWidth="1"/>
    <col min="1050" max="1050" width="0.7109375" style="4" customWidth="1"/>
    <col min="1051" max="1051" width="1.85546875" style="4" customWidth="1"/>
    <col min="1052" max="1052" width="11.85546875" style="4" bestFit="1" customWidth="1"/>
    <col min="1053" max="1053" width="15.28515625" style="4" bestFit="1" customWidth="1"/>
    <col min="1054" max="1054" width="5" style="4" customWidth="1"/>
    <col min="1055" max="1055" width="10.42578125" style="4" bestFit="1" customWidth="1"/>
    <col min="1056" max="1056" width="5" style="4" customWidth="1"/>
    <col min="1057" max="1057" width="10.42578125" style="4" bestFit="1" customWidth="1"/>
    <col min="1058" max="1060" width="9" style="4"/>
    <col min="1061" max="1061" width="10.42578125" style="4" bestFit="1" customWidth="1"/>
    <col min="1062" max="1290" width="9" style="4"/>
    <col min="1291" max="1291" width="3.5703125" style="4" customWidth="1"/>
    <col min="1292" max="1292" width="4.85546875" style="4" customWidth="1"/>
    <col min="1293" max="1293" width="5.42578125" style="4" customWidth="1"/>
    <col min="1294" max="1294" width="31.28515625" style="4" customWidth="1"/>
    <col min="1295" max="1295" width="7.5703125" style="4" customWidth="1"/>
    <col min="1296" max="1296" width="2.42578125" style="4" customWidth="1"/>
    <col min="1297" max="1297" width="11.5703125" style="4" customWidth="1"/>
    <col min="1298" max="1298" width="2.42578125" style="4" customWidth="1"/>
    <col min="1299" max="1299" width="11.5703125" style="4" customWidth="1"/>
    <col min="1300" max="1300" width="2.42578125" style="4" customWidth="1"/>
    <col min="1301" max="1301" width="10.85546875" style="4" customWidth="1"/>
    <col min="1302" max="1302" width="2.42578125" style="4" customWidth="1"/>
    <col min="1303" max="1303" width="11.140625" style="4" customWidth="1"/>
    <col min="1304" max="1304" width="1.85546875" style="4" customWidth="1"/>
    <col min="1305" max="1305" width="11" style="4" customWidth="1"/>
    <col min="1306" max="1306" width="0.7109375" style="4" customWidth="1"/>
    <col min="1307" max="1307" width="1.85546875" style="4" customWidth="1"/>
    <col min="1308" max="1308" width="11.85546875" style="4" bestFit="1" customWidth="1"/>
    <col min="1309" max="1309" width="15.28515625" style="4" bestFit="1" customWidth="1"/>
    <col min="1310" max="1310" width="5" style="4" customWidth="1"/>
    <col min="1311" max="1311" width="10.42578125" style="4" bestFit="1" customWidth="1"/>
    <col min="1312" max="1312" width="5" style="4" customWidth="1"/>
    <col min="1313" max="1313" width="10.42578125" style="4" bestFit="1" customWidth="1"/>
    <col min="1314" max="1316" width="9" style="4"/>
    <col min="1317" max="1317" width="10.42578125" style="4" bestFit="1" customWidth="1"/>
    <col min="1318" max="1546" width="9" style="4"/>
    <col min="1547" max="1547" width="3.5703125" style="4" customWidth="1"/>
    <col min="1548" max="1548" width="4.85546875" style="4" customWidth="1"/>
    <col min="1549" max="1549" width="5.42578125" style="4" customWidth="1"/>
    <col min="1550" max="1550" width="31.28515625" style="4" customWidth="1"/>
    <col min="1551" max="1551" width="7.5703125" style="4" customWidth="1"/>
    <col min="1552" max="1552" width="2.42578125" style="4" customWidth="1"/>
    <col min="1553" max="1553" width="11.5703125" style="4" customWidth="1"/>
    <col min="1554" max="1554" width="2.42578125" style="4" customWidth="1"/>
    <col min="1555" max="1555" width="11.5703125" style="4" customWidth="1"/>
    <col min="1556" max="1556" width="2.42578125" style="4" customWidth="1"/>
    <col min="1557" max="1557" width="10.85546875" style="4" customWidth="1"/>
    <col min="1558" max="1558" width="2.42578125" style="4" customWidth="1"/>
    <col min="1559" max="1559" width="11.140625" style="4" customWidth="1"/>
    <col min="1560" max="1560" width="1.85546875" style="4" customWidth="1"/>
    <col min="1561" max="1561" width="11" style="4" customWidth="1"/>
    <col min="1562" max="1562" width="0.7109375" style="4" customWidth="1"/>
    <col min="1563" max="1563" width="1.85546875" style="4" customWidth="1"/>
    <col min="1564" max="1564" width="11.85546875" style="4" bestFit="1" customWidth="1"/>
    <col min="1565" max="1565" width="15.28515625" style="4" bestFit="1" customWidth="1"/>
    <col min="1566" max="1566" width="5" style="4" customWidth="1"/>
    <col min="1567" max="1567" width="10.42578125" style="4" bestFit="1" customWidth="1"/>
    <col min="1568" max="1568" width="5" style="4" customWidth="1"/>
    <col min="1569" max="1569" width="10.42578125" style="4" bestFit="1" customWidth="1"/>
    <col min="1570" max="1572" width="9" style="4"/>
    <col min="1573" max="1573" width="10.42578125" style="4" bestFit="1" customWidth="1"/>
    <col min="1574" max="1802" width="9" style="4"/>
    <col min="1803" max="1803" width="3.5703125" style="4" customWidth="1"/>
    <col min="1804" max="1804" width="4.85546875" style="4" customWidth="1"/>
    <col min="1805" max="1805" width="5.42578125" style="4" customWidth="1"/>
    <col min="1806" max="1806" width="31.28515625" style="4" customWidth="1"/>
    <col min="1807" max="1807" width="7.5703125" style="4" customWidth="1"/>
    <col min="1808" max="1808" width="2.42578125" style="4" customWidth="1"/>
    <col min="1809" max="1809" width="11.5703125" style="4" customWidth="1"/>
    <col min="1810" max="1810" width="2.42578125" style="4" customWidth="1"/>
    <col min="1811" max="1811" width="11.5703125" style="4" customWidth="1"/>
    <col min="1812" max="1812" width="2.42578125" style="4" customWidth="1"/>
    <col min="1813" max="1813" width="10.85546875" style="4" customWidth="1"/>
    <col min="1814" max="1814" width="2.42578125" style="4" customWidth="1"/>
    <col min="1815" max="1815" width="11.140625" style="4" customWidth="1"/>
    <col min="1816" max="1816" width="1.85546875" style="4" customWidth="1"/>
    <col min="1817" max="1817" width="11" style="4" customWidth="1"/>
    <col min="1818" max="1818" width="0.7109375" style="4" customWidth="1"/>
    <col min="1819" max="1819" width="1.85546875" style="4" customWidth="1"/>
    <col min="1820" max="1820" width="11.85546875" style="4" bestFit="1" customWidth="1"/>
    <col min="1821" max="1821" width="15.28515625" style="4" bestFit="1" customWidth="1"/>
    <col min="1822" max="1822" width="5" style="4" customWidth="1"/>
    <col min="1823" max="1823" width="10.42578125" style="4" bestFit="1" customWidth="1"/>
    <col min="1824" max="1824" width="5" style="4" customWidth="1"/>
    <col min="1825" max="1825" width="10.42578125" style="4" bestFit="1" customWidth="1"/>
    <col min="1826" max="1828" width="9" style="4"/>
    <col min="1829" max="1829" width="10.42578125" style="4" bestFit="1" customWidth="1"/>
    <col min="1830" max="2058" width="9" style="4"/>
    <col min="2059" max="2059" width="3.5703125" style="4" customWidth="1"/>
    <col min="2060" max="2060" width="4.85546875" style="4" customWidth="1"/>
    <col min="2061" max="2061" width="5.42578125" style="4" customWidth="1"/>
    <col min="2062" max="2062" width="31.28515625" style="4" customWidth="1"/>
    <col min="2063" max="2063" width="7.5703125" style="4" customWidth="1"/>
    <col min="2064" max="2064" width="2.42578125" style="4" customWidth="1"/>
    <col min="2065" max="2065" width="11.5703125" style="4" customWidth="1"/>
    <col min="2066" max="2066" width="2.42578125" style="4" customWidth="1"/>
    <col min="2067" max="2067" width="11.5703125" style="4" customWidth="1"/>
    <col min="2068" max="2068" width="2.42578125" style="4" customWidth="1"/>
    <col min="2069" max="2069" width="10.85546875" style="4" customWidth="1"/>
    <col min="2070" max="2070" width="2.42578125" style="4" customWidth="1"/>
    <col min="2071" max="2071" width="11.140625" style="4" customWidth="1"/>
    <col min="2072" max="2072" width="1.85546875" style="4" customWidth="1"/>
    <col min="2073" max="2073" width="11" style="4" customWidth="1"/>
    <col min="2074" max="2074" width="0.7109375" style="4" customWidth="1"/>
    <col min="2075" max="2075" width="1.85546875" style="4" customWidth="1"/>
    <col min="2076" max="2076" width="11.85546875" style="4" bestFit="1" customWidth="1"/>
    <col min="2077" max="2077" width="15.28515625" style="4" bestFit="1" customWidth="1"/>
    <col min="2078" max="2078" width="5" style="4" customWidth="1"/>
    <col min="2079" max="2079" width="10.42578125" style="4" bestFit="1" customWidth="1"/>
    <col min="2080" max="2080" width="5" style="4" customWidth="1"/>
    <col min="2081" max="2081" width="10.42578125" style="4" bestFit="1" customWidth="1"/>
    <col min="2082" max="2084" width="9" style="4"/>
    <col min="2085" max="2085" width="10.42578125" style="4" bestFit="1" customWidth="1"/>
    <col min="2086" max="2314" width="9" style="4"/>
    <col min="2315" max="2315" width="3.5703125" style="4" customWidth="1"/>
    <col min="2316" max="2316" width="4.85546875" style="4" customWidth="1"/>
    <col min="2317" max="2317" width="5.42578125" style="4" customWidth="1"/>
    <col min="2318" max="2318" width="31.28515625" style="4" customWidth="1"/>
    <col min="2319" max="2319" width="7.5703125" style="4" customWidth="1"/>
    <col min="2320" max="2320" width="2.42578125" style="4" customWidth="1"/>
    <col min="2321" max="2321" width="11.5703125" style="4" customWidth="1"/>
    <col min="2322" max="2322" width="2.42578125" style="4" customWidth="1"/>
    <col min="2323" max="2323" width="11.5703125" style="4" customWidth="1"/>
    <col min="2324" max="2324" width="2.42578125" style="4" customWidth="1"/>
    <col min="2325" max="2325" width="10.85546875" style="4" customWidth="1"/>
    <col min="2326" max="2326" width="2.42578125" style="4" customWidth="1"/>
    <col min="2327" max="2327" width="11.140625" style="4" customWidth="1"/>
    <col min="2328" max="2328" width="1.85546875" style="4" customWidth="1"/>
    <col min="2329" max="2329" width="11" style="4" customWidth="1"/>
    <col min="2330" max="2330" width="0.7109375" style="4" customWidth="1"/>
    <col min="2331" max="2331" width="1.85546875" style="4" customWidth="1"/>
    <col min="2332" max="2332" width="11.85546875" style="4" bestFit="1" customWidth="1"/>
    <col min="2333" max="2333" width="15.28515625" style="4" bestFit="1" customWidth="1"/>
    <col min="2334" max="2334" width="5" style="4" customWidth="1"/>
    <col min="2335" max="2335" width="10.42578125" style="4" bestFit="1" customWidth="1"/>
    <col min="2336" max="2336" width="5" style="4" customWidth="1"/>
    <col min="2337" max="2337" width="10.42578125" style="4" bestFit="1" customWidth="1"/>
    <col min="2338" max="2340" width="9" style="4"/>
    <col min="2341" max="2341" width="10.42578125" style="4" bestFit="1" customWidth="1"/>
    <col min="2342" max="2570" width="9" style="4"/>
    <col min="2571" max="2571" width="3.5703125" style="4" customWidth="1"/>
    <col min="2572" max="2572" width="4.85546875" style="4" customWidth="1"/>
    <col min="2573" max="2573" width="5.42578125" style="4" customWidth="1"/>
    <col min="2574" max="2574" width="31.28515625" style="4" customWidth="1"/>
    <col min="2575" max="2575" width="7.5703125" style="4" customWidth="1"/>
    <col min="2576" max="2576" width="2.42578125" style="4" customWidth="1"/>
    <col min="2577" max="2577" width="11.5703125" style="4" customWidth="1"/>
    <col min="2578" max="2578" width="2.42578125" style="4" customWidth="1"/>
    <col min="2579" max="2579" width="11.5703125" style="4" customWidth="1"/>
    <col min="2580" max="2580" width="2.42578125" style="4" customWidth="1"/>
    <col min="2581" max="2581" width="10.85546875" style="4" customWidth="1"/>
    <col min="2582" max="2582" width="2.42578125" style="4" customWidth="1"/>
    <col min="2583" max="2583" width="11.140625" style="4" customWidth="1"/>
    <col min="2584" max="2584" width="1.85546875" style="4" customWidth="1"/>
    <col min="2585" max="2585" width="11" style="4" customWidth="1"/>
    <col min="2586" max="2586" width="0.7109375" style="4" customWidth="1"/>
    <col min="2587" max="2587" width="1.85546875" style="4" customWidth="1"/>
    <col min="2588" max="2588" width="11.85546875" style="4" bestFit="1" customWidth="1"/>
    <col min="2589" max="2589" width="15.28515625" style="4" bestFit="1" customWidth="1"/>
    <col min="2590" max="2590" width="5" style="4" customWidth="1"/>
    <col min="2591" max="2591" width="10.42578125" style="4" bestFit="1" customWidth="1"/>
    <col min="2592" max="2592" width="5" style="4" customWidth="1"/>
    <col min="2593" max="2593" width="10.42578125" style="4" bestFit="1" customWidth="1"/>
    <col min="2594" max="2596" width="9" style="4"/>
    <col min="2597" max="2597" width="10.42578125" style="4" bestFit="1" customWidth="1"/>
    <col min="2598" max="2826" width="9" style="4"/>
    <col min="2827" max="2827" width="3.5703125" style="4" customWidth="1"/>
    <col min="2828" max="2828" width="4.85546875" style="4" customWidth="1"/>
    <col min="2829" max="2829" width="5.42578125" style="4" customWidth="1"/>
    <col min="2830" max="2830" width="31.28515625" style="4" customWidth="1"/>
    <col min="2831" max="2831" width="7.5703125" style="4" customWidth="1"/>
    <col min="2832" max="2832" width="2.42578125" style="4" customWidth="1"/>
    <col min="2833" max="2833" width="11.5703125" style="4" customWidth="1"/>
    <col min="2834" max="2834" width="2.42578125" style="4" customWidth="1"/>
    <col min="2835" max="2835" width="11.5703125" style="4" customWidth="1"/>
    <col min="2836" max="2836" width="2.42578125" style="4" customWidth="1"/>
    <col min="2837" max="2837" width="10.85546875" style="4" customWidth="1"/>
    <col min="2838" max="2838" width="2.42578125" style="4" customWidth="1"/>
    <col min="2839" max="2839" width="11.140625" style="4" customWidth="1"/>
    <col min="2840" max="2840" width="1.85546875" style="4" customWidth="1"/>
    <col min="2841" max="2841" width="11" style="4" customWidth="1"/>
    <col min="2842" max="2842" width="0.7109375" style="4" customWidth="1"/>
    <col min="2843" max="2843" width="1.85546875" style="4" customWidth="1"/>
    <col min="2844" max="2844" width="11.85546875" style="4" bestFit="1" customWidth="1"/>
    <col min="2845" max="2845" width="15.28515625" style="4" bestFit="1" customWidth="1"/>
    <col min="2846" max="2846" width="5" style="4" customWidth="1"/>
    <col min="2847" max="2847" width="10.42578125" style="4" bestFit="1" customWidth="1"/>
    <col min="2848" max="2848" width="5" style="4" customWidth="1"/>
    <col min="2849" max="2849" width="10.42578125" style="4" bestFit="1" customWidth="1"/>
    <col min="2850" max="2852" width="9" style="4"/>
    <col min="2853" max="2853" width="10.42578125" style="4" bestFit="1" customWidth="1"/>
    <col min="2854" max="3082" width="9" style="4"/>
    <col min="3083" max="3083" width="3.5703125" style="4" customWidth="1"/>
    <col min="3084" max="3084" width="4.85546875" style="4" customWidth="1"/>
    <col min="3085" max="3085" width="5.42578125" style="4" customWidth="1"/>
    <col min="3086" max="3086" width="31.28515625" style="4" customWidth="1"/>
    <col min="3087" max="3087" width="7.5703125" style="4" customWidth="1"/>
    <col min="3088" max="3088" width="2.42578125" style="4" customWidth="1"/>
    <col min="3089" max="3089" width="11.5703125" style="4" customWidth="1"/>
    <col min="3090" max="3090" width="2.42578125" style="4" customWidth="1"/>
    <col min="3091" max="3091" width="11.5703125" style="4" customWidth="1"/>
    <col min="3092" max="3092" width="2.42578125" style="4" customWidth="1"/>
    <col min="3093" max="3093" width="10.85546875" style="4" customWidth="1"/>
    <col min="3094" max="3094" width="2.42578125" style="4" customWidth="1"/>
    <col min="3095" max="3095" width="11.140625" style="4" customWidth="1"/>
    <col min="3096" max="3096" width="1.85546875" style="4" customWidth="1"/>
    <col min="3097" max="3097" width="11" style="4" customWidth="1"/>
    <col min="3098" max="3098" width="0.7109375" style="4" customWidth="1"/>
    <col min="3099" max="3099" width="1.85546875" style="4" customWidth="1"/>
    <col min="3100" max="3100" width="11.85546875" style="4" bestFit="1" customWidth="1"/>
    <col min="3101" max="3101" width="15.28515625" style="4" bestFit="1" customWidth="1"/>
    <col min="3102" max="3102" width="5" style="4" customWidth="1"/>
    <col min="3103" max="3103" width="10.42578125" style="4" bestFit="1" customWidth="1"/>
    <col min="3104" max="3104" width="5" style="4" customWidth="1"/>
    <col min="3105" max="3105" width="10.42578125" style="4" bestFit="1" customWidth="1"/>
    <col min="3106" max="3108" width="9" style="4"/>
    <col min="3109" max="3109" width="10.42578125" style="4" bestFit="1" customWidth="1"/>
    <col min="3110" max="3338" width="9" style="4"/>
    <col min="3339" max="3339" width="3.5703125" style="4" customWidth="1"/>
    <col min="3340" max="3340" width="4.85546875" style="4" customWidth="1"/>
    <col min="3341" max="3341" width="5.42578125" style="4" customWidth="1"/>
    <col min="3342" max="3342" width="31.28515625" style="4" customWidth="1"/>
    <col min="3343" max="3343" width="7.5703125" style="4" customWidth="1"/>
    <col min="3344" max="3344" width="2.42578125" style="4" customWidth="1"/>
    <col min="3345" max="3345" width="11.5703125" style="4" customWidth="1"/>
    <col min="3346" max="3346" width="2.42578125" style="4" customWidth="1"/>
    <col min="3347" max="3347" width="11.5703125" style="4" customWidth="1"/>
    <col min="3348" max="3348" width="2.42578125" style="4" customWidth="1"/>
    <col min="3349" max="3349" width="10.85546875" style="4" customWidth="1"/>
    <col min="3350" max="3350" width="2.42578125" style="4" customWidth="1"/>
    <col min="3351" max="3351" width="11.140625" style="4" customWidth="1"/>
    <col min="3352" max="3352" width="1.85546875" style="4" customWidth="1"/>
    <col min="3353" max="3353" width="11" style="4" customWidth="1"/>
    <col min="3354" max="3354" width="0.7109375" style="4" customWidth="1"/>
    <col min="3355" max="3355" width="1.85546875" style="4" customWidth="1"/>
    <col min="3356" max="3356" width="11.85546875" style="4" bestFit="1" customWidth="1"/>
    <col min="3357" max="3357" width="15.28515625" style="4" bestFit="1" customWidth="1"/>
    <col min="3358" max="3358" width="5" style="4" customWidth="1"/>
    <col min="3359" max="3359" width="10.42578125" style="4" bestFit="1" customWidth="1"/>
    <col min="3360" max="3360" width="5" style="4" customWidth="1"/>
    <col min="3361" max="3361" width="10.42578125" style="4" bestFit="1" customWidth="1"/>
    <col min="3362" max="3364" width="9" style="4"/>
    <col min="3365" max="3365" width="10.42578125" style="4" bestFit="1" customWidth="1"/>
    <col min="3366" max="3594" width="9" style="4"/>
    <col min="3595" max="3595" width="3.5703125" style="4" customWidth="1"/>
    <col min="3596" max="3596" width="4.85546875" style="4" customWidth="1"/>
    <col min="3597" max="3597" width="5.42578125" style="4" customWidth="1"/>
    <col min="3598" max="3598" width="31.28515625" style="4" customWidth="1"/>
    <col min="3599" max="3599" width="7.5703125" style="4" customWidth="1"/>
    <col min="3600" max="3600" width="2.42578125" style="4" customWidth="1"/>
    <col min="3601" max="3601" width="11.5703125" style="4" customWidth="1"/>
    <col min="3602" max="3602" width="2.42578125" style="4" customWidth="1"/>
    <col min="3603" max="3603" width="11.5703125" style="4" customWidth="1"/>
    <col min="3604" max="3604" width="2.42578125" style="4" customWidth="1"/>
    <col min="3605" max="3605" width="10.85546875" style="4" customWidth="1"/>
    <col min="3606" max="3606" width="2.42578125" style="4" customWidth="1"/>
    <col min="3607" max="3607" width="11.140625" style="4" customWidth="1"/>
    <col min="3608" max="3608" width="1.85546875" style="4" customWidth="1"/>
    <col min="3609" max="3609" width="11" style="4" customWidth="1"/>
    <col min="3610" max="3610" width="0.7109375" style="4" customWidth="1"/>
    <col min="3611" max="3611" width="1.85546875" style="4" customWidth="1"/>
    <col min="3612" max="3612" width="11.85546875" style="4" bestFit="1" customWidth="1"/>
    <col min="3613" max="3613" width="15.28515625" style="4" bestFit="1" customWidth="1"/>
    <col min="3614" max="3614" width="5" style="4" customWidth="1"/>
    <col min="3615" max="3615" width="10.42578125" style="4" bestFit="1" customWidth="1"/>
    <col min="3616" max="3616" width="5" style="4" customWidth="1"/>
    <col min="3617" max="3617" width="10.42578125" style="4" bestFit="1" customWidth="1"/>
    <col min="3618" max="3620" width="9" style="4"/>
    <col min="3621" max="3621" width="10.42578125" style="4" bestFit="1" customWidth="1"/>
    <col min="3622" max="3850" width="9" style="4"/>
    <col min="3851" max="3851" width="3.5703125" style="4" customWidth="1"/>
    <col min="3852" max="3852" width="4.85546875" style="4" customWidth="1"/>
    <col min="3853" max="3853" width="5.42578125" style="4" customWidth="1"/>
    <col min="3854" max="3854" width="31.28515625" style="4" customWidth="1"/>
    <col min="3855" max="3855" width="7.5703125" style="4" customWidth="1"/>
    <col min="3856" max="3856" width="2.42578125" style="4" customWidth="1"/>
    <col min="3857" max="3857" width="11.5703125" style="4" customWidth="1"/>
    <col min="3858" max="3858" width="2.42578125" style="4" customWidth="1"/>
    <col min="3859" max="3859" width="11.5703125" style="4" customWidth="1"/>
    <col min="3860" max="3860" width="2.42578125" style="4" customWidth="1"/>
    <col min="3861" max="3861" width="10.85546875" style="4" customWidth="1"/>
    <col min="3862" max="3862" width="2.42578125" style="4" customWidth="1"/>
    <col min="3863" max="3863" width="11.140625" style="4" customWidth="1"/>
    <col min="3864" max="3864" width="1.85546875" style="4" customWidth="1"/>
    <col min="3865" max="3865" width="11" style="4" customWidth="1"/>
    <col min="3866" max="3866" width="0.7109375" style="4" customWidth="1"/>
    <col min="3867" max="3867" width="1.85546875" style="4" customWidth="1"/>
    <col min="3868" max="3868" width="11.85546875" style="4" bestFit="1" customWidth="1"/>
    <col min="3869" max="3869" width="15.28515625" style="4" bestFit="1" customWidth="1"/>
    <col min="3870" max="3870" width="5" style="4" customWidth="1"/>
    <col min="3871" max="3871" width="10.42578125" style="4" bestFit="1" customWidth="1"/>
    <col min="3872" max="3872" width="5" style="4" customWidth="1"/>
    <col min="3873" max="3873" width="10.42578125" style="4" bestFit="1" customWidth="1"/>
    <col min="3874" max="3876" width="9" style="4"/>
    <col min="3877" max="3877" width="10.42578125" style="4" bestFit="1" customWidth="1"/>
    <col min="3878" max="4106" width="9" style="4"/>
    <col min="4107" max="4107" width="3.5703125" style="4" customWidth="1"/>
    <col min="4108" max="4108" width="4.85546875" style="4" customWidth="1"/>
    <col min="4109" max="4109" width="5.42578125" style="4" customWidth="1"/>
    <col min="4110" max="4110" width="31.28515625" style="4" customWidth="1"/>
    <col min="4111" max="4111" width="7.5703125" style="4" customWidth="1"/>
    <col min="4112" max="4112" width="2.42578125" style="4" customWidth="1"/>
    <col min="4113" max="4113" width="11.5703125" style="4" customWidth="1"/>
    <col min="4114" max="4114" width="2.42578125" style="4" customWidth="1"/>
    <col min="4115" max="4115" width="11.5703125" style="4" customWidth="1"/>
    <col min="4116" max="4116" width="2.42578125" style="4" customWidth="1"/>
    <col min="4117" max="4117" width="10.85546875" style="4" customWidth="1"/>
    <col min="4118" max="4118" width="2.42578125" style="4" customWidth="1"/>
    <col min="4119" max="4119" width="11.140625" style="4" customWidth="1"/>
    <col min="4120" max="4120" width="1.85546875" style="4" customWidth="1"/>
    <col min="4121" max="4121" width="11" style="4" customWidth="1"/>
    <col min="4122" max="4122" width="0.7109375" style="4" customWidth="1"/>
    <col min="4123" max="4123" width="1.85546875" style="4" customWidth="1"/>
    <col min="4124" max="4124" width="11.85546875" style="4" bestFit="1" customWidth="1"/>
    <col min="4125" max="4125" width="15.28515625" style="4" bestFit="1" customWidth="1"/>
    <col min="4126" max="4126" width="5" style="4" customWidth="1"/>
    <col min="4127" max="4127" width="10.42578125" style="4" bestFit="1" customWidth="1"/>
    <col min="4128" max="4128" width="5" style="4" customWidth="1"/>
    <col min="4129" max="4129" width="10.42578125" style="4" bestFit="1" customWidth="1"/>
    <col min="4130" max="4132" width="9" style="4"/>
    <col min="4133" max="4133" width="10.42578125" style="4" bestFit="1" customWidth="1"/>
    <col min="4134" max="4362" width="9" style="4"/>
    <col min="4363" max="4363" width="3.5703125" style="4" customWidth="1"/>
    <col min="4364" max="4364" width="4.85546875" style="4" customWidth="1"/>
    <col min="4365" max="4365" width="5.42578125" style="4" customWidth="1"/>
    <col min="4366" max="4366" width="31.28515625" style="4" customWidth="1"/>
    <col min="4367" max="4367" width="7.5703125" style="4" customWidth="1"/>
    <col min="4368" max="4368" width="2.42578125" style="4" customWidth="1"/>
    <col min="4369" max="4369" width="11.5703125" style="4" customWidth="1"/>
    <col min="4370" max="4370" width="2.42578125" style="4" customWidth="1"/>
    <col min="4371" max="4371" width="11.5703125" style="4" customWidth="1"/>
    <col min="4372" max="4372" width="2.42578125" style="4" customWidth="1"/>
    <col min="4373" max="4373" width="10.85546875" style="4" customWidth="1"/>
    <col min="4374" max="4374" width="2.42578125" style="4" customWidth="1"/>
    <col min="4375" max="4375" width="11.140625" style="4" customWidth="1"/>
    <col min="4376" max="4376" width="1.85546875" style="4" customWidth="1"/>
    <col min="4377" max="4377" width="11" style="4" customWidth="1"/>
    <col min="4378" max="4378" width="0.7109375" style="4" customWidth="1"/>
    <col min="4379" max="4379" width="1.85546875" style="4" customWidth="1"/>
    <col min="4380" max="4380" width="11.85546875" style="4" bestFit="1" customWidth="1"/>
    <col min="4381" max="4381" width="15.28515625" style="4" bestFit="1" customWidth="1"/>
    <col min="4382" max="4382" width="5" style="4" customWidth="1"/>
    <col min="4383" max="4383" width="10.42578125" style="4" bestFit="1" customWidth="1"/>
    <col min="4384" max="4384" width="5" style="4" customWidth="1"/>
    <col min="4385" max="4385" width="10.42578125" style="4" bestFit="1" customWidth="1"/>
    <col min="4386" max="4388" width="9" style="4"/>
    <col min="4389" max="4389" width="10.42578125" style="4" bestFit="1" customWidth="1"/>
    <col min="4390" max="4618" width="9" style="4"/>
    <col min="4619" max="4619" width="3.5703125" style="4" customWidth="1"/>
    <col min="4620" max="4620" width="4.85546875" style="4" customWidth="1"/>
    <col min="4621" max="4621" width="5.42578125" style="4" customWidth="1"/>
    <col min="4622" max="4622" width="31.28515625" style="4" customWidth="1"/>
    <col min="4623" max="4623" width="7.5703125" style="4" customWidth="1"/>
    <col min="4624" max="4624" width="2.42578125" style="4" customWidth="1"/>
    <col min="4625" max="4625" width="11.5703125" style="4" customWidth="1"/>
    <col min="4626" max="4626" width="2.42578125" style="4" customWidth="1"/>
    <col min="4627" max="4627" width="11.5703125" style="4" customWidth="1"/>
    <col min="4628" max="4628" width="2.42578125" style="4" customWidth="1"/>
    <col min="4629" max="4629" width="10.85546875" style="4" customWidth="1"/>
    <col min="4630" max="4630" width="2.42578125" style="4" customWidth="1"/>
    <col min="4631" max="4631" width="11.140625" style="4" customWidth="1"/>
    <col min="4632" max="4632" width="1.85546875" style="4" customWidth="1"/>
    <col min="4633" max="4633" width="11" style="4" customWidth="1"/>
    <col min="4634" max="4634" width="0.7109375" style="4" customWidth="1"/>
    <col min="4635" max="4635" width="1.85546875" style="4" customWidth="1"/>
    <col min="4636" max="4636" width="11.85546875" style="4" bestFit="1" customWidth="1"/>
    <col min="4637" max="4637" width="15.28515625" style="4" bestFit="1" customWidth="1"/>
    <col min="4638" max="4638" width="5" style="4" customWidth="1"/>
    <col min="4639" max="4639" width="10.42578125" style="4" bestFit="1" customWidth="1"/>
    <col min="4640" max="4640" width="5" style="4" customWidth="1"/>
    <col min="4641" max="4641" width="10.42578125" style="4" bestFit="1" customWidth="1"/>
    <col min="4642" max="4644" width="9" style="4"/>
    <col min="4645" max="4645" width="10.42578125" style="4" bestFit="1" customWidth="1"/>
    <col min="4646" max="4874" width="9" style="4"/>
    <col min="4875" max="4875" width="3.5703125" style="4" customWidth="1"/>
    <col min="4876" max="4876" width="4.85546875" style="4" customWidth="1"/>
    <col min="4877" max="4877" width="5.42578125" style="4" customWidth="1"/>
    <col min="4878" max="4878" width="31.28515625" style="4" customWidth="1"/>
    <col min="4879" max="4879" width="7.5703125" style="4" customWidth="1"/>
    <col min="4880" max="4880" width="2.42578125" style="4" customWidth="1"/>
    <col min="4881" max="4881" width="11.5703125" style="4" customWidth="1"/>
    <col min="4882" max="4882" width="2.42578125" style="4" customWidth="1"/>
    <col min="4883" max="4883" width="11.5703125" style="4" customWidth="1"/>
    <col min="4884" max="4884" width="2.42578125" style="4" customWidth="1"/>
    <col min="4885" max="4885" width="10.85546875" style="4" customWidth="1"/>
    <col min="4886" max="4886" width="2.42578125" style="4" customWidth="1"/>
    <col min="4887" max="4887" width="11.140625" style="4" customWidth="1"/>
    <col min="4888" max="4888" width="1.85546875" style="4" customWidth="1"/>
    <col min="4889" max="4889" width="11" style="4" customWidth="1"/>
    <col min="4890" max="4890" width="0.7109375" style="4" customWidth="1"/>
    <col min="4891" max="4891" width="1.85546875" style="4" customWidth="1"/>
    <col min="4892" max="4892" width="11.85546875" style="4" bestFit="1" customWidth="1"/>
    <col min="4893" max="4893" width="15.28515625" style="4" bestFit="1" customWidth="1"/>
    <col min="4894" max="4894" width="5" style="4" customWidth="1"/>
    <col min="4895" max="4895" width="10.42578125" style="4" bestFit="1" customWidth="1"/>
    <col min="4896" max="4896" width="5" style="4" customWidth="1"/>
    <col min="4897" max="4897" width="10.42578125" style="4" bestFit="1" customWidth="1"/>
    <col min="4898" max="4900" width="9" style="4"/>
    <col min="4901" max="4901" width="10.42578125" style="4" bestFit="1" customWidth="1"/>
    <col min="4902" max="5130" width="9" style="4"/>
    <col min="5131" max="5131" width="3.5703125" style="4" customWidth="1"/>
    <col min="5132" max="5132" width="4.85546875" style="4" customWidth="1"/>
    <col min="5133" max="5133" width="5.42578125" style="4" customWidth="1"/>
    <col min="5134" max="5134" width="31.28515625" style="4" customWidth="1"/>
    <col min="5135" max="5135" width="7.5703125" style="4" customWidth="1"/>
    <col min="5136" max="5136" width="2.42578125" style="4" customWidth="1"/>
    <col min="5137" max="5137" width="11.5703125" style="4" customWidth="1"/>
    <col min="5138" max="5138" width="2.42578125" style="4" customWidth="1"/>
    <col min="5139" max="5139" width="11.5703125" style="4" customWidth="1"/>
    <col min="5140" max="5140" width="2.42578125" style="4" customWidth="1"/>
    <col min="5141" max="5141" width="10.85546875" style="4" customWidth="1"/>
    <col min="5142" max="5142" width="2.42578125" style="4" customWidth="1"/>
    <col min="5143" max="5143" width="11.140625" style="4" customWidth="1"/>
    <col min="5144" max="5144" width="1.85546875" style="4" customWidth="1"/>
    <col min="5145" max="5145" width="11" style="4" customWidth="1"/>
    <col min="5146" max="5146" width="0.7109375" style="4" customWidth="1"/>
    <col min="5147" max="5147" width="1.85546875" style="4" customWidth="1"/>
    <col min="5148" max="5148" width="11.85546875" style="4" bestFit="1" customWidth="1"/>
    <col min="5149" max="5149" width="15.28515625" style="4" bestFit="1" customWidth="1"/>
    <col min="5150" max="5150" width="5" style="4" customWidth="1"/>
    <col min="5151" max="5151" width="10.42578125" style="4" bestFit="1" customWidth="1"/>
    <col min="5152" max="5152" width="5" style="4" customWidth="1"/>
    <col min="5153" max="5153" width="10.42578125" style="4" bestFit="1" customWidth="1"/>
    <col min="5154" max="5156" width="9" style="4"/>
    <col min="5157" max="5157" width="10.42578125" style="4" bestFit="1" customWidth="1"/>
    <col min="5158" max="5386" width="9" style="4"/>
    <col min="5387" max="5387" width="3.5703125" style="4" customWidth="1"/>
    <col min="5388" max="5388" width="4.85546875" style="4" customWidth="1"/>
    <col min="5389" max="5389" width="5.42578125" style="4" customWidth="1"/>
    <col min="5390" max="5390" width="31.28515625" style="4" customWidth="1"/>
    <col min="5391" max="5391" width="7.5703125" style="4" customWidth="1"/>
    <col min="5392" max="5392" width="2.42578125" style="4" customWidth="1"/>
    <col min="5393" max="5393" width="11.5703125" style="4" customWidth="1"/>
    <col min="5394" max="5394" width="2.42578125" style="4" customWidth="1"/>
    <col min="5395" max="5395" width="11.5703125" style="4" customWidth="1"/>
    <col min="5396" max="5396" width="2.42578125" style="4" customWidth="1"/>
    <col min="5397" max="5397" width="10.85546875" style="4" customWidth="1"/>
    <col min="5398" max="5398" width="2.42578125" style="4" customWidth="1"/>
    <col min="5399" max="5399" width="11.140625" style="4" customWidth="1"/>
    <col min="5400" max="5400" width="1.85546875" style="4" customWidth="1"/>
    <col min="5401" max="5401" width="11" style="4" customWidth="1"/>
    <col min="5402" max="5402" width="0.7109375" style="4" customWidth="1"/>
    <col min="5403" max="5403" width="1.85546875" style="4" customWidth="1"/>
    <col min="5404" max="5404" width="11.85546875" style="4" bestFit="1" customWidth="1"/>
    <col min="5405" max="5405" width="15.28515625" style="4" bestFit="1" customWidth="1"/>
    <col min="5406" max="5406" width="5" style="4" customWidth="1"/>
    <col min="5407" max="5407" width="10.42578125" style="4" bestFit="1" customWidth="1"/>
    <col min="5408" max="5408" width="5" style="4" customWidth="1"/>
    <col min="5409" max="5409" width="10.42578125" style="4" bestFit="1" customWidth="1"/>
    <col min="5410" max="5412" width="9" style="4"/>
    <col min="5413" max="5413" width="10.42578125" style="4" bestFit="1" customWidth="1"/>
    <col min="5414" max="5642" width="9" style="4"/>
    <col min="5643" max="5643" width="3.5703125" style="4" customWidth="1"/>
    <col min="5644" max="5644" width="4.85546875" style="4" customWidth="1"/>
    <col min="5645" max="5645" width="5.42578125" style="4" customWidth="1"/>
    <col min="5646" max="5646" width="31.28515625" style="4" customWidth="1"/>
    <col min="5647" max="5647" width="7.5703125" style="4" customWidth="1"/>
    <col min="5648" max="5648" width="2.42578125" style="4" customWidth="1"/>
    <col min="5649" max="5649" width="11.5703125" style="4" customWidth="1"/>
    <col min="5650" max="5650" width="2.42578125" style="4" customWidth="1"/>
    <col min="5651" max="5651" width="11.5703125" style="4" customWidth="1"/>
    <col min="5652" max="5652" width="2.42578125" style="4" customWidth="1"/>
    <col min="5653" max="5653" width="10.85546875" style="4" customWidth="1"/>
    <col min="5654" max="5654" width="2.42578125" style="4" customWidth="1"/>
    <col min="5655" max="5655" width="11.140625" style="4" customWidth="1"/>
    <col min="5656" max="5656" width="1.85546875" style="4" customWidth="1"/>
    <col min="5657" max="5657" width="11" style="4" customWidth="1"/>
    <col min="5658" max="5658" width="0.7109375" style="4" customWidth="1"/>
    <col min="5659" max="5659" width="1.85546875" style="4" customWidth="1"/>
    <col min="5660" max="5660" width="11.85546875" style="4" bestFit="1" customWidth="1"/>
    <col min="5661" max="5661" width="15.28515625" style="4" bestFit="1" customWidth="1"/>
    <col min="5662" max="5662" width="5" style="4" customWidth="1"/>
    <col min="5663" max="5663" width="10.42578125" style="4" bestFit="1" customWidth="1"/>
    <col min="5664" max="5664" width="5" style="4" customWidth="1"/>
    <col min="5665" max="5665" width="10.42578125" style="4" bestFit="1" customWidth="1"/>
    <col min="5666" max="5668" width="9" style="4"/>
    <col min="5669" max="5669" width="10.42578125" style="4" bestFit="1" customWidth="1"/>
    <col min="5670" max="5898" width="9" style="4"/>
    <col min="5899" max="5899" width="3.5703125" style="4" customWidth="1"/>
    <col min="5900" max="5900" width="4.85546875" style="4" customWidth="1"/>
    <col min="5901" max="5901" width="5.42578125" style="4" customWidth="1"/>
    <col min="5902" max="5902" width="31.28515625" style="4" customWidth="1"/>
    <col min="5903" max="5903" width="7.5703125" style="4" customWidth="1"/>
    <col min="5904" max="5904" width="2.42578125" style="4" customWidth="1"/>
    <col min="5905" max="5905" width="11.5703125" style="4" customWidth="1"/>
    <col min="5906" max="5906" width="2.42578125" style="4" customWidth="1"/>
    <col min="5907" max="5907" width="11.5703125" style="4" customWidth="1"/>
    <col min="5908" max="5908" width="2.42578125" style="4" customWidth="1"/>
    <col min="5909" max="5909" width="10.85546875" style="4" customWidth="1"/>
    <col min="5910" max="5910" width="2.42578125" style="4" customWidth="1"/>
    <col min="5911" max="5911" width="11.140625" style="4" customWidth="1"/>
    <col min="5912" max="5912" width="1.85546875" style="4" customWidth="1"/>
    <col min="5913" max="5913" width="11" style="4" customWidth="1"/>
    <col min="5914" max="5914" width="0.7109375" style="4" customWidth="1"/>
    <col min="5915" max="5915" width="1.85546875" style="4" customWidth="1"/>
    <col min="5916" max="5916" width="11.85546875" style="4" bestFit="1" customWidth="1"/>
    <col min="5917" max="5917" width="15.28515625" style="4" bestFit="1" customWidth="1"/>
    <col min="5918" max="5918" width="5" style="4" customWidth="1"/>
    <col min="5919" max="5919" width="10.42578125" style="4" bestFit="1" customWidth="1"/>
    <col min="5920" max="5920" width="5" style="4" customWidth="1"/>
    <col min="5921" max="5921" width="10.42578125" style="4" bestFit="1" customWidth="1"/>
    <col min="5922" max="5924" width="9" style="4"/>
    <col min="5925" max="5925" width="10.42578125" style="4" bestFit="1" customWidth="1"/>
    <col min="5926" max="6154" width="9" style="4"/>
    <col min="6155" max="6155" width="3.5703125" style="4" customWidth="1"/>
    <col min="6156" max="6156" width="4.85546875" style="4" customWidth="1"/>
    <col min="6157" max="6157" width="5.42578125" style="4" customWidth="1"/>
    <col min="6158" max="6158" width="31.28515625" style="4" customWidth="1"/>
    <col min="6159" max="6159" width="7.5703125" style="4" customWidth="1"/>
    <col min="6160" max="6160" width="2.42578125" style="4" customWidth="1"/>
    <col min="6161" max="6161" width="11.5703125" style="4" customWidth="1"/>
    <col min="6162" max="6162" width="2.42578125" style="4" customWidth="1"/>
    <col min="6163" max="6163" width="11.5703125" style="4" customWidth="1"/>
    <col min="6164" max="6164" width="2.42578125" style="4" customWidth="1"/>
    <col min="6165" max="6165" width="10.85546875" style="4" customWidth="1"/>
    <col min="6166" max="6166" width="2.42578125" style="4" customWidth="1"/>
    <col min="6167" max="6167" width="11.140625" style="4" customWidth="1"/>
    <col min="6168" max="6168" width="1.85546875" style="4" customWidth="1"/>
    <col min="6169" max="6169" width="11" style="4" customWidth="1"/>
    <col min="6170" max="6170" width="0.7109375" style="4" customWidth="1"/>
    <col min="6171" max="6171" width="1.85546875" style="4" customWidth="1"/>
    <col min="6172" max="6172" width="11.85546875" style="4" bestFit="1" customWidth="1"/>
    <col min="6173" max="6173" width="15.28515625" style="4" bestFit="1" customWidth="1"/>
    <col min="6174" max="6174" width="5" style="4" customWidth="1"/>
    <col min="6175" max="6175" width="10.42578125" style="4" bestFit="1" customWidth="1"/>
    <col min="6176" max="6176" width="5" style="4" customWidth="1"/>
    <col min="6177" max="6177" width="10.42578125" style="4" bestFit="1" customWidth="1"/>
    <col min="6178" max="6180" width="9" style="4"/>
    <col min="6181" max="6181" width="10.42578125" style="4" bestFit="1" customWidth="1"/>
    <col min="6182" max="6410" width="9" style="4"/>
    <col min="6411" max="6411" width="3.5703125" style="4" customWidth="1"/>
    <col min="6412" max="6412" width="4.85546875" style="4" customWidth="1"/>
    <col min="6413" max="6413" width="5.42578125" style="4" customWidth="1"/>
    <col min="6414" max="6414" width="31.28515625" style="4" customWidth="1"/>
    <col min="6415" max="6415" width="7.5703125" style="4" customWidth="1"/>
    <col min="6416" max="6416" width="2.42578125" style="4" customWidth="1"/>
    <col min="6417" max="6417" width="11.5703125" style="4" customWidth="1"/>
    <col min="6418" max="6418" width="2.42578125" style="4" customWidth="1"/>
    <col min="6419" max="6419" width="11.5703125" style="4" customWidth="1"/>
    <col min="6420" max="6420" width="2.42578125" style="4" customWidth="1"/>
    <col min="6421" max="6421" width="10.85546875" style="4" customWidth="1"/>
    <col min="6422" max="6422" width="2.42578125" style="4" customWidth="1"/>
    <col min="6423" max="6423" width="11.140625" style="4" customWidth="1"/>
    <col min="6424" max="6424" width="1.85546875" style="4" customWidth="1"/>
    <col min="6425" max="6425" width="11" style="4" customWidth="1"/>
    <col min="6426" max="6426" width="0.7109375" style="4" customWidth="1"/>
    <col min="6427" max="6427" width="1.85546875" style="4" customWidth="1"/>
    <col min="6428" max="6428" width="11.85546875" style="4" bestFit="1" customWidth="1"/>
    <col min="6429" max="6429" width="15.28515625" style="4" bestFit="1" customWidth="1"/>
    <col min="6430" max="6430" width="5" style="4" customWidth="1"/>
    <col min="6431" max="6431" width="10.42578125" style="4" bestFit="1" customWidth="1"/>
    <col min="6432" max="6432" width="5" style="4" customWidth="1"/>
    <col min="6433" max="6433" width="10.42578125" style="4" bestFit="1" customWidth="1"/>
    <col min="6434" max="6436" width="9" style="4"/>
    <col min="6437" max="6437" width="10.42578125" style="4" bestFit="1" customWidth="1"/>
    <col min="6438" max="6666" width="9" style="4"/>
    <col min="6667" max="6667" width="3.5703125" style="4" customWidth="1"/>
    <col min="6668" max="6668" width="4.85546875" style="4" customWidth="1"/>
    <col min="6669" max="6669" width="5.42578125" style="4" customWidth="1"/>
    <col min="6670" max="6670" width="31.28515625" style="4" customWidth="1"/>
    <col min="6671" max="6671" width="7.5703125" style="4" customWidth="1"/>
    <col min="6672" max="6672" width="2.42578125" style="4" customWidth="1"/>
    <col min="6673" max="6673" width="11.5703125" style="4" customWidth="1"/>
    <col min="6674" max="6674" width="2.42578125" style="4" customWidth="1"/>
    <col min="6675" max="6675" width="11.5703125" style="4" customWidth="1"/>
    <col min="6676" max="6676" width="2.42578125" style="4" customWidth="1"/>
    <col min="6677" max="6677" width="10.85546875" style="4" customWidth="1"/>
    <col min="6678" max="6678" width="2.42578125" style="4" customWidth="1"/>
    <col min="6679" max="6679" width="11.140625" style="4" customWidth="1"/>
    <col min="6680" max="6680" width="1.85546875" style="4" customWidth="1"/>
    <col min="6681" max="6681" width="11" style="4" customWidth="1"/>
    <col min="6682" max="6682" width="0.7109375" style="4" customWidth="1"/>
    <col min="6683" max="6683" width="1.85546875" style="4" customWidth="1"/>
    <col min="6684" max="6684" width="11.85546875" style="4" bestFit="1" customWidth="1"/>
    <col min="6685" max="6685" width="15.28515625" style="4" bestFit="1" customWidth="1"/>
    <col min="6686" max="6686" width="5" style="4" customWidth="1"/>
    <col min="6687" max="6687" width="10.42578125" style="4" bestFit="1" customWidth="1"/>
    <col min="6688" max="6688" width="5" style="4" customWidth="1"/>
    <col min="6689" max="6689" width="10.42578125" style="4" bestFit="1" customWidth="1"/>
    <col min="6690" max="6692" width="9" style="4"/>
    <col min="6693" max="6693" width="10.42578125" style="4" bestFit="1" customWidth="1"/>
    <col min="6694" max="6922" width="9" style="4"/>
    <col min="6923" max="6923" width="3.5703125" style="4" customWidth="1"/>
    <col min="6924" max="6924" width="4.85546875" style="4" customWidth="1"/>
    <col min="6925" max="6925" width="5.42578125" style="4" customWidth="1"/>
    <col min="6926" max="6926" width="31.28515625" style="4" customWidth="1"/>
    <col min="6927" max="6927" width="7.5703125" style="4" customWidth="1"/>
    <col min="6928" max="6928" width="2.42578125" style="4" customWidth="1"/>
    <col min="6929" max="6929" width="11.5703125" style="4" customWidth="1"/>
    <col min="6930" max="6930" width="2.42578125" style="4" customWidth="1"/>
    <col min="6931" max="6931" width="11.5703125" style="4" customWidth="1"/>
    <col min="6932" max="6932" width="2.42578125" style="4" customWidth="1"/>
    <col min="6933" max="6933" width="10.85546875" style="4" customWidth="1"/>
    <col min="6934" max="6934" width="2.42578125" style="4" customWidth="1"/>
    <col min="6935" max="6935" width="11.140625" style="4" customWidth="1"/>
    <col min="6936" max="6936" width="1.85546875" style="4" customWidth="1"/>
    <col min="6937" max="6937" width="11" style="4" customWidth="1"/>
    <col min="6938" max="6938" width="0.7109375" style="4" customWidth="1"/>
    <col min="6939" max="6939" width="1.85546875" style="4" customWidth="1"/>
    <col min="6940" max="6940" width="11.85546875" style="4" bestFit="1" customWidth="1"/>
    <col min="6941" max="6941" width="15.28515625" style="4" bestFit="1" customWidth="1"/>
    <col min="6942" max="6942" width="5" style="4" customWidth="1"/>
    <col min="6943" max="6943" width="10.42578125" style="4" bestFit="1" customWidth="1"/>
    <col min="6944" max="6944" width="5" style="4" customWidth="1"/>
    <col min="6945" max="6945" width="10.42578125" style="4" bestFit="1" customWidth="1"/>
    <col min="6946" max="6948" width="9" style="4"/>
    <col min="6949" max="6949" width="10.42578125" style="4" bestFit="1" customWidth="1"/>
    <col min="6950" max="7178" width="9" style="4"/>
    <col min="7179" max="7179" width="3.5703125" style="4" customWidth="1"/>
    <col min="7180" max="7180" width="4.85546875" style="4" customWidth="1"/>
    <col min="7181" max="7181" width="5.42578125" style="4" customWidth="1"/>
    <col min="7182" max="7182" width="31.28515625" style="4" customWidth="1"/>
    <col min="7183" max="7183" width="7.5703125" style="4" customWidth="1"/>
    <col min="7184" max="7184" width="2.42578125" style="4" customWidth="1"/>
    <col min="7185" max="7185" width="11.5703125" style="4" customWidth="1"/>
    <col min="7186" max="7186" width="2.42578125" style="4" customWidth="1"/>
    <col min="7187" max="7187" width="11.5703125" style="4" customWidth="1"/>
    <col min="7188" max="7188" width="2.42578125" style="4" customWidth="1"/>
    <col min="7189" max="7189" width="10.85546875" style="4" customWidth="1"/>
    <col min="7190" max="7190" width="2.42578125" style="4" customWidth="1"/>
    <col min="7191" max="7191" width="11.140625" style="4" customWidth="1"/>
    <col min="7192" max="7192" width="1.85546875" style="4" customWidth="1"/>
    <col min="7193" max="7193" width="11" style="4" customWidth="1"/>
    <col min="7194" max="7194" width="0.7109375" style="4" customWidth="1"/>
    <col min="7195" max="7195" width="1.85546875" style="4" customWidth="1"/>
    <col min="7196" max="7196" width="11.85546875" style="4" bestFit="1" customWidth="1"/>
    <col min="7197" max="7197" width="15.28515625" style="4" bestFit="1" customWidth="1"/>
    <col min="7198" max="7198" width="5" style="4" customWidth="1"/>
    <col min="7199" max="7199" width="10.42578125" style="4" bestFit="1" customWidth="1"/>
    <col min="7200" max="7200" width="5" style="4" customWidth="1"/>
    <col min="7201" max="7201" width="10.42578125" style="4" bestFit="1" customWidth="1"/>
    <col min="7202" max="7204" width="9" style="4"/>
    <col min="7205" max="7205" width="10.42578125" style="4" bestFit="1" customWidth="1"/>
    <col min="7206" max="7434" width="9" style="4"/>
    <col min="7435" max="7435" width="3.5703125" style="4" customWidth="1"/>
    <col min="7436" max="7436" width="4.85546875" style="4" customWidth="1"/>
    <col min="7437" max="7437" width="5.42578125" style="4" customWidth="1"/>
    <col min="7438" max="7438" width="31.28515625" style="4" customWidth="1"/>
    <col min="7439" max="7439" width="7.5703125" style="4" customWidth="1"/>
    <col min="7440" max="7440" width="2.42578125" style="4" customWidth="1"/>
    <col min="7441" max="7441" width="11.5703125" style="4" customWidth="1"/>
    <col min="7442" max="7442" width="2.42578125" style="4" customWidth="1"/>
    <col min="7443" max="7443" width="11.5703125" style="4" customWidth="1"/>
    <col min="7444" max="7444" width="2.42578125" style="4" customWidth="1"/>
    <col min="7445" max="7445" width="10.85546875" style="4" customWidth="1"/>
    <col min="7446" max="7446" width="2.42578125" style="4" customWidth="1"/>
    <col min="7447" max="7447" width="11.140625" style="4" customWidth="1"/>
    <col min="7448" max="7448" width="1.85546875" style="4" customWidth="1"/>
    <col min="7449" max="7449" width="11" style="4" customWidth="1"/>
    <col min="7450" max="7450" width="0.7109375" style="4" customWidth="1"/>
    <col min="7451" max="7451" width="1.85546875" style="4" customWidth="1"/>
    <col min="7452" max="7452" width="11.85546875" style="4" bestFit="1" customWidth="1"/>
    <col min="7453" max="7453" width="15.28515625" style="4" bestFit="1" customWidth="1"/>
    <col min="7454" max="7454" width="5" style="4" customWidth="1"/>
    <col min="7455" max="7455" width="10.42578125" style="4" bestFit="1" customWidth="1"/>
    <col min="7456" max="7456" width="5" style="4" customWidth="1"/>
    <col min="7457" max="7457" width="10.42578125" style="4" bestFit="1" customWidth="1"/>
    <col min="7458" max="7460" width="9" style="4"/>
    <col min="7461" max="7461" width="10.42578125" style="4" bestFit="1" customWidth="1"/>
    <col min="7462" max="7690" width="9" style="4"/>
    <col min="7691" max="7691" width="3.5703125" style="4" customWidth="1"/>
    <col min="7692" max="7692" width="4.85546875" style="4" customWidth="1"/>
    <col min="7693" max="7693" width="5.42578125" style="4" customWidth="1"/>
    <col min="7694" max="7694" width="31.28515625" style="4" customWidth="1"/>
    <col min="7695" max="7695" width="7.5703125" style="4" customWidth="1"/>
    <col min="7696" max="7696" width="2.42578125" style="4" customWidth="1"/>
    <col min="7697" max="7697" width="11.5703125" style="4" customWidth="1"/>
    <col min="7698" max="7698" width="2.42578125" style="4" customWidth="1"/>
    <col min="7699" max="7699" width="11.5703125" style="4" customWidth="1"/>
    <col min="7700" max="7700" width="2.42578125" style="4" customWidth="1"/>
    <col min="7701" max="7701" width="10.85546875" style="4" customWidth="1"/>
    <col min="7702" max="7702" width="2.42578125" style="4" customWidth="1"/>
    <col min="7703" max="7703" width="11.140625" style="4" customWidth="1"/>
    <col min="7704" max="7704" width="1.85546875" style="4" customWidth="1"/>
    <col min="7705" max="7705" width="11" style="4" customWidth="1"/>
    <col min="7706" max="7706" width="0.7109375" style="4" customWidth="1"/>
    <col min="7707" max="7707" width="1.85546875" style="4" customWidth="1"/>
    <col min="7708" max="7708" width="11.85546875" style="4" bestFit="1" customWidth="1"/>
    <col min="7709" max="7709" width="15.28515625" style="4" bestFit="1" customWidth="1"/>
    <col min="7710" max="7710" width="5" style="4" customWidth="1"/>
    <col min="7711" max="7711" width="10.42578125" style="4" bestFit="1" customWidth="1"/>
    <col min="7712" max="7712" width="5" style="4" customWidth="1"/>
    <col min="7713" max="7713" width="10.42578125" style="4" bestFit="1" customWidth="1"/>
    <col min="7714" max="7716" width="9" style="4"/>
    <col min="7717" max="7717" width="10.42578125" style="4" bestFit="1" customWidth="1"/>
    <col min="7718" max="7946" width="9" style="4"/>
    <col min="7947" max="7947" width="3.5703125" style="4" customWidth="1"/>
    <col min="7948" max="7948" width="4.85546875" style="4" customWidth="1"/>
    <col min="7949" max="7949" width="5.42578125" style="4" customWidth="1"/>
    <col min="7950" max="7950" width="31.28515625" style="4" customWidth="1"/>
    <col min="7951" max="7951" width="7.5703125" style="4" customWidth="1"/>
    <col min="7952" max="7952" width="2.42578125" style="4" customWidth="1"/>
    <col min="7953" max="7953" width="11.5703125" style="4" customWidth="1"/>
    <col min="7954" max="7954" width="2.42578125" style="4" customWidth="1"/>
    <col min="7955" max="7955" width="11.5703125" style="4" customWidth="1"/>
    <col min="7956" max="7956" width="2.42578125" style="4" customWidth="1"/>
    <col min="7957" max="7957" width="10.85546875" style="4" customWidth="1"/>
    <col min="7958" max="7958" width="2.42578125" style="4" customWidth="1"/>
    <col min="7959" max="7959" width="11.140625" style="4" customWidth="1"/>
    <col min="7960" max="7960" width="1.85546875" style="4" customWidth="1"/>
    <col min="7961" max="7961" width="11" style="4" customWidth="1"/>
    <col min="7962" max="7962" width="0.7109375" style="4" customWidth="1"/>
    <col min="7963" max="7963" width="1.85546875" style="4" customWidth="1"/>
    <col min="7964" max="7964" width="11.85546875" style="4" bestFit="1" customWidth="1"/>
    <col min="7965" max="7965" width="15.28515625" style="4" bestFit="1" customWidth="1"/>
    <col min="7966" max="7966" width="5" style="4" customWidth="1"/>
    <col min="7967" max="7967" width="10.42578125" style="4" bestFit="1" customWidth="1"/>
    <col min="7968" max="7968" width="5" style="4" customWidth="1"/>
    <col min="7969" max="7969" width="10.42578125" style="4" bestFit="1" customWidth="1"/>
    <col min="7970" max="7972" width="9" style="4"/>
    <col min="7973" max="7973" width="10.42578125" style="4" bestFit="1" customWidth="1"/>
    <col min="7974" max="8202" width="9" style="4"/>
    <col min="8203" max="8203" width="3.5703125" style="4" customWidth="1"/>
    <col min="8204" max="8204" width="4.85546875" style="4" customWidth="1"/>
    <col min="8205" max="8205" width="5.42578125" style="4" customWidth="1"/>
    <col min="8206" max="8206" width="31.28515625" style="4" customWidth="1"/>
    <col min="8207" max="8207" width="7.5703125" style="4" customWidth="1"/>
    <col min="8208" max="8208" width="2.42578125" style="4" customWidth="1"/>
    <col min="8209" max="8209" width="11.5703125" style="4" customWidth="1"/>
    <col min="8210" max="8210" width="2.42578125" style="4" customWidth="1"/>
    <col min="8211" max="8211" width="11.5703125" style="4" customWidth="1"/>
    <col min="8212" max="8212" width="2.42578125" style="4" customWidth="1"/>
    <col min="8213" max="8213" width="10.85546875" style="4" customWidth="1"/>
    <col min="8214" max="8214" width="2.42578125" style="4" customWidth="1"/>
    <col min="8215" max="8215" width="11.140625" style="4" customWidth="1"/>
    <col min="8216" max="8216" width="1.85546875" style="4" customWidth="1"/>
    <col min="8217" max="8217" width="11" style="4" customWidth="1"/>
    <col min="8218" max="8218" width="0.7109375" style="4" customWidth="1"/>
    <col min="8219" max="8219" width="1.85546875" style="4" customWidth="1"/>
    <col min="8220" max="8220" width="11.85546875" style="4" bestFit="1" customWidth="1"/>
    <col min="8221" max="8221" width="15.28515625" style="4" bestFit="1" customWidth="1"/>
    <col min="8222" max="8222" width="5" style="4" customWidth="1"/>
    <col min="8223" max="8223" width="10.42578125" style="4" bestFit="1" customWidth="1"/>
    <col min="8224" max="8224" width="5" style="4" customWidth="1"/>
    <col min="8225" max="8225" width="10.42578125" style="4" bestFit="1" customWidth="1"/>
    <col min="8226" max="8228" width="9" style="4"/>
    <col min="8229" max="8229" width="10.42578125" style="4" bestFit="1" customWidth="1"/>
    <col min="8230" max="8458" width="9" style="4"/>
    <col min="8459" max="8459" width="3.5703125" style="4" customWidth="1"/>
    <col min="8460" max="8460" width="4.85546875" style="4" customWidth="1"/>
    <col min="8461" max="8461" width="5.42578125" style="4" customWidth="1"/>
    <col min="8462" max="8462" width="31.28515625" style="4" customWidth="1"/>
    <col min="8463" max="8463" width="7.5703125" style="4" customWidth="1"/>
    <col min="8464" max="8464" width="2.42578125" style="4" customWidth="1"/>
    <col min="8465" max="8465" width="11.5703125" style="4" customWidth="1"/>
    <col min="8466" max="8466" width="2.42578125" style="4" customWidth="1"/>
    <col min="8467" max="8467" width="11.5703125" style="4" customWidth="1"/>
    <col min="8468" max="8468" width="2.42578125" style="4" customWidth="1"/>
    <col min="8469" max="8469" width="10.85546875" style="4" customWidth="1"/>
    <col min="8470" max="8470" width="2.42578125" style="4" customWidth="1"/>
    <col min="8471" max="8471" width="11.140625" style="4" customWidth="1"/>
    <col min="8472" max="8472" width="1.85546875" style="4" customWidth="1"/>
    <col min="8473" max="8473" width="11" style="4" customWidth="1"/>
    <col min="8474" max="8474" width="0.7109375" style="4" customWidth="1"/>
    <col min="8475" max="8475" width="1.85546875" style="4" customWidth="1"/>
    <col min="8476" max="8476" width="11.85546875" style="4" bestFit="1" customWidth="1"/>
    <col min="8477" max="8477" width="15.28515625" style="4" bestFit="1" customWidth="1"/>
    <col min="8478" max="8478" width="5" style="4" customWidth="1"/>
    <col min="8479" max="8479" width="10.42578125" style="4" bestFit="1" customWidth="1"/>
    <col min="8480" max="8480" width="5" style="4" customWidth="1"/>
    <col min="8481" max="8481" width="10.42578125" style="4" bestFit="1" customWidth="1"/>
    <col min="8482" max="8484" width="9" style="4"/>
    <col min="8485" max="8485" width="10.42578125" style="4" bestFit="1" customWidth="1"/>
    <col min="8486" max="8714" width="9" style="4"/>
    <col min="8715" max="8715" width="3.5703125" style="4" customWidth="1"/>
    <col min="8716" max="8716" width="4.85546875" style="4" customWidth="1"/>
    <col min="8717" max="8717" width="5.42578125" style="4" customWidth="1"/>
    <col min="8718" max="8718" width="31.28515625" style="4" customWidth="1"/>
    <col min="8719" max="8719" width="7.5703125" style="4" customWidth="1"/>
    <col min="8720" max="8720" width="2.42578125" style="4" customWidth="1"/>
    <col min="8721" max="8721" width="11.5703125" style="4" customWidth="1"/>
    <col min="8722" max="8722" width="2.42578125" style="4" customWidth="1"/>
    <col min="8723" max="8723" width="11.5703125" style="4" customWidth="1"/>
    <col min="8724" max="8724" width="2.42578125" style="4" customWidth="1"/>
    <col min="8725" max="8725" width="10.85546875" style="4" customWidth="1"/>
    <col min="8726" max="8726" width="2.42578125" style="4" customWidth="1"/>
    <col min="8727" max="8727" width="11.140625" style="4" customWidth="1"/>
    <col min="8728" max="8728" width="1.85546875" style="4" customWidth="1"/>
    <col min="8729" max="8729" width="11" style="4" customWidth="1"/>
    <col min="8730" max="8730" width="0.7109375" style="4" customWidth="1"/>
    <col min="8731" max="8731" width="1.85546875" style="4" customWidth="1"/>
    <col min="8732" max="8732" width="11.85546875" style="4" bestFit="1" customWidth="1"/>
    <col min="8733" max="8733" width="15.28515625" style="4" bestFit="1" customWidth="1"/>
    <col min="8734" max="8734" width="5" style="4" customWidth="1"/>
    <col min="8735" max="8735" width="10.42578125" style="4" bestFit="1" customWidth="1"/>
    <col min="8736" max="8736" width="5" style="4" customWidth="1"/>
    <col min="8737" max="8737" width="10.42578125" style="4" bestFit="1" customWidth="1"/>
    <col min="8738" max="8740" width="9" style="4"/>
    <col min="8741" max="8741" width="10.42578125" style="4" bestFit="1" customWidth="1"/>
    <col min="8742" max="8970" width="9" style="4"/>
    <col min="8971" max="8971" width="3.5703125" style="4" customWidth="1"/>
    <col min="8972" max="8972" width="4.85546875" style="4" customWidth="1"/>
    <col min="8973" max="8973" width="5.42578125" style="4" customWidth="1"/>
    <col min="8974" max="8974" width="31.28515625" style="4" customWidth="1"/>
    <col min="8975" max="8975" width="7.5703125" style="4" customWidth="1"/>
    <col min="8976" max="8976" width="2.42578125" style="4" customWidth="1"/>
    <col min="8977" max="8977" width="11.5703125" style="4" customWidth="1"/>
    <col min="8978" max="8978" width="2.42578125" style="4" customWidth="1"/>
    <col min="8979" max="8979" width="11.5703125" style="4" customWidth="1"/>
    <col min="8980" max="8980" width="2.42578125" style="4" customWidth="1"/>
    <col min="8981" max="8981" width="10.85546875" style="4" customWidth="1"/>
    <col min="8982" max="8982" width="2.42578125" style="4" customWidth="1"/>
    <col min="8983" max="8983" width="11.140625" style="4" customWidth="1"/>
    <col min="8984" max="8984" width="1.85546875" style="4" customWidth="1"/>
    <col min="8985" max="8985" width="11" style="4" customWidth="1"/>
    <col min="8986" max="8986" width="0.7109375" style="4" customWidth="1"/>
    <col min="8987" max="8987" width="1.85546875" style="4" customWidth="1"/>
    <col min="8988" max="8988" width="11.85546875" style="4" bestFit="1" customWidth="1"/>
    <col min="8989" max="8989" width="15.28515625" style="4" bestFit="1" customWidth="1"/>
    <col min="8990" max="8990" width="5" style="4" customWidth="1"/>
    <col min="8991" max="8991" width="10.42578125" style="4" bestFit="1" customWidth="1"/>
    <col min="8992" max="8992" width="5" style="4" customWidth="1"/>
    <col min="8993" max="8993" width="10.42578125" style="4" bestFit="1" customWidth="1"/>
    <col min="8994" max="8996" width="9" style="4"/>
    <col min="8997" max="8997" width="10.42578125" style="4" bestFit="1" customWidth="1"/>
    <col min="8998" max="9226" width="9" style="4"/>
    <col min="9227" max="9227" width="3.5703125" style="4" customWidth="1"/>
    <col min="9228" max="9228" width="4.85546875" style="4" customWidth="1"/>
    <col min="9229" max="9229" width="5.42578125" style="4" customWidth="1"/>
    <col min="9230" max="9230" width="31.28515625" style="4" customWidth="1"/>
    <col min="9231" max="9231" width="7.5703125" style="4" customWidth="1"/>
    <col min="9232" max="9232" width="2.42578125" style="4" customWidth="1"/>
    <col min="9233" max="9233" width="11.5703125" style="4" customWidth="1"/>
    <col min="9234" max="9234" width="2.42578125" style="4" customWidth="1"/>
    <col min="9235" max="9235" width="11.5703125" style="4" customWidth="1"/>
    <col min="9236" max="9236" width="2.42578125" style="4" customWidth="1"/>
    <col min="9237" max="9237" width="10.85546875" style="4" customWidth="1"/>
    <col min="9238" max="9238" width="2.42578125" style="4" customWidth="1"/>
    <col min="9239" max="9239" width="11.140625" style="4" customWidth="1"/>
    <col min="9240" max="9240" width="1.85546875" style="4" customWidth="1"/>
    <col min="9241" max="9241" width="11" style="4" customWidth="1"/>
    <col min="9242" max="9242" width="0.7109375" style="4" customWidth="1"/>
    <col min="9243" max="9243" width="1.85546875" style="4" customWidth="1"/>
    <col min="9244" max="9244" width="11.85546875" style="4" bestFit="1" customWidth="1"/>
    <col min="9245" max="9245" width="15.28515625" style="4" bestFit="1" customWidth="1"/>
    <col min="9246" max="9246" width="5" style="4" customWidth="1"/>
    <col min="9247" max="9247" width="10.42578125" style="4" bestFit="1" customWidth="1"/>
    <col min="9248" max="9248" width="5" style="4" customWidth="1"/>
    <col min="9249" max="9249" width="10.42578125" style="4" bestFit="1" customWidth="1"/>
    <col min="9250" max="9252" width="9" style="4"/>
    <col min="9253" max="9253" width="10.42578125" style="4" bestFit="1" customWidth="1"/>
    <col min="9254" max="9482" width="9" style="4"/>
    <col min="9483" max="9483" width="3.5703125" style="4" customWidth="1"/>
    <col min="9484" max="9484" width="4.85546875" style="4" customWidth="1"/>
    <col min="9485" max="9485" width="5.42578125" style="4" customWidth="1"/>
    <col min="9486" max="9486" width="31.28515625" style="4" customWidth="1"/>
    <col min="9487" max="9487" width="7.5703125" style="4" customWidth="1"/>
    <col min="9488" max="9488" width="2.42578125" style="4" customWidth="1"/>
    <col min="9489" max="9489" width="11.5703125" style="4" customWidth="1"/>
    <col min="9490" max="9490" width="2.42578125" style="4" customWidth="1"/>
    <col min="9491" max="9491" width="11.5703125" style="4" customWidth="1"/>
    <col min="9492" max="9492" width="2.42578125" style="4" customWidth="1"/>
    <col min="9493" max="9493" width="10.85546875" style="4" customWidth="1"/>
    <col min="9494" max="9494" width="2.42578125" style="4" customWidth="1"/>
    <col min="9495" max="9495" width="11.140625" style="4" customWidth="1"/>
    <col min="9496" max="9496" width="1.85546875" style="4" customWidth="1"/>
    <col min="9497" max="9497" width="11" style="4" customWidth="1"/>
    <col min="9498" max="9498" width="0.7109375" style="4" customWidth="1"/>
    <col min="9499" max="9499" width="1.85546875" style="4" customWidth="1"/>
    <col min="9500" max="9500" width="11.85546875" style="4" bestFit="1" customWidth="1"/>
    <col min="9501" max="9501" width="15.28515625" style="4" bestFit="1" customWidth="1"/>
    <col min="9502" max="9502" width="5" style="4" customWidth="1"/>
    <col min="9503" max="9503" width="10.42578125" style="4" bestFit="1" customWidth="1"/>
    <col min="9504" max="9504" width="5" style="4" customWidth="1"/>
    <col min="9505" max="9505" width="10.42578125" style="4" bestFit="1" customWidth="1"/>
    <col min="9506" max="9508" width="9" style="4"/>
    <col min="9509" max="9509" width="10.42578125" style="4" bestFit="1" customWidth="1"/>
    <col min="9510" max="9738" width="9" style="4"/>
    <col min="9739" max="9739" width="3.5703125" style="4" customWidth="1"/>
    <col min="9740" max="9740" width="4.85546875" style="4" customWidth="1"/>
    <col min="9741" max="9741" width="5.42578125" style="4" customWidth="1"/>
    <col min="9742" max="9742" width="31.28515625" style="4" customWidth="1"/>
    <col min="9743" max="9743" width="7.5703125" style="4" customWidth="1"/>
    <col min="9744" max="9744" width="2.42578125" style="4" customWidth="1"/>
    <col min="9745" max="9745" width="11.5703125" style="4" customWidth="1"/>
    <col min="9746" max="9746" width="2.42578125" style="4" customWidth="1"/>
    <col min="9747" max="9747" width="11.5703125" style="4" customWidth="1"/>
    <col min="9748" max="9748" width="2.42578125" style="4" customWidth="1"/>
    <col min="9749" max="9749" width="10.85546875" style="4" customWidth="1"/>
    <col min="9750" max="9750" width="2.42578125" style="4" customWidth="1"/>
    <col min="9751" max="9751" width="11.140625" style="4" customWidth="1"/>
    <col min="9752" max="9752" width="1.85546875" style="4" customWidth="1"/>
    <col min="9753" max="9753" width="11" style="4" customWidth="1"/>
    <col min="9754" max="9754" width="0.7109375" style="4" customWidth="1"/>
    <col min="9755" max="9755" width="1.85546875" style="4" customWidth="1"/>
    <col min="9756" max="9756" width="11.85546875" style="4" bestFit="1" customWidth="1"/>
    <col min="9757" max="9757" width="15.28515625" style="4" bestFit="1" customWidth="1"/>
    <col min="9758" max="9758" width="5" style="4" customWidth="1"/>
    <col min="9759" max="9759" width="10.42578125" style="4" bestFit="1" customWidth="1"/>
    <col min="9760" max="9760" width="5" style="4" customWidth="1"/>
    <col min="9761" max="9761" width="10.42578125" style="4" bestFit="1" customWidth="1"/>
    <col min="9762" max="9764" width="9" style="4"/>
    <col min="9765" max="9765" width="10.42578125" style="4" bestFit="1" customWidth="1"/>
    <col min="9766" max="9994" width="9" style="4"/>
    <col min="9995" max="9995" width="3.5703125" style="4" customWidth="1"/>
    <col min="9996" max="9996" width="4.85546875" style="4" customWidth="1"/>
    <col min="9997" max="9997" width="5.42578125" style="4" customWidth="1"/>
    <col min="9998" max="9998" width="31.28515625" style="4" customWidth="1"/>
    <col min="9999" max="9999" width="7.5703125" style="4" customWidth="1"/>
    <col min="10000" max="10000" width="2.42578125" style="4" customWidth="1"/>
    <col min="10001" max="10001" width="11.5703125" style="4" customWidth="1"/>
    <col min="10002" max="10002" width="2.42578125" style="4" customWidth="1"/>
    <col min="10003" max="10003" width="11.5703125" style="4" customWidth="1"/>
    <col min="10004" max="10004" width="2.42578125" style="4" customWidth="1"/>
    <col min="10005" max="10005" width="10.85546875" style="4" customWidth="1"/>
    <col min="10006" max="10006" width="2.42578125" style="4" customWidth="1"/>
    <col min="10007" max="10007" width="11.140625" style="4" customWidth="1"/>
    <col min="10008" max="10008" width="1.85546875" style="4" customWidth="1"/>
    <col min="10009" max="10009" width="11" style="4" customWidth="1"/>
    <col min="10010" max="10010" width="0.7109375" style="4" customWidth="1"/>
    <col min="10011" max="10011" width="1.85546875" style="4" customWidth="1"/>
    <col min="10012" max="10012" width="11.85546875" style="4" bestFit="1" customWidth="1"/>
    <col min="10013" max="10013" width="15.28515625" style="4" bestFit="1" customWidth="1"/>
    <col min="10014" max="10014" width="5" style="4" customWidth="1"/>
    <col min="10015" max="10015" width="10.42578125" style="4" bestFit="1" customWidth="1"/>
    <col min="10016" max="10016" width="5" style="4" customWidth="1"/>
    <col min="10017" max="10017" width="10.42578125" style="4" bestFit="1" customWidth="1"/>
    <col min="10018" max="10020" width="9" style="4"/>
    <col min="10021" max="10021" width="10.42578125" style="4" bestFit="1" customWidth="1"/>
    <col min="10022" max="10250" width="9" style="4"/>
    <col min="10251" max="10251" width="3.5703125" style="4" customWidth="1"/>
    <col min="10252" max="10252" width="4.85546875" style="4" customWidth="1"/>
    <col min="10253" max="10253" width="5.42578125" style="4" customWidth="1"/>
    <col min="10254" max="10254" width="31.28515625" style="4" customWidth="1"/>
    <col min="10255" max="10255" width="7.5703125" style="4" customWidth="1"/>
    <col min="10256" max="10256" width="2.42578125" style="4" customWidth="1"/>
    <col min="10257" max="10257" width="11.5703125" style="4" customWidth="1"/>
    <col min="10258" max="10258" width="2.42578125" style="4" customWidth="1"/>
    <col min="10259" max="10259" width="11.5703125" style="4" customWidth="1"/>
    <col min="10260" max="10260" width="2.42578125" style="4" customWidth="1"/>
    <col min="10261" max="10261" width="10.85546875" style="4" customWidth="1"/>
    <col min="10262" max="10262" width="2.42578125" style="4" customWidth="1"/>
    <col min="10263" max="10263" width="11.140625" style="4" customWidth="1"/>
    <col min="10264" max="10264" width="1.85546875" style="4" customWidth="1"/>
    <col min="10265" max="10265" width="11" style="4" customWidth="1"/>
    <col min="10266" max="10266" width="0.7109375" style="4" customWidth="1"/>
    <col min="10267" max="10267" width="1.85546875" style="4" customWidth="1"/>
    <col min="10268" max="10268" width="11.85546875" style="4" bestFit="1" customWidth="1"/>
    <col min="10269" max="10269" width="15.28515625" style="4" bestFit="1" customWidth="1"/>
    <col min="10270" max="10270" width="5" style="4" customWidth="1"/>
    <col min="10271" max="10271" width="10.42578125" style="4" bestFit="1" customWidth="1"/>
    <col min="10272" max="10272" width="5" style="4" customWidth="1"/>
    <col min="10273" max="10273" width="10.42578125" style="4" bestFit="1" customWidth="1"/>
    <col min="10274" max="10276" width="9" style="4"/>
    <col min="10277" max="10277" width="10.42578125" style="4" bestFit="1" customWidth="1"/>
    <col min="10278" max="10506" width="9" style="4"/>
    <col min="10507" max="10507" width="3.5703125" style="4" customWidth="1"/>
    <col min="10508" max="10508" width="4.85546875" style="4" customWidth="1"/>
    <col min="10509" max="10509" width="5.42578125" style="4" customWidth="1"/>
    <col min="10510" max="10510" width="31.28515625" style="4" customWidth="1"/>
    <col min="10511" max="10511" width="7.5703125" style="4" customWidth="1"/>
    <col min="10512" max="10512" width="2.42578125" style="4" customWidth="1"/>
    <col min="10513" max="10513" width="11.5703125" style="4" customWidth="1"/>
    <col min="10514" max="10514" width="2.42578125" style="4" customWidth="1"/>
    <col min="10515" max="10515" width="11.5703125" style="4" customWidth="1"/>
    <col min="10516" max="10516" width="2.42578125" style="4" customWidth="1"/>
    <col min="10517" max="10517" width="10.85546875" style="4" customWidth="1"/>
    <col min="10518" max="10518" width="2.42578125" style="4" customWidth="1"/>
    <col min="10519" max="10519" width="11.140625" style="4" customWidth="1"/>
    <col min="10520" max="10520" width="1.85546875" style="4" customWidth="1"/>
    <col min="10521" max="10521" width="11" style="4" customWidth="1"/>
    <col min="10522" max="10522" width="0.7109375" style="4" customWidth="1"/>
    <col min="10523" max="10523" width="1.85546875" style="4" customWidth="1"/>
    <col min="10524" max="10524" width="11.85546875" style="4" bestFit="1" customWidth="1"/>
    <col min="10525" max="10525" width="15.28515625" style="4" bestFit="1" customWidth="1"/>
    <col min="10526" max="10526" width="5" style="4" customWidth="1"/>
    <col min="10527" max="10527" width="10.42578125" style="4" bestFit="1" customWidth="1"/>
    <col min="10528" max="10528" width="5" style="4" customWidth="1"/>
    <col min="10529" max="10529" width="10.42578125" style="4" bestFit="1" customWidth="1"/>
    <col min="10530" max="10532" width="9" style="4"/>
    <col min="10533" max="10533" width="10.42578125" style="4" bestFit="1" customWidth="1"/>
    <col min="10534" max="10762" width="9" style="4"/>
    <col min="10763" max="10763" width="3.5703125" style="4" customWidth="1"/>
    <col min="10764" max="10764" width="4.85546875" style="4" customWidth="1"/>
    <col min="10765" max="10765" width="5.42578125" style="4" customWidth="1"/>
    <col min="10766" max="10766" width="31.28515625" style="4" customWidth="1"/>
    <col min="10767" max="10767" width="7.5703125" style="4" customWidth="1"/>
    <col min="10768" max="10768" width="2.42578125" style="4" customWidth="1"/>
    <col min="10769" max="10769" width="11.5703125" style="4" customWidth="1"/>
    <col min="10770" max="10770" width="2.42578125" style="4" customWidth="1"/>
    <col min="10771" max="10771" width="11.5703125" style="4" customWidth="1"/>
    <col min="10772" max="10772" width="2.42578125" style="4" customWidth="1"/>
    <col min="10773" max="10773" width="10.85546875" style="4" customWidth="1"/>
    <col min="10774" max="10774" width="2.42578125" style="4" customWidth="1"/>
    <col min="10775" max="10775" width="11.140625" style="4" customWidth="1"/>
    <col min="10776" max="10776" width="1.85546875" style="4" customWidth="1"/>
    <col min="10777" max="10777" width="11" style="4" customWidth="1"/>
    <col min="10778" max="10778" width="0.7109375" style="4" customWidth="1"/>
    <col min="10779" max="10779" width="1.85546875" style="4" customWidth="1"/>
    <col min="10780" max="10780" width="11.85546875" style="4" bestFit="1" customWidth="1"/>
    <col min="10781" max="10781" width="15.28515625" style="4" bestFit="1" customWidth="1"/>
    <col min="10782" max="10782" width="5" style="4" customWidth="1"/>
    <col min="10783" max="10783" width="10.42578125" style="4" bestFit="1" customWidth="1"/>
    <col min="10784" max="10784" width="5" style="4" customWidth="1"/>
    <col min="10785" max="10785" width="10.42578125" style="4" bestFit="1" customWidth="1"/>
    <col min="10786" max="10788" width="9" style="4"/>
    <col min="10789" max="10789" width="10.42578125" style="4" bestFit="1" customWidth="1"/>
    <col min="10790" max="11018" width="9" style="4"/>
    <col min="11019" max="11019" width="3.5703125" style="4" customWidth="1"/>
    <col min="11020" max="11020" width="4.85546875" style="4" customWidth="1"/>
    <col min="11021" max="11021" width="5.42578125" style="4" customWidth="1"/>
    <col min="11022" max="11022" width="31.28515625" style="4" customWidth="1"/>
    <col min="11023" max="11023" width="7.5703125" style="4" customWidth="1"/>
    <col min="11024" max="11024" width="2.42578125" style="4" customWidth="1"/>
    <col min="11025" max="11025" width="11.5703125" style="4" customWidth="1"/>
    <col min="11026" max="11026" width="2.42578125" style="4" customWidth="1"/>
    <col min="11027" max="11027" width="11.5703125" style="4" customWidth="1"/>
    <col min="11028" max="11028" width="2.42578125" style="4" customWidth="1"/>
    <col min="11029" max="11029" width="10.85546875" style="4" customWidth="1"/>
    <col min="11030" max="11030" width="2.42578125" style="4" customWidth="1"/>
    <col min="11031" max="11031" width="11.140625" style="4" customWidth="1"/>
    <col min="11032" max="11032" width="1.85546875" style="4" customWidth="1"/>
    <col min="11033" max="11033" width="11" style="4" customWidth="1"/>
    <col min="11034" max="11034" width="0.7109375" style="4" customWidth="1"/>
    <col min="11035" max="11035" width="1.85546875" style="4" customWidth="1"/>
    <col min="11036" max="11036" width="11.85546875" style="4" bestFit="1" customWidth="1"/>
    <col min="11037" max="11037" width="15.28515625" style="4" bestFit="1" customWidth="1"/>
    <col min="11038" max="11038" width="5" style="4" customWidth="1"/>
    <col min="11039" max="11039" width="10.42578125" style="4" bestFit="1" customWidth="1"/>
    <col min="11040" max="11040" width="5" style="4" customWidth="1"/>
    <col min="11041" max="11041" width="10.42578125" style="4" bestFit="1" customWidth="1"/>
    <col min="11042" max="11044" width="9" style="4"/>
    <col min="11045" max="11045" width="10.42578125" style="4" bestFit="1" customWidth="1"/>
    <col min="11046" max="11274" width="9" style="4"/>
    <col min="11275" max="11275" width="3.5703125" style="4" customWidth="1"/>
    <col min="11276" max="11276" width="4.85546875" style="4" customWidth="1"/>
    <col min="11277" max="11277" width="5.42578125" style="4" customWidth="1"/>
    <col min="11278" max="11278" width="31.28515625" style="4" customWidth="1"/>
    <col min="11279" max="11279" width="7.5703125" style="4" customWidth="1"/>
    <col min="11280" max="11280" width="2.42578125" style="4" customWidth="1"/>
    <col min="11281" max="11281" width="11.5703125" style="4" customWidth="1"/>
    <col min="11282" max="11282" width="2.42578125" style="4" customWidth="1"/>
    <col min="11283" max="11283" width="11.5703125" style="4" customWidth="1"/>
    <col min="11284" max="11284" width="2.42578125" style="4" customWidth="1"/>
    <col min="11285" max="11285" width="10.85546875" style="4" customWidth="1"/>
    <col min="11286" max="11286" width="2.42578125" style="4" customWidth="1"/>
    <col min="11287" max="11287" width="11.140625" style="4" customWidth="1"/>
    <col min="11288" max="11288" width="1.85546875" style="4" customWidth="1"/>
    <col min="11289" max="11289" width="11" style="4" customWidth="1"/>
    <col min="11290" max="11290" width="0.7109375" style="4" customWidth="1"/>
    <col min="11291" max="11291" width="1.85546875" style="4" customWidth="1"/>
    <col min="11292" max="11292" width="11.85546875" style="4" bestFit="1" customWidth="1"/>
    <col min="11293" max="11293" width="15.28515625" style="4" bestFit="1" customWidth="1"/>
    <col min="11294" max="11294" width="5" style="4" customWidth="1"/>
    <col min="11295" max="11295" width="10.42578125" style="4" bestFit="1" customWidth="1"/>
    <col min="11296" max="11296" width="5" style="4" customWidth="1"/>
    <col min="11297" max="11297" width="10.42578125" style="4" bestFit="1" customWidth="1"/>
    <col min="11298" max="11300" width="9" style="4"/>
    <col min="11301" max="11301" width="10.42578125" style="4" bestFit="1" customWidth="1"/>
    <col min="11302" max="11530" width="9" style="4"/>
    <col min="11531" max="11531" width="3.5703125" style="4" customWidth="1"/>
    <col min="11532" max="11532" width="4.85546875" style="4" customWidth="1"/>
    <col min="11533" max="11533" width="5.42578125" style="4" customWidth="1"/>
    <col min="11534" max="11534" width="31.28515625" style="4" customWidth="1"/>
    <col min="11535" max="11535" width="7.5703125" style="4" customWidth="1"/>
    <col min="11536" max="11536" width="2.42578125" style="4" customWidth="1"/>
    <col min="11537" max="11537" width="11.5703125" style="4" customWidth="1"/>
    <col min="11538" max="11538" width="2.42578125" style="4" customWidth="1"/>
    <col min="11539" max="11539" width="11.5703125" style="4" customWidth="1"/>
    <col min="11540" max="11540" width="2.42578125" style="4" customWidth="1"/>
    <col min="11541" max="11541" width="10.85546875" style="4" customWidth="1"/>
    <col min="11542" max="11542" width="2.42578125" style="4" customWidth="1"/>
    <col min="11543" max="11543" width="11.140625" style="4" customWidth="1"/>
    <col min="11544" max="11544" width="1.85546875" style="4" customWidth="1"/>
    <col min="11545" max="11545" width="11" style="4" customWidth="1"/>
    <col min="11546" max="11546" width="0.7109375" style="4" customWidth="1"/>
    <col min="11547" max="11547" width="1.85546875" style="4" customWidth="1"/>
    <col min="11548" max="11548" width="11.85546875" style="4" bestFit="1" customWidth="1"/>
    <col min="11549" max="11549" width="15.28515625" style="4" bestFit="1" customWidth="1"/>
    <col min="11550" max="11550" width="5" style="4" customWidth="1"/>
    <col min="11551" max="11551" width="10.42578125" style="4" bestFit="1" customWidth="1"/>
    <col min="11552" max="11552" width="5" style="4" customWidth="1"/>
    <col min="11553" max="11553" width="10.42578125" style="4" bestFit="1" customWidth="1"/>
    <col min="11554" max="11556" width="9" style="4"/>
    <col min="11557" max="11557" width="10.42578125" style="4" bestFit="1" customWidth="1"/>
    <col min="11558" max="11786" width="9" style="4"/>
    <col min="11787" max="11787" width="3.5703125" style="4" customWidth="1"/>
    <col min="11788" max="11788" width="4.85546875" style="4" customWidth="1"/>
    <col min="11789" max="11789" width="5.42578125" style="4" customWidth="1"/>
    <col min="11790" max="11790" width="31.28515625" style="4" customWidth="1"/>
    <col min="11791" max="11791" width="7.5703125" style="4" customWidth="1"/>
    <col min="11792" max="11792" width="2.42578125" style="4" customWidth="1"/>
    <col min="11793" max="11793" width="11.5703125" style="4" customWidth="1"/>
    <col min="11794" max="11794" width="2.42578125" style="4" customWidth="1"/>
    <col min="11795" max="11795" width="11.5703125" style="4" customWidth="1"/>
    <col min="11796" max="11796" width="2.42578125" style="4" customWidth="1"/>
    <col min="11797" max="11797" width="10.85546875" style="4" customWidth="1"/>
    <col min="11798" max="11798" width="2.42578125" style="4" customWidth="1"/>
    <col min="11799" max="11799" width="11.140625" style="4" customWidth="1"/>
    <col min="11800" max="11800" width="1.85546875" style="4" customWidth="1"/>
    <col min="11801" max="11801" width="11" style="4" customWidth="1"/>
    <col min="11802" max="11802" width="0.7109375" style="4" customWidth="1"/>
    <col min="11803" max="11803" width="1.85546875" style="4" customWidth="1"/>
    <col min="11804" max="11804" width="11.85546875" style="4" bestFit="1" customWidth="1"/>
    <col min="11805" max="11805" width="15.28515625" style="4" bestFit="1" customWidth="1"/>
    <col min="11806" max="11806" width="5" style="4" customWidth="1"/>
    <col min="11807" max="11807" width="10.42578125" style="4" bestFit="1" customWidth="1"/>
    <col min="11808" max="11808" width="5" style="4" customWidth="1"/>
    <col min="11809" max="11809" width="10.42578125" style="4" bestFit="1" customWidth="1"/>
    <col min="11810" max="11812" width="9" style="4"/>
    <col min="11813" max="11813" width="10.42578125" style="4" bestFit="1" customWidth="1"/>
    <col min="11814" max="12042" width="9" style="4"/>
    <col min="12043" max="12043" width="3.5703125" style="4" customWidth="1"/>
    <col min="12044" max="12044" width="4.85546875" style="4" customWidth="1"/>
    <col min="12045" max="12045" width="5.42578125" style="4" customWidth="1"/>
    <col min="12046" max="12046" width="31.28515625" style="4" customWidth="1"/>
    <col min="12047" max="12047" width="7.5703125" style="4" customWidth="1"/>
    <col min="12048" max="12048" width="2.42578125" style="4" customWidth="1"/>
    <col min="12049" max="12049" width="11.5703125" style="4" customWidth="1"/>
    <col min="12050" max="12050" width="2.42578125" style="4" customWidth="1"/>
    <col min="12051" max="12051" width="11.5703125" style="4" customWidth="1"/>
    <col min="12052" max="12052" width="2.42578125" style="4" customWidth="1"/>
    <col min="12053" max="12053" width="10.85546875" style="4" customWidth="1"/>
    <col min="12054" max="12054" width="2.42578125" style="4" customWidth="1"/>
    <col min="12055" max="12055" width="11.140625" style="4" customWidth="1"/>
    <col min="12056" max="12056" width="1.85546875" style="4" customWidth="1"/>
    <col min="12057" max="12057" width="11" style="4" customWidth="1"/>
    <col min="12058" max="12058" width="0.7109375" style="4" customWidth="1"/>
    <col min="12059" max="12059" width="1.85546875" style="4" customWidth="1"/>
    <col min="12060" max="12060" width="11.85546875" style="4" bestFit="1" customWidth="1"/>
    <col min="12061" max="12061" width="15.28515625" style="4" bestFit="1" customWidth="1"/>
    <col min="12062" max="12062" width="5" style="4" customWidth="1"/>
    <col min="12063" max="12063" width="10.42578125" style="4" bestFit="1" customWidth="1"/>
    <col min="12064" max="12064" width="5" style="4" customWidth="1"/>
    <col min="12065" max="12065" width="10.42578125" style="4" bestFit="1" customWidth="1"/>
    <col min="12066" max="12068" width="9" style="4"/>
    <col min="12069" max="12069" width="10.42578125" style="4" bestFit="1" customWidth="1"/>
    <col min="12070" max="12298" width="9" style="4"/>
    <col min="12299" max="12299" width="3.5703125" style="4" customWidth="1"/>
    <col min="12300" max="12300" width="4.85546875" style="4" customWidth="1"/>
    <col min="12301" max="12301" width="5.42578125" style="4" customWidth="1"/>
    <col min="12302" max="12302" width="31.28515625" style="4" customWidth="1"/>
    <col min="12303" max="12303" width="7.5703125" style="4" customWidth="1"/>
    <col min="12304" max="12304" width="2.42578125" style="4" customWidth="1"/>
    <col min="12305" max="12305" width="11.5703125" style="4" customWidth="1"/>
    <col min="12306" max="12306" width="2.42578125" style="4" customWidth="1"/>
    <col min="12307" max="12307" width="11.5703125" style="4" customWidth="1"/>
    <col min="12308" max="12308" width="2.42578125" style="4" customWidth="1"/>
    <col min="12309" max="12309" width="10.85546875" style="4" customWidth="1"/>
    <col min="12310" max="12310" width="2.42578125" style="4" customWidth="1"/>
    <col min="12311" max="12311" width="11.140625" style="4" customWidth="1"/>
    <col min="12312" max="12312" width="1.85546875" style="4" customWidth="1"/>
    <col min="12313" max="12313" width="11" style="4" customWidth="1"/>
    <col min="12314" max="12314" width="0.7109375" style="4" customWidth="1"/>
    <col min="12315" max="12315" width="1.85546875" style="4" customWidth="1"/>
    <col min="12316" max="12316" width="11.85546875" style="4" bestFit="1" customWidth="1"/>
    <col min="12317" max="12317" width="15.28515625" style="4" bestFit="1" customWidth="1"/>
    <col min="12318" max="12318" width="5" style="4" customWidth="1"/>
    <col min="12319" max="12319" width="10.42578125" style="4" bestFit="1" customWidth="1"/>
    <col min="12320" max="12320" width="5" style="4" customWidth="1"/>
    <col min="12321" max="12321" width="10.42578125" style="4" bestFit="1" customWidth="1"/>
    <col min="12322" max="12324" width="9" style="4"/>
    <col min="12325" max="12325" width="10.42578125" style="4" bestFit="1" customWidth="1"/>
    <col min="12326" max="12554" width="9" style="4"/>
    <col min="12555" max="12555" width="3.5703125" style="4" customWidth="1"/>
    <col min="12556" max="12556" width="4.85546875" style="4" customWidth="1"/>
    <col min="12557" max="12557" width="5.42578125" style="4" customWidth="1"/>
    <col min="12558" max="12558" width="31.28515625" style="4" customWidth="1"/>
    <col min="12559" max="12559" width="7.5703125" style="4" customWidth="1"/>
    <col min="12560" max="12560" width="2.42578125" style="4" customWidth="1"/>
    <col min="12561" max="12561" width="11.5703125" style="4" customWidth="1"/>
    <col min="12562" max="12562" width="2.42578125" style="4" customWidth="1"/>
    <col min="12563" max="12563" width="11.5703125" style="4" customWidth="1"/>
    <col min="12564" max="12564" width="2.42578125" style="4" customWidth="1"/>
    <col min="12565" max="12565" width="10.85546875" style="4" customWidth="1"/>
    <col min="12566" max="12566" width="2.42578125" style="4" customWidth="1"/>
    <col min="12567" max="12567" width="11.140625" style="4" customWidth="1"/>
    <col min="12568" max="12568" width="1.85546875" style="4" customWidth="1"/>
    <col min="12569" max="12569" width="11" style="4" customWidth="1"/>
    <col min="12570" max="12570" width="0.7109375" style="4" customWidth="1"/>
    <col min="12571" max="12571" width="1.85546875" style="4" customWidth="1"/>
    <col min="12572" max="12572" width="11.85546875" style="4" bestFit="1" customWidth="1"/>
    <col min="12573" max="12573" width="15.28515625" style="4" bestFit="1" customWidth="1"/>
    <col min="12574" max="12574" width="5" style="4" customWidth="1"/>
    <col min="12575" max="12575" width="10.42578125" style="4" bestFit="1" customWidth="1"/>
    <col min="12576" max="12576" width="5" style="4" customWidth="1"/>
    <col min="12577" max="12577" width="10.42578125" style="4" bestFit="1" customWidth="1"/>
    <col min="12578" max="12580" width="9" style="4"/>
    <col min="12581" max="12581" width="10.42578125" style="4" bestFit="1" customWidth="1"/>
    <col min="12582" max="12810" width="9" style="4"/>
    <col min="12811" max="12811" width="3.5703125" style="4" customWidth="1"/>
    <col min="12812" max="12812" width="4.85546875" style="4" customWidth="1"/>
    <col min="12813" max="12813" width="5.42578125" style="4" customWidth="1"/>
    <col min="12814" max="12814" width="31.28515625" style="4" customWidth="1"/>
    <col min="12815" max="12815" width="7.5703125" style="4" customWidth="1"/>
    <col min="12816" max="12816" width="2.42578125" style="4" customWidth="1"/>
    <col min="12817" max="12817" width="11.5703125" style="4" customWidth="1"/>
    <col min="12818" max="12818" width="2.42578125" style="4" customWidth="1"/>
    <col min="12819" max="12819" width="11.5703125" style="4" customWidth="1"/>
    <col min="12820" max="12820" width="2.42578125" style="4" customWidth="1"/>
    <col min="12821" max="12821" width="10.85546875" style="4" customWidth="1"/>
    <col min="12822" max="12822" width="2.42578125" style="4" customWidth="1"/>
    <col min="12823" max="12823" width="11.140625" style="4" customWidth="1"/>
    <col min="12824" max="12824" width="1.85546875" style="4" customWidth="1"/>
    <col min="12825" max="12825" width="11" style="4" customWidth="1"/>
    <col min="12826" max="12826" width="0.7109375" style="4" customWidth="1"/>
    <col min="12827" max="12827" width="1.85546875" style="4" customWidth="1"/>
    <col min="12828" max="12828" width="11.85546875" style="4" bestFit="1" customWidth="1"/>
    <col min="12829" max="12829" width="15.28515625" style="4" bestFit="1" customWidth="1"/>
    <col min="12830" max="12830" width="5" style="4" customWidth="1"/>
    <col min="12831" max="12831" width="10.42578125" style="4" bestFit="1" customWidth="1"/>
    <col min="12832" max="12832" width="5" style="4" customWidth="1"/>
    <col min="12833" max="12833" width="10.42578125" style="4" bestFit="1" customWidth="1"/>
    <col min="12834" max="12836" width="9" style="4"/>
    <col min="12837" max="12837" width="10.42578125" style="4" bestFit="1" customWidth="1"/>
    <col min="12838" max="13066" width="9" style="4"/>
    <col min="13067" max="13067" width="3.5703125" style="4" customWidth="1"/>
    <col min="13068" max="13068" width="4.85546875" style="4" customWidth="1"/>
    <col min="13069" max="13069" width="5.42578125" style="4" customWidth="1"/>
    <col min="13070" max="13070" width="31.28515625" style="4" customWidth="1"/>
    <col min="13071" max="13071" width="7.5703125" style="4" customWidth="1"/>
    <col min="13072" max="13072" width="2.42578125" style="4" customWidth="1"/>
    <col min="13073" max="13073" width="11.5703125" style="4" customWidth="1"/>
    <col min="13074" max="13074" width="2.42578125" style="4" customWidth="1"/>
    <col min="13075" max="13075" width="11.5703125" style="4" customWidth="1"/>
    <col min="13076" max="13076" width="2.42578125" style="4" customWidth="1"/>
    <col min="13077" max="13077" width="10.85546875" style="4" customWidth="1"/>
    <col min="13078" max="13078" width="2.42578125" style="4" customWidth="1"/>
    <col min="13079" max="13079" width="11.140625" style="4" customWidth="1"/>
    <col min="13080" max="13080" width="1.85546875" style="4" customWidth="1"/>
    <col min="13081" max="13081" width="11" style="4" customWidth="1"/>
    <col min="13082" max="13082" width="0.7109375" style="4" customWidth="1"/>
    <col min="13083" max="13083" width="1.85546875" style="4" customWidth="1"/>
    <col min="13084" max="13084" width="11.85546875" style="4" bestFit="1" customWidth="1"/>
    <col min="13085" max="13085" width="15.28515625" style="4" bestFit="1" customWidth="1"/>
    <col min="13086" max="13086" width="5" style="4" customWidth="1"/>
    <col min="13087" max="13087" width="10.42578125" style="4" bestFit="1" customWidth="1"/>
    <col min="13088" max="13088" width="5" style="4" customWidth="1"/>
    <col min="13089" max="13089" width="10.42578125" style="4" bestFit="1" customWidth="1"/>
    <col min="13090" max="13092" width="9" style="4"/>
    <col min="13093" max="13093" width="10.42578125" style="4" bestFit="1" customWidth="1"/>
    <col min="13094" max="13322" width="9" style="4"/>
    <col min="13323" max="13323" width="3.5703125" style="4" customWidth="1"/>
    <col min="13324" max="13324" width="4.85546875" style="4" customWidth="1"/>
    <col min="13325" max="13325" width="5.42578125" style="4" customWidth="1"/>
    <col min="13326" max="13326" width="31.28515625" style="4" customWidth="1"/>
    <col min="13327" max="13327" width="7.5703125" style="4" customWidth="1"/>
    <col min="13328" max="13328" width="2.42578125" style="4" customWidth="1"/>
    <col min="13329" max="13329" width="11.5703125" style="4" customWidth="1"/>
    <col min="13330" max="13330" width="2.42578125" style="4" customWidth="1"/>
    <col min="13331" max="13331" width="11.5703125" style="4" customWidth="1"/>
    <col min="13332" max="13332" width="2.42578125" style="4" customWidth="1"/>
    <col min="13333" max="13333" width="10.85546875" style="4" customWidth="1"/>
    <col min="13334" max="13334" width="2.42578125" style="4" customWidth="1"/>
    <col min="13335" max="13335" width="11.140625" style="4" customWidth="1"/>
    <col min="13336" max="13336" width="1.85546875" style="4" customWidth="1"/>
    <col min="13337" max="13337" width="11" style="4" customWidth="1"/>
    <col min="13338" max="13338" width="0.7109375" style="4" customWidth="1"/>
    <col min="13339" max="13339" width="1.85546875" style="4" customWidth="1"/>
    <col min="13340" max="13340" width="11.85546875" style="4" bestFit="1" customWidth="1"/>
    <col min="13341" max="13341" width="15.28515625" style="4" bestFit="1" customWidth="1"/>
    <col min="13342" max="13342" width="5" style="4" customWidth="1"/>
    <col min="13343" max="13343" width="10.42578125" style="4" bestFit="1" customWidth="1"/>
    <col min="13344" max="13344" width="5" style="4" customWidth="1"/>
    <col min="13345" max="13345" width="10.42578125" style="4" bestFit="1" customWidth="1"/>
    <col min="13346" max="13348" width="9" style="4"/>
    <col min="13349" max="13349" width="10.42578125" style="4" bestFit="1" customWidth="1"/>
    <col min="13350" max="13578" width="9" style="4"/>
    <col min="13579" max="13579" width="3.5703125" style="4" customWidth="1"/>
    <col min="13580" max="13580" width="4.85546875" style="4" customWidth="1"/>
    <col min="13581" max="13581" width="5.42578125" style="4" customWidth="1"/>
    <col min="13582" max="13582" width="31.28515625" style="4" customWidth="1"/>
    <col min="13583" max="13583" width="7.5703125" style="4" customWidth="1"/>
    <col min="13584" max="13584" width="2.42578125" style="4" customWidth="1"/>
    <col min="13585" max="13585" width="11.5703125" style="4" customWidth="1"/>
    <col min="13586" max="13586" width="2.42578125" style="4" customWidth="1"/>
    <col min="13587" max="13587" width="11.5703125" style="4" customWidth="1"/>
    <col min="13588" max="13588" width="2.42578125" style="4" customWidth="1"/>
    <col min="13589" max="13589" width="10.85546875" style="4" customWidth="1"/>
    <col min="13590" max="13590" width="2.42578125" style="4" customWidth="1"/>
    <col min="13591" max="13591" width="11.140625" style="4" customWidth="1"/>
    <col min="13592" max="13592" width="1.85546875" style="4" customWidth="1"/>
    <col min="13593" max="13593" width="11" style="4" customWidth="1"/>
    <col min="13594" max="13594" width="0.7109375" style="4" customWidth="1"/>
    <col min="13595" max="13595" width="1.85546875" style="4" customWidth="1"/>
    <col min="13596" max="13596" width="11.85546875" style="4" bestFit="1" customWidth="1"/>
    <col min="13597" max="13597" width="15.28515625" style="4" bestFit="1" customWidth="1"/>
    <col min="13598" max="13598" width="5" style="4" customWidth="1"/>
    <col min="13599" max="13599" width="10.42578125" style="4" bestFit="1" customWidth="1"/>
    <col min="13600" max="13600" width="5" style="4" customWidth="1"/>
    <col min="13601" max="13601" width="10.42578125" style="4" bestFit="1" customWidth="1"/>
    <col min="13602" max="13604" width="9" style="4"/>
    <col min="13605" max="13605" width="10.42578125" style="4" bestFit="1" customWidth="1"/>
    <col min="13606" max="13834" width="9" style="4"/>
    <col min="13835" max="13835" width="3.5703125" style="4" customWidth="1"/>
    <col min="13836" max="13836" width="4.85546875" style="4" customWidth="1"/>
    <col min="13837" max="13837" width="5.42578125" style="4" customWidth="1"/>
    <col min="13838" max="13838" width="31.28515625" style="4" customWidth="1"/>
    <col min="13839" max="13839" width="7.5703125" style="4" customWidth="1"/>
    <col min="13840" max="13840" width="2.42578125" style="4" customWidth="1"/>
    <col min="13841" max="13841" width="11.5703125" style="4" customWidth="1"/>
    <col min="13842" max="13842" width="2.42578125" style="4" customWidth="1"/>
    <col min="13843" max="13843" width="11.5703125" style="4" customWidth="1"/>
    <col min="13844" max="13844" width="2.42578125" style="4" customWidth="1"/>
    <col min="13845" max="13845" width="10.85546875" style="4" customWidth="1"/>
    <col min="13846" max="13846" width="2.42578125" style="4" customWidth="1"/>
    <col min="13847" max="13847" width="11.140625" style="4" customWidth="1"/>
    <col min="13848" max="13848" width="1.85546875" style="4" customWidth="1"/>
    <col min="13849" max="13849" width="11" style="4" customWidth="1"/>
    <col min="13850" max="13850" width="0.7109375" style="4" customWidth="1"/>
    <col min="13851" max="13851" width="1.85546875" style="4" customWidth="1"/>
    <col min="13852" max="13852" width="11.85546875" style="4" bestFit="1" customWidth="1"/>
    <col min="13853" max="13853" width="15.28515625" style="4" bestFit="1" customWidth="1"/>
    <col min="13854" max="13854" width="5" style="4" customWidth="1"/>
    <col min="13855" max="13855" width="10.42578125" style="4" bestFit="1" customWidth="1"/>
    <col min="13856" max="13856" width="5" style="4" customWidth="1"/>
    <col min="13857" max="13857" width="10.42578125" style="4" bestFit="1" customWidth="1"/>
    <col min="13858" max="13860" width="9" style="4"/>
    <col min="13861" max="13861" width="10.42578125" style="4" bestFit="1" customWidth="1"/>
    <col min="13862" max="14090" width="9" style="4"/>
    <col min="14091" max="14091" width="3.5703125" style="4" customWidth="1"/>
    <col min="14092" max="14092" width="4.85546875" style="4" customWidth="1"/>
    <col min="14093" max="14093" width="5.42578125" style="4" customWidth="1"/>
    <col min="14094" max="14094" width="31.28515625" style="4" customWidth="1"/>
    <col min="14095" max="14095" width="7.5703125" style="4" customWidth="1"/>
    <col min="14096" max="14096" width="2.42578125" style="4" customWidth="1"/>
    <col min="14097" max="14097" width="11.5703125" style="4" customWidth="1"/>
    <col min="14098" max="14098" width="2.42578125" style="4" customWidth="1"/>
    <col min="14099" max="14099" width="11.5703125" style="4" customWidth="1"/>
    <col min="14100" max="14100" width="2.42578125" style="4" customWidth="1"/>
    <col min="14101" max="14101" width="10.85546875" style="4" customWidth="1"/>
    <col min="14102" max="14102" width="2.42578125" style="4" customWidth="1"/>
    <col min="14103" max="14103" width="11.140625" style="4" customWidth="1"/>
    <col min="14104" max="14104" width="1.85546875" style="4" customWidth="1"/>
    <col min="14105" max="14105" width="11" style="4" customWidth="1"/>
    <col min="14106" max="14106" width="0.7109375" style="4" customWidth="1"/>
    <col min="14107" max="14107" width="1.85546875" style="4" customWidth="1"/>
    <col min="14108" max="14108" width="11.85546875" style="4" bestFit="1" customWidth="1"/>
    <col min="14109" max="14109" width="15.28515625" style="4" bestFit="1" customWidth="1"/>
    <col min="14110" max="14110" width="5" style="4" customWidth="1"/>
    <col min="14111" max="14111" width="10.42578125" style="4" bestFit="1" customWidth="1"/>
    <col min="14112" max="14112" width="5" style="4" customWidth="1"/>
    <col min="14113" max="14113" width="10.42578125" style="4" bestFit="1" customWidth="1"/>
    <col min="14114" max="14116" width="9" style="4"/>
    <col min="14117" max="14117" width="10.42578125" style="4" bestFit="1" customWidth="1"/>
    <col min="14118" max="14346" width="9" style="4"/>
    <col min="14347" max="14347" width="3.5703125" style="4" customWidth="1"/>
    <col min="14348" max="14348" width="4.85546875" style="4" customWidth="1"/>
    <col min="14349" max="14349" width="5.42578125" style="4" customWidth="1"/>
    <col min="14350" max="14350" width="31.28515625" style="4" customWidth="1"/>
    <col min="14351" max="14351" width="7.5703125" style="4" customWidth="1"/>
    <col min="14352" max="14352" width="2.42578125" style="4" customWidth="1"/>
    <col min="14353" max="14353" width="11.5703125" style="4" customWidth="1"/>
    <col min="14354" max="14354" width="2.42578125" style="4" customWidth="1"/>
    <col min="14355" max="14355" width="11.5703125" style="4" customWidth="1"/>
    <col min="14356" max="14356" width="2.42578125" style="4" customWidth="1"/>
    <col min="14357" max="14357" width="10.85546875" style="4" customWidth="1"/>
    <col min="14358" max="14358" width="2.42578125" style="4" customWidth="1"/>
    <col min="14359" max="14359" width="11.140625" style="4" customWidth="1"/>
    <col min="14360" max="14360" width="1.85546875" style="4" customWidth="1"/>
    <col min="14361" max="14361" width="11" style="4" customWidth="1"/>
    <col min="14362" max="14362" width="0.7109375" style="4" customWidth="1"/>
    <col min="14363" max="14363" width="1.85546875" style="4" customWidth="1"/>
    <col min="14364" max="14364" width="11.85546875" style="4" bestFit="1" customWidth="1"/>
    <col min="14365" max="14365" width="15.28515625" style="4" bestFit="1" customWidth="1"/>
    <col min="14366" max="14366" width="5" style="4" customWidth="1"/>
    <col min="14367" max="14367" width="10.42578125" style="4" bestFit="1" customWidth="1"/>
    <col min="14368" max="14368" width="5" style="4" customWidth="1"/>
    <col min="14369" max="14369" width="10.42578125" style="4" bestFit="1" customWidth="1"/>
    <col min="14370" max="14372" width="9" style="4"/>
    <col min="14373" max="14373" width="10.42578125" style="4" bestFit="1" customWidth="1"/>
    <col min="14374" max="14602" width="9" style="4"/>
    <col min="14603" max="14603" width="3.5703125" style="4" customWidth="1"/>
    <col min="14604" max="14604" width="4.85546875" style="4" customWidth="1"/>
    <col min="14605" max="14605" width="5.42578125" style="4" customWidth="1"/>
    <col min="14606" max="14606" width="31.28515625" style="4" customWidth="1"/>
    <col min="14607" max="14607" width="7.5703125" style="4" customWidth="1"/>
    <col min="14608" max="14608" width="2.42578125" style="4" customWidth="1"/>
    <col min="14609" max="14609" width="11.5703125" style="4" customWidth="1"/>
    <col min="14610" max="14610" width="2.42578125" style="4" customWidth="1"/>
    <col min="14611" max="14611" width="11.5703125" style="4" customWidth="1"/>
    <col min="14612" max="14612" width="2.42578125" style="4" customWidth="1"/>
    <col min="14613" max="14613" width="10.85546875" style="4" customWidth="1"/>
    <col min="14614" max="14614" width="2.42578125" style="4" customWidth="1"/>
    <col min="14615" max="14615" width="11.140625" style="4" customWidth="1"/>
    <col min="14616" max="14616" width="1.85546875" style="4" customWidth="1"/>
    <col min="14617" max="14617" width="11" style="4" customWidth="1"/>
    <col min="14618" max="14618" width="0.7109375" style="4" customWidth="1"/>
    <col min="14619" max="14619" width="1.85546875" style="4" customWidth="1"/>
    <col min="14620" max="14620" width="11.85546875" style="4" bestFit="1" customWidth="1"/>
    <col min="14621" max="14621" width="15.28515625" style="4" bestFit="1" customWidth="1"/>
    <col min="14622" max="14622" width="5" style="4" customWidth="1"/>
    <col min="14623" max="14623" width="10.42578125" style="4" bestFit="1" customWidth="1"/>
    <col min="14624" max="14624" width="5" style="4" customWidth="1"/>
    <col min="14625" max="14625" width="10.42578125" style="4" bestFit="1" customWidth="1"/>
    <col min="14626" max="14628" width="9" style="4"/>
    <col min="14629" max="14629" width="10.42578125" style="4" bestFit="1" customWidth="1"/>
    <col min="14630" max="14858" width="9" style="4"/>
    <col min="14859" max="14859" width="3.5703125" style="4" customWidth="1"/>
    <col min="14860" max="14860" width="4.85546875" style="4" customWidth="1"/>
    <col min="14861" max="14861" width="5.42578125" style="4" customWidth="1"/>
    <col min="14862" max="14862" width="31.28515625" style="4" customWidth="1"/>
    <col min="14863" max="14863" width="7.5703125" style="4" customWidth="1"/>
    <col min="14864" max="14864" width="2.42578125" style="4" customWidth="1"/>
    <col min="14865" max="14865" width="11.5703125" style="4" customWidth="1"/>
    <col min="14866" max="14866" width="2.42578125" style="4" customWidth="1"/>
    <col min="14867" max="14867" width="11.5703125" style="4" customWidth="1"/>
    <col min="14868" max="14868" width="2.42578125" style="4" customWidth="1"/>
    <col min="14869" max="14869" width="10.85546875" style="4" customWidth="1"/>
    <col min="14870" max="14870" width="2.42578125" style="4" customWidth="1"/>
    <col min="14871" max="14871" width="11.140625" style="4" customWidth="1"/>
    <col min="14872" max="14872" width="1.85546875" style="4" customWidth="1"/>
    <col min="14873" max="14873" width="11" style="4" customWidth="1"/>
    <col min="14874" max="14874" width="0.7109375" style="4" customWidth="1"/>
    <col min="14875" max="14875" width="1.85546875" style="4" customWidth="1"/>
    <col min="14876" max="14876" width="11.85546875" style="4" bestFit="1" customWidth="1"/>
    <col min="14877" max="14877" width="15.28515625" style="4" bestFit="1" customWidth="1"/>
    <col min="14878" max="14878" width="5" style="4" customWidth="1"/>
    <col min="14879" max="14879" width="10.42578125" style="4" bestFit="1" customWidth="1"/>
    <col min="14880" max="14880" width="5" style="4" customWidth="1"/>
    <col min="14881" max="14881" width="10.42578125" style="4" bestFit="1" customWidth="1"/>
    <col min="14882" max="14884" width="9" style="4"/>
    <col min="14885" max="14885" width="10.42578125" style="4" bestFit="1" customWidth="1"/>
    <col min="14886" max="15114" width="9" style="4"/>
    <col min="15115" max="15115" width="3.5703125" style="4" customWidth="1"/>
    <col min="15116" max="15116" width="4.85546875" style="4" customWidth="1"/>
    <col min="15117" max="15117" width="5.42578125" style="4" customWidth="1"/>
    <col min="15118" max="15118" width="31.28515625" style="4" customWidth="1"/>
    <col min="15119" max="15119" width="7.5703125" style="4" customWidth="1"/>
    <col min="15120" max="15120" width="2.42578125" style="4" customWidth="1"/>
    <col min="15121" max="15121" width="11.5703125" style="4" customWidth="1"/>
    <col min="15122" max="15122" width="2.42578125" style="4" customWidth="1"/>
    <col min="15123" max="15123" width="11.5703125" style="4" customWidth="1"/>
    <col min="15124" max="15124" width="2.42578125" style="4" customWidth="1"/>
    <col min="15125" max="15125" width="10.85546875" style="4" customWidth="1"/>
    <col min="15126" max="15126" width="2.42578125" style="4" customWidth="1"/>
    <col min="15127" max="15127" width="11.140625" style="4" customWidth="1"/>
    <col min="15128" max="15128" width="1.85546875" style="4" customWidth="1"/>
    <col min="15129" max="15129" width="11" style="4" customWidth="1"/>
    <col min="15130" max="15130" width="0.7109375" style="4" customWidth="1"/>
    <col min="15131" max="15131" width="1.85546875" style="4" customWidth="1"/>
    <col min="15132" max="15132" width="11.85546875" style="4" bestFit="1" customWidth="1"/>
    <col min="15133" max="15133" width="15.28515625" style="4" bestFit="1" customWidth="1"/>
    <col min="15134" max="15134" width="5" style="4" customWidth="1"/>
    <col min="15135" max="15135" width="10.42578125" style="4" bestFit="1" customWidth="1"/>
    <col min="15136" max="15136" width="5" style="4" customWidth="1"/>
    <col min="15137" max="15137" width="10.42578125" style="4" bestFit="1" customWidth="1"/>
    <col min="15138" max="15140" width="9" style="4"/>
    <col min="15141" max="15141" width="10.42578125" style="4" bestFit="1" customWidth="1"/>
    <col min="15142" max="15370" width="9" style="4"/>
    <col min="15371" max="15371" width="3.5703125" style="4" customWidth="1"/>
    <col min="15372" max="15372" width="4.85546875" style="4" customWidth="1"/>
    <col min="15373" max="15373" width="5.42578125" style="4" customWidth="1"/>
    <col min="15374" max="15374" width="31.28515625" style="4" customWidth="1"/>
    <col min="15375" max="15375" width="7.5703125" style="4" customWidth="1"/>
    <col min="15376" max="15376" width="2.42578125" style="4" customWidth="1"/>
    <col min="15377" max="15377" width="11.5703125" style="4" customWidth="1"/>
    <col min="15378" max="15378" width="2.42578125" style="4" customWidth="1"/>
    <col min="15379" max="15379" width="11.5703125" style="4" customWidth="1"/>
    <col min="15380" max="15380" width="2.42578125" style="4" customWidth="1"/>
    <col min="15381" max="15381" width="10.85546875" style="4" customWidth="1"/>
    <col min="15382" max="15382" width="2.42578125" style="4" customWidth="1"/>
    <col min="15383" max="15383" width="11.140625" style="4" customWidth="1"/>
    <col min="15384" max="15384" width="1.85546875" style="4" customWidth="1"/>
    <col min="15385" max="15385" width="11" style="4" customWidth="1"/>
    <col min="15386" max="15386" width="0.7109375" style="4" customWidth="1"/>
    <col min="15387" max="15387" width="1.85546875" style="4" customWidth="1"/>
    <col min="15388" max="15388" width="11.85546875" style="4" bestFit="1" customWidth="1"/>
    <col min="15389" max="15389" width="15.28515625" style="4" bestFit="1" customWidth="1"/>
    <col min="15390" max="15390" width="5" style="4" customWidth="1"/>
    <col min="15391" max="15391" width="10.42578125" style="4" bestFit="1" customWidth="1"/>
    <col min="15392" max="15392" width="5" style="4" customWidth="1"/>
    <col min="15393" max="15393" width="10.42578125" style="4" bestFit="1" customWidth="1"/>
    <col min="15394" max="15396" width="9" style="4"/>
    <col min="15397" max="15397" width="10.42578125" style="4" bestFit="1" customWidth="1"/>
    <col min="15398" max="15626" width="9" style="4"/>
    <col min="15627" max="15627" width="3.5703125" style="4" customWidth="1"/>
    <col min="15628" max="15628" width="4.85546875" style="4" customWidth="1"/>
    <col min="15629" max="15629" width="5.42578125" style="4" customWidth="1"/>
    <col min="15630" max="15630" width="31.28515625" style="4" customWidth="1"/>
    <col min="15631" max="15631" width="7.5703125" style="4" customWidth="1"/>
    <col min="15632" max="15632" width="2.42578125" style="4" customWidth="1"/>
    <col min="15633" max="15633" width="11.5703125" style="4" customWidth="1"/>
    <col min="15634" max="15634" width="2.42578125" style="4" customWidth="1"/>
    <col min="15635" max="15635" width="11.5703125" style="4" customWidth="1"/>
    <col min="15636" max="15636" width="2.42578125" style="4" customWidth="1"/>
    <col min="15637" max="15637" width="10.85546875" style="4" customWidth="1"/>
    <col min="15638" max="15638" width="2.42578125" style="4" customWidth="1"/>
    <col min="15639" max="15639" width="11.140625" style="4" customWidth="1"/>
    <col min="15640" max="15640" width="1.85546875" style="4" customWidth="1"/>
    <col min="15641" max="15641" width="11" style="4" customWidth="1"/>
    <col min="15642" max="15642" width="0.7109375" style="4" customWidth="1"/>
    <col min="15643" max="15643" width="1.85546875" style="4" customWidth="1"/>
    <col min="15644" max="15644" width="11.85546875" style="4" bestFit="1" customWidth="1"/>
    <col min="15645" max="15645" width="15.28515625" style="4" bestFit="1" customWidth="1"/>
    <col min="15646" max="15646" width="5" style="4" customWidth="1"/>
    <col min="15647" max="15647" width="10.42578125" style="4" bestFit="1" customWidth="1"/>
    <col min="15648" max="15648" width="5" style="4" customWidth="1"/>
    <col min="15649" max="15649" width="10.42578125" style="4" bestFit="1" customWidth="1"/>
    <col min="15650" max="15652" width="9" style="4"/>
    <col min="15653" max="15653" width="10.42578125" style="4" bestFit="1" customWidth="1"/>
    <col min="15654" max="15882" width="9" style="4"/>
    <col min="15883" max="15883" width="3.5703125" style="4" customWidth="1"/>
    <col min="15884" max="15884" width="4.85546875" style="4" customWidth="1"/>
    <col min="15885" max="15885" width="5.42578125" style="4" customWidth="1"/>
    <col min="15886" max="15886" width="31.28515625" style="4" customWidth="1"/>
    <col min="15887" max="15887" width="7.5703125" style="4" customWidth="1"/>
    <col min="15888" max="15888" width="2.42578125" style="4" customWidth="1"/>
    <col min="15889" max="15889" width="11.5703125" style="4" customWidth="1"/>
    <col min="15890" max="15890" width="2.42578125" style="4" customWidth="1"/>
    <col min="15891" max="15891" width="11.5703125" style="4" customWidth="1"/>
    <col min="15892" max="15892" width="2.42578125" style="4" customWidth="1"/>
    <col min="15893" max="15893" width="10.85546875" style="4" customWidth="1"/>
    <col min="15894" max="15894" width="2.42578125" style="4" customWidth="1"/>
    <col min="15895" max="15895" width="11.140625" style="4" customWidth="1"/>
    <col min="15896" max="15896" width="1.85546875" style="4" customWidth="1"/>
    <col min="15897" max="15897" width="11" style="4" customWidth="1"/>
    <col min="15898" max="15898" width="0.7109375" style="4" customWidth="1"/>
    <col min="15899" max="15899" width="1.85546875" style="4" customWidth="1"/>
    <col min="15900" max="15900" width="11.85546875" style="4" bestFit="1" customWidth="1"/>
    <col min="15901" max="15901" width="15.28515625" style="4" bestFit="1" customWidth="1"/>
    <col min="15902" max="15902" width="5" style="4" customWidth="1"/>
    <col min="15903" max="15903" width="10.42578125" style="4" bestFit="1" customWidth="1"/>
    <col min="15904" max="15904" width="5" style="4" customWidth="1"/>
    <col min="15905" max="15905" width="10.42578125" style="4" bestFit="1" customWidth="1"/>
    <col min="15906" max="15908" width="9" style="4"/>
    <col min="15909" max="15909" width="10.42578125" style="4" bestFit="1" customWidth="1"/>
    <col min="15910" max="16138" width="9" style="4"/>
    <col min="16139" max="16139" width="3.5703125" style="4" customWidth="1"/>
    <col min="16140" max="16140" width="4.85546875" style="4" customWidth="1"/>
    <col min="16141" max="16141" width="5.42578125" style="4" customWidth="1"/>
    <col min="16142" max="16142" width="31.28515625" style="4" customWidth="1"/>
    <col min="16143" max="16143" width="7.5703125" style="4" customWidth="1"/>
    <col min="16144" max="16144" width="2.42578125" style="4" customWidth="1"/>
    <col min="16145" max="16145" width="11.5703125" style="4" customWidth="1"/>
    <col min="16146" max="16146" width="2.42578125" style="4" customWidth="1"/>
    <col min="16147" max="16147" width="11.5703125" style="4" customWidth="1"/>
    <col min="16148" max="16148" width="2.42578125" style="4" customWidth="1"/>
    <col min="16149" max="16149" width="10.85546875" style="4" customWidth="1"/>
    <col min="16150" max="16150" width="2.42578125" style="4" customWidth="1"/>
    <col min="16151" max="16151" width="11.140625" style="4" customWidth="1"/>
    <col min="16152" max="16152" width="1.85546875" style="4" customWidth="1"/>
    <col min="16153" max="16153" width="11" style="4" customWidth="1"/>
    <col min="16154" max="16154" width="0.7109375" style="4" customWidth="1"/>
    <col min="16155" max="16155" width="1.85546875" style="4" customWidth="1"/>
    <col min="16156" max="16156" width="11.85546875" style="4" bestFit="1" customWidth="1"/>
    <col min="16157" max="16157" width="15.28515625" style="4" bestFit="1" customWidth="1"/>
    <col min="16158" max="16158" width="5" style="4" customWidth="1"/>
    <col min="16159" max="16159" width="10.42578125" style="4" bestFit="1" customWidth="1"/>
    <col min="16160" max="16160" width="5" style="4" customWidth="1"/>
    <col min="16161" max="16161" width="10.42578125" style="4" bestFit="1" customWidth="1"/>
    <col min="16162" max="16164" width="9" style="4"/>
    <col min="16165" max="16165" width="10.42578125" style="4" bestFit="1" customWidth="1"/>
    <col min="16166" max="16384" width="9" style="4"/>
  </cols>
  <sheetData>
    <row r="1" spans="1:31" s="17" customFormat="1" ht="25.5" x14ac:dyDescent="0.7">
      <c r="A1" s="1423" t="s">
        <v>244</v>
      </c>
      <c r="B1" s="1423"/>
      <c r="C1" s="1423"/>
      <c r="D1" s="1423"/>
      <c r="E1" s="1423"/>
      <c r="F1" s="1423"/>
      <c r="G1" s="1423"/>
      <c r="H1" s="1423"/>
      <c r="I1" s="1423"/>
      <c r="J1" s="1423"/>
      <c r="K1" s="1423"/>
      <c r="L1" s="1423"/>
      <c r="M1" s="1423"/>
      <c r="N1" s="1423"/>
      <c r="O1" s="1423"/>
      <c r="P1" s="1423"/>
      <c r="Q1" s="1423"/>
      <c r="R1" s="1423"/>
      <c r="S1" s="1423"/>
      <c r="T1" s="1423"/>
      <c r="U1" s="1423"/>
      <c r="V1" s="1423"/>
      <c r="W1" s="1423"/>
      <c r="X1" s="18"/>
      <c r="Y1" s="18"/>
      <c r="Z1" s="16"/>
      <c r="AA1" s="16"/>
      <c r="AB1" s="16"/>
      <c r="AC1" s="16"/>
      <c r="AD1" s="16"/>
      <c r="AE1" s="16"/>
    </row>
    <row r="2" spans="1:31" s="17" customFormat="1" ht="25.5" x14ac:dyDescent="0.7">
      <c r="A2" s="1424" t="e">
        <f>#REF!</f>
        <v>#REF!</v>
      </c>
      <c r="B2" s="1424"/>
      <c r="C2" s="1424"/>
      <c r="D2" s="1424"/>
      <c r="E2" s="1424"/>
      <c r="F2" s="1424"/>
      <c r="G2" s="1424"/>
      <c r="H2" s="1424"/>
      <c r="I2" s="1424"/>
      <c r="J2" s="1424"/>
      <c r="K2" s="1424"/>
      <c r="L2" s="1424"/>
      <c r="M2" s="1424"/>
      <c r="N2" s="1424"/>
      <c r="O2" s="1424"/>
      <c r="P2" s="1424"/>
      <c r="Q2" s="1424"/>
      <c r="R2" s="1424"/>
      <c r="S2" s="1424"/>
      <c r="T2" s="1424"/>
      <c r="U2" s="1424"/>
      <c r="V2" s="1424"/>
      <c r="W2" s="1424"/>
      <c r="X2" s="18"/>
      <c r="Y2" s="18"/>
      <c r="Z2" s="16"/>
      <c r="AA2" s="16"/>
      <c r="AB2" s="16"/>
      <c r="AC2" s="16"/>
      <c r="AD2" s="16"/>
      <c r="AE2" s="16"/>
    </row>
    <row r="3" spans="1:31" s="17" customFormat="1" ht="25.5" x14ac:dyDescent="0.7">
      <c r="A3" s="1424" t="str">
        <f>سودوزيان!A3</f>
        <v>سال مالی منتهی به 30 اسفند 1403</v>
      </c>
      <c r="B3" s="1424"/>
      <c r="C3" s="1424"/>
      <c r="D3" s="1424"/>
      <c r="E3" s="1424"/>
      <c r="F3" s="1424"/>
      <c r="G3" s="1424"/>
      <c r="H3" s="1424"/>
      <c r="I3" s="1424"/>
      <c r="J3" s="1424"/>
      <c r="K3" s="1424"/>
      <c r="L3" s="1424"/>
      <c r="M3" s="1424"/>
      <c r="N3" s="1424"/>
      <c r="O3" s="1424"/>
      <c r="P3" s="1424"/>
      <c r="Q3" s="1424"/>
      <c r="R3" s="1424"/>
      <c r="S3" s="1424"/>
      <c r="T3" s="1424"/>
      <c r="U3" s="1424"/>
      <c r="V3" s="1424"/>
      <c r="W3" s="1424"/>
      <c r="X3" s="18"/>
      <c r="Y3" s="18"/>
      <c r="Z3" s="16"/>
      <c r="AA3" s="16"/>
      <c r="AB3" s="16"/>
      <c r="AC3" s="16"/>
      <c r="AD3" s="16"/>
      <c r="AE3" s="16"/>
    </row>
    <row r="4" spans="1:31" s="36" customFormat="1" ht="21" x14ac:dyDescent="0.55000000000000004">
      <c r="A4" s="7" t="s">
        <v>403</v>
      </c>
      <c r="B4" s="41" t="s">
        <v>71</v>
      </c>
      <c r="C4" s="41"/>
      <c r="D4" s="39"/>
      <c r="E4" s="39"/>
      <c r="F4" s="39"/>
      <c r="G4" s="39"/>
      <c r="H4" s="39"/>
      <c r="I4" s="39"/>
      <c r="J4" s="39"/>
      <c r="K4" s="39"/>
      <c r="L4" s="39"/>
      <c r="M4" s="39"/>
      <c r="N4" s="39"/>
      <c r="O4" s="39"/>
      <c r="P4" s="39"/>
      <c r="Q4" s="39"/>
      <c r="R4" s="39"/>
      <c r="S4" s="39"/>
      <c r="T4" s="39"/>
      <c r="U4" s="39"/>
      <c r="V4" s="39"/>
      <c r="W4" s="42"/>
      <c r="X4" s="42"/>
      <c r="Y4" s="42"/>
      <c r="Z4" s="38"/>
      <c r="AA4" s="38"/>
      <c r="AB4" s="37"/>
      <c r="AC4" s="37"/>
      <c r="AD4" s="38"/>
      <c r="AE4" s="38"/>
    </row>
    <row r="5" spans="1:31" s="8" customFormat="1" ht="38.25" customHeight="1" x14ac:dyDescent="0.25">
      <c r="A5" s="28"/>
      <c r="B5" s="12"/>
      <c r="C5" s="12"/>
      <c r="D5" s="29"/>
      <c r="E5" s="1421">
        <v>1400</v>
      </c>
      <c r="F5" s="1421"/>
      <c r="G5" s="1421"/>
      <c r="H5" s="1421"/>
      <c r="I5" s="1421"/>
      <c r="J5" s="1421"/>
      <c r="K5" s="1421"/>
      <c r="L5" s="43"/>
      <c r="M5" s="1421">
        <v>1399</v>
      </c>
      <c r="N5" s="1421"/>
      <c r="O5" s="1421"/>
      <c r="P5" s="1421"/>
      <c r="Q5" s="1421"/>
      <c r="R5" s="1421"/>
      <c r="S5" s="1421"/>
      <c r="V5" s="43"/>
      <c r="W5" s="30"/>
      <c r="X5" s="30"/>
      <c r="Y5" s="30"/>
      <c r="Z5" s="30"/>
      <c r="AB5" s="9"/>
      <c r="AC5" s="9"/>
    </row>
    <row r="6" spans="1:31" s="8" customFormat="1" ht="16.5" customHeight="1" x14ac:dyDescent="0.25">
      <c r="A6" s="28"/>
      <c r="B6" s="12"/>
      <c r="C6" s="1427" t="s">
        <v>438</v>
      </c>
      <c r="D6" s="29"/>
      <c r="E6" s="1422"/>
      <c r="F6" s="1422"/>
      <c r="G6" s="1422"/>
      <c r="H6" s="1422"/>
      <c r="I6" s="1422"/>
      <c r="J6" s="1422"/>
      <c r="K6" s="1422"/>
      <c r="L6" s="43"/>
      <c r="M6" s="1422"/>
      <c r="N6" s="1422"/>
      <c r="O6" s="1422"/>
      <c r="P6" s="1422"/>
      <c r="Q6" s="1422"/>
      <c r="R6" s="1422"/>
      <c r="S6" s="1422"/>
      <c r="V6" s="43"/>
      <c r="W6" s="30"/>
      <c r="X6" s="30"/>
      <c r="Y6" s="30"/>
      <c r="Z6" s="30"/>
      <c r="AB6" s="9"/>
      <c r="AC6" s="9"/>
    </row>
    <row r="7" spans="1:31" s="46" customFormat="1" ht="21" x14ac:dyDescent="0.25">
      <c r="A7" s="44"/>
      <c r="B7" s="45"/>
      <c r="C7" s="1428"/>
      <c r="D7" s="40"/>
      <c r="E7" s="64" t="s">
        <v>800</v>
      </c>
      <c r="F7" s="66"/>
      <c r="G7" s="64" t="s">
        <v>799</v>
      </c>
      <c r="H7" s="66"/>
      <c r="I7" s="64" t="s">
        <v>805</v>
      </c>
      <c r="J7" s="40"/>
      <c r="K7" s="64" t="s">
        <v>72</v>
      </c>
      <c r="L7" s="66"/>
      <c r="M7" s="64" t="s">
        <v>800</v>
      </c>
      <c r="N7" s="66"/>
      <c r="O7" s="64" t="s">
        <v>799</v>
      </c>
      <c r="P7" s="66"/>
      <c r="Q7" s="64" t="s">
        <v>805</v>
      </c>
      <c r="R7" s="40"/>
      <c r="S7" s="64" t="s">
        <v>72</v>
      </c>
      <c r="V7" s="40"/>
      <c r="W7" s="40"/>
      <c r="X7" s="40"/>
      <c r="Y7" s="40"/>
      <c r="Z7" s="40"/>
      <c r="AB7" s="47"/>
      <c r="AC7" s="47"/>
    </row>
    <row r="8" spans="1:31" s="8" customFormat="1" ht="18.75" x14ac:dyDescent="0.25">
      <c r="A8" s="28"/>
      <c r="B8" s="48"/>
      <c r="C8" s="48"/>
      <c r="D8" s="30"/>
      <c r="E8" s="23" t="s">
        <v>591</v>
      </c>
      <c r="F8" s="23"/>
      <c r="G8" s="23" t="s">
        <v>591</v>
      </c>
      <c r="H8" s="30"/>
      <c r="I8" s="23" t="s">
        <v>591</v>
      </c>
      <c r="J8" s="30"/>
      <c r="K8" s="23" t="s">
        <v>591</v>
      </c>
      <c r="L8" s="30"/>
      <c r="M8" s="23" t="s">
        <v>591</v>
      </c>
      <c r="N8" s="30"/>
      <c r="O8" s="23" t="s">
        <v>591</v>
      </c>
      <c r="P8" s="30"/>
      <c r="Q8" s="23" t="s">
        <v>591</v>
      </c>
      <c r="R8" s="30"/>
      <c r="S8" s="23" t="s">
        <v>591</v>
      </c>
      <c r="V8" s="23"/>
      <c r="W8" s="23"/>
      <c r="X8" s="23"/>
      <c r="Y8" s="23"/>
      <c r="Z8" s="30"/>
      <c r="AB8" s="32"/>
      <c r="AC8" s="32"/>
    </row>
    <row r="9" spans="1:31" s="8" customFormat="1" ht="22.5" customHeight="1" x14ac:dyDescent="0.25">
      <c r="A9" s="31" t="s">
        <v>490</v>
      </c>
      <c r="B9" s="24" t="s">
        <v>73</v>
      </c>
      <c r="C9" s="26" t="s">
        <v>439</v>
      </c>
      <c r="D9" s="8">
        <f>(E9-M9)/M9*100</f>
        <v>8.2192001233766057</v>
      </c>
      <c r="E9" s="26">
        <f>E51</f>
        <v>2201052765346</v>
      </c>
      <c r="F9" s="26"/>
      <c r="G9" s="26"/>
      <c r="J9" s="26"/>
      <c r="K9" s="26">
        <f>I9+E9</f>
        <v>2201052765346</v>
      </c>
      <c r="L9" s="26"/>
      <c r="M9" s="26">
        <v>2033883786644.7573</v>
      </c>
      <c r="N9" s="26"/>
      <c r="O9" s="26"/>
      <c r="P9" s="26"/>
      <c r="Q9" s="26">
        <v>3189103298</v>
      </c>
      <c r="R9" s="26"/>
      <c r="S9" s="26">
        <f>SUM(M9:R9)</f>
        <v>2037072889942.7573</v>
      </c>
      <c r="AB9" s="9"/>
      <c r="AC9" s="9"/>
    </row>
    <row r="10" spans="1:31" s="8" customFormat="1" ht="24.75" customHeight="1" x14ac:dyDescent="0.25">
      <c r="A10" s="31"/>
      <c r="B10" s="24" t="s">
        <v>74</v>
      </c>
      <c r="C10" s="26" t="s">
        <v>440</v>
      </c>
      <c r="D10" s="8" t="e">
        <f>(E10-M10)/M10*100</f>
        <v>#REF!</v>
      </c>
      <c r="E10" s="26" t="e">
        <f>'6-2'!#REF!</f>
        <v>#REF!</v>
      </c>
      <c r="F10" s="26"/>
      <c r="G10" s="26"/>
      <c r="I10" s="8">
        <v>0</v>
      </c>
      <c r="J10" s="26"/>
      <c r="K10" s="26" t="e">
        <f t="shared" ref="K10:K18" si="0">I10+E10</f>
        <v>#REF!</v>
      </c>
      <c r="L10" s="26"/>
      <c r="M10" s="26">
        <v>126359012049.88747</v>
      </c>
      <c r="N10" s="26"/>
      <c r="O10" s="26"/>
      <c r="P10" s="26"/>
      <c r="Q10" s="26">
        <v>1154265786.1125336</v>
      </c>
      <c r="R10" s="26"/>
      <c r="S10" s="26">
        <f>SUM(M10:R10)</f>
        <v>127513277836</v>
      </c>
      <c r="AB10" s="9"/>
      <c r="AC10" s="9"/>
    </row>
    <row r="11" spans="1:31" s="8" customFormat="1" ht="19.5" customHeight="1" x14ac:dyDescent="0.25">
      <c r="A11" s="31"/>
      <c r="B11" s="35" t="s">
        <v>75</v>
      </c>
      <c r="C11" s="25"/>
      <c r="J11" s="26"/>
      <c r="K11" s="26">
        <f t="shared" si="0"/>
        <v>0</v>
      </c>
      <c r="L11" s="26"/>
      <c r="M11" s="26"/>
      <c r="N11" s="26"/>
      <c r="P11" s="26"/>
      <c r="Q11" s="26"/>
      <c r="R11" s="26"/>
      <c r="S11" s="26"/>
      <c r="AB11" s="9"/>
      <c r="AC11" s="9"/>
    </row>
    <row r="12" spans="1:31" s="8" customFormat="1" ht="19.5" customHeight="1" x14ac:dyDescent="0.25">
      <c r="A12" s="31"/>
      <c r="B12" s="24" t="s">
        <v>305</v>
      </c>
      <c r="C12" s="26"/>
      <c r="D12" s="8">
        <f t="shared" ref="D12:D18" si="1">(E12-M12)/M12*100</f>
        <v>70.928915939703231</v>
      </c>
      <c r="E12" s="26">
        <v>245613900788</v>
      </c>
      <c r="F12" s="26"/>
      <c r="G12" s="26"/>
      <c r="J12" s="26"/>
      <c r="K12" s="26">
        <f t="shared" si="0"/>
        <v>245613900788</v>
      </c>
      <c r="L12" s="26"/>
      <c r="M12" s="26">
        <v>143693592999</v>
      </c>
      <c r="N12" s="26"/>
      <c r="O12" s="26"/>
      <c r="P12" s="26"/>
      <c r="Q12" s="26"/>
      <c r="R12" s="26"/>
      <c r="S12" s="26">
        <f t="shared" ref="S12:S18" si="2">SUM(M12:R12)</f>
        <v>143693592999</v>
      </c>
      <c r="Y12" s="59"/>
      <c r="AB12" s="9"/>
      <c r="AC12" s="9"/>
    </row>
    <row r="13" spans="1:31" s="8" customFormat="1" ht="19.5" customHeight="1" x14ac:dyDescent="0.25">
      <c r="A13" s="31"/>
      <c r="B13" s="24" t="s">
        <v>306</v>
      </c>
      <c r="C13" s="26"/>
      <c r="D13" s="8">
        <f t="shared" si="1"/>
        <v>83.718143861851843</v>
      </c>
      <c r="E13" s="26">
        <v>65298093724</v>
      </c>
      <c r="F13" s="26"/>
      <c r="G13" s="26"/>
      <c r="J13" s="26"/>
      <c r="K13" s="26">
        <f t="shared" si="0"/>
        <v>65298093724</v>
      </c>
      <c r="L13" s="26"/>
      <c r="M13" s="26">
        <v>35542539431</v>
      </c>
      <c r="N13" s="26"/>
      <c r="O13" s="26"/>
      <c r="P13" s="26"/>
      <c r="Q13" s="26"/>
      <c r="R13" s="26"/>
      <c r="S13" s="26">
        <f t="shared" si="2"/>
        <v>35542539431</v>
      </c>
      <c r="AB13" s="9"/>
      <c r="AC13" s="9"/>
    </row>
    <row r="14" spans="1:31" s="8" customFormat="1" ht="19.5" customHeight="1" x14ac:dyDescent="0.25">
      <c r="A14" s="31"/>
      <c r="B14" s="24" t="s">
        <v>307</v>
      </c>
      <c r="C14" s="26"/>
      <c r="D14" s="8">
        <f t="shared" si="1"/>
        <v>59.604418232877585</v>
      </c>
      <c r="E14" s="26">
        <v>65074844649</v>
      </c>
      <c r="F14" s="26"/>
      <c r="G14" s="26"/>
      <c r="J14" s="26"/>
      <c r="K14" s="26">
        <f t="shared" si="0"/>
        <v>65074844649</v>
      </c>
      <c r="L14" s="26"/>
      <c r="M14" s="26">
        <v>40772583472</v>
      </c>
      <c r="N14" s="26"/>
      <c r="O14" s="26"/>
      <c r="P14" s="26"/>
      <c r="Q14" s="26"/>
      <c r="R14" s="26"/>
      <c r="S14" s="26">
        <f t="shared" si="2"/>
        <v>40772583472</v>
      </c>
      <c r="AB14" s="9"/>
      <c r="AC14" s="9"/>
    </row>
    <row r="15" spans="1:31" s="8" customFormat="1" ht="19.5" customHeight="1" x14ac:dyDescent="0.25">
      <c r="A15" s="31"/>
      <c r="B15" s="24" t="s">
        <v>308</v>
      </c>
      <c r="C15" s="26"/>
      <c r="D15" s="8">
        <f t="shared" si="1"/>
        <v>92.399747771987805</v>
      </c>
      <c r="E15" s="26">
        <v>21832779781</v>
      </c>
      <c r="F15" s="26"/>
      <c r="G15" s="26"/>
      <c r="J15" s="26"/>
      <c r="K15" s="26">
        <f t="shared" si="0"/>
        <v>21832779781</v>
      </c>
      <c r="L15" s="26"/>
      <c r="M15" s="26">
        <v>11347613515</v>
      </c>
      <c r="N15" s="26"/>
      <c r="O15" s="26"/>
      <c r="P15" s="26"/>
      <c r="Q15" s="26"/>
      <c r="R15" s="26"/>
      <c r="S15" s="26">
        <f t="shared" si="2"/>
        <v>11347613515</v>
      </c>
      <c r="AB15" s="9"/>
      <c r="AC15" s="9"/>
    </row>
    <row r="16" spans="1:31" s="8" customFormat="1" ht="19.5" customHeight="1" x14ac:dyDescent="0.25">
      <c r="A16" s="31"/>
      <c r="B16" s="24" t="s">
        <v>309</v>
      </c>
      <c r="C16" s="26"/>
      <c r="D16" s="8">
        <f t="shared" si="1"/>
        <v>97.09050486549792</v>
      </c>
      <c r="E16" s="26">
        <v>9144663891</v>
      </c>
      <c r="F16" s="26"/>
      <c r="G16" s="26"/>
      <c r="J16" s="26"/>
      <c r="K16" s="26">
        <f t="shared" si="0"/>
        <v>9144663891</v>
      </c>
      <c r="L16" s="26"/>
      <c r="M16" s="26">
        <v>4639829756</v>
      </c>
      <c r="N16" s="26"/>
      <c r="O16" s="26"/>
      <c r="P16" s="26"/>
      <c r="Q16" s="26"/>
      <c r="R16" s="26"/>
      <c r="S16" s="26">
        <f t="shared" si="2"/>
        <v>4639829756</v>
      </c>
      <c r="AB16" s="9"/>
      <c r="AC16" s="9"/>
    </row>
    <row r="17" spans="1:29" s="8" customFormat="1" ht="19.5" customHeight="1" x14ac:dyDescent="0.25">
      <c r="A17" s="31"/>
      <c r="B17" s="24" t="s">
        <v>310</v>
      </c>
      <c r="C17" s="26"/>
      <c r="D17" s="8">
        <f t="shared" si="1"/>
        <v>337.03933270252412</v>
      </c>
      <c r="E17" s="26">
        <v>63535544907</v>
      </c>
      <c r="F17" s="26"/>
      <c r="G17" s="26"/>
      <c r="J17" s="26"/>
      <c r="K17" s="26">
        <f t="shared" si="0"/>
        <v>63535544907</v>
      </c>
      <c r="L17" s="26"/>
      <c r="M17" s="26">
        <v>14537717810</v>
      </c>
      <c r="N17" s="26"/>
      <c r="O17" s="26"/>
      <c r="P17" s="26"/>
      <c r="Q17" s="26"/>
      <c r="R17" s="26"/>
      <c r="S17" s="26">
        <f t="shared" si="2"/>
        <v>14537717810</v>
      </c>
      <c r="AB17" s="9"/>
      <c r="AC17" s="9"/>
    </row>
    <row r="18" spans="1:29" s="8" customFormat="1" ht="19.5" customHeight="1" x14ac:dyDescent="0.25">
      <c r="A18" s="31"/>
      <c r="B18" s="24" t="s">
        <v>311</v>
      </c>
      <c r="C18" s="26"/>
      <c r="D18" s="8">
        <f t="shared" si="1"/>
        <v>78.609451180203251</v>
      </c>
      <c r="E18" s="26">
        <v>152609681173</v>
      </c>
      <c r="F18" s="26"/>
      <c r="G18" s="26"/>
      <c r="J18" s="26"/>
      <c r="K18" s="26">
        <f t="shared" si="0"/>
        <v>152609681173</v>
      </c>
      <c r="L18" s="26"/>
      <c r="M18" s="26">
        <v>85443228320</v>
      </c>
      <c r="N18" s="26"/>
      <c r="O18" s="26"/>
      <c r="P18" s="26"/>
      <c r="Q18" s="26"/>
      <c r="R18" s="26"/>
      <c r="S18" s="26">
        <f t="shared" si="2"/>
        <v>85443228320</v>
      </c>
      <c r="AB18" s="9"/>
      <c r="AC18" s="9"/>
    </row>
    <row r="19" spans="1:29" s="8" customFormat="1" ht="19.5" customHeight="1" x14ac:dyDescent="0.25">
      <c r="A19" s="31"/>
      <c r="B19" s="24"/>
      <c r="C19" s="26"/>
      <c r="D19" s="8">
        <v>55</v>
      </c>
      <c r="E19" s="49">
        <f>SUM(E12:E18)</f>
        <v>623109508913</v>
      </c>
      <c r="F19" s="61"/>
      <c r="G19" s="49">
        <f>SUM(G12:G18)</f>
        <v>0</v>
      </c>
      <c r="H19" s="61"/>
      <c r="I19" s="49">
        <f>SUM(I12:I18)</f>
        <v>0</v>
      </c>
      <c r="J19" s="61"/>
      <c r="K19" s="49">
        <f>SUM(K12:K18)</f>
        <v>623109508913</v>
      </c>
      <c r="L19" s="61"/>
      <c r="M19" s="50">
        <f>SUM(M12:M18)</f>
        <v>335977105303</v>
      </c>
      <c r="N19" s="61"/>
      <c r="O19" s="49"/>
      <c r="P19" s="61"/>
      <c r="Q19" s="50">
        <f>SUM(Q12:Q18)</f>
        <v>0</v>
      </c>
      <c r="R19" s="61"/>
      <c r="S19" s="50">
        <f>SUM(S12:S18)</f>
        <v>335977105303</v>
      </c>
      <c r="AB19" s="9">
        <f>Y19-S19</f>
        <v>-335977105303</v>
      </c>
      <c r="AC19" s="9"/>
    </row>
    <row r="20" spans="1:29" s="8" customFormat="1" ht="19.5" customHeight="1" x14ac:dyDescent="0.25">
      <c r="A20" s="31"/>
      <c r="B20" s="24" t="s">
        <v>76</v>
      </c>
      <c r="C20" s="26"/>
      <c r="E20" s="67"/>
      <c r="F20" s="26"/>
      <c r="G20" s="67"/>
      <c r="H20" s="26"/>
      <c r="I20" s="67"/>
      <c r="J20" s="26"/>
      <c r="K20" s="67"/>
      <c r="L20" s="26"/>
      <c r="M20" s="67"/>
      <c r="N20" s="26"/>
      <c r="O20" s="67"/>
      <c r="P20" s="26"/>
      <c r="Q20" s="67"/>
      <c r="R20" s="26"/>
      <c r="S20" s="67"/>
      <c r="AB20" s="9"/>
      <c r="AC20" s="9"/>
    </row>
    <row r="21" spans="1:29" s="8" customFormat="1" ht="19.5" customHeight="1" x14ac:dyDescent="0.25">
      <c r="A21" s="31"/>
      <c r="B21" s="24" t="s">
        <v>77</v>
      </c>
      <c r="C21" s="26"/>
      <c r="E21" s="26" t="e">
        <f>E19+E10+E9</f>
        <v>#REF!</v>
      </c>
      <c r="F21" s="26"/>
      <c r="G21" s="26"/>
      <c r="H21" s="26"/>
      <c r="I21" s="26">
        <f>I19+I10+I9</f>
        <v>0</v>
      </c>
      <c r="J21" s="26"/>
      <c r="K21" s="26" t="e">
        <f>K19+K10+K9</f>
        <v>#REF!</v>
      </c>
      <c r="L21" s="26"/>
      <c r="M21" s="26">
        <f>M19+M10+M9</f>
        <v>2496219903997.6445</v>
      </c>
      <c r="N21" s="26"/>
      <c r="O21" s="26"/>
      <c r="P21" s="26"/>
      <c r="Q21" s="26">
        <f>Q19+Q10+Q9</f>
        <v>4343369084.1125336</v>
      </c>
      <c r="R21" s="26"/>
      <c r="S21" s="26">
        <f>S19+S10+S9</f>
        <v>2500563273081.7573</v>
      </c>
      <c r="AB21" s="9"/>
      <c r="AC21" s="9"/>
    </row>
    <row r="22" spans="1:29" s="8" customFormat="1" ht="19.5" customHeight="1" x14ac:dyDescent="0.25">
      <c r="A22" s="31"/>
      <c r="B22" s="35" t="s">
        <v>78</v>
      </c>
      <c r="C22" s="26"/>
      <c r="E22" s="26" t="e">
        <f>'15-16'!#REF!-'15-16'!L72</f>
        <v>#REF!</v>
      </c>
      <c r="F22" s="26"/>
      <c r="G22" s="26"/>
      <c r="H22" s="26"/>
      <c r="I22" s="26"/>
      <c r="J22" s="26"/>
      <c r="K22" s="26" t="e">
        <f>I22+E22</f>
        <v>#REF!</v>
      </c>
      <c r="L22" s="26"/>
      <c r="M22" s="26">
        <v>-27735216074.096001</v>
      </c>
      <c r="N22" s="26"/>
      <c r="O22" s="26"/>
      <c r="P22" s="26"/>
      <c r="Q22" s="26"/>
      <c r="R22" s="26"/>
      <c r="S22" s="26">
        <f>Q22+M22</f>
        <v>-27735216074.096001</v>
      </c>
      <c r="AB22" s="9"/>
      <c r="AC22" s="9"/>
    </row>
    <row r="23" spans="1:29" s="8" customFormat="1" ht="19.5" customHeight="1" x14ac:dyDescent="0.25">
      <c r="A23" s="31"/>
      <c r="B23" s="51" t="s">
        <v>79</v>
      </c>
      <c r="C23" s="57"/>
      <c r="E23" s="67">
        <v>0</v>
      </c>
      <c r="F23" s="26"/>
      <c r="G23" s="67"/>
      <c r="H23" s="26"/>
      <c r="I23" s="67"/>
      <c r="J23" s="26"/>
      <c r="K23" s="67">
        <f>I23+E23</f>
        <v>0</v>
      </c>
      <c r="L23" s="26"/>
      <c r="M23" s="67">
        <v>-8100549373</v>
      </c>
      <c r="N23" s="26"/>
      <c r="O23" s="67"/>
      <c r="P23" s="26"/>
      <c r="Q23" s="67"/>
      <c r="R23" s="26"/>
      <c r="S23" s="67">
        <f>M23+Q23</f>
        <v>-8100549373</v>
      </c>
      <c r="AB23" s="9"/>
      <c r="AC23" s="9"/>
    </row>
    <row r="24" spans="1:29" s="8" customFormat="1" ht="19.5" customHeight="1" x14ac:dyDescent="0.25">
      <c r="A24" s="31"/>
      <c r="B24" s="8" t="s">
        <v>80</v>
      </c>
      <c r="C24" s="26"/>
      <c r="E24" s="26" t="e">
        <f>SUM(E21:E23)</f>
        <v>#REF!</v>
      </c>
      <c r="F24" s="26"/>
      <c r="G24" s="26">
        <f>SUM(G21:G23)</f>
        <v>0</v>
      </c>
      <c r="H24" s="26"/>
      <c r="I24" s="26">
        <f>SUM(I21:I23)</f>
        <v>0</v>
      </c>
      <c r="J24" s="26"/>
      <c r="K24" s="26" t="e">
        <f>SUM(K21:K23)</f>
        <v>#REF!</v>
      </c>
      <c r="L24" s="26"/>
      <c r="M24" s="26">
        <f>SUM(M21:M23)</f>
        <v>2460384138550.5483</v>
      </c>
      <c r="N24" s="26"/>
      <c r="O24" s="26"/>
      <c r="P24" s="26"/>
      <c r="Q24" s="26">
        <f>SUM(Q21:Q23)</f>
        <v>4343369084.1125336</v>
      </c>
      <c r="R24" s="26"/>
      <c r="S24" s="26">
        <f>SUM(S21:S23)</f>
        <v>2464727507634.6611</v>
      </c>
      <c r="AB24" s="9"/>
      <c r="AC24" s="9"/>
    </row>
    <row r="25" spans="1:29" s="8" customFormat="1" ht="19.5" customHeight="1" x14ac:dyDescent="0.25">
      <c r="A25" s="31"/>
      <c r="B25" s="8" t="s">
        <v>709</v>
      </c>
      <c r="C25" s="26"/>
      <c r="E25" s="26"/>
      <c r="F25" s="26"/>
      <c r="G25" s="26">
        <v>4152000000</v>
      </c>
      <c r="H25" s="26"/>
      <c r="I25" s="26"/>
      <c r="J25" s="26"/>
      <c r="K25" s="26">
        <f>G25</f>
        <v>4152000000</v>
      </c>
      <c r="L25" s="26"/>
      <c r="M25" s="26"/>
      <c r="N25" s="26"/>
      <c r="O25" s="26"/>
      <c r="P25" s="26"/>
      <c r="Q25" s="26"/>
      <c r="R25" s="26"/>
      <c r="S25" s="26">
        <v>0</v>
      </c>
      <c r="AB25" s="9"/>
      <c r="AC25" s="9"/>
    </row>
    <row r="26" spans="1:29" s="8" customFormat="1" ht="19.5" customHeight="1" x14ac:dyDescent="0.25">
      <c r="A26" s="31"/>
      <c r="B26" s="51" t="s">
        <v>402</v>
      </c>
      <c r="C26" s="57"/>
      <c r="E26" s="26" t="e">
        <f>'15-16'!#REF!-'15-16'!L71+2927040000</f>
        <v>#REF!</v>
      </c>
      <c r="F26" s="26"/>
      <c r="G26" s="26">
        <f>-2927040000</f>
        <v>-2927040000</v>
      </c>
      <c r="H26" s="26"/>
      <c r="I26" s="26">
        <v>0</v>
      </c>
      <c r="K26" s="26" t="e">
        <f>E26+I26+G26</f>
        <v>#REF!</v>
      </c>
      <c r="L26" s="26"/>
      <c r="M26" s="26">
        <v>-313834694078</v>
      </c>
      <c r="N26" s="26"/>
      <c r="O26" s="26"/>
      <c r="P26" s="26"/>
      <c r="Q26" s="26">
        <v>0</v>
      </c>
      <c r="R26" s="26"/>
      <c r="S26" s="26">
        <f>M26+Q26</f>
        <v>-313834694078</v>
      </c>
      <c r="AB26" s="9"/>
      <c r="AC26" s="9"/>
    </row>
    <row r="27" spans="1:29" s="8" customFormat="1" ht="19.5" customHeight="1" x14ac:dyDescent="0.25">
      <c r="A27" s="31"/>
      <c r="B27" s="51" t="s">
        <v>312</v>
      </c>
      <c r="C27" s="57"/>
      <c r="E27" s="26">
        <v>0</v>
      </c>
      <c r="F27" s="26"/>
      <c r="G27" s="26">
        <v>0</v>
      </c>
      <c r="H27" s="26"/>
      <c r="I27" s="26">
        <v>0</v>
      </c>
      <c r="J27" s="26"/>
      <c r="K27" s="26">
        <f>E27+I27+G27</f>
        <v>0</v>
      </c>
      <c r="L27" s="26"/>
      <c r="M27" s="26">
        <v>-48863021203</v>
      </c>
      <c r="N27" s="26"/>
      <c r="O27" s="26"/>
      <c r="P27" s="26"/>
      <c r="Q27" s="26">
        <v>0</v>
      </c>
      <c r="R27" s="26"/>
      <c r="S27" s="26">
        <f>M27+Q27</f>
        <v>-48863021203</v>
      </c>
      <c r="AB27" s="9"/>
      <c r="AC27" s="9"/>
    </row>
    <row r="28" spans="1:29" s="8" customFormat="1" ht="19.5" customHeight="1" x14ac:dyDescent="0.25">
      <c r="A28" s="31"/>
      <c r="B28" s="51" t="s">
        <v>710</v>
      </c>
      <c r="C28" s="26" t="s">
        <v>743</v>
      </c>
      <c r="E28" s="26"/>
      <c r="F28" s="26"/>
      <c r="G28" s="26">
        <v>33466315354</v>
      </c>
      <c r="H28" s="26"/>
      <c r="I28" s="26"/>
      <c r="J28" s="26"/>
      <c r="K28" s="26">
        <f>E28+I28+G28</f>
        <v>33466315354</v>
      </c>
      <c r="L28" s="26"/>
      <c r="M28" s="26"/>
      <c r="N28" s="26"/>
      <c r="O28" s="26"/>
      <c r="P28" s="26"/>
      <c r="Q28" s="26"/>
      <c r="R28" s="26"/>
      <c r="S28" s="26">
        <v>0</v>
      </c>
      <c r="AB28" s="9"/>
      <c r="AC28" s="9"/>
    </row>
    <row r="29" spans="1:29" s="8" customFormat="1" ht="30" customHeight="1" thickBot="1" x14ac:dyDescent="0.3">
      <c r="A29" s="31"/>
      <c r="E29" s="52" t="e">
        <f>SUM(E24:E28)</f>
        <v>#REF!</v>
      </c>
      <c r="F29" s="61"/>
      <c r="G29" s="52">
        <f>SUM(G24:G28)</f>
        <v>34691275354</v>
      </c>
      <c r="H29" s="61"/>
      <c r="I29" s="52">
        <f>SUM(I24:I28)</f>
        <v>0</v>
      </c>
      <c r="J29" s="61"/>
      <c r="K29" s="52" t="e">
        <f>SUM(K24:K28)</f>
        <v>#REF!</v>
      </c>
      <c r="L29" s="61"/>
      <c r="M29" s="52">
        <f>SUM(M24:M27)</f>
        <v>2097686423269.5483</v>
      </c>
      <c r="N29" s="61"/>
      <c r="O29" s="52">
        <f>SUM(O24:O28)</f>
        <v>0</v>
      </c>
      <c r="P29" s="61"/>
      <c r="Q29" s="52">
        <f>SUM(Q24:Q27)</f>
        <v>4343369084.1125336</v>
      </c>
      <c r="R29" s="61"/>
      <c r="S29" s="52">
        <f>SUM(S24:S27)</f>
        <v>2102029792353.6611</v>
      </c>
      <c r="AB29" s="9"/>
      <c r="AC29" s="9"/>
    </row>
    <row r="30" spans="1:29" s="8" customFormat="1" ht="30" customHeight="1" thickTop="1" x14ac:dyDescent="0.25">
      <c r="A30" s="31"/>
      <c r="E30" s="61"/>
      <c r="F30" s="61"/>
      <c r="G30" s="61"/>
      <c r="H30" s="61"/>
      <c r="I30" s="61"/>
      <c r="J30" s="61"/>
      <c r="K30" s="61"/>
      <c r="L30" s="61"/>
      <c r="M30" s="61"/>
      <c r="N30" s="61"/>
      <c r="O30" s="61"/>
      <c r="P30" s="61"/>
      <c r="Q30" s="61"/>
      <c r="R30" s="61"/>
      <c r="S30" s="61"/>
      <c r="T30" s="61"/>
      <c r="U30" s="61"/>
      <c r="AB30" s="9"/>
      <c r="AC30" s="9"/>
    </row>
    <row r="31" spans="1:29" s="8" customFormat="1" ht="19.5" customHeight="1" x14ac:dyDescent="0.25">
      <c r="A31" s="31"/>
      <c r="C31" s="26"/>
      <c r="D31" s="26"/>
      <c r="AB31" s="9"/>
      <c r="AC31" s="9"/>
    </row>
    <row r="32" spans="1:29" s="8" customFormat="1" ht="19.5" customHeight="1" x14ac:dyDescent="0.25">
      <c r="A32" s="7" t="s">
        <v>404</v>
      </c>
      <c r="B32" s="8" t="s">
        <v>450</v>
      </c>
      <c r="C32" s="22"/>
      <c r="D32" s="22"/>
      <c r="E32" s="1"/>
      <c r="F32" s="1"/>
      <c r="G32" s="1"/>
      <c r="H32" s="1"/>
      <c r="I32" s="1"/>
      <c r="J32" s="1"/>
      <c r="K32" s="1"/>
      <c r="Q32" s="63"/>
      <c r="AB32" s="9"/>
      <c r="AC32" s="9"/>
    </row>
    <row r="33" spans="1:29" s="8" customFormat="1" ht="28.5" customHeight="1" x14ac:dyDescent="0.25">
      <c r="A33" s="10"/>
      <c r="B33" s="1"/>
      <c r="C33" s="1"/>
      <c r="D33" s="1"/>
      <c r="E33" s="22" t="s">
        <v>516</v>
      </c>
      <c r="F33" s="1"/>
      <c r="G33" s="22" t="s">
        <v>517</v>
      </c>
      <c r="H33" s="22"/>
      <c r="J33" s="1"/>
      <c r="AB33" s="9"/>
      <c r="AC33" s="9"/>
    </row>
    <row r="34" spans="1:29" s="8" customFormat="1" ht="13.5" customHeight="1" x14ac:dyDescent="0.25">
      <c r="A34" s="10"/>
      <c r="B34" s="1"/>
      <c r="C34" s="1"/>
      <c r="D34" s="1"/>
      <c r="E34" s="15" t="s">
        <v>591</v>
      </c>
      <c r="F34" s="1"/>
      <c r="G34" s="15" t="s">
        <v>591</v>
      </c>
      <c r="H34" s="22"/>
      <c r="J34" s="1"/>
      <c r="M34" s="22"/>
      <c r="S34" s="30"/>
      <c r="AB34" s="9"/>
      <c r="AC34" s="9"/>
    </row>
    <row r="35" spans="1:29" s="8" customFormat="1" ht="24" customHeight="1" x14ac:dyDescent="0.25">
      <c r="A35" s="10"/>
      <c r="B35" s="1" t="s">
        <v>441</v>
      </c>
      <c r="C35" s="1"/>
      <c r="D35" s="1"/>
      <c r="E35" s="26">
        <v>1116656059148</v>
      </c>
      <c r="F35" s="1"/>
      <c r="G35" s="8">
        <v>557193857105</v>
      </c>
      <c r="H35" s="26"/>
      <c r="I35" s="8">
        <f>E35+G40</f>
        <v>-120</v>
      </c>
      <c r="J35" s="22"/>
      <c r="M35" s="26"/>
      <c r="S35" s="62"/>
      <c r="AB35" s="9"/>
      <c r="AC35" s="9"/>
    </row>
    <row r="36" spans="1:29" s="8" customFormat="1" ht="24" customHeight="1" x14ac:dyDescent="0.25">
      <c r="A36" s="10"/>
      <c r="B36" s="1" t="s">
        <v>442</v>
      </c>
      <c r="C36" s="1"/>
      <c r="D36" s="1"/>
      <c r="E36" s="26">
        <v>2169035754939</v>
      </c>
      <c r="F36" s="1"/>
      <c r="G36" s="8">
        <v>2623039548389</v>
      </c>
      <c r="H36" s="26"/>
      <c r="J36" s="22"/>
      <c r="M36" s="26"/>
      <c r="S36" s="62"/>
      <c r="AB36" s="9"/>
      <c r="AC36" s="9"/>
    </row>
    <row r="37" spans="1:29" s="8" customFormat="1" ht="24" customHeight="1" x14ac:dyDescent="0.25">
      <c r="A37" s="10"/>
      <c r="B37" s="1" t="s">
        <v>691</v>
      </c>
      <c r="C37" s="1"/>
      <c r="D37" s="1"/>
      <c r="E37" s="22">
        <v>165435492</v>
      </c>
      <c r="F37" s="1"/>
      <c r="G37" s="26">
        <v>0</v>
      </c>
      <c r="H37" s="22"/>
      <c r="J37" s="22"/>
      <c r="M37" s="26"/>
      <c r="S37" s="22"/>
      <c r="AB37" s="9"/>
      <c r="AC37" s="9"/>
    </row>
    <row r="38" spans="1:29" s="8" customFormat="1" ht="24" customHeight="1" x14ac:dyDescent="0.25">
      <c r="A38" s="10"/>
      <c r="B38" s="1" t="s">
        <v>692</v>
      </c>
      <c r="C38" s="1"/>
      <c r="D38" s="1"/>
      <c r="E38" s="22">
        <v>109019574</v>
      </c>
      <c r="F38" s="1"/>
      <c r="G38" s="22">
        <v>0</v>
      </c>
      <c r="H38" s="22"/>
      <c r="J38" s="22"/>
      <c r="M38" s="22"/>
      <c r="Q38" s="22"/>
      <c r="AB38" s="9"/>
      <c r="AC38" s="9"/>
    </row>
    <row r="39" spans="1:29" s="8" customFormat="1" ht="24" customHeight="1" x14ac:dyDescent="0.25">
      <c r="A39" s="10"/>
      <c r="B39" s="2" t="s">
        <v>443</v>
      </c>
      <c r="C39" s="1"/>
      <c r="D39" s="1"/>
      <c r="E39" s="15">
        <f>SUM(E35:E38)</f>
        <v>3285966269153</v>
      </c>
      <c r="F39" s="1"/>
      <c r="G39" s="15">
        <f>SUM(G35:G38)</f>
        <v>3180233405494</v>
      </c>
      <c r="H39" s="22"/>
      <c r="J39" s="22"/>
      <c r="M39" s="22"/>
      <c r="S39" s="60"/>
      <c r="AB39" s="9"/>
      <c r="AC39" s="9"/>
    </row>
    <row r="40" spans="1:29" s="8" customFormat="1" ht="24" customHeight="1" x14ac:dyDescent="0.25">
      <c r="A40" s="10"/>
      <c r="B40" s="1" t="s">
        <v>444</v>
      </c>
      <c r="C40" s="1"/>
      <c r="D40" s="1"/>
      <c r="E40" s="22">
        <v>-1041781676935</v>
      </c>
      <c r="F40" s="1"/>
      <c r="G40" s="22">
        <v>-1116656059268</v>
      </c>
      <c r="H40" s="22"/>
      <c r="J40" s="22"/>
      <c r="M40" s="22"/>
      <c r="AB40" s="9"/>
      <c r="AC40" s="9"/>
    </row>
    <row r="41" spans="1:29" s="8" customFormat="1" ht="24" customHeight="1" x14ac:dyDescent="0.25">
      <c r="A41" s="10"/>
      <c r="B41" s="1" t="s">
        <v>446</v>
      </c>
      <c r="C41" s="1"/>
      <c r="D41" s="1"/>
      <c r="E41" s="26">
        <v>-31958515307</v>
      </c>
      <c r="F41" s="1"/>
      <c r="G41" s="22">
        <v>-18856771237</v>
      </c>
      <c r="H41" s="26"/>
      <c r="J41" s="22"/>
      <c r="M41" s="26"/>
      <c r="AB41" s="9"/>
      <c r="AC41" s="9"/>
    </row>
    <row r="42" spans="1:29" s="8" customFormat="1" ht="24" customHeight="1" x14ac:dyDescent="0.25">
      <c r="A42" s="10"/>
      <c r="B42" s="1" t="s">
        <v>692</v>
      </c>
      <c r="C42" s="1"/>
      <c r="D42" s="1"/>
      <c r="E42" s="22">
        <v>0</v>
      </c>
      <c r="F42" s="1"/>
      <c r="G42" s="22"/>
      <c r="H42" s="22"/>
      <c r="J42" s="22"/>
      <c r="M42" s="22"/>
      <c r="AB42" s="9"/>
      <c r="AC42" s="9"/>
    </row>
    <row r="43" spans="1:29" s="8" customFormat="1" ht="24" customHeight="1" x14ac:dyDescent="0.25">
      <c r="A43" s="10"/>
      <c r="B43" s="1" t="s">
        <v>448</v>
      </c>
      <c r="C43" s="1"/>
      <c r="D43" s="1"/>
      <c r="E43" s="22">
        <v>0</v>
      </c>
      <c r="F43" s="1"/>
      <c r="G43" s="22">
        <v>5041965493</v>
      </c>
      <c r="H43" s="22"/>
      <c r="J43" s="22"/>
      <c r="M43" s="22"/>
      <c r="S43" s="22"/>
      <c r="AB43" s="9"/>
      <c r="AC43" s="9"/>
    </row>
    <row r="44" spans="1:29" s="8" customFormat="1" ht="24" customHeight="1" x14ac:dyDescent="0.25">
      <c r="A44" s="10"/>
      <c r="B44" s="1" t="s">
        <v>447</v>
      </c>
      <c r="C44" s="1"/>
      <c r="D44" s="1"/>
      <c r="E44" s="22">
        <v>-2719142383</v>
      </c>
      <c r="F44" s="1"/>
      <c r="G44" s="22">
        <v>-12739983687</v>
      </c>
      <c r="H44" s="22"/>
      <c r="J44" s="22"/>
      <c r="M44" s="22"/>
      <c r="AB44" s="9"/>
      <c r="AC44" s="9"/>
    </row>
    <row r="45" spans="1:29" s="8" customFormat="1" ht="24" customHeight="1" x14ac:dyDescent="0.25">
      <c r="A45" s="10"/>
      <c r="B45" s="1" t="s">
        <v>449</v>
      </c>
      <c r="C45" s="1"/>
      <c r="D45" s="1"/>
      <c r="E45" s="22"/>
      <c r="F45" s="1"/>
      <c r="G45" s="22">
        <v>50333148</v>
      </c>
      <c r="H45" s="22"/>
      <c r="J45" s="22"/>
      <c r="M45" s="22"/>
      <c r="AB45" s="9"/>
      <c r="AC45" s="9"/>
    </row>
    <row r="46" spans="1:29" s="8" customFormat="1" ht="24" customHeight="1" x14ac:dyDescent="0.25">
      <c r="A46" s="10"/>
      <c r="B46" s="1" t="s">
        <v>693</v>
      </c>
      <c r="C46" s="1"/>
      <c r="D46" s="1"/>
      <c r="E46" s="22"/>
      <c r="F46" s="1"/>
      <c r="G46" s="22"/>
      <c r="H46" s="22"/>
      <c r="J46" s="22"/>
      <c r="M46" s="22"/>
      <c r="AB46" s="9"/>
      <c r="AC46" s="9"/>
    </row>
    <row r="47" spans="1:29" s="8" customFormat="1" ht="24" customHeight="1" x14ac:dyDescent="0.25">
      <c r="A47" s="10"/>
      <c r="B47" s="1" t="s">
        <v>130</v>
      </c>
      <c r="C47" s="1"/>
      <c r="D47" s="1"/>
      <c r="E47" s="22">
        <v>-4251881</v>
      </c>
      <c r="F47" s="1"/>
      <c r="G47" s="22"/>
      <c r="H47" s="22"/>
      <c r="J47" s="22"/>
      <c r="M47" s="22"/>
      <c r="AB47" s="9"/>
      <c r="AC47" s="9"/>
    </row>
    <row r="48" spans="1:29" s="8" customFormat="1" ht="24" customHeight="1" x14ac:dyDescent="0.25">
      <c r="A48" s="10"/>
      <c r="B48" s="1" t="s">
        <v>690</v>
      </c>
      <c r="C48" s="1"/>
      <c r="D48" s="1"/>
      <c r="E48" s="22"/>
      <c r="F48" s="1"/>
      <c r="H48" s="22"/>
      <c r="J48" s="22"/>
      <c r="M48" s="22"/>
      <c r="AB48" s="9"/>
      <c r="AC48" s="9"/>
    </row>
    <row r="49" spans="1:29" s="8" customFormat="1" ht="24" customHeight="1" x14ac:dyDescent="0.25">
      <c r="A49" s="10"/>
      <c r="B49" s="1" t="s">
        <v>689</v>
      </c>
      <c r="C49" s="1"/>
      <c r="D49" s="1"/>
      <c r="E49" s="22">
        <v>0</v>
      </c>
      <c r="F49" s="1"/>
      <c r="G49" s="22"/>
      <c r="H49" s="22"/>
      <c r="J49" s="22"/>
      <c r="M49" s="22"/>
      <c r="AB49" s="9"/>
      <c r="AC49" s="9"/>
    </row>
    <row r="50" spans="1:29" s="8" customFormat="1" ht="24" customHeight="1" x14ac:dyDescent="0.25">
      <c r="A50" s="10"/>
      <c r="B50" s="1" t="s">
        <v>701</v>
      </c>
      <c r="C50" s="1"/>
      <c r="D50" s="1"/>
      <c r="E50" s="22">
        <v>-8449917301</v>
      </c>
      <c r="F50" s="1"/>
      <c r="G50" s="22"/>
      <c r="H50" s="22"/>
      <c r="J50" s="22"/>
      <c r="M50" s="22"/>
      <c r="AB50" s="9"/>
      <c r="AC50" s="9"/>
    </row>
    <row r="51" spans="1:29" s="8" customFormat="1" ht="24" customHeight="1" thickBot="1" x14ac:dyDescent="0.3">
      <c r="A51" s="10"/>
      <c r="B51" s="2" t="s">
        <v>445</v>
      </c>
      <c r="C51" s="1"/>
      <c r="D51" s="1"/>
      <c r="E51" s="14">
        <f>SUM(E39:E50)</f>
        <v>2201052765346</v>
      </c>
      <c r="F51" s="1"/>
      <c r="G51" s="14">
        <f>SUM(G39:G45)</f>
        <v>2037072889943</v>
      </c>
      <c r="H51" s="22"/>
      <c r="J51" s="1"/>
      <c r="M51" s="22"/>
      <c r="AB51" s="9"/>
      <c r="AC51" s="9"/>
    </row>
    <row r="52" spans="1:29" s="8" customFormat="1" ht="19.5" customHeight="1" thickTop="1" x14ac:dyDescent="0.25">
      <c r="A52" s="10"/>
      <c r="B52" s="1"/>
      <c r="C52" s="1"/>
      <c r="D52" s="1"/>
      <c r="E52" s="1"/>
      <c r="F52" s="1"/>
      <c r="G52" s="1"/>
      <c r="H52" s="1"/>
      <c r="I52" s="1"/>
      <c r="J52" s="1"/>
      <c r="K52" s="1"/>
      <c r="M52" s="22"/>
      <c r="S52" s="58"/>
      <c r="AB52" s="9"/>
      <c r="AC52" s="9"/>
    </row>
    <row r="53" spans="1:29" s="8" customFormat="1" ht="13.5" customHeight="1" x14ac:dyDescent="0.25">
      <c r="A53" s="10"/>
      <c r="B53" s="1"/>
      <c r="C53" s="1"/>
      <c r="D53" s="1"/>
      <c r="E53" s="1"/>
      <c r="F53" s="1"/>
      <c r="G53" s="1"/>
      <c r="H53" s="1"/>
      <c r="I53" s="1"/>
      <c r="J53" s="1"/>
      <c r="K53" s="1"/>
      <c r="AB53" s="9"/>
      <c r="AC53" s="9"/>
    </row>
    <row r="54" spans="1:29" s="8" customFormat="1" ht="13.5" customHeight="1" x14ac:dyDescent="0.25">
      <c r="A54" s="10"/>
      <c r="B54" s="1"/>
      <c r="C54" s="1"/>
      <c r="D54" s="1"/>
      <c r="E54" s="1"/>
      <c r="F54" s="1"/>
      <c r="G54" s="1"/>
      <c r="H54" s="1"/>
      <c r="I54" s="1"/>
      <c r="J54" s="1"/>
      <c r="K54" s="1"/>
      <c r="AB54" s="9"/>
      <c r="AC54" s="9"/>
    </row>
    <row r="55" spans="1:29" s="8" customFormat="1" ht="13.5" customHeight="1" x14ac:dyDescent="0.25">
      <c r="A55" s="10"/>
      <c r="B55" s="1"/>
      <c r="C55" s="1"/>
      <c r="D55" s="1"/>
      <c r="E55" s="1"/>
      <c r="F55" s="1"/>
      <c r="G55" s="1"/>
      <c r="H55" s="1"/>
      <c r="I55" s="1"/>
      <c r="J55" s="1"/>
      <c r="K55" s="1"/>
      <c r="AB55" s="9"/>
      <c r="AC55" s="9"/>
    </row>
    <row r="56" spans="1:29" s="8" customFormat="1" ht="13.5" customHeight="1" x14ac:dyDescent="0.25">
      <c r="A56" s="10"/>
      <c r="B56" s="1"/>
      <c r="C56" s="1"/>
      <c r="D56" s="1"/>
      <c r="E56" s="1"/>
      <c r="F56" s="1"/>
      <c r="G56" s="1"/>
      <c r="H56" s="1"/>
      <c r="I56" s="1"/>
      <c r="J56" s="1"/>
      <c r="K56" s="1"/>
      <c r="AB56" s="9"/>
      <c r="AC56" s="9"/>
    </row>
    <row r="57" spans="1:29" s="8" customFormat="1" ht="19.5" customHeight="1" x14ac:dyDescent="0.25">
      <c r="A57" s="7" t="s">
        <v>804</v>
      </c>
      <c r="B57" s="1426" t="s">
        <v>495</v>
      </c>
      <c r="C57" s="1426"/>
      <c r="D57" s="1426"/>
      <c r="E57" s="1426"/>
      <c r="F57" s="1426"/>
      <c r="G57" s="1426"/>
      <c r="H57" s="1426"/>
      <c r="I57" s="1426"/>
      <c r="J57" s="1426"/>
      <c r="K57" s="1426"/>
      <c r="L57" s="1426"/>
      <c r="M57" s="1426"/>
      <c r="N57" s="1426"/>
      <c r="O57" s="1426"/>
      <c r="P57" s="1426"/>
      <c r="Q57" s="1426"/>
      <c r="R57" s="1426"/>
      <c r="S57" s="1426"/>
      <c r="T57" s="1426"/>
      <c r="U57" s="1426"/>
      <c r="V57" s="1426"/>
      <c r="W57" s="1426"/>
      <c r="AB57" s="9"/>
      <c r="AC57" s="9"/>
    </row>
    <row r="58" spans="1:29" s="8" customFormat="1" ht="19.5" customHeight="1" x14ac:dyDescent="0.25">
      <c r="A58" s="7"/>
      <c r="B58" s="1426"/>
      <c r="C58" s="1426"/>
      <c r="D58" s="1426"/>
      <c r="E58" s="1426"/>
      <c r="F58" s="1426"/>
      <c r="G58" s="1426"/>
      <c r="H58" s="1426"/>
      <c r="I58" s="1426"/>
      <c r="J58" s="1426"/>
      <c r="K58" s="1426"/>
      <c r="L58" s="1426"/>
      <c r="M58" s="1426"/>
      <c r="N58" s="1426"/>
      <c r="O58" s="1426"/>
      <c r="P58" s="1426"/>
      <c r="Q58" s="1426"/>
      <c r="R58" s="1426"/>
      <c r="S58" s="1426"/>
      <c r="T58" s="1426"/>
      <c r="U58" s="1426"/>
      <c r="V58" s="1426"/>
      <c r="W58" s="1426"/>
      <c r="AB58" s="9"/>
      <c r="AC58" s="9"/>
    </row>
    <row r="59" spans="1:29" s="8" customFormat="1" ht="19.5" customHeight="1" x14ac:dyDescent="0.25">
      <c r="A59" s="28"/>
      <c r="B59" s="12"/>
      <c r="C59" s="12"/>
      <c r="D59" s="29"/>
      <c r="E59" s="1429">
        <v>1400</v>
      </c>
      <c r="F59" s="1429"/>
      <c r="G59" s="1429"/>
      <c r="H59" s="66"/>
      <c r="I59" s="64">
        <v>1399</v>
      </c>
      <c r="J59" s="64"/>
      <c r="K59" s="64"/>
      <c r="R59" s="53"/>
      <c r="V59" s="43"/>
      <c r="W59" s="30"/>
      <c r="X59" s="30"/>
      <c r="Y59" s="30"/>
      <c r="Z59" s="30"/>
      <c r="AB59" s="9"/>
      <c r="AC59" s="9"/>
    </row>
    <row r="60" spans="1:29" s="55" customFormat="1" ht="30" customHeight="1" x14ac:dyDescent="0.25">
      <c r="A60" s="28"/>
      <c r="B60" s="34" t="s">
        <v>81</v>
      </c>
      <c r="C60" s="34" t="s">
        <v>82</v>
      </c>
      <c r="D60" s="54"/>
      <c r="E60" s="34" t="s">
        <v>591</v>
      </c>
      <c r="F60" s="34"/>
      <c r="G60" s="34" t="s">
        <v>83</v>
      </c>
      <c r="H60" s="19"/>
      <c r="I60" s="34" t="s">
        <v>591</v>
      </c>
      <c r="J60" s="5"/>
      <c r="K60" s="34" t="s">
        <v>83</v>
      </c>
      <c r="N60" s="19"/>
      <c r="O60" s="19"/>
      <c r="P60" s="19"/>
      <c r="R60" s="5"/>
      <c r="V60" s="54"/>
      <c r="W60" s="54"/>
      <c r="X60" s="54"/>
      <c r="Y60" s="54"/>
      <c r="Z60" s="54"/>
      <c r="AB60" s="56"/>
      <c r="AC60" s="56"/>
    </row>
    <row r="61" spans="1:29" s="8" customFormat="1" ht="19.5" customHeight="1" x14ac:dyDescent="0.25">
      <c r="A61" s="28"/>
      <c r="B61" s="20" t="s">
        <v>401</v>
      </c>
      <c r="C61" s="33" t="s">
        <v>400</v>
      </c>
      <c r="D61" s="30"/>
      <c r="E61" s="33">
        <f>674387269274+1305224681604</f>
        <v>1979611950878</v>
      </c>
      <c r="F61" s="33"/>
      <c r="G61" s="33">
        <f>E61/2623039548389*100</f>
        <v>75.470152636235483</v>
      </c>
      <c r="H61" s="33"/>
      <c r="I61" s="33">
        <v>2163869376527</v>
      </c>
      <c r="J61" s="11"/>
      <c r="K61" s="33">
        <v>76.239999999999995</v>
      </c>
      <c r="N61" s="11"/>
      <c r="O61" s="11"/>
      <c r="P61" s="11"/>
      <c r="R61" s="11"/>
      <c r="V61" s="27"/>
      <c r="W61" s="27"/>
      <c r="X61" s="27"/>
      <c r="Y61" s="27"/>
      <c r="Z61" s="30"/>
      <c r="AB61" s="32"/>
      <c r="AC61" s="32"/>
    </row>
    <row r="62" spans="1:29" s="8" customFormat="1" ht="19.5" customHeight="1" x14ac:dyDescent="0.25">
      <c r="A62" s="28"/>
      <c r="B62" s="20" t="s">
        <v>397</v>
      </c>
      <c r="C62" s="21" t="s">
        <v>398</v>
      </c>
      <c r="D62" s="30"/>
      <c r="E62" s="33">
        <v>62886208386</v>
      </c>
      <c r="F62" s="33"/>
      <c r="G62" s="33">
        <f>E62/2623039548389*100</f>
        <v>2.3974555940120315</v>
      </c>
      <c r="H62" s="33"/>
      <c r="I62" s="33">
        <v>71873407184</v>
      </c>
      <c r="J62" s="11"/>
      <c r="K62" s="33">
        <v>10</v>
      </c>
      <c r="N62" s="11"/>
      <c r="O62" s="11"/>
      <c r="P62" s="11"/>
      <c r="R62" s="11"/>
      <c r="V62" s="27"/>
      <c r="W62" s="27"/>
      <c r="X62" s="27"/>
      <c r="Y62" s="27"/>
      <c r="Z62" s="30"/>
      <c r="AB62" s="32"/>
      <c r="AC62" s="32"/>
    </row>
    <row r="63" spans="1:29" s="8" customFormat="1" ht="19.5" customHeight="1" x14ac:dyDescent="0.25">
      <c r="A63" s="28"/>
      <c r="B63" s="20" t="s">
        <v>397</v>
      </c>
      <c r="C63" s="21" t="s">
        <v>399</v>
      </c>
      <c r="D63" s="30"/>
      <c r="E63" s="33">
        <v>109823100438</v>
      </c>
      <c r="F63" s="33"/>
      <c r="G63" s="33">
        <f>E63/2623039548389*100</f>
        <v>4.1868640717007253</v>
      </c>
      <c r="H63" s="33"/>
      <c r="I63" s="33">
        <v>288492096535</v>
      </c>
      <c r="J63" s="11"/>
      <c r="K63" s="33">
        <v>10</v>
      </c>
      <c r="N63" s="11"/>
      <c r="O63" s="11"/>
      <c r="P63" s="11"/>
      <c r="R63" s="11"/>
      <c r="V63" s="27"/>
      <c r="W63" s="27"/>
      <c r="X63" s="27"/>
      <c r="Y63" s="27"/>
      <c r="Z63" s="30"/>
      <c r="AB63" s="32"/>
      <c r="AC63" s="32"/>
    </row>
    <row r="64" spans="1:29" s="8" customFormat="1" ht="19.5" customHeight="1" x14ac:dyDescent="0.25">
      <c r="A64" s="28"/>
      <c r="B64" s="20" t="s">
        <v>397</v>
      </c>
      <c r="C64" s="21" t="s">
        <v>779</v>
      </c>
      <c r="D64" s="30"/>
      <c r="E64" s="33">
        <v>8221067160</v>
      </c>
      <c r="F64" s="33"/>
      <c r="G64" s="33"/>
      <c r="H64" s="33"/>
      <c r="I64" s="33"/>
      <c r="J64" s="11"/>
      <c r="K64" s="33"/>
      <c r="N64" s="11"/>
      <c r="O64" s="11"/>
      <c r="P64" s="11"/>
      <c r="R64" s="11"/>
      <c r="V64" s="27"/>
      <c r="W64" s="27"/>
      <c r="X64" s="27"/>
      <c r="Y64" s="27"/>
      <c r="Z64" s="30"/>
      <c r="AB64" s="32"/>
      <c r="AC64" s="32"/>
    </row>
    <row r="65" spans="1:29" s="8" customFormat="1" ht="19.5" customHeight="1" x14ac:dyDescent="0.25">
      <c r="A65" s="31"/>
      <c r="B65" s="20" t="s">
        <v>397</v>
      </c>
      <c r="C65" s="22" t="s">
        <v>312</v>
      </c>
      <c r="E65" s="33">
        <v>8493428077</v>
      </c>
      <c r="F65" s="33"/>
      <c r="G65" s="33">
        <f>E65/2623039548389*100</f>
        <v>0.32380099195288281</v>
      </c>
      <c r="H65" s="33"/>
      <c r="I65" s="22">
        <v>98804668143</v>
      </c>
      <c r="J65" s="1"/>
      <c r="K65" s="33">
        <v>4</v>
      </c>
      <c r="N65" s="1"/>
      <c r="O65" s="1"/>
      <c r="P65" s="1"/>
      <c r="R65" s="1"/>
      <c r="AB65" s="9"/>
      <c r="AC65" s="9"/>
    </row>
    <row r="66" spans="1:29" s="8" customFormat="1" ht="19.5" customHeight="1" thickBot="1" x14ac:dyDescent="0.3">
      <c r="A66" s="31"/>
      <c r="E66" s="14">
        <f>SUM(E61:E65)</f>
        <v>2169035754939</v>
      </c>
      <c r="F66" s="22"/>
      <c r="G66" s="1"/>
      <c r="H66" s="1"/>
      <c r="I66" s="14">
        <f>SUM(I61:I65)</f>
        <v>2623039548389</v>
      </c>
      <c r="J66" s="1"/>
      <c r="K66" s="1"/>
      <c r="N66" s="1"/>
      <c r="O66" s="1"/>
      <c r="P66" s="1"/>
      <c r="R66" s="1"/>
      <c r="AB66" s="9"/>
      <c r="AC66" s="9"/>
    </row>
    <row r="67" spans="1:29" s="8" customFormat="1" ht="19.5" customHeight="1" thickTop="1" x14ac:dyDescent="0.25">
      <c r="A67" s="31"/>
      <c r="E67" s="22"/>
      <c r="F67" s="22"/>
      <c r="J67" s="1"/>
      <c r="K67" s="1"/>
      <c r="L67" s="1"/>
      <c r="M67" s="22"/>
      <c r="N67" s="1"/>
      <c r="O67" s="1"/>
      <c r="P67" s="1"/>
      <c r="Q67" s="1"/>
      <c r="R67" s="1"/>
      <c r="AB67" s="9"/>
      <c r="AC67" s="9"/>
    </row>
    <row r="68" spans="1:29" s="8" customFormat="1" ht="31.5" customHeight="1" x14ac:dyDescent="0.25">
      <c r="A68" s="1430" t="s">
        <v>797</v>
      </c>
      <c r="B68" s="1431"/>
      <c r="C68" s="1431"/>
      <c r="D68" s="1431"/>
      <c r="E68" s="1431"/>
      <c r="F68" s="1431"/>
      <c r="G68" s="1431"/>
      <c r="H68" s="1431"/>
      <c r="I68" s="1431"/>
      <c r="J68" s="1431"/>
      <c r="K68" s="1431"/>
      <c r="L68" s="1431"/>
      <c r="M68" s="1431"/>
      <c r="N68" s="1431"/>
      <c r="O68" s="1431"/>
      <c r="P68" s="1431"/>
      <c r="Q68" s="1431"/>
      <c r="R68" s="1431"/>
      <c r="S68" s="1431"/>
      <c r="T68" s="1431"/>
      <c r="U68" s="1431"/>
      <c r="AB68" s="9"/>
      <c r="AC68" s="9"/>
    </row>
    <row r="69" spans="1:29" x14ac:dyDescent="0.25">
      <c r="A69" s="1431"/>
      <c r="B69" s="1431"/>
      <c r="C69" s="1431"/>
      <c r="D69" s="1431"/>
      <c r="E69" s="1431"/>
      <c r="F69" s="1431"/>
      <c r="G69" s="1431"/>
      <c r="H69" s="1431"/>
      <c r="I69" s="1431"/>
      <c r="J69" s="1431"/>
      <c r="K69" s="1431"/>
      <c r="L69" s="1431"/>
      <c r="M69" s="1431"/>
      <c r="N69" s="1431"/>
      <c r="O69" s="1431"/>
      <c r="P69" s="1431"/>
      <c r="Q69" s="1431"/>
      <c r="R69" s="1431"/>
      <c r="S69" s="1431"/>
      <c r="T69" s="1431"/>
      <c r="U69" s="1431"/>
    </row>
    <row r="70" spans="1:29" ht="21" x14ac:dyDescent="0.55000000000000004">
      <c r="A70" s="65"/>
      <c r="B70" s="65"/>
      <c r="C70" s="65"/>
      <c r="D70" s="65"/>
      <c r="E70" s="65"/>
      <c r="F70" s="65"/>
      <c r="G70" s="65"/>
      <c r="H70" s="65"/>
      <c r="I70" s="65"/>
      <c r="J70" s="65"/>
      <c r="K70" s="65"/>
      <c r="L70" s="65"/>
      <c r="M70" s="65"/>
      <c r="N70" s="65"/>
      <c r="O70" s="65"/>
      <c r="P70" s="65"/>
      <c r="Q70" s="65"/>
      <c r="R70" s="65"/>
      <c r="S70" s="65"/>
      <c r="T70" s="65"/>
      <c r="U70" s="65"/>
    </row>
    <row r="71" spans="1:29" ht="21" x14ac:dyDescent="0.55000000000000004">
      <c r="A71" s="65"/>
      <c r="B71" s="65"/>
      <c r="C71" s="65"/>
      <c r="D71" s="65"/>
      <c r="E71" s="65"/>
      <c r="F71" s="65"/>
      <c r="G71" s="65"/>
      <c r="H71" s="65"/>
      <c r="I71" s="65"/>
      <c r="J71" s="65"/>
      <c r="K71" s="65"/>
      <c r="L71" s="65"/>
      <c r="M71" s="65"/>
      <c r="N71" s="65"/>
      <c r="O71" s="65"/>
      <c r="P71" s="65"/>
      <c r="Q71" s="65"/>
      <c r="R71" s="65"/>
      <c r="S71" s="65"/>
      <c r="T71" s="65"/>
      <c r="U71" s="65"/>
    </row>
    <row r="72" spans="1:29" ht="21" x14ac:dyDescent="0.55000000000000004">
      <c r="A72" s="65"/>
      <c r="B72" s="65"/>
      <c r="C72" s="65"/>
      <c r="D72" s="65"/>
      <c r="E72" s="65"/>
      <c r="F72" s="65"/>
      <c r="G72" s="65"/>
      <c r="H72" s="65"/>
      <c r="I72" s="65"/>
      <c r="J72" s="65"/>
      <c r="K72" s="65"/>
      <c r="L72" s="65"/>
      <c r="M72" s="65"/>
      <c r="N72" s="65"/>
      <c r="O72" s="65"/>
      <c r="P72" s="65"/>
      <c r="Q72" s="65"/>
      <c r="R72" s="65"/>
      <c r="S72" s="65"/>
      <c r="T72" s="65"/>
      <c r="U72" s="65"/>
    </row>
    <row r="73" spans="1:29" ht="21" x14ac:dyDescent="0.55000000000000004">
      <c r="A73" s="65"/>
      <c r="B73" s="65"/>
      <c r="C73" s="65"/>
      <c r="D73" s="65"/>
      <c r="E73" s="65"/>
      <c r="F73" s="65"/>
      <c r="G73" s="65"/>
      <c r="H73" s="65"/>
      <c r="I73" s="65"/>
      <c r="J73" s="65"/>
      <c r="K73" s="65"/>
      <c r="L73" s="65"/>
      <c r="M73" s="65"/>
      <c r="N73" s="65"/>
      <c r="O73" s="65"/>
      <c r="P73" s="65"/>
      <c r="Q73" s="65"/>
      <c r="R73" s="65"/>
      <c r="S73" s="65"/>
      <c r="T73" s="65"/>
      <c r="U73" s="65"/>
    </row>
    <row r="74" spans="1:29" ht="21" x14ac:dyDescent="0.55000000000000004">
      <c r="A74" s="65"/>
      <c r="B74" s="65"/>
      <c r="C74" s="65"/>
      <c r="D74" s="65"/>
      <c r="E74" s="65"/>
      <c r="F74" s="65"/>
      <c r="G74" s="65"/>
      <c r="H74" s="65"/>
      <c r="I74" s="65"/>
      <c r="J74" s="65"/>
      <c r="K74" s="65"/>
      <c r="L74" s="65"/>
      <c r="M74" s="65"/>
      <c r="N74" s="65"/>
      <c r="O74" s="65"/>
      <c r="P74" s="65"/>
      <c r="Q74" s="65"/>
      <c r="R74" s="65"/>
      <c r="S74" s="65"/>
      <c r="T74" s="65"/>
      <c r="U74" s="65"/>
    </row>
    <row r="75" spans="1:29" ht="21" x14ac:dyDescent="0.55000000000000004">
      <c r="A75" s="65"/>
      <c r="B75" s="65"/>
      <c r="C75" s="65"/>
      <c r="D75" s="65"/>
      <c r="E75" s="65"/>
      <c r="F75" s="65"/>
      <c r="G75" s="65"/>
      <c r="H75" s="65"/>
      <c r="I75" s="65"/>
      <c r="J75" s="65"/>
      <c r="K75" s="65"/>
      <c r="L75" s="65"/>
      <c r="M75" s="65"/>
      <c r="N75" s="65"/>
      <c r="O75" s="65"/>
      <c r="P75" s="65"/>
      <c r="Q75" s="65"/>
      <c r="R75" s="65"/>
      <c r="S75" s="65"/>
      <c r="T75" s="65"/>
      <c r="U75" s="65"/>
    </row>
    <row r="76" spans="1:29" ht="21" x14ac:dyDescent="0.55000000000000004">
      <c r="A76" s="65"/>
      <c r="B76" s="65"/>
      <c r="C76" s="65"/>
      <c r="D76" s="65"/>
      <c r="E76" s="65"/>
      <c r="F76" s="65"/>
      <c r="G76" s="65"/>
      <c r="H76" s="65"/>
      <c r="I76" s="65"/>
      <c r="J76" s="65"/>
      <c r="K76" s="65"/>
      <c r="L76" s="65"/>
      <c r="M76" s="65"/>
      <c r="N76" s="65"/>
      <c r="O76" s="65"/>
      <c r="P76" s="65"/>
      <c r="Q76" s="65"/>
      <c r="R76" s="65"/>
      <c r="S76" s="65"/>
      <c r="T76" s="65"/>
      <c r="U76" s="65"/>
    </row>
    <row r="77" spans="1:29" ht="18.75" x14ac:dyDescent="0.25">
      <c r="B77" s="1425">
        <v>11</v>
      </c>
      <c r="C77" s="1425"/>
      <c r="D77" s="1425"/>
      <c r="E77" s="1425"/>
      <c r="F77" s="1425"/>
      <c r="G77" s="1425"/>
      <c r="H77" s="1425"/>
      <c r="I77" s="1425"/>
      <c r="J77" s="1425"/>
      <c r="K77" s="1425"/>
      <c r="L77" s="1425"/>
      <c r="M77" s="1425"/>
      <c r="N77" s="1425"/>
      <c r="O77" s="1425"/>
      <c r="P77" s="1425"/>
      <c r="Q77" s="1425"/>
      <c r="R77" s="1425"/>
      <c r="S77" s="1425"/>
      <c r="T77" s="1425"/>
      <c r="U77" s="1425"/>
    </row>
  </sheetData>
  <customSheetViews>
    <customSheetView guid="{39716EAB-185B-4ADF-90CF-1B1041867F58}" scale="90" showPageBreaks="1" printArea="1" state="hidden" view="pageBreakPreview" topLeftCell="A13">
      <selection activeCell="E22" sqref="E22"/>
      <colBreaks count="1" manualBreakCount="1">
        <brk id="21" max="63" man="1"/>
      </colBreaks>
      <pageMargins left="0" right="0" top="0.39370078740157483" bottom="0.39370078740157483" header="0.31496062992125984" footer="0.31496062992125984"/>
      <pageSetup paperSize="9" scale="44" orientation="portrait" r:id="rId1"/>
    </customSheetView>
    <customSheetView guid="{5CB8382F-C212-4512-9396-17792C62978E}" scale="90" showPageBreaks="1" printArea="1" state="hidden" view="pageBreakPreview" topLeftCell="A13">
      <selection activeCell="E22" sqref="E22"/>
      <colBreaks count="1" manualBreakCount="1">
        <brk id="21" max="63" man="1"/>
      </colBreaks>
      <pageMargins left="0" right="0" top="0.39370078740157483" bottom="0.39370078740157483" header="0.31496062992125984" footer="0.31496062992125984"/>
      <pageSetup paperSize="9" scale="44" orientation="portrait" r:id="rId2"/>
    </customSheetView>
    <customSheetView guid="{184BCED3-EADB-44CF-BFDA-DA8D3E7206C0}" scale="90" showPageBreaks="1" printArea="1" state="hidden" view="pageBreakPreview" topLeftCell="A13">
      <selection activeCell="E22" sqref="E22"/>
      <colBreaks count="1" manualBreakCount="1">
        <brk id="21" max="63" man="1"/>
      </colBreaks>
      <pageMargins left="0" right="0" top="0.39370078740157483" bottom="0.39370078740157483" header="0.31496062992125984" footer="0.31496062992125984"/>
      <pageSetup paperSize="9" scale="44" orientation="portrait" r:id="rId3"/>
    </customSheetView>
  </customSheetViews>
  <mergeCells count="12">
    <mergeCell ref="B77:U77"/>
    <mergeCell ref="B57:W58"/>
    <mergeCell ref="C6:C7"/>
    <mergeCell ref="E59:G59"/>
    <mergeCell ref="A68:U69"/>
    <mergeCell ref="E5:K5"/>
    <mergeCell ref="M5:S5"/>
    <mergeCell ref="E6:K6"/>
    <mergeCell ref="M6:S6"/>
    <mergeCell ref="A1:W1"/>
    <mergeCell ref="A2:W2"/>
    <mergeCell ref="A3:W3"/>
  </mergeCells>
  <conditionalFormatting sqref="E8:G8">
    <cfRule type="cellIs" dxfId="108" priority="2" stopIfTrue="1" operator="lessThan">
      <formula>0</formula>
    </cfRule>
  </conditionalFormatting>
  <conditionalFormatting sqref="E61:H65">
    <cfRule type="cellIs" dxfId="107" priority="7" stopIfTrue="1" operator="lessThan">
      <formula>0</formula>
    </cfRule>
  </conditionalFormatting>
  <conditionalFormatting sqref="I8 K8 M8 Q8 S8 V8:Y8 C61:C64 I61:I64 V61:Y64 B61:B65">
    <cfRule type="cellIs" dxfId="106" priority="62" stopIfTrue="1" operator="lessThan">
      <formula>0</formula>
    </cfRule>
  </conditionalFormatting>
  <conditionalFormatting sqref="K61:K65">
    <cfRule type="cellIs" dxfId="105" priority="5" stopIfTrue="1" operator="lessThan">
      <formula>0</formula>
    </cfRule>
  </conditionalFormatting>
  <conditionalFormatting sqref="O8">
    <cfRule type="cellIs" dxfId="104" priority="1" stopIfTrue="1" operator="lessThan">
      <formula>0</formula>
    </cfRule>
  </conditionalFormatting>
  <hyperlinks>
    <hyperlink ref="A1:XFD3" r:id="rId4" display="http://modiriatmali.com/" xr:uid="{00000000-0004-0000-0A00-000000000000}"/>
  </hyperlinks>
  <pageMargins left="0" right="0" top="0.39370078740157483" bottom="0.39370078740157483" header="0.31496062992125984" footer="0.31496062992125984"/>
  <pageSetup paperSize="9" scale="44" orientation="portrait" r:id="rId5"/>
  <colBreaks count="1" manualBreakCount="1">
    <brk id="21" max="63" man="1"/>
  </colBreaks>
  <legacy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S76"/>
  <sheetViews>
    <sheetView rightToLeft="1" topLeftCell="A37" zoomScaleNormal="100" zoomScaleSheetLayoutView="96" workbookViewId="0">
      <selection activeCell="K32" sqref="K32"/>
    </sheetView>
  </sheetViews>
  <sheetFormatPr defaultRowHeight="27.75" x14ac:dyDescent="0.25"/>
  <cols>
    <col min="1" max="1" width="1.42578125" style="260" customWidth="1"/>
    <col min="2" max="2" width="12.5703125" style="260" bestFit="1" customWidth="1"/>
    <col min="3" max="3" width="37.140625" style="260" customWidth="1"/>
    <col min="4" max="4" width="16.85546875" style="260" customWidth="1"/>
    <col min="5" max="5" width="15.42578125" style="273" customWidth="1"/>
    <col min="6" max="6" width="26.42578125" style="273" customWidth="1"/>
    <col min="7" max="7" width="0.7109375" style="273" customWidth="1"/>
    <col min="8" max="8" width="25.42578125" style="273" customWidth="1"/>
    <col min="9" max="9" width="0.7109375" style="273" customWidth="1"/>
    <col min="10" max="10" width="1.5703125" style="273" customWidth="1"/>
    <col min="11" max="11" width="28.5703125" style="262" bestFit="1" customWidth="1"/>
    <col min="12" max="12" width="9.42578125" style="260" customWidth="1"/>
    <col min="13" max="13" width="16.85546875" style="260" bestFit="1" customWidth="1"/>
    <col min="14" max="14" width="10.7109375" style="260" customWidth="1"/>
    <col min="15" max="15" width="10.42578125" style="260" bestFit="1" customWidth="1"/>
    <col min="16" max="18" width="9" style="260"/>
    <col min="19" max="19" width="10.42578125" style="260" bestFit="1" customWidth="1"/>
    <col min="20" max="248" width="9" style="260"/>
    <col min="249" max="249" width="3.5703125" style="260" customWidth="1"/>
    <col min="250" max="250" width="4.85546875" style="260" customWidth="1"/>
    <col min="251" max="251" width="5.42578125" style="260" customWidth="1"/>
    <col min="252" max="252" width="31.28515625" style="260" customWidth="1"/>
    <col min="253" max="253" width="7.5703125" style="260" customWidth="1"/>
    <col min="254" max="254" width="2.42578125" style="260" customWidth="1"/>
    <col min="255" max="255" width="11.5703125" style="260" customWidth="1"/>
    <col min="256" max="256" width="2.42578125" style="260" customWidth="1"/>
    <col min="257" max="257" width="11.5703125" style="260" customWidth="1"/>
    <col min="258" max="258" width="2.42578125" style="260" customWidth="1"/>
    <col min="259" max="259" width="10.85546875" style="260" customWidth="1"/>
    <col min="260" max="260" width="2.42578125" style="260" customWidth="1"/>
    <col min="261" max="261" width="11.140625" style="260" customWidth="1"/>
    <col min="262" max="262" width="1.85546875" style="260" customWidth="1"/>
    <col min="263" max="263" width="11" style="260" customWidth="1"/>
    <col min="264" max="264" width="0.7109375" style="260" customWidth="1"/>
    <col min="265" max="265" width="1.85546875" style="260" customWidth="1"/>
    <col min="266" max="266" width="11.85546875" style="260" bestFit="1" customWidth="1"/>
    <col min="267" max="267" width="15.28515625" style="260" bestFit="1" customWidth="1"/>
    <col min="268" max="268" width="5" style="260" customWidth="1"/>
    <col min="269" max="269" width="10.42578125" style="260" bestFit="1" customWidth="1"/>
    <col min="270" max="270" width="5" style="260" customWidth="1"/>
    <col min="271" max="271" width="10.42578125" style="260" bestFit="1" customWidth="1"/>
    <col min="272" max="274" width="9" style="260"/>
    <col min="275" max="275" width="10.42578125" style="260" bestFit="1" customWidth="1"/>
    <col min="276" max="504" width="9" style="260"/>
    <col min="505" max="505" width="3.5703125" style="260" customWidth="1"/>
    <col min="506" max="506" width="4.85546875" style="260" customWidth="1"/>
    <col min="507" max="507" width="5.42578125" style="260" customWidth="1"/>
    <col min="508" max="508" width="31.28515625" style="260" customWidth="1"/>
    <col min="509" max="509" width="7.5703125" style="260" customWidth="1"/>
    <col min="510" max="510" width="2.42578125" style="260" customWidth="1"/>
    <col min="511" max="511" width="11.5703125" style="260" customWidth="1"/>
    <col min="512" max="512" width="2.42578125" style="260" customWidth="1"/>
    <col min="513" max="513" width="11.5703125" style="260" customWidth="1"/>
    <col min="514" max="514" width="2.42578125" style="260" customWidth="1"/>
    <col min="515" max="515" width="10.85546875" style="260" customWidth="1"/>
    <col min="516" max="516" width="2.42578125" style="260" customWidth="1"/>
    <col min="517" max="517" width="11.140625" style="260" customWidth="1"/>
    <col min="518" max="518" width="1.85546875" style="260" customWidth="1"/>
    <col min="519" max="519" width="11" style="260" customWidth="1"/>
    <col min="520" max="520" width="0.7109375" style="260" customWidth="1"/>
    <col min="521" max="521" width="1.85546875" style="260" customWidth="1"/>
    <col min="522" max="522" width="11.85546875" style="260" bestFit="1" customWidth="1"/>
    <col min="523" max="523" width="15.28515625" style="260" bestFit="1" customWidth="1"/>
    <col min="524" max="524" width="5" style="260" customWidth="1"/>
    <col min="525" max="525" width="10.42578125" style="260" bestFit="1" customWidth="1"/>
    <col min="526" max="526" width="5" style="260" customWidth="1"/>
    <col min="527" max="527" width="10.42578125" style="260" bestFit="1" customWidth="1"/>
    <col min="528" max="530" width="9" style="260"/>
    <col min="531" max="531" width="10.42578125" style="260" bestFit="1" customWidth="1"/>
    <col min="532" max="760" width="9" style="260"/>
    <col min="761" max="761" width="3.5703125" style="260" customWidth="1"/>
    <col min="762" max="762" width="4.85546875" style="260" customWidth="1"/>
    <col min="763" max="763" width="5.42578125" style="260" customWidth="1"/>
    <col min="764" max="764" width="31.28515625" style="260" customWidth="1"/>
    <col min="765" max="765" width="7.5703125" style="260" customWidth="1"/>
    <col min="766" max="766" width="2.42578125" style="260" customWidth="1"/>
    <col min="767" max="767" width="11.5703125" style="260" customWidth="1"/>
    <col min="768" max="768" width="2.42578125" style="260" customWidth="1"/>
    <col min="769" max="769" width="11.5703125" style="260" customWidth="1"/>
    <col min="770" max="770" width="2.42578125" style="260" customWidth="1"/>
    <col min="771" max="771" width="10.85546875" style="260" customWidth="1"/>
    <col min="772" max="772" width="2.42578125" style="260" customWidth="1"/>
    <col min="773" max="773" width="11.140625" style="260" customWidth="1"/>
    <col min="774" max="774" width="1.85546875" style="260" customWidth="1"/>
    <col min="775" max="775" width="11" style="260" customWidth="1"/>
    <col min="776" max="776" width="0.7109375" style="260" customWidth="1"/>
    <col min="777" max="777" width="1.85546875" style="260" customWidth="1"/>
    <col min="778" max="778" width="11.85546875" style="260" bestFit="1" customWidth="1"/>
    <col min="779" max="779" width="15.28515625" style="260" bestFit="1" customWidth="1"/>
    <col min="780" max="780" width="5" style="260" customWidth="1"/>
    <col min="781" max="781" width="10.42578125" style="260" bestFit="1" customWidth="1"/>
    <col min="782" max="782" width="5" style="260" customWidth="1"/>
    <col min="783" max="783" width="10.42578125" style="260" bestFit="1" customWidth="1"/>
    <col min="784" max="786" width="9" style="260"/>
    <col min="787" max="787" width="10.42578125" style="260" bestFit="1" customWidth="1"/>
    <col min="788" max="1016" width="9" style="260"/>
    <col min="1017" max="1017" width="3.5703125" style="260" customWidth="1"/>
    <col min="1018" max="1018" width="4.85546875" style="260" customWidth="1"/>
    <col min="1019" max="1019" width="5.42578125" style="260" customWidth="1"/>
    <col min="1020" max="1020" width="31.28515625" style="260" customWidth="1"/>
    <col min="1021" max="1021" width="7.5703125" style="260" customWidth="1"/>
    <col min="1022" max="1022" width="2.42578125" style="260" customWidth="1"/>
    <col min="1023" max="1023" width="11.5703125" style="260" customWidth="1"/>
    <col min="1024" max="1024" width="2.42578125" style="260" customWidth="1"/>
    <col min="1025" max="1025" width="11.5703125" style="260" customWidth="1"/>
    <col min="1026" max="1026" width="2.42578125" style="260" customWidth="1"/>
    <col min="1027" max="1027" width="10.85546875" style="260" customWidth="1"/>
    <col min="1028" max="1028" width="2.42578125" style="260" customWidth="1"/>
    <col min="1029" max="1029" width="11.140625" style="260" customWidth="1"/>
    <col min="1030" max="1030" width="1.85546875" style="260" customWidth="1"/>
    <col min="1031" max="1031" width="11" style="260" customWidth="1"/>
    <col min="1032" max="1032" width="0.7109375" style="260" customWidth="1"/>
    <col min="1033" max="1033" width="1.85546875" style="260" customWidth="1"/>
    <col min="1034" max="1034" width="11.85546875" style="260" bestFit="1" customWidth="1"/>
    <col min="1035" max="1035" width="15.28515625" style="260" bestFit="1" customWidth="1"/>
    <col min="1036" max="1036" width="5" style="260" customWidth="1"/>
    <col min="1037" max="1037" width="10.42578125" style="260" bestFit="1" customWidth="1"/>
    <col min="1038" max="1038" width="5" style="260" customWidth="1"/>
    <col min="1039" max="1039" width="10.42578125" style="260" bestFit="1" customWidth="1"/>
    <col min="1040" max="1042" width="9" style="260"/>
    <col min="1043" max="1043" width="10.42578125" style="260" bestFit="1" customWidth="1"/>
    <col min="1044" max="1272" width="9" style="260"/>
    <col min="1273" max="1273" width="3.5703125" style="260" customWidth="1"/>
    <col min="1274" max="1274" width="4.85546875" style="260" customWidth="1"/>
    <col min="1275" max="1275" width="5.42578125" style="260" customWidth="1"/>
    <col min="1276" max="1276" width="31.28515625" style="260" customWidth="1"/>
    <col min="1277" max="1277" width="7.5703125" style="260" customWidth="1"/>
    <col min="1278" max="1278" width="2.42578125" style="260" customWidth="1"/>
    <col min="1279" max="1279" width="11.5703125" style="260" customWidth="1"/>
    <col min="1280" max="1280" width="2.42578125" style="260" customWidth="1"/>
    <col min="1281" max="1281" width="11.5703125" style="260" customWidth="1"/>
    <col min="1282" max="1282" width="2.42578125" style="260" customWidth="1"/>
    <col min="1283" max="1283" width="10.85546875" style="260" customWidth="1"/>
    <col min="1284" max="1284" width="2.42578125" style="260" customWidth="1"/>
    <col min="1285" max="1285" width="11.140625" style="260" customWidth="1"/>
    <col min="1286" max="1286" width="1.85546875" style="260" customWidth="1"/>
    <col min="1287" max="1287" width="11" style="260" customWidth="1"/>
    <col min="1288" max="1288" width="0.7109375" style="260" customWidth="1"/>
    <col min="1289" max="1289" width="1.85546875" style="260" customWidth="1"/>
    <col min="1290" max="1290" width="11.85546875" style="260" bestFit="1" customWidth="1"/>
    <col min="1291" max="1291" width="15.28515625" style="260" bestFit="1" customWidth="1"/>
    <col min="1292" max="1292" width="5" style="260" customWidth="1"/>
    <col min="1293" max="1293" width="10.42578125" style="260" bestFit="1" customWidth="1"/>
    <col min="1294" max="1294" width="5" style="260" customWidth="1"/>
    <col min="1295" max="1295" width="10.42578125" style="260" bestFit="1" customWidth="1"/>
    <col min="1296" max="1298" width="9" style="260"/>
    <col min="1299" max="1299" width="10.42578125" style="260" bestFit="1" customWidth="1"/>
    <col min="1300" max="1528" width="9" style="260"/>
    <col min="1529" max="1529" width="3.5703125" style="260" customWidth="1"/>
    <col min="1530" max="1530" width="4.85546875" style="260" customWidth="1"/>
    <col min="1531" max="1531" width="5.42578125" style="260" customWidth="1"/>
    <col min="1532" max="1532" width="31.28515625" style="260" customWidth="1"/>
    <col min="1533" max="1533" width="7.5703125" style="260" customWidth="1"/>
    <col min="1534" max="1534" width="2.42578125" style="260" customWidth="1"/>
    <col min="1535" max="1535" width="11.5703125" style="260" customWidth="1"/>
    <col min="1536" max="1536" width="2.42578125" style="260" customWidth="1"/>
    <col min="1537" max="1537" width="11.5703125" style="260" customWidth="1"/>
    <col min="1538" max="1538" width="2.42578125" style="260" customWidth="1"/>
    <col min="1539" max="1539" width="10.85546875" style="260" customWidth="1"/>
    <col min="1540" max="1540" width="2.42578125" style="260" customWidth="1"/>
    <col min="1541" max="1541" width="11.140625" style="260" customWidth="1"/>
    <col min="1542" max="1542" width="1.85546875" style="260" customWidth="1"/>
    <col min="1543" max="1543" width="11" style="260" customWidth="1"/>
    <col min="1544" max="1544" width="0.7109375" style="260" customWidth="1"/>
    <col min="1545" max="1545" width="1.85546875" style="260" customWidth="1"/>
    <col min="1546" max="1546" width="11.85546875" style="260" bestFit="1" customWidth="1"/>
    <col min="1547" max="1547" width="15.28515625" style="260" bestFit="1" customWidth="1"/>
    <col min="1548" max="1548" width="5" style="260" customWidth="1"/>
    <col min="1549" max="1549" width="10.42578125" style="260" bestFit="1" customWidth="1"/>
    <col min="1550" max="1550" width="5" style="260" customWidth="1"/>
    <col min="1551" max="1551" width="10.42578125" style="260" bestFit="1" customWidth="1"/>
    <col min="1552" max="1554" width="9" style="260"/>
    <col min="1555" max="1555" width="10.42578125" style="260" bestFit="1" customWidth="1"/>
    <col min="1556" max="1784" width="9" style="260"/>
    <col min="1785" max="1785" width="3.5703125" style="260" customWidth="1"/>
    <col min="1786" max="1786" width="4.85546875" style="260" customWidth="1"/>
    <col min="1787" max="1787" width="5.42578125" style="260" customWidth="1"/>
    <col min="1788" max="1788" width="31.28515625" style="260" customWidth="1"/>
    <col min="1789" max="1789" width="7.5703125" style="260" customWidth="1"/>
    <col min="1790" max="1790" width="2.42578125" style="260" customWidth="1"/>
    <col min="1791" max="1791" width="11.5703125" style="260" customWidth="1"/>
    <col min="1792" max="1792" width="2.42578125" style="260" customWidth="1"/>
    <col min="1793" max="1793" width="11.5703125" style="260" customWidth="1"/>
    <col min="1794" max="1794" width="2.42578125" style="260" customWidth="1"/>
    <col min="1795" max="1795" width="10.85546875" style="260" customWidth="1"/>
    <col min="1796" max="1796" width="2.42578125" style="260" customWidth="1"/>
    <col min="1797" max="1797" width="11.140625" style="260" customWidth="1"/>
    <col min="1798" max="1798" width="1.85546875" style="260" customWidth="1"/>
    <col min="1799" max="1799" width="11" style="260" customWidth="1"/>
    <col min="1800" max="1800" width="0.7109375" style="260" customWidth="1"/>
    <col min="1801" max="1801" width="1.85546875" style="260" customWidth="1"/>
    <col min="1802" max="1802" width="11.85546875" style="260" bestFit="1" customWidth="1"/>
    <col min="1803" max="1803" width="15.28515625" style="260" bestFit="1" customWidth="1"/>
    <col min="1804" max="1804" width="5" style="260" customWidth="1"/>
    <col min="1805" max="1805" width="10.42578125" style="260" bestFit="1" customWidth="1"/>
    <col min="1806" max="1806" width="5" style="260" customWidth="1"/>
    <col min="1807" max="1807" width="10.42578125" style="260" bestFit="1" customWidth="1"/>
    <col min="1808" max="1810" width="9" style="260"/>
    <col min="1811" max="1811" width="10.42578125" style="260" bestFit="1" customWidth="1"/>
    <col min="1812" max="2040" width="9" style="260"/>
    <col min="2041" max="2041" width="3.5703125" style="260" customWidth="1"/>
    <col min="2042" max="2042" width="4.85546875" style="260" customWidth="1"/>
    <col min="2043" max="2043" width="5.42578125" style="260" customWidth="1"/>
    <col min="2044" max="2044" width="31.28515625" style="260" customWidth="1"/>
    <col min="2045" max="2045" width="7.5703125" style="260" customWidth="1"/>
    <col min="2046" max="2046" width="2.42578125" style="260" customWidth="1"/>
    <col min="2047" max="2047" width="11.5703125" style="260" customWidth="1"/>
    <col min="2048" max="2048" width="2.42578125" style="260" customWidth="1"/>
    <col min="2049" max="2049" width="11.5703125" style="260" customWidth="1"/>
    <col min="2050" max="2050" width="2.42578125" style="260" customWidth="1"/>
    <col min="2051" max="2051" width="10.85546875" style="260" customWidth="1"/>
    <col min="2052" max="2052" width="2.42578125" style="260" customWidth="1"/>
    <col min="2053" max="2053" width="11.140625" style="260" customWidth="1"/>
    <col min="2054" max="2054" width="1.85546875" style="260" customWidth="1"/>
    <col min="2055" max="2055" width="11" style="260" customWidth="1"/>
    <col min="2056" max="2056" width="0.7109375" style="260" customWidth="1"/>
    <col min="2057" max="2057" width="1.85546875" style="260" customWidth="1"/>
    <col min="2058" max="2058" width="11.85546875" style="260" bestFit="1" customWidth="1"/>
    <col min="2059" max="2059" width="15.28515625" style="260" bestFit="1" customWidth="1"/>
    <col min="2060" max="2060" width="5" style="260" customWidth="1"/>
    <col min="2061" max="2061" width="10.42578125" style="260" bestFit="1" customWidth="1"/>
    <col min="2062" max="2062" width="5" style="260" customWidth="1"/>
    <col min="2063" max="2063" width="10.42578125" style="260" bestFit="1" customWidth="1"/>
    <col min="2064" max="2066" width="9" style="260"/>
    <col min="2067" max="2067" width="10.42578125" style="260" bestFit="1" customWidth="1"/>
    <col min="2068" max="2296" width="9" style="260"/>
    <col min="2297" max="2297" width="3.5703125" style="260" customWidth="1"/>
    <col min="2298" max="2298" width="4.85546875" style="260" customWidth="1"/>
    <col min="2299" max="2299" width="5.42578125" style="260" customWidth="1"/>
    <col min="2300" max="2300" width="31.28515625" style="260" customWidth="1"/>
    <col min="2301" max="2301" width="7.5703125" style="260" customWidth="1"/>
    <col min="2302" max="2302" width="2.42578125" style="260" customWidth="1"/>
    <col min="2303" max="2303" width="11.5703125" style="260" customWidth="1"/>
    <col min="2304" max="2304" width="2.42578125" style="260" customWidth="1"/>
    <col min="2305" max="2305" width="11.5703125" style="260" customWidth="1"/>
    <col min="2306" max="2306" width="2.42578125" style="260" customWidth="1"/>
    <col min="2307" max="2307" width="10.85546875" style="260" customWidth="1"/>
    <col min="2308" max="2308" width="2.42578125" style="260" customWidth="1"/>
    <col min="2309" max="2309" width="11.140625" style="260" customWidth="1"/>
    <col min="2310" max="2310" width="1.85546875" style="260" customWidth="1"/>
    <col min="2311" max="2311" width="11" style="260" customWidth="1"/>
    <col min="2312" max="2312" width="0.7109375" style="260" customWidth="1"/>
    <col min="2313" max="2313" width="1.85546875" style="260" customWidth="1"/>
    <col min="2314" max="2314" width="11.85546875" style="260" bestFit="1" customWidth="1"/>
    <col min="2315" max="2315" width="15.28515625" style="260" bestFit="1" customWidth="1"/>
    <col min="2316" max="2316" width="5" style="260" customWidth="1"/>
    <col min="2317" max="2317" width="10.42578125" style="260" bestFit="1" customWidth="1"/>
    <col min="2318" max="2318" width="5" style="260" customWidth="1"/>
    <col min="2319" max="2319" width="10.42578125" style="260" bestFit="1" customWidth="1"/>
    <col min="2320" max="2322" width="9" style="260"/>
    <col min="2323" max="2323" width="10.42578125" style="260" bestFit="1" customWidth="1"/>
    <col min="2324" max="2552" width="9" style="260"/>
    <col min="2553" max="2553" width="3.5703125" style="260" customWidth="1"/>
    <col min="2554" max="2554" width="4.85546875" style="260" customWidth="1"/>
    <col min="2555" max="2555" width="5.42578125" style="260" customWidth="1"/>
    <col min="2556" max="2556" width="31.28515625" style="260" customWidth="1"/>
    <col min="2557" max="2557" width="7.5703125" style="260" customWidth="1"/>
    <col min="2558" max="2558" width="2.42578125" style="260" customWidth="1"/>
    <col min="2559" max="2559" width="11.5703125" style="260" customWidth="1"/>
    <col min="2560" max="2560" width="2.42578125" style="260" customWidth="1"/>
    <col min="2561" max="2561" width="11.5703125" style="260" customWidth="1"/>
    <col min="2562" max="2562" width="2.42578125" style="260" customWidth="1"/>
    <col min="2563" max="2563" width="10.85546875" style="260" customWidth="1"/>
    <col min="2564" max="2564" width="2.42578125" style="260" customWidth="1"/>
    <col min="2565" max="2565" width="11.140625" style="260" customWidth="1"/>
    <col min="2566" max="2566" width="1.85546875" style="260" customWidth="1"/>
    <col min="2567" max="2567" width="11" style="260" customWidth="1"/>
    <col min="2568" max="2568" width="0.7109375" style="260" customWidth="1"/>
    <col min="2569" max="2569" width="1.85546875" style="260" customWidth="1"/>
    <col min="2570" max="2570" width="11.85546875" style="260" bestFit="1" customWidth="1"/>
    <col min="2571" max="2571" width="15.28515625" style="260" bestFit="1" customWidth="1"/>
    <col min="2572" max="2572" width="5" style="260" customWidth="1"/>
    <col min="2573" max="2573" width="10.42578125" style="260" bestFit="1" customWidth="1"/>
    <col min="2574" max="2574" width="5" style="260" customWidth="1"/>
    <col min="2575" max="2575" width="10.42578125" style="260" bestFit="1" customWidth="1"/>
    <col min="2576" max="2578" width="9" style="260"/>
    <col min="2579" max="2579" width="10.42578125" style="260" bestFit="1" customWidth="1"/>
    <col min="2580" max="2808" width="9" style="260"/>
    <col min="2809" max="2809" width="3.5703125" style="260" customWidth="1"/>
    <col min="2810" max="2810" width="4.85546875" style="260" customWidth="1"/>
    <col min="2811" max="2811" width="5.42578125" style="260" customWidth="1"/>
    <col min="2812" max="2812" width="31.28515625" style="260" customWidth="1"/>
    <col min="2813" max="2813" width="7.5703125" style="260" customWidth="1"/>
    <col min="2814" max="2814" width="2.42578125" style="260" customWidth="1"/>
    <col min="2815" max="2815" width="11.5703125" style="260" customWidth="1"/>
    <col min="2816" max="2816" width="2.42578125" style="260" customWidth="1"/>
    <col min="2817" max="2817" width="11.5703125" style="260" customWidth="1"/>
    <col min="2818" max="2818" width="2.42578125" style="260" customWidth="1"/>
    <col min="2819" max="2819" width="10.85546875" style="260" customWidth="1"/>
    <col min="2820" max="2820" width="2.42578125" style="260" customWidth="1"/>
    <col min="2821" max="2821" width="11.140625" style="260" customWidth="1"/>
    <col min="2822" max="2822" width="1.85546875" style="260" customWidth="1"/>
    <col min="2823" max="2823" width="11" style="260" customWidth="1"/>
    <col min="2824" max="2824" width="0.7109375" style="260" customWidth="1"/>
    <col min="2825" max="2825" width="1.85546875" style="260" customWidth="1"/>
    <col min="2826" max="2826" width="11.85546875" style="260" bestFit="1" customWidth="1"/>
    <col min="2827" max="2827" width="15.28515625" style="260" bestFit="1" customWidth="1"/>
    <col min="2828" max="2828" width="5" style="260" customWidth="1"/>
    <col min="2829" max="2829" width="10.42578125" style="260" bestFit="1" customWidth="1"/>
    <col min="2830" max="2830" width="5" style="260" customWidth="1"/>
    <col min="2831" max="2831" width="10.42578125" style="260" bestFit="1" customWidth="1"/>
    <col min="2832" max="2834" width="9" style="260"/>
    <col min="2835" max="2835" width="10.42578125" style="260" bestFit="1" customWidth="1"/>
    <col min="2836" max="3064" width="9" style="260"/>
    <col min="3065" max="3065" width="3.5703125" style="260" customWidth="1"/>
    <col min="3066" max="3066" width="4.85546875" style="260" customWidth="1"/>
    <col min="3067" max="3067" width="5.42578125" style="260" customWidth="1"/>
    <col min="3068" max="3068" width="31.28515625" style="260" customWidth="1"/>
    <col min="3069" max="3069" width="7.5703125" style="260" customWidth="1"/>
    <col min="3070" max="3070" width="2.42578125" style="260" customWidth="1"/>
    <col min="3071" max="3071" width="11.5703125" style="260" customWidth="1"/>
    <col min="3072" max="3072" width="2.42578125" style="260" customWidth="1"/>
    <col min="3073" max="3073" width="11.5703125" style="260" customWidth="1"/>
    <col min="3074" max="3074" width="2.42578125" style="260" customWidth="1"/>
    <col min="3075" max="3075" width="10.85546875" style="260" customWidth="1"/>
    <col min="3076" max="3076" width="2.42578125" style="260" customWidth="1"/>
    <col min="3077" max="3077" width="11.140625" style="260" customWidth="1"/>
    <col min="3078" max="3078" width="1.85546875" style="260" customWidth="1"/>
    <col min="3079" max="3079" width="11" style="260" customWidth="1"/>
    <col min="3080" max="3080" width="0.7109375" style="260" customWidth="1"/>
    <col min="3081" max="3081" width="1.85546875" style="260" customWidth="1"/>
    <col min="3082" max="3082" width="11.85546875" style="260" bestFit="1" customWidth="1"/>
    <col min="3083" max="3083" width="15.28515625" style="260" bestFit="1" customWidth="1"/>
    <col min="3084" max="3084" width="5" style="260" customWidth="1"/>
    <col min="3085" max="3085" width="10.42578125" style="260" bestFit="1" customWidth="1"/>
    <col min="3086" max="3086" width="5" style="260" customWidth="1"/>
    <col min="3087" max="3087" width="10.42578125" style="260" bestFit="1" customWidth="1"/>
    <col min="3088" max="3090" width="9" style="260"/>
    <col min="3091" max="3091" width="10.42578125" style="260" bestFit="1" customWidth="1"/>
    <col min="3092" max="3320" width="9" style="260"/>
    <col min="3321" max="3321" width="3.5703125" style="260" customWidth="1"/>
    <col min="3322" max="3322" width="4.85546875" style="260" customWidth="1"/>
    <col min="3323" max="3323" width="5.42578125" style="260" customWidth="1"/>
    <col min="3324" max="3324" width="31.28515625" style="260" customWidth="1"/>
    <col min="3325" max="3325" width="7.5703125" style="260" customWidth="1"/>
    <col min="3326" max="3326" width="2.42578125" style="260" customWidth="1"/>
    <col min="3327" max="3327" width="11.5703125" style="260" customWidth="1"/>
    <col min="3328" max="3328" width="2.42578125" style="260" customWidth="1"/>
    <col min="3329" max="3329" width="11.5703125" style="260" customWidth="1"/>
    <col min="3330" max="3330" width="2.42578125" style="260" customWidth="1"/>
    <col min="3331" max="3331" width="10.85546875" style="260" customWidth="1"/>
    <col min="3332" max="3332" width="2.42578125" style="260" customWidth="1"/>
    <col min="3333" max="3333" width="11.140625" style="260" customWidth="1"/>
    <col min="3334" max="3334" width="1.85546875" style="260" customWidth="1"/>
    <col min="3335" max="3335" width="11" style="260" customWidth="1"/>
    <col min="3336" max="3336" width="0.7109375" style="260" customWidth="1"/>
    <col min="3337" max="3337" width="1.85546875" style="260" customWidth="1"/>
    <col min="3338" max="3338" width="11.85546875" style="260" bestFit="1" customWidth="1"/>
    <col min="3339" max="3339" width="15.28515625" style="260" bestFit="1" customWidth="1"/>
    <col min="3340" max="3340" width="5" style="260" customWidth="1"/>
    <col min="3341" max="3341" width="10.42578125" style="260" bestFit="1" customWidth="1"/>
    <col min="3342" max="3342" width="5" style="260" customWidth="1"/>
    <col min="3343" max="3343" width="10.42578125" style="260" bestFit="1" customWidth="1"/>
    <col min="3344" max="3346" width="9" style="260"/>
    <col min="3347" max="3347" width="10.42578125" style="260" bestFit="1" customWidth="1"/>
    <col min="3348" max="3576" width="9" style="260"/>
    <col min="3577" max="3577" width="3.5703125" style="260" customWidth="1"/>
    <col min="3578" max="3578" width="4.85546875" style="260" customWidth="1"/>
    <col min="3579" max="3579" width="5.42578125" style="260" customWidth="1"/>
    <col min="3580" max="3580" width="31.28515625" style="260" customWidth="1"/>
    <col min="3581" max="3581" width="7.5703125" style="260" customWidth="1"/>
    <col min="3582" max="3582" width="2.42578125" style="260" customWidth="1"/>
    <col min="3583" max="3583" width="11.5703125" style="260" customWidth="1"/>
    <col min="3584" max="3584" width="2.42578125" style="260" customWidth="1"/>
    <col min="3585" max="3585" width="11.5703125" style="260" customWidth="1"/>
    <col min="3586" max="3586" width="2.42578125" style="260" customWidth="1"/>
    <col min="3587" max="3587" width="10.85546875" style="260" customWidth="1"/>
    <col min="3588" max="3588" width="2.42578125" style="260" customWidth="1"/>
    <col min="3589" max="3589" width="11.140625" style="260" customWidth="1"/>
    <col min="3590" max="3590" width="1.85546875" style="260" customWidth="1"/>
    <col min="3591" max="3591" width="11" style="260" customWidth="1"/>
    <col min="3592" max="3592" width="0.7109375" style="260" customWidth="1"/>
    <col min="3593" max="3593" width="1.85546875" style="260" customWidth="1"/>
    <col min="3594" max="3594" width="11.85546875" style="260" bestFit="1" customWidth="1"/>
    <col min="3595" max="3595" width="15.28515625" style="260" bestFit="1" customWidth="1"/>
    <col min="3596" max="3596" width="5" style="260" customWidth="1"/>
    <col min="3597" max="3597" width="10.42578125" style="260" bestFit="1" customWidth="1"/>
    <col min="3598" max="3598" width="5" style="260" customWidth="1"/>
    <col min="3599" max="3599" width="10.42578125" style="260" bestFit="1" customWidth="1"/>
    <col min="3600" max="3602" width="9" style="260"/>
    <col min="3603" max="3603" width="10.42578125" style="260" bestFit="1" customWidth="1"/>
    <col min="3604" max="3832" width="9" style="260"/>
    <col min="3833" max="3833" width="3.5703125" style="260" customWidth="1"/>
    <col min="3834" max="3834" width="4.85546875" style="260" customWidth="1"/>
    <col min="3835" max="3835" width="5.42578125" style="260" customWidth="1"/>
    <col min="3836" max="3836" width="31.28515625" style="260" customWidth="1"/>
    <col min="3837" max="3837" width="7.5703125" style="260" customWidth="1"/>
    <col min="3838" max="3838" width="2.42578125" style="260" customWidth="1"/>
    <col min="3839" max="3839" width="11.5703125" style="260" customWidth="1"/>
    <col min="3840" max="3840" width="2.42578125" style="260" customWidth="1"/>
    <col min="3841" max="3841" width="11.5703125" style="260" customWidth="1"/>
    <col min="3842" max="3842" width="2.42578125" style="260" customWidth="1"/>
    <col min="3843" max="3843" width="10.85546875" style="260" customWidth="1"/>
    <col min="3844" max="3844" width="2.42578125" style="260" customWidth="1"/>
    <col min="3845" max="3845" width="11.140625" style="260" customWidth="1"/>
    <col min="3846" max="3846" width="1.85546875" style="260" customWidth="1"/>
    <col min="3847" max="3847" width="11" style="260" customWidth="1"/>
    <col min="3848" max="3848" width="0.7109375" style="260" customWidth="1"/>
    <col min="3849" max="3849" width="1.85546875" style="260" customWidth="1"/>
    <col min="3850" max="3850" width="11.85546875" style="260" bestFit="1" customWidth="1"/>
    <col min="3851" max="3851" width="15.28515625" style="260" bestFit="1" customWidth="1"/>
    <col min="3852" max="3852" width="5" style="260" customWidth="1"/>
    <col min="3853" max="3853" width="10.42578125" style="260" bestFit="1" customWidth="1"/>
    <col min="3854" max="3854" width="5" style="260" customWidth="1"/>
    <col min="3855" max="3855" width="10.42578125" style="260" bestFit="1" customWidth="1"/>
    <col min="3856" max="3858" width="9" style="260"/>
    <col min="3859" max="3859" width="10.42578125" style="260" bestFit="1" customWidth="1"/>
    <col min="3860" max="4088" width="9" style="260"/>
    <col min="4089" max="4089" width="3.5703125" style="260" customWidth="1"/>
    <col min="4090" max="4090" width="4.85546875" style="260" customWidth="1"/>
    <col min="4091" max="4091" width="5.42578125" style="260" customWidth="1"/>
    <col min="4092" max="4092" width="31.28515625" style="260" customWidth="1"/>
    <col min="4093" max="4093" width="7.5703125" style="260" customWidth="1"/>
    <col min="4094" max="4094" width="2.42578125" style="260" customWidth="1"/>
    <col min="4095" max="4095" width="11.5703125" style="260" customWidth="1"/>
    <col min="4096" max="4096" width="2.42578125" style="260" customWidth="1"/>
    <col min="4097" max="4097" width="11.5703125" style="260" customWidth="1"/>
    <col min="4098" max="4098" width="2.42578125" style="260" customWidth="1"/>
    <col min="4099" max="4099" width="10.85546875" style="260" customWidth="1"/>
    <col min="4100" max="4100" width="2.42578125" style="260" customWidth="1"/>
    <col min="4101" max="4101" width="11.140625" style="260" customWidth="1"/>
    <col min="4102" max="4102" width="1.85546875" style="260" customWidth="1"/>
    <col min="4103" max="4103" width="11" style="260" customWidth="1"/>
    <col min="4104" max="4104" width="0.7109375" style="260" customWidth="1"/>
    <col min="4105" max="4105" width="1.85546875" style="260" customWidth="1"/>
    <col min="4106" max="4106" width="11.85546875" style="260" bestFit="1" customWidth="1"/>
    <col min="4107" max="4107" width="15.28515625" style="260" bestFit="1" customWidth="1"/>
    <col min="4108" max="4108" width="5" style="260" customWidth="1"/>
    <col min="4109" max="4109" width="10.42578125" style="260" bestFit="1" customWidth="1"/>
    <col min="4110" max="4110" width="5" style="260" customWidth="1"/>
    <col min="4111" max="4111" width="10.42578125" style="260" bestFit="1" customWidth="1"/>
    <col min="4112" max="4114" width="9" style="260"/>
    <col min="4115" max="4115" width="10.42578125" style="260" bestFit="1" customWidth="1"/>
    <col min="4116" max="4344" width="9" style="260"/>
    <col min="4345" max="4345" width="3.5703125" style="260" customWidth="1"/>
    <col min="4346" max="4346" width="4.85546875" style="260" customWidth="1"/>
    <col min="4347" max="4347" width="5.42578125" style="260" customWidth="1"/>
    <col min="4348" max="4348" width="31.28515625" style="260" customWidth="1"/>
    <col min="4349" max="4349" width="7.5703125" style="260" customWidth="1"/>
    <col min="4350" max="4350" width="2.42578125" style="260" customWidth="1"/>
    <col min="4351" max="4351" width="11.5703125" style="260" customWidth="1"/>
    <col min="4352" max="4352" width="2.42578125" style="260" customWidth="1"/>
    <col min="4353" max="4353" width="11.5703125" style="260" customWidth="1"/>
    <col min="4354" max="4354" width="2.42578125" style="260" customWidth="1"/>
    <col min="4355" max="4355" width="10.85546875" style="260" customWidth="1"/>
    <col min="4356" max="4356" width="2.42578125" style="260" customWidth="1"/>
    <col min="4357" max="4357" width="11.140625" style="260" customWidth="1"/>
    <col min="4358" max="4358" width="1.85546875" style="260" customWidth="1"/>
    <col min="4359" max="4359" width="11" style="260" customWidth="1"/>
    <col min="4360" max="4360" width="0.7109375" style="260" customWidth="1"/>
    <col min="4361" max="4361" width="1.85546875" style="260" customWidth="1"/>
    <col min="4362" max="4362" width="11.85546875" style="260" bestFit="1" customWidth="1"/>
    <col min="4363" max="4363" width="15.28515625" style="260" bestFit="1" customWidth="1"/>
    <col min="4364" max="4364" width="5" style="260" customWidth="1"/>
    <col min="4365" max="4365" width="10.42578125" style="260" bestFit="1" customWidth="1"/>
    <col min="4366" max="4366" width="5" style="260" customWidth="1"/>
    <col min="4367" max="4367" width="10.42578125" style="260" bestFit="1" customWidth="1"/>
    <col min="4368" max="4370" width="9" style="260"/>
    <col min="4371" max="4371" width="10.42578125" style="260" bestFit="1" customWidth="1"/>
    <col min="4372" max="4600" width="9" style="260"/>
    <col min="4601" max="4601" width="3.5703125" style="260" customWidth="1"/>
    <col min="4602" max="4602" width="4.85546875" style="260" customWidth="1"/>
    <col min="4603" max="4603" width="5.42578125" style="260" customWidth="1"/>
    <col min="4604" max="4604" width="31.28515625" style="260" customWidth="1"/>
    <col min="4605" max="4605" width="7.5703125" style="260" customWidth="1"/>
    <col min="4606" max="4606" width="2.42578125" style="260" customWidth="1"/>
    <col min="4607" max="4607" width="11.5703125" style="260" customWidth="1"/>
    <col min="4608" max="4608" width="2.42578125" style="260" customWidth="1"/>
    <col min="4609" max="4609" width="11.5703125" style="260" customWidth="1"/>
    <col min="4610" max="4610" width="2.42578125" style="260" customWidth="1"/>
    <col min="4611" max="4611" width="10.85546875" style="260" customWidth="1"/>
    <col min="4612" max="4612" width="2.42578125" style="260" customWidth="1"/>
    <col min="4613" max="4613" width="11.140625" style="260" customWidth="1"/>
    <col min="4614" max="4614" width="1.85546875" style="260" customWidth="1"/>
    <col min="4615" max="4615" width="11" style="260" customWidth="1"/>
    <col min="4616" max="4616" width="0.7109375" style="260" customWidth="1"/>
    <col min="4617" max="4617" width="1.85546875" style="260" customWidth="1"/>
    <col min="4618" max="4618" width="11.85546875" style="260" bestFit="1" customWidth="1"/>
    <col min="4619" max="4619" width="15.28515625" style="260" bestFit="1" customWidth="1"/>
    <col min="4620" max="4620" width="5" style="260" customWidth="1"/>
    <col min="4621" max="4621" width="10.42578125" style="260" bestFit="1" customWidth="1"/>
    <col min="4622" max="4622" width="5" style="260" customWidth="1"/>
    <col min="4623" max="4623" width="10.42578125" style="260" bestFit="1" customWidth="1"/>
    <col min="4624" max="4626" width="9" style="260"/>
    <col min="4627" max="4627" width="10.42578125" style="260" bestFit="1" customWidth="1"/>
    <col min="4628" max="4856" width="9" style="260"/>
    <col min="4857" max="4857" width="3.5703125" style="260" customWidth="1"/>
    <col min="4858" max="4858" width="4.85546875" style="260" customWidth="1"/>
    <col min="4859" max="4859" width="5.42578125" style="260" customWidth="1"/>
    <col min="4860" max="4860" width="31.28515625" style="260" customWidth="1"/>
    <col min="4861" max="4861" width="7.5703125" style="260" customWidth="1"/>
    <col min="4862" max="4862" width="2.42578125" style="260" customWidth="1"/>
    <col min="4863" max="4863" width="11.5703125" style="260" customWidth="1"/>
    <col min="4864" max="4864" width="2.42578125" style="260" customWidth="1"/>
    <col min="4865" max="4865" width="11.5703125" style="260" customWidth="1"/>
    <col min="4866" max="4866" width="2.42578125" style="260" customWidth="1"/>
    <col min="4867" max="4867" width="10.85546875" style="260" customWidth="1"/>
    <col min="4868" max="4868" width="2.42578125" style="260" customWidth="1"/>
    <col min="4869" max="4869" width="11.140625" style="260" customWidth="1"/>
    <col min="4870" max="4870" width="1.85546875" style="260" customWidth="1"/>
    <col min="4871" max="4871" width="11" style="260" customWidth="1"/>
    <col min="4872" max="4872" width="0.7109375" style="260" customWidth="1"/>
    <col min="4873" max="4873" width="1.85546875" style="260" customWidth="1"/>
    <col min="4874" max="4874" width="11.85546875" style="260" bestFit="1" customWidth="1"/>
    <col min="4875" max="4875" width="15.28515625" style="260" bestFit="1" customWidth="1"/>
    <col min="4876" max="4876" width="5" style="260" customWidth="1"/>
    <col min="4877" max="4877" width="10.42578125" style="260" bestFit="1" customWidth="1"/>
    <col min="4878" max="4878" width="5" style="260" customWidth="1"/>
    <col min="4879" max="4879" width="10.42578125" style="260" bestFit="1" customWidth="1"/>
    <col min="4880" max="4882" width="9" style="260"/>
    <col min="4883" max="4883" width="10.42578125" style="260" bestFit="1" customWidth="1"/>
    <col min="4884" max="5112" width="9" style="260"/>
    <col min="5113" max="5113" width="3.5703125" style="260" customWidth="1"/>
    <col min="5114" max="5114" width="4.85546875" style="260" customWidth="1"/>
    <col min="5115" max="5115" width="5.42578125" style="260" customWidth="1"/>
    <col min="5116" max="5116" width="31.28515625" style="260" customWidth="1"/>
    <col min="5117" max="5117" width="7.5703125" style="260" customWidth="1"/>
    <col min="5118" max="5118" width="2.42578125" style="260" customWidth="1"/>
    <col min="5119" max="5119" width="11.5703125" style="260" customWidth="1"/>
    <col min="5120" max="5120" width="2.42578125" style="260" customWidth="1"/>
    <col min="5121" max="5121" width="11.5703125" style="260" customWidth="1"/>
    <col min="5122" max="5122" width="2.42578125" style="260" customWidth="1"/>
    <col min="5123" max="5123" width="10.85546875" style="260" customWidth="1"/>
    <col min="5124" max="5124" width="2.42578125" style="260" customWidth="1"/>
    <col min="5125" max="5125" width="11.140625" style="260" customWidth="1"/>
    <col min="5126" max="5126" width="1.85546875" style="260" customWidth="1"/>
    <col min="5127" max="5127" width="11" style="260" customWidth="1"/>
    <col min="5128" max="5128" width="0.7109375" style="260" customWidth="1"/>
    <col min="5129" max="5129" width="1.85546875" style="260" customWidth="1"/>
    <col min="5130" max="5130" width="11.85546875" style="260" bestFit="1" customWidth="1"/>
    <col min="5131" max="5131" width="15.28515625" style="260" bestFit="1" customWidth="1"/>
    <col min="5132" max="5132" width="5" style="260" customWidth="1"/>
    <col min="5133" max="5133" width="10.42578125" style="260" bestFit="1" customWidth="1"/>
    <col min="5134" max="5134" width="5" style="260" customWidth="1"/>
    <col min="5135" max="5135" width="10.42578125" style="260" bestFit="1" customWidth="1"/>
    <col min="5136" max="5138" width="9" style="260"/>
    <col min="5139" max="5139" width="10.42578125" style="260" bestFit="1" customWidth="1"/>
    <col min="5140" max="5368" width="9" style="260"/>
    <col min="5369" max="5369" width="3.5703125" style="260" customWidth="1"/>
    <col min="5370" max="5370" width="4.85546875" style="260" customWidth="1"/>
    <col min="5371" max="5371" width="5.42578125" style="260" customWidth="1"/>
    <col min="5372" max="5372" width="31.28515625" style="260" customWidth="1"/>
    <col min="5373" max="5373" width="7.5703125" style="260" customWidth="1"/>
    <col min="5374" max="5374" width="2.42578125" style="260" customWidth="1"/>
    <col min="5375" max="5375" width="11.5703125" style="260" customWidth="1"/>
    <col min="5376" max="5376" width="2.42578125" style="260" customWidth="1"/>
    <col min="5377" max="5377" width="11.5703125" style="260" customWidth="1"/>
    <col min="5378" max="5378" width="2.42578125" style="260" customWidth="1"/>
    <col min="5379" max="5379" width="10.85546875" style="260" customWidth="1"/>
    <col min="5380" max="5380" width="2.42578125" style="260" customWidth="1"/>
    <col min="5381" max="5381" width="11.140625" style="260" customWidth="1"/>
    <col min="5382" max="5382" width="1.85546875" style="260" customWidth="1"/>
    <col min="5383" max="5383" width="11" style="260" customWidth="1"/>
    <col min="5384" max="5384" width="0.7109375" style="260" customWidth="1"/>
    <col min="5385" max="5385" width="1.85546875" style="260" customWidth="1"/>
    <col min="5386" max="5386" width="11.85546875" style="260" bestFit="1" customWidth="1"/>
    <col min="5387" max="5387" width="15.28515625" style="260" bestFit="1" customWidth="1"/>
    <col min="5388" max="5388" width="5" style="260" customWidth="1"/>
    <col min="5389" max="5389" width="10.42578125" style="260" bestFit="1" customWidth="1"/>
    <col min="5390" max="5390" width="5" style="260" customWidth="1"/>
    <col min="5391" max="5391" width="10.42578125" style="260" bestFit="1" customWidth="1"/>
    <col min="5392" max="5394" width="9" style="260"/>
    <col min="5395" max="5395" width="10.42578125" style="260" bestFit="1" customWidth="1"/>
    <col min="5396" max="5624" width="9" style="260"/>
    <col min="5625" max="5625" width="3.5703125" style="260" customWidth="1"/>
    <col min="5626" max="5626" width="4.85546875" style="260" customWidth="1"/>
    <col min="5627" max="5627" width="5.42578125" style="260" customWidth="1"/>
    <col min="5628" max="5628" width="31.28515625" style="260" customWidth="1"/>
    <col min="5629" max="5629" width="7.5703125" style="260" customWidth="1"/>
    <col min="5630" max="5630" width="2.42578125" style="260" customWidth="1"/>
    <col min="5631" max="5631" width="11.5703125" style="260" customWidth="1"/>
    <col min="5632" max="5632" width="2.42578125" style="260" customWidth="1"/>
    <col min="5633" max="5633" width="11.5703125" style="260" customWidth="1"/>
    <col min="5634" max="5634" width="2.42578125" style="260" customWidth="1"/>
    <col min="5635" max="5635" width="10.85546875" style="260" customWidth="1"/>
    <col min="5636" max="5636" width="2.42578125" style="260" customWidth="1"/>
    <col min="5637" max="5637" width="11.140625" style="260" customWidth="1"/>
    <col min="5638" max="5638" width="1.85546875" style="260" customWidth="1"/>
    <col min="5639" max="5639" width="11" style="260" customWidth="1"/>
    <col min="5640" max="5640" width="0.7109375" style="260" customWidth="1"/>
    <col min="5641" max="5641" width="1.85546875" style="260" customWidth="1"/>
    <col min="5642" max="5642" width="11.85546875" style="260" bestFit="1" customWidth="1"/>
    <col min="5643" max="5643" width="15.28515625" style="260" bestFit="1" customWidth="1"/>
    <col min="5644" max="5644" width="5" style="260" customWidth="1"/>
    <col min="5645" max="5645" width="10.42578125" style="260" bestFit="1" customWidth="1"/>
    <col min="5646" max="5646" width="5" style="260" customWidth="1"/>
    <col min="5647" max="5647" width="10.42578125" style="260" bestFit="1" customWidth="1"/>
    <col min="5648" max="5650" width="9" style="260"/>
    <col min="5651" max="5651" width="10.42578125" style="260" bestFit="1" customWidth="1"/>
    <col min="5652" max="5880" width="9" style="260"/>
    <col min="5881" max="5881" width="3.5703125" style="260" customWidth="1"/>
    <col min="5882" max="5882" width="4.85546875" style="260" customWidth="1"/>
    <col min="5883" max="5883" width="5.42578125" style="260" customWidth="1"/>
    <col min="5884" max="5884" width="31.28515625" style="260" customWidth="1"/>
    <col min="5885" max="5885" width="7.5703125" style="260" customWidth="1"/>
    <col min="5886" max="5886" width="2.42578125" style="260" customWidth="1"/>
    <col min="5887" max="5887" width="11.5703125" style="260" customWidth="1"/>
    <col min="5888" max="5888" width="2.42578125" style="260" customWidth="1"/>
    <col min="5889" max="5889" width="11.5703125" style="260" customWidth="1"/>
    <col min="5890" max="5890" width="2.42578125" style="260" customWidth="1"/>
    <col min="5891" max="5891" width="10.85546875" style="260" customWidth="1"/>
    <col min="5892" max="5892" width="2.42578125" style="260" customWidth="1"/>
    <col min="5893" max="5893" width="11.140625" style="260" customWidth="1"/>
    <col min="5894" max="5894" width="1.85546875" style="260" customWidth="1"/>
    <col min="5895" max="5895" width="11" style="260" customWidth="1"/>
    <col min="5896" max="5896" width="0.7109375" style="260" customWidth="1"/>
    <col min="5897" max="5897" width="1.85546875" style="260" customWidth="1"/>
    <col min="5898" max="5898" width="11.85546875" style="260" bestFit="1" customWidth="1"/>
    <col min="5899" max="5899" width="15.28515625" style="260" bestFit="1" customWidth="1"/>
    <col min="5900" max="5900" width="5" style="260" customWidth="1"/>
    <col min="5901" max="5901" width="10.42578125" style="260" bestFit="1" customWidth="1"/>
    <col min="5902" max="5902" width="5" style="260" customWidth="1"/>
    <col min="5903" max="5903" width="10.42578125" style="260" bestFit="1" customWidth="1"/>
    <col min="5904" max="5906" width="9" style="260"/>
    <col min="5907" max="5907" width="10.42578125" style="260" bestFit="1" customWidth="1"/>
    <col min="5908" max="6136" width="9" style="260"/>
    <col min="6137" max="6137" width="3.5703125" style="260" customWidth="1"/>
    <col min="6138" max="6138" width="4.85546875" style="260" customWidth="1"/>
    <col min="6139" max="6139" width="5.42578125" style="260" customWidth="1"/>
    <col min="6140" max="6140" width="31.28515625" style="260" customWidth="1"/>
    <col min="6141" max="6141" width="7.5703125" style="260" customWidth="1"/>
    <col min="6142" max="6142" width="2.42578125" style="260" customWidth="1"/>
    <col min="6143" max="6143" width="11.5703125" style="260" customWidth="1"/>
    <col min="6144" max="6144" width="2.42578125" style="260" customWidth="1"/>
    <col min="6145" max="6145" width="11.5703125" style="260" customWidth="1"/>
    <col min="6146" max="6146" width="2.42578125" style="260" customWidth="1"/>
    <col min="6147" max="6147" width="10.85546875" style="260" customWidth="1"/>
    <col min="6148" max="6148" width="2.42578125" style="260" customWidth="1"/>
    <col min="6149" max="6149" width="11.140625" style="260" customWidth="1"/>
    <col min="6150" max="6150" width="1.85546875" style="260" customWidth="1"/>
    <col min="6151" max="6151" width="11" style="260" customWidth="1"/>
    <col min="6152" max="6152" width="0.7109375" style="260" customWidth="1"/>
    <col min="6153" max="6153" width="1.85546875" style="260" customWidth="1"/>
    <col min="6154" max="6154" width="11.85546875" style="260" bestFit="1" customWidth="1"/>
    <col min="6155" max="6155" width="15.28515625" style="260" bestFit="1" customWidth="1"/>
    <col min="6156" max="6156" width="5" style="260" customWidth="1"/>
    <col min="6157" max="6157" width="10.42578125" style="260" bestFit="1" customWidth="1"/>
    <col min="6158" max="6158" width="5" style="260" customWidth="1"/>
    <col min="6159" max="6159" width="10.42578125" style="260" bestFit="1" customWidth="1"/>
    <col min="6160" max="6162" width="9" style="260"/>
    <col min="6163" max="6163" width="10.42578125" style="260" bestFit="1" customWidth="1"/>
    <col min="6164" max="6392" width="9" style="260"/>
    <col min="6393" max="6393" width="3.5703125" style="260" customWidth="1"/>
    <col min="6394" max="6394" width="4.85546875" style="260" customWidth="1"/>
    <col min="6395" max="6395" width="5.42578125" style="260" customWidth="1"/>
    <col min="6396" max="6396" width="31.28515625" style="260" customWidth="1"/>
    <col min="6397" max="6397" width="7.5703125" style="260" customWidth="1"/>
    <col min="6398" max="6398" width="2.42578125" style="260" customWidth="1"/>
    <col min="6399" max="6399" width="11.5703125" style="260" customWidth="1"/>
    <col min="6400" max="6400" width="2.42578125" style="260" customWidth="1"/>
    <col min="6401" max="6401" width="11.5703125" style="260" customWidth="1"/>
    <col min="6402" max="6402" width="2.42578125" style="260" customWidth="1"/>
    <col min="6403" max="6403" width="10.85546875" style="260" customWidth="1"/>
    <col min="6404" max="6404" width="2.42578125" style="260" customWidth="1"/>
    <col min="6405" max="6405" width="11.140625" style="260" customWidth="1"/>
    <col min="6406" max="6406" width="1.85546875" style="260" customWidth="1"/>
    <col min="6407" max="6407" width="11" style="260" customWidth="1"/>
    <col min="6408" max="6408" width="0.7109375" style="260" customWidth="1"/>
    <col min="6409" max="6409" width="1.85546875" style="260" customWidth="1"/>
    <col min="6410" max="6410" width="11.85546875" style="260" bestFit="1" customWidth="1"/>
    <col min="6411" max="6411" width="15.28515625" style="260" bestFit="1" customWidth="1"/>
    <col min="6412" max="6412" width="5" style="260" customWidth="1"/>
    <col min="6413" max="6413" width="10.42578125" style="260" bestFit="1" customWidth="1"/>
    <col min="6414" max="6414" width="5" style="260" customWidth="1"/>
    <col min="6415" max="6415" width="10.42578125" style="260" bestFit="1" customWidth="1"/>
    <col min="6416" max="6418" width="9" style="260"/>
    <col min="6419" max="6419" width="10.42578125" style="260" bestFit="1" customWidth="1"/>
    <col min="6420" max="6648" width="9" style="260"/>
    <col min="6649" max="6649" width="3.5703125" style="260" customWidth="1"/>
    <col min="6650" max="6650" width="4.85546875" style="260" customWidth="1"/>
    <col min="6651" max="6651" width="5.42578125" style="260" customWidth="1"/>
    <col min="6652" max="6652" width="31.28515625" style="260" customWidth="1"/>
    <col min="6653" max="6653" width="7.5703125" style="260" customWidth="1"/>
    <col min="6654" max="6654" width="2.42578125" style="260" customWidth="1"/>
    <col min="6655" max="6655" width="11.5703125" style="260" customWidth="1"/>
    <col min="6656" max="6656" width="2.42578125" style="260" customWidth="1"/>
    <col min="6657" max="6657" width="11.5703125" style="260" customWidth="1"/>
    <col min="6658" max="6658" width="2.42578125" style="260" customWidth="1"/>
    <col min="6659" max="6659" width="10.85546875" style="260" customWidth="1"/>
    <col min="6660" max="6660" width="2.42578125" style="260" customWidth="1"/>
    <col min="6661" max="6661" width="11.140625" style="260" customWidth="1"/>
    <col min="6662" max="6662" width="1.85546875" style="260" customWidth="1"/>
    <col min="6663" max="6663" width="11" style="260" customWidth="1"/>
    <col min="6664" max="6664" width="0.7109375" style="260" customWidth="1"/>
    <col min="6665" max="6665" width="1.85546875" style="260" customWidth="1"/>
    <col min="6666" max="6666" width="11.85546875" style="260" bestFit="1" customWidth="1"/>
    <col min="6667" max="6667" width="15.28515625" style="260" bestFit="1" customWidth="1"/>
    <col min="6668" max="6668" width="5" style="260" customWidth="1"/>
    <col min="6669" max="6669" width="10.42578125" style="260" bestFit="1" customWidth="1"/>
    <col min="6670" max="6670" width="5" style="260" customWidth="1"/>
    <col min="6671" max="6671" width="10.42578125" style="260" bestFit="1" customWidth="1"/>
    <col min="6672" max="6674" width="9" style="260"/>
    <col min="6675" max="6675" width="10.42578125" style="260" bestFit="1" customWidth="1"/>
    <col min="6676" max="6904" width="9" style="260"/>
    <col min="6905" max="6905" width="3.5703125" style="260" customWidth="1"/>
    <col min="6906" max="6906" width="4.85546875" style="260" customWidth="1"/>
    <col min="6907" max="6907" width="5.42578125" style="260" customWidth="1"/>
    <col min="6908" max="6908" width="31.28515625" style="260" customWidth="1"/>
    <col min="6909" max="6909" width="7.5703125" style="260" customWidth="1"/>
    <col min="6910" max="6910" width="2.42578125" style="260" customWidth="1"/>
    <col min="6911" max="6911" width="11.5703125" style="260" customWidth="1"/>
    <col min="6912" max="6912" width="2.42578125" style="260" customWidth="1"/>
    <col min="6913" max="6913" width="11.5703125" style="260" customWidth="1"/>
    <col min="6914" max="6914" width="2.42578125" style="260" customWidth="1"/>
    <col min="6915" max="6915" width="10.85546875" style="260" customWidth="1"/>
    <col min="6916" max="6916" width="2.42578125" style="260" customWidth="1"/>
    <col min="6917" max="6917" width="11.140625" style="260" customWidth="1"/>
    <col min="6918" max="6918" width="1.85546875" style="260" customWidth="1"/>
    <col min="6919" max="6919" width="11" style="260" customWidth="1"/>
    <col min="6920" max="6920" width="0.7109375" style="260" customWidth="1"/>
    <col min="6921" max="6921" width="1.85546875" style="260" customWidth="1"/>
    <col min="6922" max="6922" width="11.85546875" style="260" bestFit="1" customWidth="1"/>
    <col min="6923" max="6923" width="15.28515625" style="260" bestFit="1" customWidth="1"/>
    <col min="6924" max="6924" width="5" style="260" customWidth="1"/>
    <col min="6925" max="6925" width="10.42578125" style="260" bestFit="1" customWidth="1"/>
    <col min="6926" max="6926" width="5" style="260" customWidth="1"/>
    <col min="6927" max="6927" width="10.42578125" style="260" bestFit="1" customWidth="1"/>
    <col min="6928" max="6930" width="9" style="260"/>
    <col min="6931" max="6931" width="10.42578125" style="260" bestFit="1" customWidth="1"/>
    <col min="6932" max="7160" width="9" style="260"/>
    <col min="7161" max="7161" width="3.5703125" style="260" customWidth="1"/>
    <col min="7162" max="7162" width="4.85546875" style="260" customWidth="1"/>
    <col min="7163" max="7163" width="5.42578125" style="260" customWidth="1"/>
    <col min="7164" max="7164" width="31.28515625" style="260" customWidth="1"/>
    <col min="7165" max="7165" width="7.5703125" style="260" customWidth="1"/>
    <col min="7166" max="7166" width="2.42578125" style="260" customWidth="1"/>
    <col min="7167" max="7167" width="11.5703125" style="260" customWidth="1"/>
    <col min="7168" max="7168" width="2.42578125" style="260" customWidth="1"/>
    <col min="7169" max="7169" width="11.5703125" style="260" customWidth="1"/>
    <col min="7170" max="7170" width="2.42578125" style="260" customWidth="1"/>
    <col min="7171" max="7171" width="10.85546875" style="260" customWidth="1"/>
    <col min="7172" max="7172" width="2.42578125" style="260" customWidth="1"/>
    <col min="7173" max="7173" width="11.140625" style="260" customWidth="1"/>
    <col min="7174" max="7174" width="1.85546875" style="260" customWidth="1"/>
    <col min="7175" max="7175" width="11" style="260" customWidth="1"/>
    <col min="7176" max="7176" width="0.7109375" style="260" customWidth="1"/>
    <col min="7177" max="7177" width="1.85546875" style="260" customWidth="1"/>
    <col min="7178" max="7178" width="11.85546875" style="260" bestFit="1" customWidth="1"/>
    <col min="7179" max="7179" width="15.28515625" style="260" bestFit="1" customWidth="1"/>
    <col min="7180" max="7180" width="5" style="260" customWidth="1"/>
    <col min="7181" max="7181" width="10.42578125" style="260" bestFit="1" customWidth="1"/>
    <col min="7182" max="7182" width="5" style="260" customWidth="1"/>
    <col min="7183" max="7183" width="10.42578125" style="260" bestFit="1" customWidth="1"/>
    <col min="7184" max="7186" width="9" style="260"/>
    <col min="7187" max="7187" width="10.42578125" style="260" bestFit="1" customWidth="1"/>
    <col min="7188" max="7416" width="9" style="260"/>
    <col min="7417" max="7417" width="3.5703125" style="260" customWidth="1"/>
    <col min="7418" max="7418" width="4.85546875" style="260" customWidth="1"/>
    <col min="7419" max="7419" width="5.42578125" style="260" customWidth="1"/>
    <col min="7420" max="7420" width="31.28515625" style="260" customWidth="1"/>
    <col min="7421" max="7421" width="7.5703125" style="260" customWidth="1"/>
    <col min="7422" max="7422" width="2.42578125" style="260" customWidth="1"/>
    <col min="7423" max="7423" width="11.5703125" style="260" customWidth="1"/>
    <col min="7424" max="7424" width="2.42578125" style="260" customWidth="1"/>
    <col min="7425" max="7425" width="11.5703125" style="260" customWidth="1"/>
    <col min="7426" max="7426" width="2.42578125" style="260" customWidth="1"/>
    <col min="7427" max="7427" width="10.85546875" style="260" customWidth="1"/>
    <col min="7428" max="7428" width="2.42578125" style="260" customWidth="1"/>
    <col min="7429" max="7429" width="11.140625" style="260" customWidth="1"/>
    <col min="7430" max="7430" width="1.85546875" style="260" customWidth="1"/>
    <col min="7431" max="7431" width="11" style="260" customWidth="1"/>
    <col min="7432" max="7432" width="0.7109375" style="260" customWidth="1"/>
    <col min="7433" max="7433" width="1.85546875" style="260" customWidth="1"/>
    <col min="7434" max="7434" width="11.85546875" style="260" bestFit="1" customWidth="1"/>
    <col min="7435" max="7435" width="15.28515625" style="260" bestFit="1" customWidth="1"/>
    <col min="7436" max="7436" width="5" style="260" customWidth="1"/>
    <col min="7437" max="7437" width="10.42578125" style="260" bestFit="1" customWidth="1"/>
    <col min="7438" max="7438" width="5" style="260" customWidth="1"/>
    <col min="7439" max="7439" width="10.42578125" style="260" bestFit="1" customWidth="1"/>
    <col min="7440" max="7442" width="9" style="260"/>
    <col min="7443" max="7443" width="10.42578125" style="260" bestFit="1" customWidth="1"/>
    <col min="7444" max="7672" width="9" style="260"/>
    <col min="7673" max="7673" width="3.5703125" style="260" customWidth="1"/>
    <col min="7674" max="7674" width="4.85546875" style="260" customWidth="1"/>
    <col min="7675" max="7675" width="5.42578125" style="260" customWidth="1"/>
    <col min="7676" max="7676" width="31.28515625" style="260" customWidth="1"/>
    <col min="7677" max="7677" width="7.5703125" style="260" customWidth="1"/>
    <col min="7678" max="7678" width="2.42578125" style="260" customWidth="1"/>
    <col min="7679" max="7679" width="11.5703125" style="260" customWidth="1"/>
    <col min="7680" max="7680" width="2.42578125" style="260" customWidth="1"/>
    <col min="7681" max="7681" width="11.5703125" style="260" customWidth="1"/>
    <col min="7682" max="7682" width="2.42578125" style="260" customWidth="1"/>
    <col min="7683" max="7683" width="10.85546875" style="260" customWidth="1"/>
    <col min="7684" max="7684" width="2.42578125" style="260" customWidth="1"/>
    <col min="7685" max="7685" width="11.140625" style="260" customWidth="1"/>
    <col min="7686" max="7686" width="1.85546875" style="260" customWidth="1"/>
    <col min="7687" max="7687" width="11" style="260" customWidth="1"/>
    <col min="7688" max="7688" width="0.7109375" style="260" customWidth="1"/>
    <col min="7689" max="7689" width="1.85546875" style="260" customWidth="1"/>
    <col min="7690" max="7690" width="11.85546875" style="260" bestFit="1" customWidth="1"/>
    <col min="7691" max="7691" width="15.28515625" style="260" bestFit="1" customWidth="1"/>
    <col min="7692" max="7692" width="5" style="260" customWidth="1"/>
    <col min="7693" max="7693" width="10.42578125" style="260" bestFit="1" customWidth="1"/>
    <col min="7694" max="7694" width="5" style="260" customWidth="1"/>
    <col min="7695" max="7695" width="10.42578125" style="260" bestFit="1" customWidth="1"/>
    <col min="7696" max="7698" width="9" style="260"/>
    <col min="7699" max="7699" width="10.42578125" style="260" bestFit="1" customWidth="1"/>
    <col min="7700" max="7928" width="9" style="260"/>
    <col min="7929" max="7929" width="3.5703125" style="260" customWidth="1"/>
    <col min="7930" max="7930" width="4.85546875" style="260" customWidth="1"/>
    <col min="7931" max="7931" width="5.42578125" style="260" customWidth="1"/>
    <col min="7932" max="7932" width="31.28515625" style="260" customWidth="1"/>
    <col min="7933" max="7933" width="7.5703125" style="260" customWidth="1"/>
    <col min="7934" max="7934" width="2.42578125" style="260" customWidth="1"/>
    <col min="7935" max="7935" width="11.5703125" style="260" customWidth="1"/>
    <col min="7936" max="7936" width="2.42578125" style="260" customWidth="1"/>
    <col min="7937" max="7937" width="11.5703125" style="260" customWidth="1"/>
    <col min="7938" max="7938" width="2.42578125" style="260" customWidth="1"/>
    <col min="7939" max="7939" width="10.85546875" style="260" customWidth="1"/>
    <col min="7940" max="7940" width="2.42578125" style="260" customWidth="1"/>
    <col min="7941" max="7941" width="11.140625" style="260" customWidth="1"/>
    <col min="7942" max="7942" width="1.85546875" style="260" customWidth="1"/>
    <col min="7943" max="7943" width="11" style="260" customWidth="1"/>
    <col min="7944" max="7944" width="0.7109375" style="260" customWidth="1"/>
    <col min="7945" max="7945" width="1.85546875" style="260" customWidth="1"/>
    <col min="7946" max="7946" width="11.85546875" style="260" bestFit="1" customWidth="1"/>
    <col min="7947" max="7947" width="15.28515625" style="260" bestFit="1" customWidth="1"/>
    <col min="7948" max="7948" width="5" style="260" customWidth="1"/>
    <col min="7949" max="7949" width="10.42578125" style="260" bestFit="1" customWidth="1"/>
    <col min="7950" max="7950" width="5" style="260" customWidth="1"/>
    <col min="7951" max="7951" width="10.42578125" style="260" bestFit="1" customWidth="1"/>
    <col min="7952" max="7954" width="9" style="260"/>
    <col min="7955" max="7955" width="10.42578125" style="260" bestFit="1" customWidth="1"/>
    <col min="7956" max="8184" width="9" style="260"/>
    <col min="8185" max="8185" width="3.5703125" style="260" customWidth="1"/>
    <col min="8186" max="8186" width="4.85546875" style="260" customWidth="1"/>
    <col min="8187" max="8187" width="5.42578125" style="260" customWidth="1"/>
    <col min="8188" max="8188" width="31.28515625" style="260" customWidth="1"/>
    <col min="8189" max="8189" width="7.5703125" style="260" customWidth="1"/>
    <col min="8190" max="8190" width="2.42578125" style="260" customWidth="1"/>
    <col min="8191" max="8191" width="11.5703125" style="260" customWidth="1"/>
    <col min="8192" max="8192" width="2.42578125" style="260" customWidth="1"/>
    <col min="8193" max="8193" width="11.5703125" style="260" customWidth="1"/>
    <col min="8194" max="8194" width="2.42578125" style="260" customWidth="1"/>
    <col min="8195" max="8195" width="10.85546875" style="260" customWidth="1"/>
    <col min="8196" max="8196" width="2.42578125" style="260" customWidth="1"/>
    <col min="8197" max="8197" width="11.140625" style="260" customWidth="1"/>
    <col min="8198" max="8198" width="1.85546875" style="260" customWidth="1"/>
    <col min="8199" max="8199" width="11" style="260" customWidth="1"/>
    <col min="8200" max="8200" width="0.7109375" style="260" customWidth="1"/>
    <col min="8201" max="8201" width="1.85546875" style="260" customWidth="1"/>
    <col min="8202" max="8202" width="11.85546875" style="260" bestFit="1" customWidth="1"/>
    <col min="8203" max="8203" width="15.28515625" style="260" bestFit="1" customWidth="1"/>
    <col min="8204" max="8204" width="5" style="260" customWidth="1"/>
    <col min="8205" max="8205" width="10.42578125" style="260" bestFit="1" customWidth="1"/>
    <col min="8206" max="8206" width="5" style="260" customWidth="1"/>
    <col min="8207" max="8207" width="10.42578125" style="260" bestFit="1" customWidth="1"/>
    <col min="8208" max="8210" width="9" style="260"/>
    <col min="8211" max="8211" width="10.42578125" style="260" bestFit="1" customWidth="1"/>
    <col min="8212" max="8440" width="9" style="260"/>
    <col min="8441" max="8441" width="3.5703125" style="260" customWidth="1"/>
    <col min="8442" max="8442" width="4.85546875" style="260" customWidth="1"/>
    <col min="8443" max="8443" width="5.42578125" style="260" customWidth="1"/>
    <col min="8444" max="8444" width="31.28515625" style="260" customWidth="1"/>
    <col min="8445" max="8445" width="7.5703125" style="260" customWidth="1"/>
    <col min="8446" max="8446" width="2.42578125" style="260" customWidth="1"/>
    <col min="8447" max="8447" width="11.5703125" style="260" customWidth="1"/>
    <col min="8448" max="8448" width="2.42578125" style="260" customWidth="1"/>
    <col min="8449" max="8449" width="11.5703125" style="260" customWidth="1"/>
    <col min="8450" max="8450" width="2.42578125" style="260" customWidth="1"/>
    <col min="8451" max="8451" width="10.85546875" style="260" customWidth="1"/>
    <col min="8452" max="8452" width="2.42578125" style="260" customWidth="1"/>
    <col min="8453" max="8453" width="11.140625" style="260" customWidth="1"/>
    <col min="8454" max="8454" width="1.85546875" style="260" customWidth="1"/>
    <col min="8455" max="8455" width="11" style="260" customWidth="1"/>
    <col min="8456" max="8456" width="0.7109375" style="260" customWidth="1"/>
    <col min="8457" max="8457" width="1.85546875" style="260" customWidth="1"/>
    <col min="8458" max="8458" width="11.85546875" style="260" bestFit="1" customWidth="1"/>
    <col min="8459" max="8459" width="15.28515625" style="260" bestFit="1" customWidth="1"/>
    <col min="8460" max="8460" width="5" style="260" customWidth="1"/>
    <col min="8461" max="8461" width="10.42578125" style="260" bestFit="1" customWidth="1"/>
    <col min="8462" max="8462" width="5" style="260" customWidth="1"/>
    <col min="8463" max="8463" width="10.42578125" style="260" bestFit="1" customWidth="1"/>
    <col min="8464" max="8466" width="9" style="260"/>
    <col min="8467" max="8467" width="10.42578125" style="260" bestFit="1" customWidth="1"/>
    <col min="8468" max="8696" width="9" style="260"/>
    <col min="8697" max="8697" width="3.5703125" style="260" customWidth="1"/>
    <col min="8698" max="8698" width="4.85546875" style="260" customWidth="1"/>
    <col min="8699" max="8699" width="5.42578125" style="260" customWidth="1"/>
    <col min="8700" max="8700" width="31.28515625" style="260" customWidth="1"/>
    <col min="8701" max="8701" width="7.5703125" style="260" customWidth="1"/>
    <col min="8702" max="8702" width="2.42578125" style="260" customWidth="1"/>
    <col min="8703" max="8703" width="11.5703125" style="260" customWidth="1"/>
    <col min="8704" max="8704" width="2.42578125" style="260" customWidth="1"/>
    <col min="8705" max="8705" width="11.5703125" style="260" customWidth="1"/>
    <col min="8706" max="8706" width="2.42578125" style="260" customWidth="1"/>
    <col min="8707" max="8707" width="10.85546875" style="260" customWidth="1"/>
    <col min="8708" max="8708" width="2.42578125" style="260" customWidth="1"/>
    <col min="8709" max="8709" width="11.140625" style="260" customWidth="1"/>
    <col min="8710" max="8710" width="1.85546875" style="260" customWidth="1"/>
    <col min="8711" max="8711" width="11" style="260" customWidth="1"/>
    <col min="8712" max="8712" width="0.7109375" style="260" customWidth="1"/>
    <col min="8713" max="8713" width="1.85546875" style="260" customWidth="1"/>
    <col min="8714" max="8714" width="11.85546875" style="260" bestFit="1" customWidth="1"/>
    <col min="8715" max="8715" width="15.28515625" style="260" bestFit="1" customWidth="1"/>
    <col min="8716" max="8716" width="5" style="260" customWidth="1"/>
    <col min="8717" max="8717" width="10.42578125" style="260" bestFit="1" customWidth="1"/>
    <col min="8718" max="8718" width="5" style="260" customWidth="1"/>
    <col min="8719" max="8719" width="10.42578125" style="260" bestFit="1" customWidth="1"/>
    <col min="8720" max="8722" width="9" style="260"/>
    <col min="8723" max="8723" width="10.42578125" style="260" bestFit="1" customWidth="1"/>
    <col min="8724" max="8952" width="9" style="260"/>
    <col min="8953" max="8953" width="3.5703125" style="260" customWidth="1"/>
    <col min="8954" max="8954" width="4.85546875" style="260" customWidth="1"/>
    <col min="8955" max="8955" width="5.42578125" style="260" customWidth="1"/>
    <col min="8956" max="8956" width="31.28515625" style="260" customWidth="1"/>
    <col min="8957" max="8957" width="7.5703125" style="260" customWidth="1"/>
    <col min="8958" max="8958" width="2.42578125" style="260" customWidth="1"/>
    <col min="8959" max="8959" width="11.5703125" style="260" customWidth="1"/>
    <col min="8960" max="8960" width="2.42578125" style="260" customWidth="1"/>
    <col min="8961" max="8961" width="11.5703125" style="260" customWidth="1"/>
    <col min="8962" max="8962" width="2.42578125" style="260" customWidth="1"/>
    <col min="8963" max="8963" width="10.85546875" style="260" customWidth="1"/>
    <col min="8964" max="8964" width="2.42578125" style="260" customWidth="1"/>
    <col min="8965" max="8965" width="11.140625" style="260" customWidth="1"/>
    <col min="8966" max="8966" width="1.85546875" style="260" customWidth="1"/>
    <col min="8967" max="8967" width="11" style="260" customWidth="1"/>
    <col min="8968" max="8968" width="0.7109375" style="260" customWidth="1"/>
    <col min="8969" max="8969" width="1.85546875" style="260" customWidth="1"/>
    <col min="8970" max="8970" width="11.85546875" style="260" bestFit="1" customWidth="1"/>
    <col min="8971" max="8971" width="15.28515625" style="260" bestFit="1" customWidth="1"/>
    <col min="8972" max="8972" width="5" style="260" customWidth="1"/>
    <col min="8973" max="8973" width="10.42578125" style="260" bestFit="1" customWidth="1"/>
    <col min="8974" max="8974" width="5" style="260" customWidth="1"/>
    <col min="8975" max="8975" width="10.42578125" style="260" bestFit="1" customWidth="1"/>
    <col min="8976" max="8978" width="9" style="260"/>
    <col min="8979" max="8979" width="10.42578125" style="260" bestFit="1" customWidth="1"/>
    <col min="8980" max="9208" width="9" style="260"/>
    <col min="9209" max="9209" width="3.5703125" style="260" customWidth="1"/>
    <col min="9210" max="9210" width="4.85546875" style="260" customWidth="1"/>
    <col min="9211" max="9211" width="5.42578125" style="260" customWidth="1"/>
    <col min="9212" max="9212" width="31.28515625" style="260" customWidth="1"/>
    <col min="9213" max="9213" width="7.5703125" style="260" customWidth="1"/>
    <col min="9214" max="9214" width="2.42578125" style="260" customWidth="1"/>
    <col min="9215" max="9215" width="11.5703125" style="260" customWidth="1"/>
    <col min="9216" max="9216" width="2.42578125" style="260" customWidth="1"/>
    <col min="9217" max="9217" width="11.5703125" style="260" customWidth="1"/>
    <col min="9218" max="9218" width="2.42578125" style="260" customWidth="1"/>
    <col min="9219" max="9219" width="10.85546875" style="260" customWidth="1"/>
    <col min="9220" max="9220" width="2.42578125" style="260" customWidth="1"/>
    <col min="9221" max="9221" width="11.140625" style="260" customWidth="1"/>
    <col min="9222" max="9222" width="1.85546875" style="260" customWidth="1"/>
    <col min="9223" max="9223" width="11" style="260" customWidth="1"/>
    <col min="9224" max="9224" width="0.7109375" style="260" customWidth="1"/>
    <col min="9225" max="9225" width="1.85546875" style="260" customWidth="1"/>
    <col min="9226" max="9226" width="11.85546875" style="260" bestFit="1" customWidth="1"/>
    <col min="9227" max="9227" width="15.28515625" style="260" bestFit="1" customWidth="1"/>
    <col min="9228" max="9228" width="5" style="260" customWidth="1"/>
    <col min="9229" max="9229" width="10.42578125" style="260" bestFit="1" customWidth="1"/>
    <col min="9230" max="9230" width="5" style="260" customWidth="1"/>
    <col min="9231" max="9231" width="10.42578125" style="260" bestFit="1" customWidth="1"/>
    <col min="9232" max="9234" width="9" style="260"/>
    <col min="9235" max="9235" width="10.42578125" style="260" bestFit="1" customWidth="1"/>
    <col min="9236" max="9464" width="9" style="260"/>
    <col min="9465" max="9465" width="3.5703125" style="260" customWidth="1"/>
    <col min="9466" max="9466" width="4.85546875" style="260" customWidth="1"/>
    <col min="9467" max="9467" width="5.42578125" style="260" customWidth="1"/>
    <col min="9468" max="9468" width="31.28515625" style="260" customWidth="1"/>
    <col min="9469" max="9469" width="7.5703125" style="260" customWidth="1"/>
    <col min="9470" max="9470" width="2.42578125" style="260" customWidth="1"/>
    <col min="9471" max="9471" width="11.5703125" style="260" customWidth="1"/>
    <col min="9472" max="9472" width="2.42578125" style="260" customWidth="1"/>
    <col min="9473" max="9473" width="11.5703125" style="260" customWidth="1"/>
    <col min="9474" max="9474" width="2.42578125" style="260" customWidth="1"/>
    <col min="9475" max="9475" width="10.85546875" style="260" customWidth="1"/>
    <col min="9476" max="9476" width="2.42578125" style="260" customWidth="1"/>
    <col min="9477" max="9477" width="11.140625" style="260" customWidth="1"/>
    <col min="9478" max="9478" width="1.85546875" style="260" customWidth="1"/>
    <col min="9479" max="9479" width="11" style="260" customWidth="1"/>
    <col min="9480" max="9480" width="0.7109375" style="260" customWidth="1"/>
    <col min="9481" max="9481" width="1.85546875" style="260" customWidth="1"/>
    <col min="9482" max="9482" width="11.85546875" style="260" bestFit="1" customWidth="1"/>
    <col min="9483" max="9483" width="15.28515625" style="260" bestFit="1" customWidth="1"/>
    <col min="9484" max="9484" width="5" style="260" customWidth="1"/>
    <col min="9485" max="9485" width="10.42578125" style="260" bestFit="1" customWidth="1"/>
    <col min="9486" max="9486" width="5" style="260" customWidth="1"/>
    <col min="9487" max="9487" width="10.42578125" style="260" bestFit="1" customWidth="1"/>
    <col min="9488" max="9490" width="9" style="260"/>
    <col min="9491" max="9491" width="10.42578125" style="260" bestFit="1" customWidth="1"/>
    <col min="9492" max="9720" width="9" style="260"/>
    <col min="9721" max="9721" width="3.5703125" style="260" customWidth="1"/>
    <col min="9722" max="9722" width="4.85546875" style="260" customWidth="1"/>
    <col min="9723" max="9723" width="5.42578125" style="260" customWidth="1"/>
    <col min="9724" max="9724" width="31.28515625" style="260" customWidth="1"/>
    <col min="9725" max="9725" width="7.5703125" style="260" customWidth="1"/>
    <col min="9726" max="9726" width="2.42578125" style="260" customWidth="1"/>
    <col min="9727" max="9727" width="11.5703125" style="260" customWidth="1"/>
    <col min="9728" max="9728" width="2.42578125" style="260" customWidth="1"/>
    <col min="9729" max="9729" width="11.5703125" style="260" customWidth="1"/>
    <col min="9730" max="9730" width="2.42578125" style="260" customWidth="1"/>
    <col min="9731" max="9731" width="10.85546875" style="260" customWidth="1"/>
    <col min="9732" max="9732" width="2.42578125" style="260" customWidth="1"/>
    <col min="9733" max="9733" width="11.140625" style="260" customWidth="1"/>
    <col min="9734" max="9734" width="1.85546875" style="260" customWidth="1"/>
    <col min="9735" max="9735" width="11" style="260" customWidth="1"/>
    <col min="9736" max="9736" width="0.7109375" style="260" customWidth="1"/>
    <col min="9737" max="9737" width="1.85546875" style="260" customWidth="1"/>
    <col min="9738" max="9738" width="11.85546875" style="260" bestFit="1" customWidth="1"/>
    <col min="9739" max="9739" width="15.28515625" style="260" bestFit="1" customWidth="1"/>
    <col min="9740" max="9740" width="5" style="260" customWidth="1"/>
    <col min="9741" max="9741" width="10.42578125" style="260" bestFit="1" customWidth="1"/>
    <col min="9742" max="9742" width="5" style="260" customWidth="1"/>
    <col min="9743" max="9743" width="10.42578125" style="260" bestFit="1" customWidth="1"/>
    <col min="9744" max="9746" width="9" style="260"/>
    <col min="9747" max="9747" width="10.42578125" style="260" bestFit="1" customWidth="1"/>
    <col min="9748" max="9976" width="9" style="260"/>
    <col min="9977" max="9977" width="3.5703125" style="260" customWidth="1"/>
    <col min="9978" max="9978" width="4.85546875" style="260" customWidth="1"/>
    <col min="9979" max="9979" width="5.42578125" style="260" customWidth="1"/>
    <col min="9980" max="9980" width="31.28515625" style="260" customWidth="1"/>
    <col min="9981" max="9981" width="7.5703125" style="260" customWidth="1"/>
    <col min="9982" max="9982" width="2.42578125" style="260" customWidth="1"/>
    <col min="9983" max="9983" width="11.5703125" style="260" customWidth="1"/>
    <col min="9984" max="9984" width="2.42578125" style="260" customWidth="1"/>
    <col min="9985" max="9985" width="11.5703125" style="260" customWidth="1"/>
    <col min="9986" max="9986" width="2.42578125" style="260" customWidth="1"/>
    <col min="9987" max="9987" width="10.85546875" style="260" customWidth="1"/>
    <col min="9988" max="9988" width="2.42578125" style="260" customWidth="1"/>
    <col min="9989" max="9989" width="11.140625" style="260" customWidth="1"/>
    <col min="9990" max="9990" width="1.85546875" style="260" customWidth="1"/>
    <col min="9991" max="9991" width="11" style="260" customWidth="1"/>
    <col min="9992" max="9992" width="0.7109375" style="260" customWidth="1"/>
    <col min="9993" max="9993" width="1.85546875" style="260" customWidth="1"/>
    <col min="9994" max="9994" width="11.85546875" style="260" bestFit="1" customWidth="1"/>
    <col min="9995" max="9995" width="15.28515625" style="260" bestFit="1" customWidth="1"/>
    <col min="9996" max="9996" width="5" style="260" customWidth="1"/>
    <col min="9997" max="9997" width="10.42578125" style="260" bestFit="1" customWidth="1"/>
    <col min="9998" max="9998" width="5" style="260" customWidth="1"/>
    <col min="9999" max="9999" width="10.42578125" style="260" bestFit="1" customWidth="1"/>
    <col min="10000" max="10002" width="9" style="260"/>
    <col min="10003" max="10003" width="10.42578125" style="260" bestFit="1" customWidth="1"/>
    <col min="10004" max="10232" width="9" style="260"/>
    <col min="10233" max="10233" width="3.5703125" style="260" customWidth="1"/>
    <col min="10234" max="10234" width="4.85546875" style="260" customWidth="1"/>
    <col min="10235" max="10235" width="5.42578125" style="260" customWidth="1"/>
    <col min="10236" max="10236" width="31.28515625" style="260" customWidth="1"/>
    <col min="10237" max="10237" width="7.5703125" style="260" customWidth="1"/>
    <col min="10238" max="10238" width="2.42578125" style="260" customWidth="1"/>
    <col min="10239" max="10239" width="11.5703125" style="260" customWidth="1"/>
    <col min="10240" max="10240" width="2.42578125" style="260" customWidth="1"/>
    <col min="10241" max="10241" width="11.5703125" style="260" customWidth="1"/>
    <col min="10242" max="10242" width="2.42578125" style="260" customWidth="1"/>
    <col min="10243" max="10243" width="10.85546875" style="260" customWidth="1"/>
    <col min="10244" max="10244" width="2.42578125" style="260" customWidth="1"/>
    <col min="10245" max="10245" width="11.140625" style="260" customWidth="1"/>
    <col min="10246" max="10246" width="1.85546875" style="260" customWidth="1"/>
    <col min="10247" max="10247" width="11" style="260" customWidth="1"/>
    <col min="10248" max="10248" width="0.7109375" style="260" customWidth="1"/>
    <col min="10249" max="10249" width="1.85546875" style="260" customWidth="1"/>
    <col min="10250" max="10250" width="11.85546875" style="260" bestFit="1" customWidth="1"/>
    <col min="10251" max="10251" width="15.28515625" style="260" bestFit="1" customWidth="1"/>
    <col min="10252" max="10252" width="5" style="260" customWidth="1"/>
    <col min="10253" max="10253" width="10.42578125" style="260" bestFit="1" customWidth="1"/>
    <col min="10254" max="10254" width="5" style="260" customWidth="1"/>
    <col min="10255" max="10255" width="10.42578125" style="260" bestFit="1" customWidth="1"/>
    <col min="10256" max="10258" width="9" style="260"/>
    <col min="10259" max="10259" width="10.42578125" style="260" bestFit="1" customWidth="1"/>
    <col min="10260" max="10488" width="9" style="260"/>
    <col min="10489" max="10489" width="3.5703125" style="260" customWidth="1"/>
    <col min="10490" max="10490" width="4.85546875" style="260" customWidth="1"/>
    <col min="10491" max="10491" width="5.42578125" style="260" customWidth="1"/>
    <col min="10492" max="10492" width="31.28515625" style="260" customWidth="1"/>
    <col min="10493" max="10493" width="7.5703125" style="260" customWidth="1"/>
    <col min="10494" max="10494" width="2.42578125" style="260" customWidth="1"/>
    <col min="10495" max="10495" width="11.5703125" style="260" customWidth="1"/>
    <col min="10496" max="10496" width="2.42578125" style="260" customWidth="1"/>
    <col min="10497" max="10497" width="11.5703125" style="260" customWidth="1"/>
    <col min="10498" max="10498" width="2.42578125" style="260" customWidth="1"/>
    <col min="10499" max="10499" width="10.85546875" style="260" customWidth="1"/>
    <col min="10500" max="10500" width="2.42578125" style="260" customWidth="1"/>
    <col min="10501" max="10501" width="11.140625" style="260" customWidth="1"/>
    <col min="10502" max="10502" width="1.85546875" style="260" customWidth="1"/>
    <col min="10503" max="10503" width="11" style="260" customWidth="1"/>
    <col min="10504" max="10504" width="0.7109375" style="260" customWidth="1"/>
    <col min="10505" max="10505" width="1.85546875" style="260" customWidth="1"/>
    <col min="10506" max="10506" width="11.85546875" style="260" bestFit="1" customWidth="1"/>
    <col min="10507" max="10507" width="15.28515625" style="260" bestFit="1" customWidth="1"/>
    <col min="10508" max="10508" width="5" style="260" customWidth="1"/>
    <col min="10509" max="10509" width="10.42578125" style="260" bestFit="1" customWidth="1"/>
    <col min="10510" max="10510" width="5" style="260" customWidth="1"/>
    <col min="10511" max="10511" width="10.42578125" style="260" bestFit="1" customWidth="1"/>
    <col min="10512" max="10514" width="9" style="260"/>
    <col min="10515" max="10515" width="10.42578125" style="260" bestFit="1" customWidth="1"/>
    <col min="10516" max="10744" width="9" style="260"/>
    <col min="10745" max="10745" width="3.5703125" style="260" customWidth="1"/>
    <col min="10746" max="10746" width="4.85546875" style="260" customWidth="1"/>
    <col min="10747" max="10747" width="5.42578125" style="260" customWidth="1"/>
    <col min="10748" max="10748" width="31.28515625" style="260" customWidth="1"/>
    <col min="10749" max="10749" width="7.5703125" style="260" customWidth="1"/>
    <col min="10750" max="10750" width="2.42578125" style="260" customWidth="1"/>
    <col min="10751" max="10751" width="11.5703125" style="260" customWidth="1"/>
    <col min="10752" max="10752" width="2.42578125" style="260" customWidth="1"/>
    <col min="10753" max="10753" width="11.5703125" style="260" customWidth="1"/>
    <col min="10754" max="10754" width="2.42578125" style="260" customWidth="1"/>
    <col min="10755" max="10755" width="10.85546875" style="260" customWidth="1"/>
    <col min="10756" max="10756" width="2.42578125" style="260" customWidth="1"/>
    <col min="10757" max="10757" width="11.140625" style="260" customWidth="1"/>
    <col min="10758" max="10758" width="1.85546875" style="260" customWidth="1"/>
    <col min="10759" max="10759" width="11" style="260" customWidth="1"/>
    <col min="10760" max="10760" width="0.7109375" style="260" customWidth="1"/>
    <col min="10761" max="10761" width="1.85546875" style="260" customWidth="1"/>
    <col min="10762" max="10762" width="11.85546875" style="260" bestFit="1" customWidth="1"/>
    <col min="10763" max="10763" width="15.28515625" style="260" bestFit="1" customWidth="1"/>
    <col min="10764" max="10764" width="5" style="260" customWidth="1"/>
    <col min="10765" max="10765" width="10.42578125" style="260" bestFit="1" customWidth="1"/>
    <col min="10766" max="10766" width="5" style="260" customWidth="1"/>
    <col min="10767" max="10767" width="10.42578125" style="260" bestFit="1" customWidth="1"/>
    <col min="10768" max="10770" width="9" style="260"/>
    <col min="10771" max="10771" width="10.42578125" style="260" bestFit="1" customWidth="1"/>
    <col min="10772" max="11000" width="9" style="260"/>
    <col min="11001" max="11001" width="3.5703125" style="260" customWidth="1"/>
    <col min="11002" max="11002" width="4.85546875" style="260" customWidth="1"/>
    <col min="11003" max="11003" width="5.42578125" style="260" customWidth="1"/>
    <col min="11004" max="11004" width="31.28515625" style="260" customWidth="1"/>
    <col min="11005" max="11005" width="7.5703125" style="260" customWidth="1"/>
    <col min="11006" max="11006" width="2.42578125" style="260" customWidth="1"/>
    <col min="11007" max="11007" width="11.5703125" style="260" customWidth="1"/>
    <col min="11008" max="11008" width="2.42578125" style="260" customWidth="1"/>
    <col min="11009" max="11009" width="11.5703125" style="260" customWidth="1"/>
    <col min="11010" max="11010" width="2.42578125" style="260" customWidth="1"/>
    <col min="11011" max="11011" width="10.85546875" style="260" customWidth="1"/>
    <col min="11012" max="11012" width="2.42578125" style="260" customWidth="1"/>
    <col min="11013" max="11013" width="11.140625" style="260" customWidth="1"/>
    <col min="11014" max="11014" width="1.85546875" style="260" customWidth="1"/>
    <col min="11015" max="11015" width="11" style="260" customWidth="1"/>
    <col min="11016" max="11016" width="0.7109375" style="260" customWidth="1"/>
    <col min="11017" max="11017" width="1.85546875" style="260" customWidth="1"/>
    <col min="11018" max="11018" width="11.85546875" style="260" bestFit="1" customWidth="1"/>
    <col min="11019" max="11019" width="15.28515625" style="260" bestFit="1" customWidth="1"/>
    <col min="11020" max="11020" width="5" style="260" customWidth="1"/>
    <col min="11021" max="11021" width="10.42578125" style="260" bestFit="1" customWidth="1"/>
    <col min="11022" max="11022" width="5" style="260" customWidth="1"/>
    <col min="11023" max="11023" width="10.42578125" style="260" bestFit="1" customWidth="1"/>
    <col min="11024" max="11026" width="9" style="260"/>
    <col min="11027" max="11027" width="10.42578125" style="260" bestFit="1" customWidth="1"/>
    <col min="11028" max="11256" width="9" style="260"/>
    <col min="11257" max="11257" width="3.5703125" style="260" customWidth="1"/>
    <col min="11258" max="11258" width="4.85546875" style="260" customWidth="1"/>
    <col min="11259" max="11259" width="5.42578125" style="260" customWidth="1"/>
    <col min="11260" max="11260" width="31.28515625" style="260" customWidth="1"/>
    <col min="11261" max="11261" width="7.5703125" style="260" customWidth="1"/>
    <col min="11262" max="11262" width="2.42578125" style="260" customWidth="1"/>
    <col min="11263" max="11263" width="11.5703125" style="260" customWidth="1"/>
    <col min="11264" max="11264" width="2.42578125" style="260" customWidth="1"/>
    <col min="11265" max="11265" width="11.5703125" style="260" customWidth="1"/>
    <col min="11266" max="11266" width="2.42578125" style="260" customWidth="1"/>
    <col min="11267" max="11267" width="10.85546875" style="260" customWidth="1"/>
    <col min="11268" max="11268" width="2.42578125" style="260" customWidth="1"/>
    <col min="11269" max="11269" width="11.140625" style="260" customWidth="1"/>
    <col min="11270" max="11270" width="1.85546875" style="260" customWidth="1"/>
    <col min="11271" max="11271" width="11" style="260" customWidth="1"/>
    <col min="11272" max="11272" width="0.7109375" style="260" customWidth="1"/>
    <col min="11273" max="11273" width="1.85546875" style="260" customWidth="1"/>
    <col min="11274" max="11274" width="11.85546875" style="260" bestFit="1" customWidth="1"/>
    <col min="11275" max="11275" width="15.28515625" style="260" bestFit="1" customWidth="1"/>
    <col min="11276" max="11276" width="5" style="260" customWidth="1"/>
    <col min="11277" max="11277" width="10.42578125" style="260" bestFit="1" customWidth="1"/>
    <col min="11278" max="11278" width="5" style="260" customWidth="1"/>
    <col min="11279" max="11279" width="10.42578125" style="260" bestFit="1" customWidth="1"/>
    <col min="11280" max="11282" width="9" style="260"/>
    <col min="11283" max="11283" width="10.42578125" style="260" bestFit="1" customWidth="1"/>
    <col min="11284" max="11512" width="9" style="260"/>
    <col min="11513" max="11513" width="3.5703125" style="260" customWidth="1"/>
    <col min="11514" max="11514" width="4.85546875" style="260" customWidth="1"/>
    <col min="11515" max="11515" width="5.42578125" style="260" customWidth="1"/>
    <col min="11516" max="11516" width="31.28515625" style="260" customWidth="1"/>
    <col min="11517" max="11517" width="7.5703125" style="260" customWidth="1"/>
    <col min="11518" max="11518" width="2.42578125" style="260" customWidth="1"/>
    <col min="11519" max="11519" width="11.5703125" style="260" customWidth="1"/>
    <col min="11520" max="11520" width="2.42578125" style="260" customWidth="1"/>
    <col min="11521" max="11521" width="11.5703125" style="260" customWidth="1"/>
    <col min="11522" max="11522" width="2.42578125" style="260" customWidth="1"/>
    <col min="11523" max="11523" width="10.85546875" style="260" customWidth="1"/>
    <col min="11524" max="11524" width="2.42578125" style="260" customWidth="1"/>
    <col min="11525" max="11525" width="11.140625" style="260" customWidth="1"/>
    <col min="11526" max="11526" width="1.85546875" style="260" customWidth="1"/>
    <col min="11527" max="11527" width="11" style="260" customWidth="1"/>
    <col min="11528" max="11528" width="0.7109375" style="260" customWidth="1"/>
    <col min="11529" max="11529" width="1.85546875" style="260" customWidth="1"/>
    <col min="11530" max="11530" width="11.85546875" style="260" bestFit="1" customWidth="1"/>
    <col min="11531" max="11531" width="15.28515625" style="260" bestFit="1" customWidth="1"/>
    <col min="11532" max="11532" width="5" style="260" customWidth="1"/>
    <col min="11533" max="11533" width="10.42578125" style="260" bestFit="1" customWidth="1"/>
    <col min="11534" max="11534" width="5" style="260" customWidth="1"/>
    <col min="11535" max="11535" width="10.42578125" style="260" bestFit="1" customWidth="1"/>
    <col min="11536" max="11538" width="9" style="260"/>
    <col min="11539" max="11539" width="10.42578125" style="260" bestFit="1" customWidth="1"/>
    <col min="11540" max="11768" width="9" style="260"/>
    <col min="11769" max="11769" width="3.5703125" style="260" customWidth="1"/>
    <col min="11770" max="11770" width="4.85546875" style="260" customWidth="1"/>
    <col min="11771" max="11771" width="5.42578125" style="260" customWidth="1"/>
    <col min="11772" max="11772" width="31.28515625" style="260" customWidth="1"/>
    <col min="11773" max="11773" width="7.5703125" style="260" customWidth="1"/>
    <col min="11774" max="11774" width="2.42578125" style="260" customWidth="1"/>
    <col min="11775" max="11775" width="11.5703125" style="260" customWidth="1"/>
    <col min="11776" max="11776" width="2.42578125" style="260" customWidth="1"/>
    <col min="11777" max="11777" width="11.5703125" style="260" customWidth="1"/>
    <col min="11778" max="11778" width="2.42578125" style="260" customWidth="1"/>
    <col min="11779" max="11779" width="10.85546875" style="260" customWidth="1"/>
    <col min="11780" max="11780" width="2.42578125" style="260" customWidth="1"/>
    <col min="11781" max="11781" width="11.140625" style="260" customWidth="1"/>
    <col min="11782" max="11782" width="1.85546875" style="260" customWidth="1"/>
    <col min="11783" max="11783" width="11" style="260" customWidth="1"/>
    <col min="11784" max="11784" width="0.7109375" style="260" customWidth="1"/>
    <col min="11785" max="11785" width="1.85546875" style="260" customWidth="1"/>
    <col min="11786" max="11786" width="11.85546875" style="260" bestFit="1" customWidth="1"/>
    <col min="11787" max="11787" width="15.28515625" style="260" bestFit="1" customWidth="1"/>
    <col min="11788" max="11788" width="5" style="260" customWidth="1"/>
    <col min="11789" max="11789" width="10.42578125" style="260" bestFit="1" customWidth="1"/>
    <col min="11790" max="11790" width="5" style="260" customWidth="1"/>
    <col min="11791" max="11791" width="10.42578125" style="260" bestFit="1" customWidth="1"/>
    <col min="11792" max="11794" width="9" style="260"/>
    <col min="11795" max="11795" width="10.42578125" style="260" bestFit="1" customWidth="1"/>
    <col min="11796" max="12024" width="9" style="260"/>
    <col min="12025" max="12025" width="3.5703125" style="260" customWidth="1"/>
    <col min="12026" max="12026" width="4.85546875" style="260" customWidth="1"/>
    <col min="12027" max="12027" width="5.42578125" style="260" customWidth="1"/>
    <col min="12028" max="12028" width="31.28515625" style="260" customWidth="1"/>
    <col min="12029" max="12029" width="7.5703125" style="260" customWidth="1"/>
    <col min="12030" max="12030" width="2.42578125" style="260" customWidth="1"/>
    <col min="12031" max="12031" width="11.5703125" style="260" customWidth="1"/>
    <col min="12032" max="12032" width="2.42578125" style="260" customWidth="1"/>
    <col min="12033" max="12033" width="11.5703125" style="260" customWidth="1"/>
    <col min="12034" max="12034" width="2.42578125" style="260" customWidth="1"/>
    <col min="12035" max="12035" width="10.85546875" style="260" customWidth="1"/>
    <col min="12036" max="12036" width="2.42578125" style="260" customWidth="1"/>
    <col min="12037" max="12037" width="11.140625" style="260" customWidth="1"/>
    <col min="12038" max="12038" width="1.85546875" style="260" customWidth="1"/>
    <col min="12039" max="12039" width="11" style="260" customWidth="1"/>
    <col min="12040" max="12040" width="0.7109375" style="260" customWidth="1"/>
    <col min="12041" max="12041" width="1.85546875" style="260" customWidth="1"/>
    <col min="12042" max="12042" width="11.85546875" style="260" bestFit="1" customWidth="1"/>
    <col min="12043" max="12043" width="15.28515625" style="260" bestFit="1" customWidth="1"/>
    <col min="12044" max="12044" width="5" style="260" customWidth="1"/>
    <col min="12045" max="12045" width="10.42578125" style="260" bestFit="1" customWidth="1"/>
    <col min="12046" max="12046" width="5" style="260" customWidth="1"/>
    <col min="12047" max="12047" width="10.42578125" style="260" bestFit="1" customWidth="1"/>
    <col min="12048" max="12050" width="9" style="260"/>
    <col min="12051" max="12051" width="10.42578125" style="260" bestFit="1" customWidth="1"/>
    <col min="12052" max="12280" width="9" style="260"/>
    <col min="12281" max="12281" width="3.5703125" style="260" customWidth="1"/>
    <col min="12282" max="12282" width="4.85546875" style="260" customWidth="1"/>
    <col min="12283" max="12283" width="5.42578125" style="260" customWidth="1"/>
    <col min="12284" max="12284" width="31.28515625" style="260" customWidth="1"/>
    <col min="12285" max="12285" width="7.5703125" style="260" customWidth="1"/>
    <col min="12286" max="12286" width="2.42578125" style="260" customWidth="1"/>
    <col min="12287" max="12287" width="11.5703125" style="260" customWidth="1"/>
    <col min="12288" max="12288" width="2.42578125" style="260" customWidth="1"/>
    <col min="12289" max="12289" width="11.5703125" style="260" customWidth="1"/>
    <col min="12290" max="12290" width="2.42578125" style="260" customWidth="1"/>
    <col min="12291" max="12291" width="10.85546875" style="260" customWidth="1"/>
    <col min="12292" max="12292" width="2.42578125" style="260" customWidth="1"/>
    <col min="12293" max="12293" width="11.140625" style="260" customWidth="1"/>
    <col min="12294" max="12294" width="1.85546875" style="260" customWidth="1"/>
    <col min="12295" max="12295" width="11" style="260" customWidth="1"/>
    <col min="12296" max="12296" width="0.7109375" style="260" customWidth="1"/>
    <col min="12297" max="12297" width="1.85546875" style="260" customWidth="1"/>
    <col min="12298" max="12298" width="11.85546875" style="260" bestFit="1" customWidth="1"/>
    <col min="12299" max="12299" width="15.28515625" style="260" bestFit="1" customWidth="1"/>
    <col min="12300" max="12300" width="5" style="260" customWidth="1"/>
    <col min="12301" max="12301" width="10.42578125" style="260" bestFit="1" customWidth="1"/>
    <col min="12302" max="12302" width="5" style="260" customWidth="1"/>
    <col min="12303" max="12303" width="10.42578125" style="260" bestFit="1" customWidth="1"/>
    <col min="12304" max="12306" width="9" style="260"/>
    <col min="12307" max="12307" width="10.42578125" style="260" bestFit="1" customWidth="1"/>
    <col min="12308" max="12536" width="9" style="260"/>
    <col min="12537" max="12537" width="3.5703125" style="260" customWidth="1"/>
    <col min="12538" max="12538" width="4.85546875" style="260" customWidth="1"/>
    <col min="12539" max="12539" width="5.42578125" style="260" customWidth="1"/>
    <col min="12540" max="12540" width="31.28515625" style="260" customWidth="1"/>
    <col min="12541" max="12541" width="7.5703125" style="260" customWidth="1"/>
    <col min="12542" max="12542" width="2.42578125" style="260" customWidth="1"/>
    <col min="12543" max="12543" width="11.5703125" style="260" customWidth="1"/>
    <col min="12544" max="12544" width="2.42578125" style="260" customWidth="1"/>
    <col min="12545" max="12545" width="11.5703125" style="260" customWidth="1"/>
    <col min="12546" max="12546" width="2.42578125" style="260" customWidth="1"/>
    <col min="12547" max="12547" width="10.85546875" style="260" customWidth="1"/>
    <col min="12548" max="12548" width="2.42578125" style="260" customWidth="1"/>
    <col min="12549" max="12549" width="11.140625" style="260" customWidth="1"/>
    <col min="12550" max="12550" width="1.85546875" style="260" customWidth="1"/>
    <col min="12551" max="12551" width="11" style="260" customWidth="1"/>
    <col min="12552" max="12552" width="0.7109375" style="260" customWidth="1"/>
    <col min="12553" max="12553" width="1.85546875" style="260" customWidth="1"/>
    <col min="12554" max="12554" width="11.85546875" style="260" bestFit="1" customWidth="1"/>
    <col min="12555" max="12555" width="15.28515625" style="260" bestFit="1" customWidth="1"/>
    <col min="12556" max="12556" width="5" style="260" customWidth="1"/>
    <col min="12557" max="12557" width="10.42578125" style="260" bestFit="1" customWidth="1"/>
    <col min="12558" max="12558" width="5" style="260" customWidth="1"/>
    <col min="12559" max="12559" width="10.42578125" style="260" bestFit="1" customWidth="1"/>
    <col min="12560" max="12562" width="9" style="260"/>
    <col min="12563" max="12563" width="10.42578125" style="260" bestFit="1" customWidth="1"/>
    <col min="12564" max="12792" width="9" style="260"/>
    <col min="12793" max="12793" width="3.5703125" style="260" customWidth="1"/>
    <col min="12794" max="12794" width="4.85546875" style="260" customWidth="1"/>
    <col min="12795" max="12795" width="5.42578125" style="260" customWidth="1"/>
    <col min="12796" max="12796" width="31.28515625" style="260" customWidth="1"/>
    <col min="12797" max="12797" width="7.5703125" style="260" customWidth="1"/>
    <col min="12798" max="12798" width="2.42578125" style="260" customWidth="1"/>
    <col min="12799" max="12799" width="11.5703125" style="260" customWidth="1"/>
    <col min="12800" max="12800" width="2.42578125" style="260" customWidth="1"/>
    <col min="12801" max="12801" width="11.5703125" style="260" customWidth="1"/>
    <col min="12802" max="12802" width="2.42578125" style="260" customWidth="1"/>
    <col min="12803" max="12803" width="10.85546875" style="260" customWidth="1"/>
    <col min="12804" max="12804" width="2.42578125" style="260" customWidth="1"/>
    <col min="12805" max="12805" width="11.140625" style="260" customWidth="1"/>
    <col min="12806" max="12806" width="1.85546875" style="260" customWidth="1"/>
    <col min="12807" max="12807" width="11" style="260" customWidth="1"/>
    <col min="12808" max="12808" width="0.7109375" style="260" customWidth="1"/>
    <col min="12809" max="12809" width="1.85546875" style="260" customWidth="1"/>
    <col min="12810" max="12810" width="11.85546875" style="260" bestFit="1" customWidth="1"/>
    <col min="12811" max="12811" width="15.28515625" style="260" bestFit="1" customWidth="1"/>
    <col min="12812" max="12812" width="5" style="260" customWidth="1"/>
    <col min="12813" max="12813" width="10.42578125" style="260" bestFit="1" customWidth="1"/>
    <col min="12814" max="12814" width="5" style="260" customWidth="1"/>
    <col min="12815" max="12815" width="10.42578125" style="260" bestFit="1" customWidth="1"/>
    <col min="12816" max="12818" width="9" style="260"/>
    <col min="12819" max="12819" width="10.42578125" style="260" bestFit="1" customWidth="1"/>
    <col min="12820" max="13048" width="9" style="260"/>
    <col min="13049" max="13049" width="3.5703125" style="260" customWidth="1"/>
    <col min="13050" max="13050" width="4.85546875" style="260" customWidth="1"/>
    <col min="13051" max="13051" width="5.42578125" style="260" customWidth="1"/>
    <col min="13052" max="13052" width="31.28515625" style="260" customWidth="1"/>
    <col min="13053" max="13053" width="7.5703125" style="260" customWidth="1"/>
    <col min="13054" max="13054" width="2.42578125" style="260" customWidth="1"/>
    <col min="13055" max="13055" width="11.5703125" style="260" customWidth="1"/>
    <col min="13056" max="13056" width="2.42578125" style="260" customWidth="1"/>
    <col min="13057" max="13057" width="11.5703125" style="260" customWidth="1"/>
    <col min="13058" max="13058" width="2.42578125" style="260" customWidth="1"/>
    <col min="13059" max="13059" width="10.85546875" style="260" customWidth="1"/>
    <col min="13060" max="13060" width="2.42578125" style="260" customWidth="1"/>
    <col min="13061" max="13061" width="11.140625" style="260" customWidth="1"/>
    <col min="13062" max="13062" width="1.85546875" style="260" customWidth="1"/>
    <col min="13063" max="13063" width="11" style="260" customWidth="1"/>
    <col min="13064" max="13064" width="0.7109375" style="260" customWidth="1"/>
    <col min="13065" max="13065" width="1.85546875" style="260" customWidth="1"/>
    <col min="13066" max="13066" width="11.85546875" style="260" bestFit="1" customWidth="1"/>
    <col min="13067" max="13067" width="15.28515625" style="260" bestFit="1" customWidth="1"/>
    <col min="13068" max="13068" width="5" style="260" customWidth="1"/>
    <col min="13069" max="13069" width="10.42578125" style="260" bestFit="1" customWidth="1"/>
    <col min="13070" max="13070" width="5" style="260" customWidth="1"/>
    <col min="13071" max="13071" width="10.42578125" style="260" bestFit="1" customWidth="1"/>
    <col min="13072" max="13074" width="9" style="260"/>
    <col min="13075" max="13075" width="10.42578125" style="260" bestFit="1" customWidth="1"/>
    <col min="13076" max="13304" width="9" style="260"/>
    <col min="13305" max="13305" width="3.5703125" style="260" customWidth="1"/>
    <col min="13306" max="13306" width="4.85546875" style="260" customWidth="1"/>
    <col min="13307" max="13307" width="5.42578125" style="260" customWidth="1"/>
    <col min="13308" max="13308" width="31.28515625" style="260" customWidth="1"/>
    <col min="13309" max="13309" width="7.5703125" style="260" customWidth="1"/>
    <col min="13310" max="13310" width="2.42578125" style="260" customWidth="1"/>
    <col min="13311" max="13311" width="11.5703125" style="260" customWidth="1"/>
    <col min="13312" max="13312" width="2.42578125" style="260" customWidth="1"/>
    <col min="13313" max="13313" width="11.5703125" style="260" customWidth="1"/>
    <col min="13314" max="13314" width="2.42578125" style="260" customWidth="1"/>
    <col min="13315" max="13315" width="10.85546875" style="260" customWidth="1"/>
    <col min="13316" max="13316" width="2.42578125" style="260" customWidth="1"/>
    <col min="13317" max="13317" width="11.140625" style="260" customWidth="1"/>
    <col min="13318" max="13318" width="1.85546875" style="260" customWidth="1"/>
    <col min="13319" max="13319" width="11" style="260" customWidth="1"/>
    <col min="13320" max="13320" width="0.7109375" style="260" customWidth="1"/>
    <col min="13321" max="13321" width="1.85546875" style="260" customWidth="1"/>
    <col min="13322" max="13322" width="11.85546875" style="260" bestFit="1" customWidth="1"/>
    <col min="13323" max="13323" width="15.28515625" style="260" bestFit="1" customWidth="1"/>
    <col min="13324" max="13324" width="5" style="260" customWidth="1"/>
    <col min="13325" max="13325" width="10.42578125" style="260" bestFit="1" customWidth="1"/>
    <col min="13326" max="13326" width="5" style="260" customWidth="1"/>
    <col min="13327" max="13327" width="10.42578125" style="260" bestFit="1" customWidth="1"/>
    <col min="13328" max="13330" width="9" style="260"/>
    <col min="13331" max="13331" width="10.42578125" style="260" bestFit="1" customWidth="1"/>
    <col min="13332" max="13560" width="9" style="260"/>
    <col min="13561" max="13561" width="3.5703125" style="260" customWidth="1"/>
    <col min="13562" max="13562" width="4.85546875" style="260" customWidth="1"/>
    <col min="13563" max="13563" width="5.42578125" style="260" customWidth="1"/>
    <col min="13564" max="13564" width="31.28515625" style="260" customWidth="1"/>
    <col min="13565" max="13565" width="7.5703125" style="260" customWidth="1"/>
    <col min="13566" max="13566" width="2.42578125" style="260" customWidth="1"/>
    <col min="13567" max="13567" width="11.5703125" style="260" customWidth="1"/>
    <col min="13568" max="13568" width="2.42578125" style="260" customWidth="1"/>
    <col min="13569" max="13569" width="11.5703125" style="260" customWidth="1"/>
    <col min="13570" max="13570" width="2.42578125" style="260" customWidth="1"/>
    <col min="13571" max="13571" width="10.85546875" style="260" customWidth="1"/>
    <col min="13572" max="13572" width="2.42578125" style="260" customWidth="1"/>
    <col min="13573" max="13573" width="11.140625" style="260" customWidth="1"/>
    <col min="13574" max="13574" width="1.85546875" style="260" customWidth="1"/>
    <col min="13575" max="13575" width="11" style="260" customWidth="1"/>
    <col min="13576" max="13576" width="0.7109375" style="260" customWidth="1"/>
    <col min="13577" max="13577" width="1.85546875" style="260" customWidth="1"/>
    <col min="13578" max="13578" width="11.85546875" style="260" bestFit="1" customWidth="1"/>
    <col min="13579" max="13579" width="15.28515625" style="260" bestFit="1" customWidth="1"/>
    <col min="13580" max="13580" width="5" style="260" customWidth="1"/>
    <col min="13581" max="13581" width="10.42578125" style="260" bestFit="1" customWidth="1"/>
    <col min="13582" max="13582" width="5" style="260" customWidth="1"/>
    <col min="13583" max="13583" width="10.42578125" style="260" bestFit="1" customWidth="1"/>
    <col min="13584" max="13586" width="9" style="260"/>
    <col min="13587" max="13587" width="10.42578125" style="260" bestFit="1" customWidth="1"/>
    <col min="13588" max="13816" width="9" style="260"/>
    <col min="13817" max="13817" width="3.5703125" style="260" customWidth="1"/>
    <col min="13818" max="13818" width="4.85546875" style="260" customWidth="1"/>
    <col min="13819" max="13819" width="5.42578125" style="260" customWidth="1"/>
    <col min="13820" max="13820" width="31.28515625" style="260" customWidth="1"/>
    <col min="13821" max="13821" width="7.5703125" style="260" customWidth="1"/>
    <col min="13822" max="13822" width="2.42578125" style="260" customWidth="1"/>
    <col min="13823" max="13823" width="11.5703125" style="260" customWidth="1"/>
    <col min="13824" max="13824" width="2.42578125" style="260" customWidth="1"/>
    <col min="13825" max="13825" width="11.5703125" style="260" customWidth="1"/>
    <col min="13826" max="13826" width="2.42578125" style="260" customWidth="1"/>
    <col min="13827" max="13827" width="10.85546875" style="260" customWidth="1"/>
    <col min="13828" max="13828" width="2.42578125" style="260" customWidth="1"/>
    <col min="13829" max="13829" width="11.140625" style="260" customWidth="1"/>
    <col min="13830" max="13830" width="1.85546875" style="260" customWidth="1"/>
    <col min="13831" max="13831" width="11" style="260" customWidth="1"/>
    <col min="13832" max="13832" width="0.7109375" style="260" customWidth="1"/>
    <col min="13833" max="13833" width="1.85546875" style="260" customWidth="1"/>
    <col min="13834" max="13834" width="11.85546875" style="260" bestFit="1" customWidth="1"/>
    <col min="13835" max="13835" width="15.28515625" style="260" bestFit="1" customWidth="1"/>
    <col min="13836" max="13836" width="5" style="260" customWidth="1"/>
    <col min="13837" max="13837" width="10.42578125" style="260" bestFit="1" customWidth="1"/>
    <col min="13838" max="13838" width="5" style="260" customWidth="1"/>
    <col min="13839" max="13839" width="10.42578125" style="260" bestFit="1" customWidth="1"/>
    <col min="13840" max="13842" width="9" style="260"/>
    <col min="13843" max="13843" width="10.42578125" style="260" bestFit="1" customWidth="1"/>
    <col min="13844" max="14072" width="9" style="260"/>
    <col min="14073" max="14073" width="3.5703125" style="260" customWidth="1"/>
    <col min="14074" max="14074" width="4.85546875" style="260" customWidth="1"/>
    <col min="14075" max="14075" width="5.42578125" style="260" customWidth="1"/>
    <col min="14076" max="14076" width="31.28515625" style="260" customWidth="1"/>
    <col min="14077" max="14077" width="7.5703125" style="260" customWidth="1"/>
    <col min="14078" max="14078" width="2.42578125" style="260" customWidth="1"/>
    <col min="14079" max="14079" width="11.5703125" style="260" customWidth="1"/>
    <col min="14080" max="14080" width="2.42578125" style="260" customWidth="1"/>
    <col min="14081" max="14081" width="11.5703125" style="260" customWidth="1"/>
    <col min="14082" max="14082" width="2.42578125" style="260" customWidth="1"/>
    <col min="14083" max="14083" width="10.85546875" style="260" customWidth="1"/>
    <col min="14084" max="14084" width="2.42578125" style="260" customWidth="1"/>
    <col min="14085" max="14085" width="11.140625" style="260" customWidth="1"/>
    <col min="14086" max="14086" width="1.85546875" style="260" customWidth="1"/>
    <col min="14087" max="14087" width="11" style="260" customWidth="1"/>
    <col min="14088" max="14088" width="0.7109375" style="260" customWidth="1"/>
    <col min="14089" max="14089" width="1.85546875" style="260" customWidth="1"/>
    <col min="14090" max="14090" width="11.85546875" style="260" bestFit="1" customWidth="1"/>
    <col min="14091" max="14091" width="15.28515625" style="260" bestFit="1" customWidth="1"/>
    <col min="14092" max="14092" width="5" style="260" customWidth="1"/>
    <col min="14093" max="14093" width="10.42578125" style="260" bestFit="1" customWidth="1"/>
    <col min="14094" max="14094" width="5" style="260" customWidth="1"/>
    <col min="14095" max="14095" width="10.42578125" style="260" bestFit="1" customWidth="1"/>
    <col min="14096" max="14098" width="9" style="260"/>
    <col min="14099" max="14099" width="10.42578125" style="260" bestFit="1" customWidth="1"/>
    <col min="14100" max="14328" width="9" style="260"/>
    <col min="14329" max="14329" width="3.5703125" style="260" customWidth="1"/>
    <col min="14330" max="14330" width="4.85546875" style="260" customWidth="1"/>
    <col min="14331" max="14331" width="5.42578125" style="260" customWidth="1"/>
    <col min="14332" max="14332" width="31.28515625" style="260" customWidth="1"/>
    <col min="14333" max="14333" width="7.5703125" style="260" customWidth="1"/>
    <col min="14334" max="14334" width="2.42578125" style="260" customWidth="1"/>
    <col min="14335" max="14335" width="11.5703125" style="260" customWidth="1"/>
    <col min="14336" max="14336" width="2.42578125" style="260" customWidth="1"/>
    <col min="14337" max="14337" width="11.5703125" style="260" customWidth="1"/>
    <col min="14338" max="14338" width="2.42578125" style="260" customWidth="1"/>
    <col min="14339" max="14339" width="10.85546875" style="260" customWidth="1"/>
    <col min="14340" max="14340" width="2.42578125" style="260" customWidth="1"/>
    <col min="14341" max="14341" width="11.140625" style="260" customWidth="1"/>
    <col min="14342" max="14342" width="1.85546875" style="260" customWidth="1"/>
    <col min="14343" max="14343" width="11" style="260" customWidth="1"/>
    <col min="14344" max="14344" width="0.7109375" style="260" customWidth="1"/>
    <col min="14345" max="14345" width="1.85546875" style="260" customWidth="1"/>
    <col min="14346" max="14346" width="11.85546875" style="260" bestFit="1" customWidth="1"/>
    <col min="14347" max="14347" width="15.28515625" style="260" bestFit="1" customWidth="1"/>
    <col min="14348" max="14348" width="5" style="260" customWidth="1"/>
    <col min="14349" max="14349" width="10.42578125" style="260" bestFit="1" customWidth="1"/>
    <col min="14350" max="14350" width="5" style="260" customWidth="1"/>
    <col min="14351" max="14351" width="10.42578125" style="260" bestFit="1" customWidth="1"/>
    <col min="14352" max="14354" width="9" style="260"/>
    <col min="14355" max="14355" width="10.42578125" style="260" bestFit="1" customWidth="1"/>
    <col min="14356" max="14584" width="9" style="260"/>
    <col min="14585" max="14585" width="3.5703125" style="260" customWidth="1"/>
    <col min="14586" max="14586" width="4.85546875" style="260" customWidth="1"/>
    <col min="14587" max="14587" width="5.42578125" style="260" customWidth="1"/>
    <col min="14588" max="14588" width="31.28515625" style="260" customWidth="1"/>
    <col min="14589" max="14589" width="7.5703125" style="260" customWidth="1"/>
    <col min="14590" max="14590" width="2.42578125" style="260" customWidth="1"/>
    <col min="14591" max="14591" width="11.5703125" style="260" customWidth="1"/>
    <col min="14592" max="14592" width="2.42578125" style="260" customWidth="1"/>
    <col min="14593" max="14593" width="11.5703125" style="260" customWidth="1"/>
    <col min="14594" max="14594" width="2.42578125" style="260" customWidth="1"/>
    <col min="14595" max="14595" width="10.85546875" style="260" customWidth="1"/>
    <col min="14596" max="14596" width="2.42578125" style="260" customWidth="1"/>
    <col min="14597" max="14597" width="11.140625" style="260" customWidth="1"/>
    <col min="14598" max="14598" width="1.85546875" style="260" customWidth="1"/>
    <col min="14599" max="14599" width="11" style="260" customWidth="1"/>
    <col min="14600" max="14600" width="0.7109375" style="260" customWidth="1"/>
    <col min="14601" max="14601" width="1.85546875" style="260" customWidth="1"/>
    <col min="14602" max="14602" width="11.85546875" style="260" bestFit="1" customWidth="1"/>
    <col min="14603" max="14603" width="15.28515625" style="260" bestFit="1" customWidth="1"/>
    <col min="14604" max="14604" width="5" style="260" customWidth="1"/>
    <col min="14605" max="14605" width="10.42578125" style="260" bestFit="1" customWidth="1"/>
    <col min="14606" max="14606" width="5" style="260" customWidth="1"/>
    <col min="14607" max="14607" width="10.42578125" style="260" bestFit="1" customWidth="1"/>
    <col min="14608" max="14610" width="9" style="260"/>
    <col min="14611" max="14611" width="10.42578125" style="260" bestFit="1" customWidth="1"/>
    <col min="14612" max="14840" width="9" style="260"/>
    <col min="14841" max="14841" width="3.5703125" style="260" customWidth="1"/>
    <col min="14842" max="14842" width="4.85546875" style="260" customWidth="1"/>
    <col min="14843" max="14843" width="5.42578125" style="260" customWidth="1"/>
    <col min="14844" max="14844" width="31.28515625" style="260" customWidth="1"/>
    <col min="14845" max="14845" width="7.5703125" style="260" customWidth="1"/>
    <col min="14846" max="14846" width="2.42578125" style="260" customWidth="1"/>
    <col min="14847" max="14847" width="11.5703125" style="260" customWidth="1"/>
    <col min="14848" max="14848" width="2.42578125" style="260" customWidth="1"/>
    <col min="14849" max="14849" width="11.5703125" style="260" customWidth="1"/>
    <col min="14850" max="14850" width="2.42578125" style="260" customWidth="1"/>
    <col min="14851" max="14851" width="10.85546875" style="260" customWidth="1"/>
    <col min="14852" max="14852" width="2.42578125" style="260" customWidth="1"/>
    <col min="14853" max="14853" width="11.140625" style="260" customWidth="1"/>
    <col min="14854" max="14854" width="1.85546875" style="260" customWidth="1"/>
    <col min="14855" max="14855" width="11" style="260" customWidth="1"/>
    <col min="14856" max="14856" width="0.7109375" style="260" customWidth="1"/>
    <col min="14857" max="14857" width="1.85546875" style="260" customWidth="1"/>
    <col min="14858" max="14858" width="11.85546875" style="260" bestFit="1" customWidth="1"/>
    <col min="14859" max="14859" width="15.28515625" style="260" bestFit="1" customWidth="1"/>
    <col min="14860" max="14860" width="5" style="260" customWidth="1"/>
    <col min="14861" max="14861" width="10.42578125" style="260" bestFit="1" customWidth="1"/>
    <col min="14862" max="14862" width="5" style="260" customWidth="1"/>
    <col min="14863" max="14863" width="10.42578125" style="260" bestFit="1" customWidth="1"/>
    <col min="14864" max="14866" width="9" style="260"/>
    <col min="14867" max="14867" width="10.42578125" style="260" bestFit="1" customWidth="1"/>
    <col min="14868" max="15096" width="9" style="260"/>
    <col min="15097" max="15097" width="3.5703125" style="260" customWidth="1"/>
    <col min="15098" max="15098" width="4.85546875" style="260" customWidth="1"/>
    <col min="15099" max="15099" width="5.42578125" style="260" customWidth="1"/>
    <col min="15100" max="15100" width="31.28515625" style="260" customWidth="1"/>
    <col min="15101" max="15101" width="7.5703125" style="260" customWidth="1"/>
    <col min="15102" max="15102" width="2.42578125" style="260" customWidth="1"/>
    <col min="15103" max="15103" width="11.5703125" style="260" customWidth="1"/>
    <col min="15104" max="15104" width="2.42578125" style="260" customWidth="1"/>
    <col min="15105" max="15105" width="11.5703125" style="260" customWidth="1"/>
    <col min="15106" max="15106" width="2.42578125" style="260" customWidth="1"/>
    <col min="15107" max="15107" width="10.85546875" style="260" customWidth="1"/>
    <col min="15108" max="15108" width="2.42578125" style="260" customWidth="1"/>
    <col min="15109" max="15109" width="11.140625" style="260" customWidth="1"/>
    <col min="15110" max="15110" width="1.85546875" style="260" customWidth="1"/>
    <col min="15111" max="15111" width="11" style="260" customWidth="1"/>
    <col min="15112" max="15112" width="0.7109375" style="260" customWidth="1"/>
    <col min="15113" max="15113" width="1.85546875" style="260" customWidth="1"/>
    <col min="15114" max="15114" width="11.85546875" style="260" bestFit="1" customWidth="1"/>
    <col min="15115" max="15115" width="15.28515625" style="260" bestFit="1" customWidth="1"/>
    <col min="15116" max="15116" width="5" style="260" customWidth="1"/>
    <col min="15117" max="15117" width="10.42578125" style="260" bestFit="1" customWidth="1"/>
    <col min="15118" max="15118" width="5" style="260" customWidth="1"/>
    <col min="15119" max="15119" width="10.42578125" style="260" bestFit="1" customWidth="1"/>
    <col min="15120" max="15122" width="9" style="260"/>
    <col min="15123" max="15123" width="10.42578125" style="260" bestFit="1" customWidth="1"/>
    <col min="15124" max="15352" width="9" style="260"/>
    <col min="15353" max="15353" width="3.5703125" style="260" customWidth="1"/>
    <col min="15354" max="15354" width="4.85546875" style="260" customWidth="1"/>
    <col min="15355" max="15355" width="5.42578125" style="260" customWidth="1"/>
    <col min="15356" max="15356" width="31.28515625" style="260" customWidth="1"/>
    <col min="15357" max="15357" width="7.5703125" style="260" customWidth="1"/>
    <col min="15358" max="15358" width="2.42578125" style="260" customWidth="1"/>
    <col min="15359" max="15359" width="11.5703125" style="260" customWidth="1"/>
    <col min="15360" max="15360" width="2.42578125" style="260" customWidth="1"/>
    <col min="15361" max="15361" width="11.5703125" style="260" customWidth="1"/>
    <col min="15362" max="15362" width="2.42578125" style="260" customWidth="1"/>
    <col min="15363" max="15363" width="10.85546875" style="260" customWidth="1"/>
    <col min="15364" max="15364" width="2.42578125" style="260" customWidth="1"/>
    <col min="15365" max="15365" width="11.140625" style="260" customWidth="1"/>
    <col min="15366" max="15366" width="1.85546875" style="260" customWidth="1"/>
    <col min="15367" max="15367" width="11" style="260" customWidth="1"/>
    <col min="15368" max="15368" width="0.7109375" style="260" customWidth="1"/>
    <col min="15369" max="15369" width="1.85546875" style="260" customWidth="1"/>
    <col min="15370" max="15370" width="11.85546875" style="260" bestFit="1" customWidth="1"/>
    <col min="15371" max="15371" width="15.28515625" style="260" bestFit="1" customWidth="1"/>
    <col min="15372" max="15372" width="5" style="260" customWidth="1"/>
    <col min="15373" max="15373" width="10.42578125" style="260" bestFit="1" customWidth="1"/>
    <col min="15374" max="15374" width="5" style="260" customWidth="1"/>
    <col min="15375" max="15375" width="10.42578125" style="260" bestFit="1" customWidth="1"/>
    <col min="15376" max="15378" width="9" style="260"/>
    <col min="15379" max="15379" width="10.42578125" style="260" bestFit="1" customWidth="1"/>
    <col min="15380" max="15608" width="9" style="260"/>
    <col min="15609" max="15609" width="3.5703125" style="260" customWidth="1"/>
    <col min="15610" max="15610" width="4.85546875" style="260" customWidth="1"/>
    <col min="15611" max="15611" width="5.42578125" style="260" customWidth="1"/>
    <col min="15612" max="15612" width="31.28515625" style="260" customWidth="1"/>
    <col min="15613" max="15613" width="7.5703125" style="260" customWidth="1"/>
    <col min="15614" max="15614" width="2.42578125" style="260" customWidth="1"/>
    <col min="15615" max="15615" width="11.5703125" style="260" customWidth="1"/>
    <col min="15616" max="15616" width="2.42578125" style="260" customWidth="1"/>
    <col min="15617" max="15617" width="11.5703125" style="260" customWidth="1"/>
    <col min="15618" max="15618" width="2.42578125" style="260" customWidth="1"/>
    <col min="15619" max="15619" width="10.85546875" style="260" customWidth="1"/>
    <col min="15620" max="15620" width="2.42578125" style="260" customWidth="1"/>
    <col min="15621" max="15621" width="11.140625" style="260" customWidth="1"/>
    <col min="15622" max="15622" width="1.85546875" style="260" customWidth="1"/>
    <col min="15623" max="15623" width="11" style="260" customWidth="1"/>
    <col min="15624" max="15624" width="0.7109375" style="260" customWidth="1"/>
    <col min="15625" max="15625" width="1.85546875" style="260" customWidth="1"/>
    <col min="15626" max="15626" width="11.85546875" style="260" bestFit="1" customWidth="1"/>
    <col min="15627" max="15627" width="15.28515625" style="260" bestFit="1" customWidth="1"/>
    <col min="15628" max="15628" width="5" style="260" customWidth="1"/>
    <col min="15629" max="15629" width="10.42578125" style="260" bestFit="1" customWidth="1"/>
    <col min="15630" max="15630" width="5" style="260" customWidth="1"/>
    <col min="15631" max="15631" width="10.42578125" style="260" bestFit="1" customWidth="1"/>
    <col min="15632" max="15634" width="9" style="260"/>
    <col min="15635" max="15635" width="10.42578125" style="260" bestFit="1" customWidth="1"/>
    <col min="15636" max="15864" width="9" style="260"/>
    <col min="15865" max="15865" width="3.5703125" style="260" customWidth="1"/>
    <col min="15866" max="15866" width="4.85546875" style="260" customWidth="1"/>
    <col min="15867" max="15867" width="5.42578125" style="260" customWidth="1"/>
    <col min="15868" max="15868" width="31.28515625" style="260" customWidth="1"/>
    <col min="15869" max="15869" width="7.5703125" style="260" customWidth="1"/>
    <col min="15870" max="15870" width="2.42578125" style="260" customWidth="1"/>
    <col min="15871" max="15871" width="11.5703125" style="260" customWidth="1"/>
    <col min="15872" max="15872" width="2.42578125" style="260" customWidth="1"/>
    <col min="15873" max="15873" width="11.5703125" style="260" customWidth="1"/>
    <col min="15874" max="15874" width="2.42578125" style="260" customWidth="1"/>
    <col min="15875" max="15875" width="10.85546875" style="260" customWidth="1"/>
    <col min="15876" max="15876" width="2.42578125" style="260" customWidth="1"/>
    <col min="15877" max="15877" width="11.140625" style="260" customWidth="1"/>
    <col min="15878" max="15878" width="1.85546875" style="260" customWidth="1"/>
    <col min="15879" max="15879" width="11" style="260" customWidth="1"/>
    <col min="15880" max="15880" width="0.7109375" style="260" customWidth="1"/>
    <col min="15881" max="15881" width="1.85546875" style="260" customWidth="1"/>
    <col min="15882" max="15882" width="11.85546875" style="260" bestFit="1" customWidth="1"/>
    <col min="15883" max="15883" width="15.28515625" style="260" bestFit="1" customWidth="1"/>
    <col min="15884" max="15884" width="5" style="260" customWidth="1"/>
    <col min="15885" max="15885" width="10.42578125" style="260" bestFit="1" customWidth="1"/>
    <col min="15886" max="15886" width="5" style="260" customWidth="1"/>
    <col min="15887" max="15887" width="10.42578125" style="260" bestFit="1" customWidth="1"/>
    <col min="15888" max="15890" width="9" style="260"/>
    <col min="15891" max="15891" width="10.42578125" style="260" bestFit="1" customWidth="1"/>
    <col min="15892" max="16120" width="9" style="260"/>
    <col min="16121" max="16121" width="3.5703125" style="260" customWidth="1"/>
    <col min="16122" max="16122" width="4.85546875" style="260" customWidth="1"/>
    <col min="16123" max="16123" width="5.42578125" style="260" customWidth="1"/>
    <col min="16124" max="16124" width="31.28515625" style="260" customWidth="1"/>
    <col min="16125" max="16125" width="7.5703125" style="260" customWidth="1"/>
    <col min="16126" max="16126" width="2.42578125" style="260" customWidth="1"/>
    <col min="16127" max="16127" width="11.5703125" style="260" customWidth="1"/>
    <col min="16128" max="16128" width="2.42578125" style="260" customWidth="1"/>
    <col min="16129" max="16129" width="11.5703125" style="260" customWidth="1"/>
    <col min="16130" max="16130" width="2.42578125" style="260" customWidth="1"/>
    <col min="16131" max="16131" width="10.85546875" style="260" customWidth="1"/>
    <col min="16132" max="16132" width="2.42578125" style="260" customWidth="1"/>
    <col min="16133" max="16133" width="11.140625" style="260" customWidth="1"/>
    <col min="16134" max="16134" width="1.85546875" style="260" customWidth="1"/>
    <col min="16135" max="16135" width="11" style="260" customWidth="1"/>
    <col min="16136" max="16136" width="0.7109375" style="260" customWidth="1"/>
    <col min="16137" max="16137" width="1.85546875" style="260" customWidth="1"/>
    <col min="16138" max="16138" width="11.85546875" style="260" bestFit="1" customWidth="1"/>
    <col min="16139" max="16139" width="15.28515625" style="260" bestFit="1" customWidth="1"/>
    <col min="16140" max="16140" width="5" style="260" customWidth="1"/>
    <col min="16141" max="16141" width="10.42578125" style="260" bestFit="1" customWidth="1"/>
    <col min="16142" max="16142" width="5" style="260" customWidth="1"/>
    <col min="16143" max="16143" width="10.42578125" style="260" bestFit="1" customWidth="1"/>
    <col min="16144" max="16146" width="9" style="260"/>
    <col min="16147" max="16147" width="10.42578125" style="260" bestFit="1" customWidth="1"/>
    <col min="16148" max="16381" width="9" style="260"/>
    <col min="16382" max="16384" width="9" style="260" customWidth="1"/>
  </cols>
  <sheetData>
    <row r="1" spans="1:19" s="257" customFormat="1" x14ac:dyDescent="0.65">
      <c r="A1" s="1419" t="s">
        <v>244</v>
      </c>
      <c r="B1" s="1419"/>
      <c r="C1" s="1419"/>
      <c r="D1" s="1419"/>
      <c r="E1" s="1419"/>
      <c r="F1" s="1419"/>
      <c r="G1" s="1419"/>
      <c r="H1" s="1419"/>
      <c r="I1" s="1419"/>
      <c r="J1" s="1419"/>
      <c r="K1" s="256"/>
      <c r="L1" s="256"/>
      <c r="M1" s="256"/>
    </row>
    <row r="2" spans="1:19" s="257" customFormat="1" x14ac:dyDescent="0.65">
      <c r="A2" s="1447" t="s">
        <v>1006</v>
      </c>
      <c r="B2" s="1447"/>
      <c r="C2" s="1447"/>
      <c r="D2" s="1447"/>
      <c r="E2" s="1447"/>
      <c r="F2" s="1447"/>
      <c r="G2" s="1447"/>
      <c r="H2" s="1447"/>
      <c r="I2" s="1447"/>
      <c r="J2" s="1447"/>
      <c r="K2" s="256"/>
      <c r="L2" s="256"/>
      <c r="M2" s="256"/>
    </row>
    <row r="3" spans="1:19" s="257" customFormat="1" x14ac:dyDescent="0.65">
      <c r="A3" s="1447" t="s">
        <v>1089</v>
      </c>
      <c r="B3" s="1447"/>
      <c r="C3" s="1447"/>
      <c r="D3" s="1447"/>
      <c r="E3" s="1447"/>
      <c r="F3" s="1447"/>
      <c r="G3" s="1447"/>
      <c r="H3" s="1447"/>
      <c r="I3" s="1447"/>
      <c r="J3" s="1447"/>
      <c r="K3" s="256"/>
      <c r="L3" s="256"/>
      <c r="M3" s="256"/>
    </row>
    <row r="4" spans="1:19" s="257" customFormat="1" ht="12.75" customHeight="1" x14ac:dyDescent="0.65">
      <c r="A4" s="1448"/>
      <c r="B4" s="1448"/>
      <c r="C4" s="1448"/>
      <c r="D4" s="1448"/>
      <c r="E4" s="1448"/>
      <c r="F4" s="1448"/>
      <c r="G4" s="1448"/>
      <c r="H4" s="1448"/>
      <c r="I4" s="1448"/>
      <c r="J4" s="1448"/>
      <c r="K4" s="256"/>
      <c r="L4" s="256"/>
      <c r="M4" s="256"/>
    </row>
    <row r="5" spans="1:19" s="257" customFormat="1" x14ac:dyDescent="0.65">
      <c r="A5" s="179"/>
      <c r="B5" s="252" t="s">
        <v>1206</v>
      </c>
      <c r="C5" s="1413" t="s">
        <v>1051</v>
      </c>
      <c r="D5" s="1413"/>
      <c r="E5" s="1413"/>
      <c r="F5" s="1413"/>
      <c r="G5" s="1413"/>
      <c r="H5" s="1413"/>
      <c r="I5" s="1413"/>
      <c r="J5" s="191"/>
      <c r="K5" s="256"/>
      <c r="L5" s="256"/>
      <c r="M5" s="256"/>
    </row>
    <row r="6" spans="1:19" s="258" customFormat="1" ht="21.75" customHeight="1" x14ac:dyDescent="0.6">
      <c r="A6" s="179"/>
      <c r="B6" s="189"/>
      <c r="C6" s="181"/>
      <c r="D6" s="189"/>
      <c r="E6" s="191"/>
      <c r="F6" s="185">
        <v>1403</v>
      </c>
      <c r="G6" s="191"/>
      <c r="H6" s="1063">
        <v>1402</v>
      </c>
      <c r="I6" s="191"/>
      <c r="J6" s="191"/>
      <c r="K6" s="259"/>
    </row>
    <row r="7" spans="1:19" ht="21" customHeight="1" x14ac:dyDescent="0.25">
      <c r="A7" s="179"/>
      <c r="D7" s="189"/>
      <c r="E7" s="191"/>
      <c r="F7" s="190" t="s">
        <v>702</v>
      </c>
      <c r="G7" s="191"/>
      <c r="H7" s="190" t="s">
        <v>702</v>
      </c>
      <c r="I7" s="191"/>
      <c r="J7" s="191"/>
    </row>
    <row r="8" spans="1:19" ht="22.5" customHeight="1" x14ac:dyDescent="0.25">
      <c r="A8" s="179"/>
      <c r="C8" s="1181" t="s">
        <v>1207</v>
      </c>
      <c r="D8" s="189"/>
      <c r="E8" s="1175"/>
      <c r="F8" s="190"/>
      <c r="G8" s="1175"/>
      <c r="H8" s="190"/>
      <c r="I8" s="1175"/>
      <c r="J8" s="1175"/>
    </row>
    <row r="9" spans="1:19" ht="25.5" customHeight="1" x14ac:dyDescent="0.25">
      <c r="A9" s="179"/>
      <c r="B9" s="235"/>
      <c r="C9" s="231" t="s">
        <v>939</v>
      </c>
      <c r="D9" s="231"/>
      <c r="E9" s="255"/>
      <c r="F9" s="190">
        <v>5069706404634</v>
      </c>
      <c r="G9" s="255"/>
      <c r="H9" s="190">
        <v>4024760946522</v>
      </c>
      <c r="I9" s="191"/>
      <c r="J9" s="191"/>
    </row>
    <row r="10" spans="1:19" x14ac:dyDescent="0.25">
      <c r="A10" s="179"/>
      <c r="B10" s="1182"/>
      <c r="C10" s="1181" t="s">
        <v>1208</v>
      </c>
      <c r="D10" s="231"/>
      <c r="E10" s="1176"/>
      <c r="F10" s="190"/>
      <c r="G10" s="1176"/>
      <c r="H10" s="190"/>
      <c r="I10" s="1175"/>
      <c r="J10" s="1175"/>
    </row>
    <row r="11" spans="1:19" ht="24" customHeight="1" x14ac:dyDescent="0.25">
      <c r="A11" s="179"/>
      <c r="B11" s="231"/>
      <c r="C11" s="231" t="s">
        <v>369</v>
      </c>
      <c r="D11" s="231"/>
      <c r="E11" s="255"/>
      <c r="F11" s="190">
        <v>1152498247480</v>
      </c>
      <c r="G11" s="255"/>
      <c r="H11" s="190">
        <v>769807064268</v>
      </c>
      <c r="I11" s="191"/>
      <c r="J11" s="191"/>
      <c r="L11" s="1446"/>
      <c r="M11" s="1446"/>
      <c r="N11" s="1446"/>
    </row>
    <row r="12" spans="1:19" ht="24" customHeight="1" x14ac:dyDescent="0.25">
      <c r="A12" s="179"/>
      <c r="B12" s="231"/>
      <c r="C12" s="231" t="s">
        <v>536</v>
      </c>
      <c r="D12" s="231"/>
      <c r="E12" s="255"/>
      <c r="F12" s="190">
        <v>932005817426</v>
      </c>
      <c r="G12" s="255"/>
      <c r="H12" s="190">
        <v>592260677101</v>
      </c>
      <c r="I12" s="191"/>
      <c r="J12" s="191"/>
    </row>
    <row r="13" spans="1:19" ht="24" customHeight="1" x14ac:dyDescent="0.25">
      <c r="A13" s="179"/>
      <c r="B13" s="231"/>
      <c r="C13" s="231" t="s">
        <v>943</v>
      </c>
      <c r="D13" s="231"/>
      <c r="E13" s="255"/>
      <c r="F13" s="190">
        <v>611233997615</v>
      </c>
      <c r="G13" s="255"/>
      <c r="H13" s="190">
        <v>316637661472</v>
      </c>
      <c r="I13" s="191"/>
      <c r="J13" s="191"/>
      <c r="K13" s="269"/>
      <c r="M13" s="269"/>
      <c r="N13" s="269"/>
      <c r="O13" s="269"/>
      <c r="P13" s="269"/>
      <c r="Q13" s="269"/>
      <c r="R13" s="269"/>
      <c r="S13" s="269"/>
    </row>
    <row r="14" spans="1:19" ht="24" customHeight="1" x14ac:dyDescent="0.25">
      <c r="A14" s="179"/>
      <c r="B14" s="231"/>
      <c r="C14" s="231" t="s">
        <v>534</v>
      </c>
      <c r="D14" s="231"/>
      <c r="E14" s="255"/>
      <c r="F14" s="190">
        <v>603987158023</v>
      </c>
      <c r="G14" s="255"/>
      <c r="H14" s="190">
        <v>427270787256</v>
      </c>
      <c r="I14" s="191"/>
      <c r="J14" s="191"/>
      <c r="K14" s="269"/>
    </row>
    <row r="15" spans="1:19" ht="24" customHeight="1" x14ac:dyDescent="0.25">
      <c r="A15" s="179"/>
      <c r="B15" s="231"/>
      <c r="C15" s="231" t="s">
        <v>533</v>
      </c>
      <c r="D15" s="231"/>
      <c r="E15" s="255"/>
      <c r="F15" s="190">
        <v>475469527079</v>
      </c>
      <c r="G15" s="255"/>
      <c r="H15" s="190">
        <v>274812902697</v>
      </c>
      <c r="I15" s="191"/>
      <c r="J15" s="191"/>
      <c r="K15" s="269"/>
      <c r="M15" s="269"/>
      <c r="N15" s="269"/>
      <c r="O15" s="269"/>
      <c r="P15" s="269"/>
      <c r="Q15" s="269"/>
      <c r="R15" s="269"/>
      <c r="S15" s="269"/>
    </row>
    <row r="16" spans="1:19" ht="24" customHeight="1" x14ac:dyDescent="0.25">
      <c r="A16" s="179"/>
      <c r="B16" s="231"/>
      <c r="C16" s="231" t="s">
        <v>872</v>
      </c>
      <c r="D16" s="231"/>
      <c r="E16" s="255"/>
      <c r="F16" s="190">
        <v>444544746100</v>
      </c>
      <c r="G16" s="255"/>
      <c r="H16" s="190">
        <v>540276406680</v>
      </c>
      <c r="I16" s="191"/>
      <c r="J16" s="191"/>
      <c r="K16" s="269"/>
      <c r="M16" s="269"/>
      <c r="N16" s="269"/>
      <c r="O16" s="269"/>
      <c r="P16" s="269"/>
      <c r="Q16" s="269"/>
      <c r="R16" s="269"/>
      <c r="S16" s="269"/>
    </row>
    <row r="17" spans="1:19" ht="24" customHeight="1" x14ac:dyDescent="0.25">
      <c r="A17" s="179"/>
      <c r="B17" s="231"/>
      <c r="C17" s="231" t="s">
        <v>940</v>
      </c>
      <c r="D17" s="231"/>
      <c r="E17" s="255"/>
      <c r="F17" s="190">
        <v>374083905777</v>
      </c>
      <c r="G17" s="255"/>
      <c r="H17" s="190">
        <v>503991934801</v>
      </c>
      <c r="I17" s="191"/>
      <c r="J17" s="191"/>
      <c r="L17" s="269"/>
      <c r="M17" s="1167"/>
      <c r="N17" s="1167"/>
    </row>
    <row r="18" spans="1:19" ht="24" customHeight="1" x14ac:dyDescent="0.25">
      <c r="A18" s="179"/>
      <c r="B18" s="231"/>
      <c r="C18" s="231" t="s">
        <v>944</v>
      </c>
      <c r="D18" s="231"/>
      <c r="E18" s="255"/>
      <c r="F18" s="190">
        <v>274297955557</v>
      </c>
      <c r="G18" s="255"/>
      <c r="H18" s="190">
        <v>102080231229</v>
      </c>
      <c r="I18" s="191"/>
      <c r="J18" s="191"/>
      <c r="K18" s="269"/>
    </row>
    <row r="19" spans="1:19" ht="24" customHeight="1" x14ac:dyDescent="0.25">
      <c r="A19" s="179"/>
      <c r="B19" s="231"/>
      <c r="C19" s="231" t="s">
        <v>942</v>
      </c>
      <c r="D19" s="231"/>
      <c r="E19" s="255"/>
      <c r="F19" s="190">
        <v>190388915504</v>
      </c>
      <c r="G19" s="255"/>
      <c r="H19" s="190">
        <v>394618147420</v>
      </c>
      <c r="I19" s="191"/>
      <c r="J19" s="191"/>
      <c r="K19" s="269"/>
    </row>
    <row r="20" spans="1:19" ht="24" customHeight="1" x14ac:dyDescent="0.25">
      <c r="A20" s="179"/>
      <c r="B20" s="231"/>
      <c r="C20" s="231" t="s">
        <v>941</v>
      </c>
      <c r="D20" s="231"/>
      <c r="E20" s="255"/>
      <c r="F20" s="190">
        <v>111589949210</v>
      </c>
      <c r="G20" s="255"/>
      <c r="H20" s="190">
        <v>632770080027</v>
      </c>
      <c r="I20" s="191"/>
      <c r="J20" s="191"/>
      <c r="K20" s="269"/>
    </row>
    <row r="21" spans="1:19" ht="24" customHeight="1" x14ac:dyDescent="0.25">
      <c r="A21" s="179"/>
      <c r="B21" s="231"/>
      <c r="C21" s="231" t="s">
        <v>407</v>
      </c>
      <c r="D21" s="231"/>
      <c r="E21" s="255"/>
      <c r="F21" s="190">
        <v>93163750474</v>
      </c>
      <c r="G21" s="255"/>
      <c r="H21" s="190">
        <v>245167987073</v>
      </c>
      <c r="I21" s="191"/>
      <c r="J21" s="191"/>
      <c r="K21" s="269"/>
    </row>
    <row r="22" spans="1:19" ht="24" customHeight="1" x14ac:dyDescent="0.25">
      <c r="A22" s="179"/>
      <c r="B22" s="231"/>
      <c r="C22" s="231" t="s">
        <v>877</v>
      </c>
      <c r="D22" s="231"/>
      <c r="E22" s="255"/>
      <c r="F22" s="190">
        <v>36033712300</v>
      </c>
      <c r="G22" s="255"/>
      <c r="H22" s="190">
        <v>148021747500</v>
      </c>
      <c r="I22" s="191"/>
      <c r="J22" s="191"/>
      <c r="K22" s="269"/>
      <c r="M22" s="269"/>
      <c r="N22" s="269"/>
      <c r="O22" s="269"/>
      <c r="P22" s="269"/>
      <c r="Q22" s="269"/>
      <c r="R22" s="269"/>
      <c r="S22" s="269"/>
    </row>
    <row r="23" spans="1:19" ht="24" customHeight="1" x14ac:dyDescent="0.25">
      <c r="A23" s="179"/>
      <c r="B23" s="231"/>
      <c r="C23" s="231" t="s">
        <v>605</v>
      </c>
      <c r="D23" s="231"/>
      <c r="E23" s="255"/>
      <c r="F23" s="190">
        <v>4750000000</v>
      </c>
      <c r="G23" s="255"/>
      <c r="H23" s="190">
        <v>521066883481</v>
      </c>
      <c r="I23" s="191"/>
      <c r="J23" s="191"/>
      <c r="K23" s="269"/>
      <c r="M23" s="269"/>
      <c r="N23" s="269"/>
      <c r="O23" s="269"/>
      <c r="P23" s="269"/>
      <c r="Q23" s="269"/>
      <c r="R23" s="269"/>
      <c r="S23" s="269"/>
    </row>
    <row r="24" spans="1:19" ht="24" customHeight="1" x14ac:dyDescent="0.25">
      <c r="A24" s="179"/>
      <c r="B24" s="231"/>
      <c r="C24" s="231" t="s">
        <v>130</v>
      </c>
      <c r="D24" s="231"/>
      <c r="E24" s="255"/>
      <c r="F24" s="233">
        <v>543066317439</v>
      </c>
      <c r="G24" s="255"/>
      <c r="H24" s="233">
        <v>44242365765</v>
      </c>
      <c r="I24" s="191"/>
      <c r="J24" s="191"/>
      <c r="K24" s="269"/>
    </row>
    <row r="25" spans="1:19" ht="27.75" customHeight="1" thickBot="1" x14ac:dyDescent="0.3">
      <c r="A25" s="179"/>
      <c r="B25" s="189"/>
      <c r="C25" s="181"/>
      <c r="D25" s="189"/>
      <c r="E25" s="191"/>
      <c r="F25" s="212">
        <f>SUM(F9:F24)</f>
        <v>10916820404618</v>
      </c>
      <c r="G25" s="191"/>
      <c r="H25" s="212">
        <f>SUM(H9:H24)</f>
        <v>9537785823292</v>
      </c>
      <c r="I25" s="191"/>
      <c r="J25" s="191"/>
      <c r="K25" s="269"/>
      <c r="L25" s="260" t="b">
        <f>F25='5'!H9</f>
        <v>1</v>
      </c>
      <c r="M25" s="260" t="b">
        <f>H25='5'!L9</f>
        <v>1</v>
      </c>
    </row>
    <row r="26" spans="1:19" ht="9.75" customHeight="1" thickTop="1" x14ac:dyDescent="0.25">
      <c r="B26" s="263"/>
      <c r="C26" s="264"/>
      <c r="D26" s="263"/>
      <c r="E26" s="266"/>
      <c r="F26" s="266"/>
      <c r="G26" s="266"/>
      <c r="H26" s="266"/>
      <c r="I26" s="266"/>
      <c r="J26" s="266"/>
    </row>
    <row r="27" spans="1:19" ht="30" customHeight="1" x14ac:dyDescent="0.6">
      <c r="B27" s="1413" t="s">
        <v>1210</v>
      </c>
      <c r="C27" s="1413"/>
      <c r="D27" s="1413"/>
      <c r="E27" s="1413"/>
      <c r="F27" s="1186">
        <v>1403</v>
      </c>
      <c r="G27" s="1175"/>
      <c r="H27" s="1186">
        <v>1402</v>
      </c>
      <c r="I27" s="266"/>
      <c r="J27" s="266"/>
    </row>
    <row r="28" spans="1:19" ht="2.25" customHeight="1" thickBot="1" x14ac:dyDescent="0.3">
      <c r="B28" s="246"/>
      <c r="C28" s="246"/>
      <c r="D28" s="246"/>
      <c r="E28" s="246"/>
      <c r="F28" s="1187"/>
      <c r="G28" s="246"/>
      <c r="H28" s="1187"/>
      <c r="I28" s="266"/>
      <c r="J28" s="266"/>
    </row>
    <row r="29" spans="1:19" ht="18" customHeight="1" thickBot="1" x14ac:dyDescent="0.3">
      <c r="B29" s="990" t="s">
        <v>1029</v>
      </c>
      <c r="C29" s="991" t="s">
        <v>1030</v>
      </c>
      <c r="D29" s="991" t="s">
        <v>82</v>
      </c>
      <c r="E29" s="991" t="s">
        <v>1031</v>
      </c>
      <c r="F29" s="992" t="s">
        <v>1032</v>
      </c>
      <c r="G29" s="266"/>
      <c r="H29" s="1190" t="s">
        <v>1032</v>
      </c>
      <c r="I29" s="266"/>
      <c r="J29" s="262"/>
      <c r="K29" s="260"/>
    </row>
    <row r="30" spans="1:19" ht="18" customHeight="1" x14ac:dyDescent="0.25">
      <c r="B30" s="1433">
        <v>1</v>
      </c>
      <c r="C30" s="1436" t="s">
        <v>1033</v>
      </c>
      <c r="D30" s="1436" t="s">
        <v>1034</v>
      </c>
      <c r="E30" s="989" t="s">
        <v>358</v>
      </c>
      <c r="F30" s="994">
        <v>69137337062</v>
      </c>
      <c r="G30" s="266"/>
      <c r="H30" s="1191">
        <v>13390197774</v>
      </c>
      <c r="I30" s="266"/>
      <c r="J30" s="262"/>
      <c r="K30" s="260"/>
    </row>
    <row r="31" spans="1:19" ht="18" customHeight="1" x14ac:dyDescent="0.25">
      <c r="B31" s="1434"/>
      <c r="C31" s="1437"/>
      <c r="D31" s="1437"/>
      <c r="E31" s="987" t="s">
        <v>359</v>
      </c>
      <c r="F31" s="993">
        <v>17769033139</v>
      </c>
      <c r="G31" s="266"/>
      <c r="H31" s="1192">
        <v>51478609622</v>
      </c>
      <c r="I31" s="266"/>
      <c r="J31" s="262"/>
      <c r="K31" s="260"/>
    </row>
    <row r="32" spans="1:19" ht="18" customHeight="1" x14ac:dyDescent="0.25">
      <c r="B32" s="1434"/>
      <c r="C32" s="1437"/>
      <c r="D32" s="1437"/>
      <c r="E32" s="1090" t="s">
        <v>360</v>
      </c>
      <c r="F32" s="1091">
        <v>18110887000</v>
      </c>
      <c r="G32" s="266"/>
      <c r="H32" s="1193">
        <v>51903461038</v>
      </c>
      <c r="I32" s="266"/>
      <c r="J32" s="262"/>
      <c r="K32" s="260"/>
    </row>
    <row r="33" spans="1:19" ht="18" customHeight="1" x14ac:dyDescent="0.25">
      <c r="B33" s="1434"/>
      <c r="C33" s="1437"/>
      <c r="D33" s="1437"/>
      <c r="E33" s="1086" t="s">
        <v>361</v>
      </c>
      <c r="F33" s="993">
        <v>12729772992</v>
      </c>
      <c r="G33" s="266"/>
      <c r="H33" s="1192">
        <v>0</v>
      </c>
      <c r="I33" s="266"/>
      <c r="J33" s="262"/>
      <c r="K33" s="260"/>
    </row>
    <row r="34" spans="1:19" ht="18" customHeight="1" thickBot="1" x14ac:dyDescent="0.3">
      <c r="B34" s="1435"/>
      <c r="C34" s="1438"/>
      <c r="D34" s="1438"/>
      <c r="E34" s="1086" t="s">
        <v>362</v>
      </c>
      <c r="F34" s="993">
        <v>5823790100</v>
      </c>
      <c r="G34" s="266"/>
      <c r="H34" s="1192">
        <v>0</v>
      </c>
      <c r="I34" s="266"/>
      <c r="J34" s="262"/>
      <c r="K34" s="260"/>
    </row>
    <row r="35" spans="1:19" ht="18" customHeight="1" x14ac:dyDescent="0.25">
      <c r="B35" s="1433">
        <v>2</v>
      </c>
      <c r="C35" s="1436" t="s">
        <v>1035</v>
      </c>
      <c r="D35" s="1436" t="s">
        <v>1036</v>
      </c>
      <c r="E35" s="989" t="s">
        <v>358</v>
      </c>
      <c r="F35" s="994">
        <v>6586774620</v>
      </c>
      <c r="G35" s="266"/>
      <c r="H35" s="1191">
        <v>4031300000</v>
      </c>
      <c r="I35" s="266"/>
      <c r="J35" s="262"/>
      <c r="K35" s="260"/>
    </row>
    <row r="36" spans="1:19" ht="18" customHeight="1" x14ac:dyDescent="0.25">
      <c r="B36" s="1434"/>
      <c r="C36" s="1437"/>
      <c r="D36" s="1437"/>
      <c r="E36" s="987" t="s">
        <v>359</v>
      </c>
      <c r="F36" s="993">
        <v>7956946593</v>
      </c>
      <c r="G36" s="266"/>
      <c r="H36" s="1192">
        <v>16266735000</v>
      </c>
      <c r="I36" s="266"/>
      <c r="J36" s="262"/>
      <c r="K36" s="260"/>
    </row>
    <row r="37" spans="1:19" ht="18" customHeight="1" x14ac:dyDescent="0.25">
      <c r="B37" s="1434"/>
      <c r="C37" s="1437"/>
      <c r="D37" s="1437"/>
      <c r="E37" s="1090" t="s">
        <v>360</v>
      </c>
      <c r="F37" s="1091">
        <v>337805000</v>
      </c>
      <c r="G37" s="266"/>
      <c r="H37" s="1193">
        <v>900000000</v>
      </c>
      <c r="I37" s="266"/>
      <c r="J37" s="262"/>
      <c r="K37" s="260"/>
    </row>
    <row r="38" spans="1:19" s="262" customFormat="1" ht="18" customHeight="1" thickBot="1" x14ac:dyDescent="0.3">
      <c r="A38" s="260"/>
      <c r="B38" s="1435"/>
      <c r="C38" s="1438"/>
      <c r="D38" s="1438"/>
      <c r="E38" s="988" t="s">
        <v>361</v>
      </c>
      <c r="F38" s="995">
        <v>6756100</v>
      </c>
      <c r="G38" s="266"/>
      <c r="H38" s="1194">
        <v>0</v>
      </c>
      <c r="I38" s="266"/>
      <c r="K38" s="260"/>
      <c r="L38" s="260"/>
      <c r="M38" s="260"/>
      <c r="N38" s="260"/>
      <c r="O38" s="260"/>
      <c r="P38" s="260"/>
      <c r="Q38" s="260"/>
      <c r="R38" s="260"/>
    </row>
    <row r="39" spans="1:19" s="262" customFormat="1" ht="18" customHeight="1" x14ac:dyDescent="0.25">
      <c r="A39" s="260"/>
      <c r="B39" s="1433">
        <v>3</v>
      </c>
      <c r="C39" s="1439" t="s">
        <v>1037</v>
      </c>
      <c r="D39" s="1436" t="s">
        <v>1038</v>
      </c>
      <c r="E39" s="989" t="s">
        <v>358</v>
      </c>
      <c r="F39" s="994">
        <v>0</v>
      </c>
      <c r="G39" s="266"/>
      <c r="H39" s="1191">
        <v>12370946481</v>
      </c>
      <c r="I39" s="266"/>
      <c r="K39" s="260"/>
      <c r="L39" s="260"/>
      <c r="M39" s="260"/>
      <c r="N39" s="260"/>
      <c r="O39" s="260"/>
      <c r="P39" s="260"/>
      <c r="Q39" s="260"/>
      <c r="R39" s="260"/>
    </row>
    <row r="40" spans="1:19" s="262" customFormat="1" ht="18" customHeight="1" x14ac:dyDescent="0.25">
      <c r="A40" s="260"/>
      <c r="B40" s="1434"/>
      <c r="C40" s="1440"/>
      <c r="D40" s="1437"/>
      <c r="E40" s="987" t="s">
        <v>359</v>
      </c>
      <c r="F40" s="993">
        <v>0</v>
      </c>
      <c r="G40" s="266"/>
      <c r="H40" s="1192">
        <v>2970915000</v>
      </c>
      <c r="I40" s="266"/>
      <c r="K40" s="260"/>
      <c r="L40" s="260"/>
      <c r="M40" s="260"/>
      <c r="N40" s="260"/>
      <c r="O40" s="260"/>
      <c r="P40" s="260"/>
      <c r="Q40" s="260"/>
      <c r="R40" s="260"/>
    </row>
    <row r="41" spans="1:19" s="262" customFormat="1" ht="18" customHeight="1" thickBot="1" x14ac:dyDescent="0.3">
      <c r="A41" s="260"/>
      <c r="B41" s="1435"/>
      <c r="C41" s="1441"/>
      <c r="D41" s="1438"/>
      <c r="E41" s="988" t="s">
        <v>360</v>
      </c>
      <c r="F41" s="995">
        <v>0</v>
      </c>
      <c r="G41" s="266"/>
      <c r="H41" s="1194">
        <v>1108025000</v>
      </c>
      <c r="I41" s="266"/>
      <c r="K41" s="260"/>
      <c r="L41" s="260"/>
      <c r="M41" s="260"/>
      <c r="N41" s="260"/>
      <c r="O41" s="260"/>
      <c r="P41" s="260"/>
      <c r="Q41" s="260"/>
      <c r="R41" s="260"/>
    </row>
    <row r="42" spans="1:19" s="262" customFormat="1" ht="18" customHeight="1" thickBot="1" x14ac:dyDescent="0.3">
      <c r="A42" s="260"/>
      <c r="B42" s="985">
        <v>4</v>
      </c>
      <c r="C42" s="986" t="s">
        <v>1122</v>
      </c>
      <c r="D42" s="986" t="s">
        <v>1123</v>
      </c>
      <c r="E42" s="986" t="s">
        <v>358</v>
      </c>
      <c r="F42" s="996">
        <v>4018110000</v>
      </c>
      <c r="G42" s="266"/>
      <c r="H42" s="1189">
        <v>0</v>
      </c>
      <c r="I42" s="266"/>
      <c r="K42" s="260"/>
      <c r="L42" s="260"/>
      <c r="M42" s="260"/>
      <c r="N42" s="260"/>
      <c r="O42" s="260"/>
      <c r="P42" s="260"/>
      <c r="Q42" s="260"/>
      <c r="R42" s="260"/>
    </row>
    <row r="43" spans="1:19" s="262" customFormat="1" ht="18" customHeight="1" thickBot="1" x14ac:dyDescent="0.3">
      <c r="A43" s="260"/>
      <c r="B43" s="985">
        <v>5</v>
      </c>
      <c r="C43" s="986" t="s">
        <v>1039</v>
      </c>
      <c r="D43" s="986" t="s">
        <v>1040</v>
      </c>
      <c r="E43" s="986" t="s">
        <v>361</v>
      </c>
      <c r="F43" s="996">
        <v>0</v>
      </c>
      <c r="G43" s="266"/>
      <c r="H43" s="1189">
        <v>389008000</v>
      </c>
      <c r="I43" s="266"/>
      <c r="K43" s="260"/>
      <c r="L43" s="260"/>
      <c r="M43" s="260"/>
      <c r="N43" s="260"/>
      <c r="O43" s="260"/>
      <c r="P43" s="260"/>
      <c r="Q43" s="260"/>
      <c r="R43" s="260"/>
    </row>
    <row r="44" spans="1:19" s="262" customFormat="1" ht="18" customHeight="1" thickBot="1" x14ac:dyDescent="0.3">
      <c r="A44" s="260"/>
      <c r="B44" s="1178">
        <v>6</v>
      </c>
      <c r="C44" s="1177" t="s">
        <v>1209</v>
      </c>
      <c r="D44" s="1177" t="s">
        <v>1244</v>
      </c>
      <c r="E44" s="1188" t="s">
        <v>358</v>
      </c>
      <c r="F44" s="996">
        <v>0</v>
      </c>
      <c r="G44" s="266"/>
      <c r="H44" s="1189">
        <v>12155640000</v>
      </c>
      <c r="I44" s="266"/>
      <c r="K44" s="260"/>
      <c r="L44" s="260"/>
      <c r="M44" s="260"/>
      <c r="N44" s="260"/>
      <c r="O44" s="260"/>
      <c r="P44" s="260"/>
      <c r="Q44" s="260"/>
      <c r="R44" s="260"/>
    </row>
    <row r="45" spans="1:19" s="262" customFormat="1" ht="18" customHeight="1" thickBot="1" x14ac:dyDescent="0.3">
      <c r="A45" s="260"/>
      <c r="B45" s="1443" t="s">
        <v>37</v>
      </c>
      <c r="C45" s="1444"/>
      <c r="D45" s="1444"/>
      <c r="E45" s="1445"/>
      <c r="F45" s="997">
        <f>SUBTOTAL(9,F30:F44)</f>
        <v>142477212606</v>
      </c>
      <c r="G45" s="266"/>
      <c r="H45" s="1321">
        <f>SUBTOTAL(9,H30:H44)</f>
        <v>166964837915</v>
      </c>
      <c r="I45" s="266"/>
      <c r="K45" s="260"/>
      <c r="L45" s="260" t="b">
        <f>F45='5-5'!E50</f>
        <v>1</v>
      </c>
      <c r="M45" s="263" t="b">
        <f>H45='5'!S21</f>
        <v>1</v>
      </c>
      <c r="N45" s="260"/>
      <c r="O45" s="260"/>
      <c r="P45" s="260"/>
      <c r="Q45" s="260"/>
      <c r="R45" s="260"/>
    </row>
    <row r="46" spans="1:19" s="262" customFormat="1" ht="22.15" customHeight="1" x14ac:dyDescent="0.25">
      <c r="A46" s="260"/>
      <c r="B46" s="1195"/>
      <c r="C46" s="1195"/>
      <c r="D46" s="1195"/>
      <c r="E46" s="1195"/>
      <c r="F46" s="1196"/>
      <c r="G46" s="266"/>
      <c r="H46" s="1196"/>
      <c r="I46" s="266"/>
      <c r="K46" s="260"/>
      <c r="L46" s="260"/>
      <c r="M46" s="263">
        <f>H45-'5'!S21</f>
        <v>0</v>
      </c>
      <c r="N46" s="260"/>
      <c r="O46" s="260"/>
      <c r="P46" s="260"/>
      <c r="Q46" s="260"/>
      <c r="R46" s="260"/>
    </row>
    <row r="47" spans="1:19" s="262" customFormat="1" ht="24" customHeight="1" x14ac:dyDescent="0.25">
      <c r="A47" s="260"/>
      <c r="B47" s="1418" t="s">
        <v>1211</v>
      </c>
      <c r="C47" s="1418"/>
      <c r="D47" s="1418"/>
      <c r="E47" s="1418"/>
      <c r="F47" s="266"/>
      <c r="G47" s="266"/>
      <c r="H47" s="266"/>
      <c r="I47" s="266"/>
      <c r="J47" s="266"/>
      <c r="L47" s="260"/>
      <c r="M47" s="260"/>
      <c r="N47" s="260"/>
      <c r="O47" s="260"/>
      <c r="P47" s="260"/>
      <c r="Q47" s="260"/>
      <c r="R47" s="260"/>
      <c r="S47" s="260"/>
    </row>
    <row r="48" spans="1:19" s="262" customFormat="1" ht="111.75" customHeight="1" x14ac:dyDescent="0.6">
      <c r="A48" s="1442">
        <v>11</v>
      </c>
      <c r="B48" s="1442"/>
      <c r="C48" s="1442"/>
      <c r="D48" s="1442"/>
      <c r="E48" s="1442"/>
      <c r="F48" s="1442"/>
      <c r="G48" s="1442"/>
      <c r="H48" s="1442"/>
      <c r="I48" s="1442"/>
      <c r="J48" s="266"/>
      <c r="L48" s="260"/>
      <c r="M48" s="260"/>
      <c r="N48" s="260"/>
      <c r="O48" s="260"/>
      <c r="P48" s="260"/>
      <c r="Q48" s="260"/>
      <c r="R48" s="260"/>
      <c r="S48" s="260"/>
    </row>
    <row r="49" spans="1:19" s="262" customFormat="1" ht="30" x14ac:dyDescent="0.25">
      <c r="A49" s="260"/>
      <c r="B49" s="263"/>
      <c r="C49" s="264"/>
      <c r="D49" s="263"/>
      <c r="E49" s="266"/>
      <c r="F49" s="266"/>
      <c r="G49" s="266"/>
      <c r="H49" s="266"/>
      <c r="I49" s="266"/>
      <c r="J49" s="266"/>
      <c r="L49" s="260"/>
      <c r="M49" s="260"/>
      <c r="N49" s="260"/>
      <c r="O49" s="260"/>
      <c r="P49" s="260"/>
      <c r="Q49" s="260"/>
      <c r="R49" s="260"/>
      <c r="S49" s="260"/>
    </row>
    <row r="50" spans="1:19" s="262" customFormat="1" ht="30" x14ac:dyDescent="0.25">
      <c r="A50" s="260"/>
      <c r="B50" s="263"/>
      <c r="C50" s="264"/>
      <c r="D50" s="263"/>
      <c r="E50" s="266"/>
      <c r="F50" s="266"/>
      <c r="G50" s="266"/>
      <c r="H50" s="266"/>
      <c r="I50" s="266"/>
      <c r="J50" s="266"/>
      <c r="L50" s="260"/>
      <c r="M50" s="260"/>
      <c r="N50" s="260"/>
      <c r="O50" s="260"/>
      <c r="P50" s="260"/>
      <c r="Q50" s="260"/>
      <c r="R50" s="260"/>
      <c r="S50" s="260"/>
    </row>
    <row r="51" spans="1:19" s="262" customFormat="1" ht="30" x14ac:dyDescent="0.25">
      <c r="A51" s="260"/>
      <c r="B51" s="263"/>
      <c r="C51" s="264"/>
      <c r="D51" s="263"/>
      <c r="E51" s="266"/>
      <c r="F51" s="266"/>
      <c r="G51" s="266"/>
      <c r="H51" s="266"/>
      <c r="I51" s="266"/>
      <c r="J51" s="266"/>
      <c r="L51" s="260"/>
      <c r="M51" s="260"/>
      <c r="N51" s="260"/>
      <c r="O51" s="260"/>
      <c r="P51" s="260"/>
      <c r="Q51" s="260"/>
      <c r="R51" s="260"/>
      <c r="S51" s="260"/>
    </row>
    <row r="52" spans="1:19" s="262" customFormat="1" ht="30" x14ac:dyDescent="0.25">
      <c r="A52" s="260"/>
      <c r="B52" s="263"/>
      <c r="C52" s="264"/>
      <c r="D52" s="263"/>
      <c r="E52" s="266"/>
      <c r="F52" s="266"/>
      <c r="G52" s="266"/>
      <c r="H52" s="266"/>
      <c r="I52" s="266"/>
      <c r="J52" s="266"/>
      <c r="L52" s="260"/>
      <c r="M52" s="260"/>
      <c r="N52" s="260"/>
      <c r="O52" s="260"/>
      <c r="P52" s="260"/>
      <c r="Q52" s="260"/>
      <c r="R52" s="260"/>
      <c r="S52" s="260"/>
    </row>
    <row r="53" spans="1:19" s="262" customFormat="1" ht="30" x14ac:dyDescent="0.25">
      <c r="A53" s="260"/>
      <c r="B53" s="263"/>
      <c r="C53" s="264"/>
      <c r="D53" s="263"/>
      <c r="E53" s="266"/>
      <c r="F53" s="266"/>
      <c r="G53" s="266"/>
      <c r="H53" s="266"/>
      <c r="I53" s="266"/>
      <c r="J53" s="266"/>
      <c r="L53" s="260"/>
      <c r="M53" s="260"/>
      <c r="N53" s="260"/>
      <c r="O53" s="260"/>
      <c r="P53" s="260"/>
      <c r="Q53" s="260"/>
      <c r="R53" s="260"/>
      <c r="S53" s="260"/>
    </row>
    <row r="54" spans="1:19" s="262" customFormat="1" ht="30" x14ac:dyDescent="0.25">
      <c r="A54" s="260"/>
      <c r="B54" s="263"/>
      <c r="C54" s="264"/>
      <c r="D54" s="263"/>
      <c r="E54" s="266"/>
      <c r="F54" s="266"/>
      <c r="G54" s="266"/>
      <c r="H54" s="266"/>
      <c r="I54" s="266"/>
      <c r="J54" s="266"/>
      <c r="L54" s="260"/>
      <c r="M54" s="260"/>
      <c r="N54" s="260"/>
      <c r="O54" s="260"/>
      <c r="P54" s="260"/>
      <c r="Q54" s="260"/>
      <c r="R54" s="260"/>
      <c r="S54" s="260"/>
    </row>
    <row r="55" spans="1:19" s="262" customFormat="1" ht="30" x14ac:dyDescent="0.25">
      <c r="A55" s="260"/>
      <c r="B55" s="263"/>
      <c r="C55" s="264"/>
      <c r="D55" s="263"/>
      <c r="E55" s="266"/>
      <c r="F55" s="266"/>
      <c r="G55" s="266"/>
      <c r="H55" s="266"/>
      <c r="I55" s="266"/>
      <c r="J55" s="266"/>
      <c r="L55" s="260"/>
      <c r="M55" s="260"/>
      <c r="N55" s="260"/>
      <c r="O55" s="260"/>
      <c r="P55" s="260"/>
      <c r="Q55" s="260"/>
      <c r="R55" s="260"/>
      <c r="S55" s="260"/>
    </row>
    <row r="56" spans="1:19" s="262" customFormat="1" ht="30" x14ac:dyDescent="0.25">
      <c r="A56" s="260"/>
      <c r="B56" s="263"/>
      <c r="C56" s="264"/>
      <c r="D56" s="263"/>
      <c r="E56" s="266"/>
      <c r="F56" s="266"/>
      <c r="G56" s="266"/>
      <c r="H56" s="266"/>
      <c r="I56" s="266"/>
      <c r="J56" s="266"/>
      <c r="L56" s="260"/>
      <c r="M56" s="260"/>
      <c r="N56" s="260"/>
      <c r="O56" s="260"/>
      <c r="P56" s="260"/>
      <c r="Q56" s="260"/>
      <c r="R56" s="260"/>
      <c r="S56" s="260"/>
    </row>
    <row r="57" spans="1:19" s="262" customFormat="1" ht="30" x14ac:dyDescent="0.25">
      <c r="A57" s="260"/>
      <c r="B57" s="263"/>
      <c r="C57" s="264"/>
      <c r="D57" s="263"/>
      <c r="E57" s="266"/>
      <c r="F57" s="266"/>
      <c r="G57" s="266"/>
      <c r="H57" s="266"/>
      <c r="I57" s="266"/>
      <c r="J57" s="266"/>
      <c r="L57" s="260"/>
      <c r="M57" s="260"/>
      <c r="N57" s="260"/>
      <c r="O57" s="260"/>
      <c r="P57" s="260"/>
      <c r="Q57" s="260"/>
      <c r="R57" s="260"/>
      <c r="S57" s="260"/>
    </row>
    <row r="58" spans="1:19" s="262" customFormat="1" ht="30" x14ac:dyDescent="0.25">
      <c r="A58" s="260"/>
      <c r="B58" s="263"/>
      <c r="C58" s="264"/>
      <c r="D58" s="263"/>
      <c r="E58" s="266"/>
      <c r="F58" s="266"/>
      <c r="G58" s="266"/>
      <c r="H58" s="266"/>
      <c r="I58" s="266"/>
      <c r="J58" s="266"/>
      <c r="L58" s="260"/>
      <c r="M58" s="260"/>
      <c r="N58" s="260"/>
      <c r="O58" s="260"/>
      <c r="P58" s="260"/>
      <c r="Q58" s="260"/>
      <c r="R58" s="260"/>
      <c r="S58" s="260"/>
    </row>
    <row r="59" spans="1:19" s="262" customFormat="1" ht="30" x14ac:dyDescent="0.25">
      <c r="A59" s="260"/>
      <c r="B59" s="263"/>
      <c r="C59" s="264"/>
      <c r="D59" s="263"/>
      <c r="E59" s="266"/>
      <c r="F59" s="266"/>
      <c r="G59" s="266"/>
      <c r="H59" s="266"/>
      <c r="I59" s="266"/>
      <c r="J59" s="266"/>
      <c r="L59" s="260"/>
      <c r="M59" s="260"/>
      <c r="N59" s="260"/>
      <c r="O59" s="260"/>
      <c r="P59" s="260"/>
      <c r="Q59" s="260"/>
      <c r="R59" s="260"/>
      <c r="S59" s="260"/>
    </row>
    <row r="60" spans="1:19" s="262" customFormat="1" ht="30" x14ac:dyDescent="0.25">
      <c r="A60" s="260"/>
      <c r="B60" s="263"/>
      <c r="C60" s="264"/>
      <c r="D60" s="263"/>
      <c r="E60" s="266"/>
      <c r="F60" s="266"/>
      <c r="G60" s="266"/>
      <c r="H60" s="266"/>
      <c r="I60" s="266"/>
      <c r="J60" s="266"/>
      <c r="L60" s="260"/>
      <c r="M60" s="260"/>
      <c r="N60" s="260"/>
      <c r="O60" s="260"/>
      <c r="P60" s="260"/>
      <c r="Q60" s="260"/>
      <c r="R60" s="260"/>
      <c r="S60" s="260"/>
    </row>
    <row r="61" spans="1:19" s="262" customFormat="1" ht="30" x14ac:dyDescent="0.25">
      <c r="A61" s="260"/>
      <c r="B61" s="263"/>
      <c r="C61" s="264"/>
      <c r="D61" s="263"/>
      <c r="E61" s="266"/>
      <c r="F61" s="266"/>
      <c r="G61" s="266"/>
      <c r="H61" s="266"/>
      <c r="I61" s="266"/>
      <c r="J61" s="266"/>
      <c r="L61" s="260"/>
      <c r="M61" s="260"/>
      <c r="N61" s="260"/>
      <c r="O61" s="260"/>
      <c r="P61" s="260"/>
      <c r="Q61" s="260"/>
      <c r="R61" s="260"/>
      <c r="S61" s="260"/>
    </row>
    <row r="62" spans="1:19" s="262" customFormat="1" ht="36.75" customHeight="1" x14ac:dyDescent="0.25">
      <c r="A62" s="260"/>
      <c r="B62" s="1432">
        <v>11</v>
      </c>
      <c r="C62" s="1432"/>
      <c r="D62" s="1432"/>
      <c r="E62" s="1432"/>
      <c r="F62" s="1432"/>
      <c r="G62" s="1432"/>
      <c r="H62" s="1432"/>
      <c r="I62" s="1432"/>
      <c r="J62" s="1432"/>
      <c r="L62" s="260"/>
      <c r="M62" s="260"/>
      <c r="N62" s="260"/>
      <c r="O62" s="260"/>
      <c r="P62" s="260"/>
      <c r="Q62" s="260"/>
      <c r="R62" s="260"/>
      <c r="S62" s="260"/>
    </row>
    <row r="69" spans="1:13" s="276" customFormat="1" ht="30" x14ac:dyDescent="0.75">
      <c r="A69" s="264">
        <v>18</v>
      </c>
      <c r="B69" s="260"/>
      <c r="C69" s="260"/>
      <c r="D69" s="260"/>
      <c r="E69" s="273"/>
      <c r="F69" s="273"/>
      <c r="G69" s="273"/>
      <c r="H69" s="273"/>
      <c r="I69" s="273"/>
      <c r="J69" s="273"/>
      <c r="K69" s="274"/>
      <c r="L69" s="275"/>
      <c r="M69" s="275"/>
    </row>
    <row r="76" spans="1:13" ht="30" x14ac:dyDescent="0.25">
      <c r="B76" s="264"/>
      <c r="C76" s="264"/>
      <c r="D76" s="264"/>
      <c r="E76" s="264"/>
      <c r="F76" s="264"/>
      <c r="G76" s="264"/>
      <c r="H76" s="264"/>
      <c r="I76" s="264"/>
      <c r="J76" s="264"/>
    </row>
  </sheetData>
  <mergeCells count="20">
    <mergeCell ref="A1:J1"/>
    <mergeCell ref="A2:J2"/>
    <mergeCell ref="A3:J3"/>
    <mergeCell ref="A4:J4"/>
    <mergeCell ref="C5:I5"/>
    <mergeCell ref="B27:E27"/>
    <mergeCell ref="A48:I48"/>
    <mergeCell ref="D39:D41"/>
    <mergeCell ref="B45:E45"/>
    <mergeCell ref="L11:N11"/>
    <mergeCell ref="C30:C34"/>
    <mergeCell ref="D30:D34"/>
    <mergeCell ref="B30:B34"/>
    <mergeCell ref="B62:J62"/>
    <mergeCell ref="B35:B38"/>
    <mergeCell ref="C35:C38"/>
    <mergeCell ref="D35:D38"/>
    <mergeCell ref="B39:B41"/>
    <mergeCell ref="C39:C41"/>
    <mergeCell ref="B47:E47"/>
  </mergeCells>
  <hyperlinks>
    <hyperlink ref="A1:XFD3" r:id="rId1" display="http://modiriatmali.com/" xr:uid="{00000000-0004-0000-0B00-000000000000}"/>
  </hyperlinks>
  <printOptions horizontalCentered="1"/>
  <pageMargins left="0.143700787" right="0.143700787" top="0.39370078740157499" bottom="0.39370078740157499" header="0.31496062992126" footer="0.31496062992126"/>
  <pageSetup paperSize="9" scale="70" orientation="portrait"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Q77"/>
  <sheetViews>
    <sheetView rightToLeft="1" view="pageBreakPreview" topLeftCell="A16" zoomScale="55" zoomScaleNormal="55" zoomScaleSheetLayoutView="55" workbookViewId="0">
      <selection activeCell="I57" sqref="I57"/>
    </sheetView>
  </sheetViews>
  <sheetFormatPr defaultRowHeight="48" customHeight="1" x14ac:dyDescent="0.25"/>
  <cols>
    <col min="1" max="1" width="12.140625" style="302" bestFit="1" customWidth="1"/>
    <col min="2" max="2" width="70.42578125" style="291" customWidth="1"/>
    <col min="3" max="3" width="20.28515625" style="291" customWidth="1"/>
    <col min="4" max="4" width="4.85546875" style="291" customWidth="1"/>
    <col min="5" max="5" width="33.140625" style="291" customWidth="1"/>
    <col min="6" max="6" width="2" style="291" customWidth="1"/>
    <col min="7" max="7" width="24" style="291" customWidth="1"/>
    <col min="8" max="8" width="1.7109375" style="291" customWidth="1"/>
    <col min="9" max="9" width="36.85546875" style="304" customWidth="1"/>
    <col min="10" max="10" width="0.7109375" style="291" customWidth="1"/>
    <col min="11" max="11" width="38.7109375" style="291" customWidth="1"/>
    <col min="12" max="13" width="0.7109375" style="291" customWidth="1"/>
    <col min="14" max="14" width="1.85546875" style="291" customWidth="1"/>
    <col min="15" max="15" width="35.140625" style="290" bestFit="1" customWidth="1"/>
    <col min="16" max="17" width="17.28515625" style="291" bestFit="1" customWidth="1"/>
    <col min="18" max="18" width="5" style="291" customWidth="1"/>
    <col min="19" max="19" width="35.7109375" style="291" bestFit="1" customWidth="1"/>
    <col min="20" max="22" width="9" style="291"/>
    <col min="23" max="23" width="10.42578125" style="291" bestFit="1" customWidth="1"/>
    <col min="24" max="252" width="9" style="291"/>
    <col min="253" max="253" width="3.5703125" style="291" customWidth="1"/>
    <col min="254" max="254" width="4.85546875" style="291" customWidth="1"/>
    <col min="255" max="255" width="5.42578125" style="291" customWidth="1"/>
    <col min="256" max="256" width="31.28515625" style="291" customWidth="1"/>
    <col min="257" max="257" width="7.5703125" style="291" customWidth="1"/>
    <col min="258" max="258" width="2.42578125" style="291" customWidth="1"/>
    <col min="259" max="259" width="11.5703125" style="291" customWidth="1"/>
    <col min="260" max="260" width="2.42578125" style="291" customWidth="1"/>
    <col min="261" max="261" width="11.5703125" style="291" customWidth="1"/>
    <col min="262" max="262" width="2.42578125" style="291" customWidth="1"/>
    <col min="263" max="263" width="10.85546875" style="291" customWidth="1"/>
    <col min="264" max="264" width="2.42578125" style="291" customWidth="1"/>
    <col min="265" max="265" width="11.140625" style="291" customWidth="1"/>
    <col min="266" max="266" width="1.85546875" style="291" customWidth="1"/>
    <col min="267" max="267" width="11" style="291" customWidth="1"/>
    <col min="268" max="268" width="0.7109375" style="291" customWidth="1"/>
    <col min="269" max="269" width="1.85546875" style="291" customWidth="1"/>
    <col min="270" max="270" width="11.85546875" style="291" bestFit="1" customWidth="1"/>
    <col min="271" max="271" width="15.28515625" style="291" bestFit="1" customWidth="1"/>
    <col min="272" max="272" width="5" style="291" customWidth="1"/>
    <col min="273" max="273" width="10.42578125" style="291" bestFit="1" customWidth="1"/>
    <col min="274" max="274" width="5" style="291" customWidth="1"/>
    <col min="275" max="275" width="10.42578125" style="291" bestFit="1" customWidth="1"/>
    <col min="276" max="278" width="9" style="291"/>
    <col min="279" max="279" width="10.42578125" style="291" bestFit="1" customWidth="1"/>
    <col min="280" max="508" width="9" style="291"/>
    <col min="509" max="509" width="3.5703125" style="291" customWidth="1"/>
    <col min="510" max="510" width="4.85546875" style="291" customWidth="1"/>
    <col min="511" max="511" width="5.42578125" style="291" customWidth="1"/>
    <col min="512" max="512" width="31.28515625" style="291" customWidth="1"/>
    <col min="513" max="513" width="7.5703125" style="291" customWidth="1"/>
    <col min="514" max="514" width="2.42578125" style="291" customWidth="1"/>
    <col min="515" max="515" width="11.5703125" style="291" customWidth="1"/>
    <col min="516" max="516" width="2.42578125" style="291" customWidth="1"/>
    <col min="517" max="517" width="11.5703125" style="291" customWidth="1"/>
    <col min="518" max="518" width="2.42578125" style="291" customWidth="1"/>
    <col min="519" max="519" width="10.85546875" style="291" customWidth="1"/>
    <col min="520" max="520" width="2.42578125" style="291" customWidth="1"/>
    <col min="521" max="521" width="11.140625" style="291" customWidth="1"/>
    <col min="522" max="522" width="1.85546875" style="291" customWidth="1"/>
    <col min="523" max="523" width="11" style="291" customWidth="1"/>
    <col min="524" max="524" width="0.7109375" style="291" customWidth="1"/>
    <col min="525" max="525" width="1.85546875" style="291" customWidth="1"/>
    <col min="526" max="526" width="11.85546875" style="291" bestFit="1" customWidth="1"/>
    <col min="527" max="527" width="15.28515625" style="291" bestFit="1" customWidth="1"/>
    <col min="528" max="528" width="5" style="291" customWidth="1"/>
    <col min="529" max="529" width="10.42578125" style="291" bestFit="1" customWidth="1"/>
    <col min="530" max="530" width="5" style="291" customWidth="1"/>
    <col min="531" max="531" width="10.42578125" style="291" bestFit="1" customWidth="1"/>
    <col min="532" max="534" width="9" style="291"/>
    <col min="535" max="535" width="10.42578125" style="291" bestFit="1" customWidth="1"/>
    <col min="536" max="764" width="9" style="291"/>
    <col min="765" max="765" width="3.5703125" style="291" customWidth="1"/>
    <col min="766" max="766" width="4.85546875" style="291" customWidth="1"/>
    <col min="767" max="767" width="5.42578125" style="291" customWidth="1"/>
    <col min="768" max="768" width="31.28515625" style="291" customWidth="1"/>
    <col min="769" max="769" width="7.5703125" style="291" customWidth="1"/>
    <col min="770" max="770" width="2.42578125" style="291" customWidth="1"/>
    <col min="771" max="771" width="11.5703125" style="291" customWidth="1"/>
    <col min="772" max="772" width="2.42578125" style="291" customWidth="1"/>
    <col min="773" max="773" width="11.5703125" style="291" customWidth="1"/>
    <col min="774" max="774" width="2.42578125" style="291" customWidth="1"/>
    <col min="775" max="775" width="10.85546875" style="291" customWidth="1"/>
    <col min="776" max="776" width="2.42578125" style="291" customWidth="1"/>
    <col min="777" max="777" width="11.140625" style="291" customWidth="1"/>
    <col min="778" max="778" width="1.85546875" style="291" customWidth="1"/>
    <col min="779" max="779" width="11" style="291" customWidth="1"/>
    <col min="780" max="780" width="0.7109375" style="291" customWidth="1"/>
    <col min="781" max="781" width="1.85546875" style="291" customWidth="1"/>
    <col min="782" max="782" width="11.85546875" style="291" bestFit="1" customWidth="1"/>
    <col min="783" max="783" width="15.28515625" style="291" bestFit="1" customWidth="1"/>
    <col min="784" max="784" width="5" style="291" customWidth="1"/>
    <col min="785" max="785" width="10.42578125" style="291" bestFit="1" customWidth="1"/>
    <col min="786" max="786" width="5" style="291" customWidth="1"/>
    <col min="787" max="787" width="10.42578125" style="291" bestFit="1" customWidth="1"/>
    <col min="788" max="790" width="9" style="291"/>
    <col min="791" max="791" width="10.42578125" style="291" bestFit="1" customWidth="1"/>
    <col min="792" max="1020" width="9" style="291"/>
    <col min="1021" max="1021" width="3.5703125" style="291" customWidth="1"/>
    <col min="1022" max="1022" width="4.85546875" style="291" customWidth="1"/>
    <col min="1023" max="1023" width="5.42578125" style="291" customWidth="1"/>
    <col min="1024" max="1024" width="31.28515625" style="291" customWidth="1"/>
    <col min="1025" max="1025" width="7.5703125" style="291" customWidth="1"/>
    <col min="1026" max="1026" width="2.42578125" style="291" customWidth="1"/>
    <col min="1027" max="1027" width="11.5703125" style="291" customWidth="1"/>
    <col min="1028" max="1028" width="2.42578125" style="291" customWidth="1"/>
    <col min="1029" max="1029" width="11.5703125" style="291" customWidth="1"/>
    <col min="1030" max="1030" width="2.42578125" style="291" customWidth="1"/>
    <col min="1031" max="1031" width="10.85546875" style="291" customWidth="1"/>
    <col min="1032" max="1032" width="2.42578125" style="291" customWidth="1"/>
    <col min="1033" max="1033" width="11.140625" style="291" customWidth="1"/>
    <col min="1034" max="1034" width="1.85546875" style="291" customWidth="1"/>
    <col min="1035" max="1035" width="11" style="291" customWidth="1"/>
    <col min="1036" max="1036" width="0.7109375" style="291" customWidth="1"/>
    <col min="1037" max="1037" width="1.85546875" style="291" customWidth="1"/>
    <col min="1038" max="1038" width="11.85546875" style="291" bestFit="1" customWidth="1"/>
    <col min="1039" max="1039" width="15.28515625" style="291" bestFit="1" customWidth="1"/>
    <col min="1040" max="1040" width="5" style="291" customWidth="1"/>
    <col min="1041" max="1041" width="10.42578125" style="291" bestFit="1" customWidth="1"/>
    <col min="1042" max="1042" width="5" style="291" customWidth="1"/>
    <col min="1043" max="1043" width="10.42578125" style="291" bestFit="1" customWidth="1"/>
    <col min="1044" max="1046" width="9" style="291"/>
    <col min="1047" max="1047" width="10.42578125" style="291" bestFit="1" customWidth="1"/>
    <col min="1048" max="1276" width="9" style="291"/>
    <col min="1277" max="1277" width="3.5703125" style="291" customWidth="1"/>
    <col min="1278" max="1278" width="4.85546875" style="291" customWidth="1"/>
    <col min="1279" max="1279" width="5.42578125" style="291" customWidth="1"/>
    <col min="1280" max="1280" width="31.28515625" style="291" customWidth="1"/>
    <col min="1281" max="1281" width="7.5703125" style="291" customWidth="1"/>
    <col min="1282" max="1282" width="2.42578125" style="291" customWidth="1"/>
    <col min="1283" max="1283" width="11.5703125" style="291" customWidth="1"/>
    <col min="1284" max="1284" width="2.42578125" style="291" customWidth="1"/>
    <col min="1285" max="1285" width="11.5703125" style="291" customWidth="1"/>
    <col min="1286" max="1286" width="2.42578125" style="291" customWidth="1"/>
    <col min="1287" max="1287" width="10.85546875" style="291" customWidth="1"/>
    <col min="1288" max="1288" width="2.42578125" style="291" customWidth="1"/>
    <col min="1289" max="1289" width="11.140625" style="291" customWidth="1"/>
    <col min="1290" max="1290" width="1.85546875" style="291" customWidth="1"/>
    <col min="1291" max="1291" width="11" style="291" customWidth="1"/>
    <col min="1292" max="1292" width="0.7109375" style="291" customWidth="1"/>
    <col min="1293" max="1293" width="1.85546875" style="291" customWidth="1"/>
    <col min="1294" max="1294" width="11.85546875" style="291" bestFit="1" customWidth="1"/>
    <col min="1295" max="1295" width="15.28515625" style="291" bestFit="1" customWidth="1"/>
    <col min="1296" max="1296" width="5" style="291" customWidth="1"/>
    <col min="1297" max="1297" width="10.42578125" style="291" bestFit="1" customWidth="1"/>
    <col min="1298" max="1298" width="5" style="291" customWidth="1"/>
    <col min="1299" max="1299" width="10.42578125" style="291" bestFit="1" customWidth="1"/>
    <col min="1300" max="1302" width="9" style="291"/>
    <col min="1303" max="1303" width="10.42578125" style="291" bestFit="1" customWidth="1"/>
    <col min="1304" max="1532" width="9" style="291"/>
    <col min="1533" max="1533" width="3.5703125" style="291" customWidth="1"/>
    <col min="1534" max="1534" width="4.85546875" style="291" customWidth="1"/>
    <col min="1535" max="1535" width="5.42578125" style="291" customWidth="1"/>
    <col min="1536" max="1536" width="31.28515625" style="291" customWidth="1"/>
    <col min="1537" max="1537" width="7.5703125" style="291" customWidth="1"/>
    <col min="1538" max="1538" width="2.42578125" style="291" customWidth="1"/>
    <col min="1539" max="1539" width="11.5703125" style="291" customWidth="1"/>
    <col min="1540" max="1540" width="2.42578125" style="291" customWidth="1"/>
    <col min="1541" max="1541" width="11.5703125" style="291" customWidth="1"/>
    <col min="1542" max="1542" width="2.42578125" style="291" customWidth="1"/>
    <col min="1543" max="1543" width="10.85546875" style="291" customWidth="1"/>
    <col min="1544" max="1544" width="2.42578125" style="291" customWidth="1"/>
    <col min="1545" max="1545" width="11.140625" style="291" customWidth="1"/>
    <col min="1546" max="1546" width="1.85546875" style="291" customWidth="1"/>
    <col min="1547" max="1547" width="11" style="291" customWidth="1"/>
    <col min="1548" max="1548" width="0.7109375" style="291" customWidth="1"/>
    <col min="1549" max="1549" width="1.85546875" style="291" customWidth="1"/>
    <col min="1550" max="1550" width="11.85546875" style="291" bestFit="1" customWidth="1"/>
    <col min="1551" max="1551" width="15.28515625" style="291" bestFit="1" customWidth="1"/>
    <col min="1552" max="1552" width="5" style="291" customWidth="1"/>
    <col min="1553" max="1553" width="10.42578125" style="291" bestFit="1" customWidth="1"/>
    <col min="1554" max="1554" width="5" style="291" customWidth="1"/>
    <col min="1555" max="1555" width="10.42578125" style="291" bestFit="1" customWidth="1"/>
    <col min="1556" max="1558" width="9" style="291"/>
    <col min="1559" max="1559" width="10.42578125" style="291" bestFit="1" customWidth="1"/>
    <col min="1560" max="1788" width="9" style="291"/>
    <col min="1789" max="1789" width="3.5703125" style="291" customWidth="1"/>
    <col min="1790" max="1790" width="4.85546875" style="291" customWidth="1"/>
    <col min="1791" max="1791" width="5.42578125" style="291" customWidth="1"/>
    <col min="1792" max="1792" width="31.28515625" style="291" customWidth="1"/>
    <col min="1793" max="1793" width="7.5703125" style="291" customWidth="1"/>
    <col min="1794" max="1794" width="2.42578125" style="291" customWidth="1"/>
    <col min="1795" max="1795" width="11.5703125" style="291" customWidth="1"/>
    <col min="1796" max="1796" width="2.42578125" style="291" customWidth="1"/>
    <col min="1797" max="1797" width="11.5703125" style="291" customWidth="1"/>
    <col min="1798" max="1798" width="2.42578125" style="291" customWidth="1"/>
    <col min="1799" max="1799" width="10.85546875" style="291" customWidth="1"/>
    <col min="1800" max="1800" width="2.42578125" style="291" customWidth="1"/>
    <col min="1801" max="1801" width="11.140625" style="291" customWidth="1"/>
    <col min="1802" max="1802" width="1.85546875" style="291" customWidth="1"/>
    <col min="1803" max="1803" width="11" style="291" customWidth="1"/>
    <col min="1804" max="1804" width="0.7109375" style="291" customWidth="1"/>
    <col min="1805" max="1805" width="1.85546875" style="291" customWidth="1"/>
    <col min="1806" max="1806" width="11.85546875" style="291" bestFit="1" customWidth="1"/>
    <col min="1807" max="1807" width="15.28515625" style="291" bestFit="1" customWidth="1"/>
    <col min="1808" max="1808" width="5" style="291" customWidth="1"/>
    <col min="1809" max="1809" width="10.42578125" style="291" bestFit="1" customWidth="1"/>
    <col min="1810" max="1810" width="5" style="291" customWidth="1"/>
    <col min="1811" max="1811" width="10.42578125" style="291" bestFit="1" customWidth="1"/>
    <col min="1812" max="1814" width="9" style="291"/>
    <col min="1815" max="1815" width="10.42578125" style="291" bestFit="1" customWidth="1"/>
    <col min="1816" max="2044" width="9" style="291"/>
    <col min="2045" max="2045" width="3.5703125" style="291" customWidth="1"/>
    <col min="2046" max="2046" width="4.85546875" style="291" customWidth="1"/>
    <col min="2047" max="2047" width="5.42578125" style="291" customWidth="1"/>
    <col min="2048" max="2048" width="31.28515625" style="291" customWidth="1"/>
    <col min="2049" max="2049" width="7.5703125" style="291" customWidth="1"/>
    <col min="2050" max="2050" width="2.42578125" style="291" customWidth="1"/>
    <col min="2051" max="2051" width="11.5703125" style="291" customWidth="1"/>
    <col min="2052" max="2052" width="2.42578125" style="291" customWidth="1"/>
    <col min="2053" max="2053" width="11.5703125" style="291" customWidth="1"/>
    <col min="2054" max="2054" width="2.42578125" style="291" customWidth="1"/>
    <col min="2055" max="2055" width="10.85546875" style="291" customWidth="1"/>
    <col min="2056" max="2056" width="2.42578125" style="291" customWidth="1"/>
    <col min="2057" max="2057" width="11.140625" style="291" customWidth="1"/>
    <col min="2058" max="2058" width="1.85546875" style="291" customWidth="1"/>
    <col min="2059" max="2059" width="11" style="291" customWidth="1"/>
    <col min="2060" max="2060" width="0.7109375" style="291" customWidth="1"/>
    <col min="2061" max="2061" width="1.85546875" style="291" customWidth="1"/>
    <col min="2062" max="2062" width="11.85546875" style="291" bestFit="1" customWidth="1"/>
    <col min="2063" max="2063" width="15.28515625" style="291" bestFit="1" customWidth="1"/>
    <col min="2064" max="2064" width="5" style="291" customWidth="1"/>
    <col min="2065" max="2065" width="10.42578125" style="291" bestFit="1" customWidth="1"/>
    <col min="2066" max="2066" width="5" style="291" customWidth="1"/>
    <col min="2067" max="2067" width="10.42578125" style="291" bestFit="1" customWidth="1"/>
    <col min="2068" max="2070" width="9" style="291"/>
    <col min="2071" max="2071" width="10.42578125" style="291" bestFit="1" customWidth="1"/>
    <col min="2072" max="2300" width="9" style="291"/>
    <col min="2301" max="2301" width="3.5703125" style="291" customWidth="1"/>
    <col min="2302" max="2302" width="4.85546875" style="291" customWidth="1"/>
    <col min="2303" max="2303" width="5.42578125" style="291" customWidth="1"/>
    <col min="2304" max="2304" width="31.28515625" style="291" customWidth="1"/>
    <col min="2305" max="2305" width="7.5703125" style="291" customWidth="1"/>
    <col min="2306" max="2306" width="2.42578125" style="291" customWidth="1"/>
    <col min="2307" max="2307" width="11.5703125" style="291" customWidth="1"/>
    <col min="2308" max="2308" width="2.42578125" style="291" customWidth="1"/>
    <col min="2309" max="2309" width="11.5703125" style="291" customWidth="1"/>
    <col min="2310" max="2310" width="2.42578125" style="291" customWidth="1"/>
    <col min="2311" max="2311" width="10.85546875" style="291" customWidth="1"/>
    <col min="2312" max="2312" width="2.42578125" style="291" customWidth="1"/>
    <col min="2313" max="2313" width="11.140625" style="291" customWidth="1"/>
    <col min="2314" max="2314" width="1.85546875" style="291" customWidth="1"/>
    <col min="2315" max="2315" width="11" style="291" customWidth="1"/>
    <col min="2316" max="2316" width="0.7109375" style="291" customWidth="1"/>
    <col min="2317" max="2317" width="1.85546875" style="291" customWidth="1"/>
    <col min="2318" max="2318" width="11.85546875" style="291" bestFit="1" customWidth="1"/>
    <col min="2319" max="2319" width="15.28515625" style="291" bestFit="1" customWidth="1"/>
    <col min="2320" max="2320" width="5" style="291" customWidth="1"/>
    <col min="2321" max="2321" width="10.42578125" style="291" bestFit="1" customWidth="1"/>
    <col min="2322" max="2322" width="5" style="291" customWidth="1"/>
    <col min="2323" max="2323" width="10.42578125" style="291" bestFit="1" customWidth="1"/>
    <col min="2324" max="2326" width="9" style="291"/>
    <col min="2327" max="2327" width="10.42578125" style="291" bestFit="1" customWidth="1"/>
    <col min="2328" max="2556" width="9" style="291"/>
    <col min="2557" max="2557" width="3.5703125" style="291" customWidth="1"/>
    <col min="2558" max="2558" width="4.85546875" style="291" customWidth="1"/>
    <col min="2559" max="2559" width="5.42578125" style="291" customWidth="1"/>
    <col min="2560" max="2560" width="31.28515625" style="291" customWidth="1"/>
    <col min="2561" max="2561" width="7.5703125" style="291" customWidth="1"/>
    <col min="2562" max="2562" width="2.42578125" style="291" customWidth="1"/>
    <col min="2563" max="2563" width="11.5703125" style="291" customWidth="1"/>
    <col min="2564" max="2564" width="2.42578125" style="291" customWidth="1"/>
    <col min="2565" max="2565" width="11.5703125" style="291" customWidth="1"/>
    <col min="2566" max="2566" width="2.42578125" style="291" customWidth="1"/>
    <col min="2567" max="2567" width="10.85546875" style="291" customWidth="1"/>
    <col min="2568" max="2568" width="2.42578125" style="291" customWidth="1"/>
    <col min="2569" max="2569" width="11.140625" style="291" customWidth="1"/>
    <col min="2570" max="2570" width="1.85546875" style="291" customWidth="1"/>
    <col min="2571" max="2571" width="11" style="291" customWidth="1"/>
    <col min="2572" max="2572" width="0.7109375" style="291" customWidth="1"/>
    <col min="2573" max="2573" width="1.85546875" style="291" customWidth="1"/>
    <col min="2574" max="2574" width="11.85546875" style="291" bestFit="1" customWidth="1"/>
    <col min="2575" max="2575" width="15.28515625" style="291" bestFit="1" customWidth="1"/>
    <col min="2576" max="2576" width="5" style="291" customWidth="1"/>
    <col min="2577" max="2577" width="10.42578125" style="291" bestFit="1" customWidth="1"/>
    <col min="2578" max="2578" width="5" style="291" customWidth="1"/>
    <col min="2579" max="2579" width="10.42578125" style="291" bestFit="1" customWidth="1"/>
    <col min="2580" max="2582" width="9" style="291"/>
    <col min="2583" max="2583" width="10.42578125" style="291" bestFit="1" customWidth="1"/>
    <col min="2584" max="2812" width="9" style="291"/>
    <col min="2813" max="2813" width="3.5703125" style="291" customWidth="1"/>
    <col min="2814" max="2814" width="4.85546875" style="291" customWidth="1"/>
    <col min="2815" max="2815" width="5.42578125" style="291" customWidth="1"/>
    <col min="2816" max="2816" width="31.28515625" style="291" customWidth="1"/>
    <col min="2817" max="2817" width="7.5703125" style="291" customWidth="1"/>
    <col min="2818" max="2818" width="2.42578125" style="291" customWidth="1"/>
    <col min="2819" max="2819" width="11.5703125" style="291" customWidth="1"/>
    <col min="2820" max="2820" width="2.42578125" style="291" customWidth="1"/>
    <col min="2821" max="2821" width="11.5703125" style="291" customWidth="1"/>
    <col min="2822" max="2822" width="2.42578125" style="291" customWidth="1"/>
    <col min="2823" max="2823" width="10.85546875" style="291" customWidth="1"/>
    <col min="2824" max="2824" width="2.42578125" style="291" customWidth="1"/>
    <col min="2825" max="2825" width="11.140625" style="291" customWidth="1"/>
    <col min="2826" max="2826" width="1.85546875" style="291" customWidth="1"/>
    <col min="2827" max="2827" width="11" style="291" customWidth="1"/>
    <col min="2828" max="2828" width="0.7109375" style="291" customWidth="1"/>
    <col min="2829" max="2829" width="1.85546875" style="291" customWidth="1"/>
    <col min="2830" max="2830" width="11.85546875" style="291" bestFit="1" customWidth="1"/>
    <col min="2831" max="2831" width="15.28515625" style="291" bestFit="1" customWidth="1"/>
    <col min="2832" max="2832" width="5" style="291" customWidth="1"/>
    <col min="2833" max="2833" width="10.42578125" style="291" bestFit="1" customWidth="1"/>
    <col min="2834" max="2834" width="5" style="291" customWidth="1"/>
    <col min="2835" max="2835" width="10.42578125" style="291" bestFit="1" customWidth="1"/>
    <col min="2836" max="2838" width="9" style="291"/>
    <col min="2839" max="2839" width="10.42578125" style="291" bestFit="1" customWidth="1"/>
    <col min="2840" max="3068" width="9" style="291"/>
    <col min="3069" max="3069" width="3.5703125" style="291" customWidth="1"/>
    <col min="3070" max="3070" width="4.85546875" style="291" customWidth="1"/>
    <col min="3071" max="3071" width="5.42578125" style="291" customWidth="1"/>
    <col min="3072" max="3072" width="31.28515625" style="291" customWidth="1"/>
    <col min="3073" max="3073" width="7.5703125" style="291" customWidth="1"/>
    <col min="3074" max="3074" width="2.42578125" style="291" customWidth="1"/>
    <col min="3075" max="3075" width="11.5703125" style="291" customWidth="1"/>
    <col min="3076" max="3076" width="2.42578125" style="291" customWidth="1"/>
    <col min="3077" max="3077" width="11.5703125" style="291" customWidth="1"/>
    <col min="3078" max="3078" width="2.42578125" style="291" customWidth="1"/>
    <col min="3079" max="3079" width="10.85546875" style="291" customWidth="1"/>
    <col min="3080" max="3080" width="2.42578125" style="291" customWidth="1"/>
    <col min="3081" max="3081" width="11.140625" style="291" customWidth="1"/>
    <col min="3082" max="3082" width="1.85546875" style="291" customWidth="1"/>
    <col min="3083" max="3083" width="11" style="291" customWidth="1"/>
    <col min="3084" max="3084" width="0.7109375" style="291" customWidth="1"/>
    <col min="3085" max="3085" width="1.85546875" style="291" customWidth="1"/>
    <col min="3086" max="3086" width="11.85546875" style="291" bestFit="1" customWidth="1"/>
    <col min="3087" max="3087" width="15.28515625" style="291" bestFit="1" customWidth="1"/>
    <col min="3088" max="3088" width="5" style="291" customWidth="1"/>
    <col min="3089" max="3089" width="10.42578125" style="291" bestFit="1" customWidth="1"/>
    <col min="3090" max="3090" width="5" style="291" customWidth="1"/>
    <col min="3091" max="3091" width="10.42578125" style="291" bestFit="1" customWidth="1"/>
    <col min="3092" max="3094" width="9" style="291"/>
    <col min="3095" max="3095" width="10.42578125" style="291" bestFit="1" customWidth="1"/>
    <col min="3096" max="3324" width="9" style="291"/>
    <col min="3325" max="3325" width="3.5703125" style="291" customWidth="1"/>
    <col min="3326" max="3326" width="4.85546875" style="291" customWidth="1"/>
    <col min="3327" max="3327" width="5.42578125" style="291" customWidth="1"/>
    <col min="3328" max="3328" width="31.28515625" style="291" customWidth="1"/>
    <col min="3329" max="3329" width="7.5703125" style="291" customWidth="1"/>
    <col min="3330" max="3330" width="2.42578125" style="291" customWidth="1"/>
    <col min="3331" max="3331" width="11.5703125" style="291" customWidth="1"/>
    <col min="3332" max="3332" width="2.42578125" style="291" customWidth="1"/>
    <col min="3333" max="3333" width="11.5703125" style="291" customWidth="1"/>
    <col min="3334" max="3334" width="2.42578125" style="291" customWidth="1"/>
    <col min="3335" max="3335" width="10.85546875" style="291" customWidth="1"/>
    <col min="3336" max="3336" width="2.42578125" style="291" customWidth="1"/>
    <col min="3337" max="3337" width="11.140625" style="291" customWidth="1"/>
    <col min="3338" max="3338" width="1.85546875" style="291" customWidth="1"/>
    <col min="3339" max="3339" width="11" style="291" customWidth="1"/>
    <col min="3340" max="3340" width="0.7109375" style="291" customWidth="1"/>
    <col min="3341" max="3341" width="1.85546875" style="291" customWidth="1"/>
    <col min="3342" max="3342" width="11.85546875" style="291" bestFit="1" customWidth="1"/>
    <col min="3343" max="3343" width="15.28515625" style="291" bestFit="1" customWidth="1"/>
    <col min="3344" max="3344" width="5" style="291" customWidth="1"/>
    <col min="3345" max="3345" width="10.42578125" style="291" bestFit="1" customWidth="1"/>
    <col min="3346" max="3346" width="5" style="291" customWidth="1"/>
    <col min="3347" max="3347" width="10.42578125" style="291" bestFit="1" customWidth="1"/>
    <col min="3348" max="3350" width="9" style="291"/>
    <col min="3351" max="3351" width="10.42578125" style="291" bestFit="1" customWidth="1"/>
    <col min="3352" max="3580" width="9" style="291"/>
    <col min="3581" max="3581" width="3.5703125" style="291" customWidth="1"/>
    <col min="3582" max="3582" width="4.85546875" style="291" customWidth="1"/>
    <col min="3583" max="3583" width="5.42578125" style="291" customWidth="1"/>
    <col min="3584" max="3584" width="31.28515625" style="291" customWidth="1"/>
    <col min="3585" max="3585" width="7.5703125" style="291" customWidth="1"/>
    <col min="3586" max="3586" width="2.42578125" style="291" customWidth="1"/>
    <col min="3587" max="3587" width="11.5703125" style="291" customWidth="1"/>
    <col min="3588" max="3588" width="2.42578125" style="291" customWidth="1"/>
    <col min="3589" max="3589" width="11.5703125" style="291" customWidth="1"/>
    <col min="3590" max="3590" width="2.42578125" style="291" customWidth="1"/>
    <col min="3591" max="3591" width="10.85546875" style="291" customWidth="1"/>
    <col min="3592" max="3592" width="2.42578125" style="291" customWidth="1"/>
    <col min="3593" max="3593" width="11.140625" style="291" customWidth="1"/>
    <col min="3594" max="3594" width="1.85546875" style="291" customWidth="1"/>
    <col min="3595" max="3595" width="11" style="291" customWidth="1"/>
    <col min="3596" max="3596" width="0.7109375" style="291" customWidth="1"/>
    <col min="3597" max="3597" width="1.85546875" style="291" customWidth="1"/>
    <col min="3598" max="3598" width="11.85546875" style="291" bestFit="1" customWidth="1"/>
    <col min="3599" max="3599" width="15.28515625" style="291" bestFit="1" customWidth="1"/>
    <col min="3600" max="3600" width="5" style="291" customWidth="1"/>
    <col min="3601" max="3601" width="10.42578125" style="291" bestFit="1" customWidth="1"/>
    <col min="3602" max="3602" width="5" style="291" customWidth="1"/>
    <col min="3603" max="3603" width="10.42578125" style="291" bestFit="1" customWidth="1"/>
    <col min="3604" max="3606" width="9" style="291"/>
    <col min="3607" max="3607" width="10.42578125" style="291" bestFit="1" customWidth="1"/>
    <col min="3608" max="3836" width="9" style="291"/>
    <col min="3837" max="3837" width="3.5703125" style="291" customWidth="1"/>
    <col min="3838" max="3838" width="4.85546875" style="291" customWidth="1"/>
    <col min="3839" max="3839" width="5.42578125" style="291" customWidth="1"/>
    <col min="3840" max="3840" width="31.28515625" style="291" customWidth="1"/>
    <col min="3841" max="3841" width="7.5703125" style="291" customWidth="1"/>
    <col min="3842" max="3842" width="2.42578125" style="291" customWidth="1"/>
    <col min="3843" max="3843" width="11.5703125" style="291" customWidth="1"/>
    <col min="3844" max="3844" width="2.42578125" style="291" customWidth="1"/>
    <col min="3845" max="3845" width="11.5703125" style="291" customWidth="1"/>
    <col min="3846" max="3846" width="2.42578125" style="291" customWidth="1"/>
    <col min="3847" max="3847" width="10.85546875" style="291" customWidth="1"/>
    <col min="3848" max="3848" width="2.42578125" style="291" customWidth="1"/>
    <col min="3849" max="3849" width="11.140625" style="291" customWidth="1"/>
    <col min="3850" max="3850" width="1.85546875" style="291" customWidth="1"/>
    <col min="3851" max="3851" width="11" style="291" customWidth="1"/>
    <col min="3852" max="3852" width="0.7109375" style="291" customWidth="1"/>
    <col min="3853" max="3853" width="1.85546875" style="291" customWidth="1"/>
    <col min="3854" max="3854" width="11.85546875" style="291" bestFit="1" customWidth="1"/>
    <col min="3855" max="3855" width="15.28515625" style="291" bestFit="1" customWidth="1"/>
    <col min="3856" max="3856" width="5" style="291" customWidth="1"/>
    <col min="3857" max="3857" width="10.42578125" style="291" bestFit="1" customWidth="1"/>
    <col min="3858" max="3858" width="5" style="291" customWidth="1"/>
    <col min="3859" max="3859" width="10.42578125" style="291" bestFit="1" customWidth="1"/>
    <col min="3860" max="3862" width="9" style="291"/>
    <col min="3863" max="3863" width="10.42578125" style="291" bestFit="1" customWidth="1"/>
    <col min="3864" max="4092" width="9" style="291"/>
    <col min="4093" max="4093" width="3.5703125" style="291" customWidth="1"/>
    <col min="4094" max="4094" width="4.85546875" style="291" customWidth="1"/>
    <col min="4095" max="4095" width="5.42578125" style="291" customWidth="1"/>
    <col min="4096" max="4096" width="31.28515625" style="291" customWidth="1"/>
    <col min="4097" max="4097" width="7.5703125" style="291" customWidth="1"/>
    <col min="4098" max="4098" width="2.42578125" style="291" customWidth="1"/>
    <col min="4099" max="4099" width="11.5703125" style="291" customWidth="1"/>
    <col min="4100" max="4100" width="2.42578125" style="291" customWidth="1"/>
    <col min="4101" max="4101" width="11.5703125" style="291" customWidth="1"/>
    <col min="4102" max="4102" width="2.42578125" style="291" customWidth="1"/>
    <col min="4103" max="4103" width="10.85546875" style="291" customWidth="1"/>
    <col min="4104" max="4104" width="2.42578125" style="291" customWidth="1"/>
    <col min="4105" max="4105" width="11.140625" style="291" customWidth="1"/>
    <col min="4106" max="4106" width="1.85546875" style="291" customWidth="1"/>
    <col min="4107" max="4107" width="11" style="291" customWidth="1"/>
    <col min="4108" max="4108" width="0.7109375" style="291" customWidth="1"/>
    <col min="4109" max="4109" width="1.85546875" style="291" customWidth="1"/>
    <col min="4110" max="4110" width="11.85546875" style="291" bestFit="1" customWidth="1"/>
    <col min="4111" max="4111" width="15.28515625" style="291" bestFit="1" customWidth="1"/>
    <col min="4112" max="4112" width="5" style="291" customWidth="1"/>
    <col min="4113" max="4113" width="10.42578125" style="291" bestFit="1" customWidth="1"/>
    <col min="4114" max="4114" width="5" style="291" customWidth="1"/>
    <col min="4115" max="4115" width="10.42578125" style="291" bestFit="1" customWidth="1"/>
    <col min="4116" max="4118" width="9" style="291"/>
    <col min="4119" max="4119" width="10.42578125" style="291" bestFit="1" customWidth="1"/>
    <col min="4120" max="4348" width="9" style="291"/>
    <col min="4349" max="4349" width="3.5703125" style="291" customWidth="1"/>
    <col min="4350" max="4350" width="4.85546875" style="291" customWidth="1"/>
    <col min="4351" max="4351" width="5.42578125" style="291" customWidth="1"/>
    <col min="4352" max="4352" width="31.28515625" style="291" customWidth="1"/>
    <col min="4353" max="4353" width="7.5703125" style="291" customWidth="1"/>
    <col min="4354" max="4354" width="2.42578125" style="291" customWidth="1"/>
    <col min="4355" max="4355" width="11.5703125" style="291" customWidth="1"/>
    <col min="4356" max="4356" width="2.42578125" style="291" customWidth="1"/>
    <col min="4357" max="4357" width="11.5703125" style="291" customWidth="1"/>
    <col min="4358" max="4358" width="2.42578125" style="291" customWidth="1"/>
    <col min="4359" max="4359" width="10.85546875" style="291" customWidth="1"/>
    <col min="4360" max="4360" width="2.42578125" style="291" customWidth="1"/>
    <col min="4361" max="4361" width="11.140625" style="291" customWidth="1"/>
    <col min="4362" max="4362" width="1.85546875" style="291" customWidth="1"/>
    <col min="4363" max="4363" width="11" style="291" customWidth="1"/>
    <col min="4364" max="4364" width="0.7109375" style="291" customWidth="1"/>
    <col min="4365" max="4365" width="1.85546875" style="291" customWidth="1"/>
    <col min="4366" max="4366" width="11.85546875" style="291" bestFit="1" customWidth="1"/>
    <col min="4367" max="4367" width="15.28515625" style="291" bestFit="1" customWidth="1"/>
    <col min="4368" max="4368" width="5" style="291" customWidth="1"/>
    <col min="4369" max="4369" width="10.42578125" style="291" bestFit="1" customWidth="1"/>
    <col min="4370" max="4370" width="5" style="291" customWidth="1"/>
    <col min="4371" max="4371" width="10.42578125" style="291" bestFit="1" customWidth="1"/>
    <col min="4372" max="4374" width="9" style="291"/>
    <col min="4375" max="4375" width="10.42578125" style="291" bestFit="1" customWidth="1"/>
    <col min="4376" max="4604" width="9" style="291"/>
    <col min="4605" max="4605" width="3.5703125" style="291" customWidth="1"/>
    <col min="4606" max="4606" width="4.85546875" style="291" customWidth="1"/>
    <col min="4607" max="4607" width="5.42578125" style="291" customWidth="1"/>
    <col min="4608" max="4608" width="31.28515625" style="291" customWidth="1"/>
    <col min="4609" max="4609" width="7.5703125" style="291" customWidth="1"/>
    <col min="4610" max="4610" width="2.42578125" style="291" customWidth="1"/>
    <col min="4611" max="4611" width="11.5703125" style="291" customWidth="1"/>
    <col min="4612" max="4612" width="2.42578125" style="291" customWidth="1"/>
    <col min="4613" max="4613" width="11.5703125" style="291" customWidth="1"/>
    <col min="4614" max="4614" width="2.42578125" style="291" customWidth="1"/>
    <col min="4615" max="4615" width="10.85546875" style="291" customWidth="1"/>
    <col min="4616" max="4616" width="2.42578125" style="291" customWidth="1"/>
    <col min="4617" max="4617" width="11.140625" style="291" customWidth="1"/>
    <col min="4618" max="4618" width="1.85546875" style="291" customWidth="1"/>
    <col min="4619" max="4619" width="11" style="291" customWidth="1"/>
    <col min="4620" max="4620" width="0.7109375" style="291" customWidth="1"/>
    <col min="4621" max="4621" width="1.85546875" style="291" customWidth="1"/>
    <col min="4622" max="4622" width="11.85546875" style="291" bestFit="1" customWidth="1"/>
    <col min="4623" max="4623" width="15.28515625" style="291" bestFit="1" customWidth="1"/>
    <col min="4624" max="4624" width="5" style="291" customWidth="1"/>
    <col min="4625" max="4625" width="10.42578125" style="291" bestFit="1" customWidth="1"/>
    <col min="4626" max="4626" width="5" style="291" customWidth="1"/>
    <col min="4627" max="4627" width="10.42578125" style="291" bestFit="1" customWidth="1"/>
    <col min="4628" max="4630" width="9" style="291"/>
    <col min="4631" max="4631" width="10.42578125" style="291" bestFit="1" customWidth="1"/>
    <col min="4632" max="4860" width="9" style="291"/>
    <col min="4861" max="4861" width="3.5703125" style="291" customWidth="1"/>
    <col min="4862" max="4862" width="4.85546875" style="291" customWidth="1"/>
    <col min="4863" max="4863" width="5.42578125" style="291" customWidth="1"/>
    <col min="4864" max="4864" width="31.28515625" style="291" customWidth="1"/>
    <col min="4865" max="4865" width="7.5703125" style="291" customWidth="1"/>
    <col min="4866" max="4866" width="2.42578125" style="291" customWidth="1"/>
    <col min="4867" max="4867" width="11.5703125" style="291" customWidth="1"/>
    <col min="4868" max="4868" width="2.42578125" style="291" customWidth="1"/>
    <col min="4869" max="4869" width="11.5703125" style="291" customWidth="1"/>
    <col min="4870" max="4870" width="2.42578125" style="291" customWidth="1"/>
    <col min="4871" max="4871" width="10.85546875" style="291" customWidth="1"/>
    <col min="4872" max="4872" width="2.42578125" style="291" customWidth="1"/>
    <col min="4873" max="4873" width="11.140625" style="291" customWidth="1"/>
    <col min="4874" max="4874" width="1.85546875" style="291" customWidth="1"/>
    <col min="4875" max="4875" width="11" style="291" customWidth="1"/>
    <col min="4876" max="4876" width="0.7109375" style="291" customWidth="1"/>
    <col min="4877" max="4877" width="1.85546875" style="291" customWidth="1"/>
    <col min="4878" max="4878" width="11.85546875" style="291" bestFit="1" customWidth="1"/>
    <col min="4879" max="4879" width="15.28515625" style="291" bestFit="1" customWidth="1"/>
    <col min="4880" max="4880" width="5" style="291" customWidth="1"/>
    <col min="4881" max="4881" width="10.42578125" style="291" bestFit="1" customWidth="1"/>
    <col min="4882" max="4882" width="5" style="291" customWidth="1"/>
    <col min="4883" max="4883" width="10.42578125" style="291" bestFit="1" customWidth="1"/>
    <col min="4884" max="4886" width="9" style="291"/>
    <col min="4887" max="4887" width="10.42578125" style="291" bestFit="1" customWidth="1"/>
    <col min="4888" max="5116" width="9" style="291"/>
    <col min="5117" max="5117" width="3.5703125" style="291" customWidth="1"/>
    <col min="5118" max="5118" width="4.85546875" style="291" customWidth="1"/>
    <col min="5119" max="5119" width="5.42578125" style="291" customWidth="1"/>
    <col min="5120" max="5120" width="31.28515625" style="291" customWidth="1"/>
    <col min="5121" max="5121" width="7.5703125" style="291" customWidth="1"/>
    <col min="5122" max="5122" width="2.42578125" style="291" customWidth="1"/>
    <col min="5123" max="5123" width="11.5703125" style="291" customWidth="1"/>
    <col min="5124" max="5124" width="2.42578125" style="291" customWidth="1"/>
    <col min="5125" max="5125" width="11.5703125" style="291" customWidth="1"/>
    <col min="5126" max="5126" width="2.42578125" style="291" customWidth="1"/>
    <col min="5127" max="5127" width="10.85546875" style="291" customWidth="1"/>
    <col min="5128" max="5128" width="2.42578125" style="291" customWidth="1"/>
    <col min="5129" max="5129" width="11.140625" style="291" customWidth="1"/>
    <col min="5130" max="5130" width="1.85546875" style="291" customWidth="1"/>
    <col min="5131" max="5131" width="11" style="291" customWidth="1"/>
    <col min="5132" max="5132" width="0.7109375" style="291" customWidth="1"/>
    <col min="5133" max="5133" width="1.85546875" style="291" customWidth="1"/>
    <col min="5134" max="5134" width="11.85546875" style="291" bestFit="1" customWidth="1"/>
    <col min="5135" max="5135" width="15.28515625" style="291" bestFit="1" customWidth="1"/>
    <col min="5136" max="5136" width="5" style="291" customWidth="1"/>
    <col min="5137" max="5137" width="10.42578125" style="291" bestFit="1" customWidth="1"/>
    <col min="5138" max="5138" width="5" style="291" customWidth="1"/>
    <col min="5139" max="5139" width="10.42578125" style="291" bestFit="1" customWidth="1"/>
    <col min="5140" max="5142" width="9" style="291"/>
    <col min="5143" max="5143" width="10.42578125" style="291" bestFit="1" customWidth="1"/>
    <col min="5144" max="5372" width="9" style="291"/>
    <col min="5373" max="5373" width="3.5703125" style="291" customWidth="1"/>
    <col min="5374" max="5374" width="4.85546875" style="291" customWidth="1"/>
    <col min="5375" max="5375" width="5.42578125" style="291" customWidth="1"/>
    <col min="5376" max="5376" width="31.28515625" style="291" customWidth="1"/>
    <col min="5377" max="5377" width="7.5703125" style="291" customWidth="1"/>
    <col min="5378" max="5378" width="2.42578125" style="291" customWidth="1"/>
    <col min="5379" max="5379" width="11.5703125" style="291" customWidth="1"/>
    <col min="5380" max="5380" width="2.42578125" style="291" customWidth="1"/>
    <col min="5381" max="5381" width="11.5703125" style="291" customWidth="1"/>
    <col min="5382" max="5382" width="2.42578125" style="291" customWidth="1"/>
    <col min="5383" max="5383" width="10.85546875" style="291" customWidth="1"/>
    <col min="5384" max="5384" width="2.42578125" style="291" customWidth="1"/>
    <col min="5385" max="5385" width="11.140625" style="291" customWidth="1"/>
    <col min="5386" max="5386" width="1.85546875" style="291" customWidth="1"/>
    <col min="5387" max="5387" width="11" style="291" customWidth="1"/>
    <col min="5388" max="5388" width="0.7109375" style="291" customWidth="1"/>
    <col min="5389" max="5389" width="1.85546875" style="291" customWidth="1"/>
    <col min="5390" max="5390" width="11.85546875" style="291" bestFit="1" customWidth="1"/>
    <col min="5391" max="5391" width="15.28515625" style="291" bestFit="1" customWidth="1"/>
    <col min="5392" max="5392" width="5" style="291" customWidth="1"/>
    <col min="5393" max="5393" width="10.42578125" style="291" bestFit="1" customWidth="1"/>
    <col min="5394" max="5394" width="5" style="291" customWidth="1"/>
    <col min="5395" max="5395" width="10.42578125" style="291" bestFit="1" customWidth="1"/>
    <col min="5396" max="5398" width="9" style="291"/>
    <col min="5399" max="5399" width="10.42578125" style="291" bestFit="1" customWidth="1"/>
    <col min="5400" max="5628" width="9" style="291"/>
    <col min="5629" max="5629" width="3.5703125" style="291" customWidth="1"/>
    <col min="5630" max="5630" width="4.85546875" style="291" customWidth="1"/>
    <col min="5631" max="5631" width="5.42578125" style="291" customWidth="1"/>
    <col min="5632" max="5632" width="31.28515625" style="291" customWidth="1"/>
    <col min="5633" max="5633" width="7.5703125" style="291" customWidth="1"/>
    <col min="5634" max="5634" width="2.42578125" style="291" customWidth="1"/>
    <col min="5635" max="5635" width="11.5703125" style="291" customWidth="1"/>
    <col min="5636" max="5636" width="2.42578125" style="291" customWidth="1"/>
    <col min="5637" max="5637" width="11.5703125" style="291" customWidth="1"/>
    <col min="5638" max="5638" width="2.42578125" style="291" customWidth="1"/>
    <col min="5639" max="5639" width="10.85546875" style="291" customWidth="1"/>
    <col min="5640" max="5640" width="2.42578125" style="291" customWidth="1"/>
    <col min="5641" max="5641" width="11.140625" style="291" customWidth="1"/>
    <col min="5642" max="5642" width="1.85546875" style="291" customWidth="1"/>
    <col min="5643" max="5643" width="11" style="291" customWidth="1"/>
    <col min="5644" max="5644" width="0.7109375" style="291" customWidth="1"/>
    <col min="5645" max="5645" width="1.85546875" style="291" customWidth="1"/>
    <col min="5646" max="5646" width="11.85546875" style="291" bestFit="1" customWidth="1"/>
    <col min="5647" max="5647" width="15.28515625" style="291" bestFit="1" customWidth="1"/>
    <col min="5648" max="5648" width="5" style="291" customWidth="1"/>
    <col min="5649" max="5649" width="10.42578125" style="291" bestFit="1" customWidth="1"/>
    <col min="5650" max="5650" width="5" style="291" customWidth="1"/>
    <col min="5651" max="5651" width="10.42578125" style="291" bestFit="1" customWidth="1"/>
    <col min="5652" max="5654" width="9" style="291"/>
    <col min="5655" max="5655" width="10.42578125" style="291" bestFit="1" customWidth="1"/>
    <col min="5656" max="5884" width="9" style="291"/>
    <col min="5885" max="5885" width="3.5703125" style="291" customWidth="1"/>
    <col min="5886" max="5886" width="4.85546875" style="291" customWidth="1"/>
    <col min="5887" max="5887" width="5.42578125" style="291" customWidth="1"/>
    <col min="5888" max="5888" width="31.28515625" style="291" customWidth="1"/>
    <col min="5889" max="5889" width="7.5703125" style="291" customWidth="1"/>
    <col min="5890" max="5890" width="2.42578125" style="291" customWidth="1"/>
    <col min="5891" max="5891" width="11.5703125" style="291" customWidth="1"/>
    <col min="5892" max="5892" width="2.42578125" style="291" customWidth="1"/>
    <col min="5893" max="5893" width="11.5703125" style="291" customWidth="1"/>
    <col min="5894" max="5894" width="2.42578125" style="291" customWidth="1"/>
    <col min="5895" max="5895" width="10.85546875" style="291" customWidth="1"/>
    <col min="5896" max="5896" width="2.42578125" style="291" customWidth="1"/>
    <col min="5897" max="5897" width="11.140625" style="291" customWidth="1"/>
    <col min="5898" max="5898" width="1.85546875" style="291" customWidth="1"/>
    <col min="5899" max="5899" width="11" style="291" customWidth="1"/>
    <col min="5900" max="5900" width="0.7109375" style="291" customWidth="1"/>
    <col min="5901" max="5901" width="1.85546875" style="291" customWidth="1"/>
    <col min="5902" max="5902" width="11.85546875" style="291" bestFit="1" customWidth="1"/>
    <col min="5903" max="5903" width="15.28515625" style="291" bestFit="1" customWidth="1"/>
    <col min="5904" max="5904" width="5" style="291" customWidth="1"/>
    <col min="5905" max="5905" width="10.42578125" style="291" bestFit="1" customWidth="1"/>
    <col min="5906" max="5906" width="5" style="291" customWidth="1"/>
    <col min="5907" max="5907" width="10.42578125" style="291" bestFit="1" customWidth="1"/>
    <col min="5908" max="5910" width="9" style="291"/>
    <col min="5911" max="5911" width="10.42578125" style="291" bestFit="1" customWidth="1"/>
    <col min="5912" max="6140" width="9" style="291"/>
    <col min="6141" max="6141" width="3.5703125" style="291" customWidth="1"/>
    <col min="6142" max="6142" width="4.85546875" style="291" customWidth="1"/>
    <col min="6143" max="6143" width="5.42578125" style="291" customWidth="1"/>
    <col min="6144" max="6144" width="31.28515625" style="291" customWidth="1"/>
    <col min="6145" max="6145" width="7.5703125" style="291" customWidth="1"/>
    <col min="6146" max="6146" width="2.42578125" style="291" customWidth="1"/>
    <col min="6147" max="6147" width="11.5703125" style="291" customWidth="1"/>
    <col min="6148" max="6148" width="2.42578125" style="291" customWidth="1"/>
    <col min="6149" max="6149" width="11.5703125" style="291" customWidth="1"/>
    <col min="6150" max="6150" width="2.42578125" style="291" customWidth="1"/>
    <col min="6151" max="6151" width="10.85546875" style="291" customWidth="1"/>
    <col min="6152" max="6152" width="2.42578125" style="291" customWidth="1"/>
    <col min="6153" max="6153" width="11.140625" style="291" customWidth="1"/>
    <col min="6154" max="6154" width="1.85546875" style="291" customWidth="1"/>
    <col min="6155" max="6155" width="11" style="291" customWidth="1"/>
    <col min="6156" max="6156" width="0.7109375" style="291" customWidth="1"/>
    <col min="6157" max="6157" width="1.85546875" style="291" customWidth="1"/>
    <col min="6158" max="6158" width="11.85546875" style="291" bestFit="1" customWidth="1"/>
    <col min="6159" max="6159" width="15.28515625" style="291" bestFit="1" customWidth="1"/>
    <col min="6160" max="6160" width="5" style="291" customWidth="1"/>
    <col min="6161" max="6161" width="10.42578125" style="291" bestFit="1" customWidth="1"/>
    <col min="6162" max="6162" width="5" style="291" customWidth="1"/>
    <col min="6163" max="6163" width="10.42578125" style="291" bestFit="1" customWidth="1"/>
    <col min="6164" max="6166" width="9" style="291"/>
    <col min="6167" max="6167" width="10.42578125" style="291" bestFit="1" customWidth="1"/>
    <col min="6168" max="6396" width="9" style="291"/>
    <col min="6397" max="6397" width="3.5703125" style="291" customWidth="1"/>
    <col min="6398" max="6398" width="4.85546875" style="291" customWidth="1"/>
    <col min="6399" max="6399" width="5.42578125" style="291" customWidth="1"/>
    <col min="6400" max="6400" width="31.28515625" style="291" customWidth="1"/>
    <col min="6401" max="6401" width="7.5703125" style="291" customWidth="1"/>
    <col min="6402" max="6402" width="2.42578125" style="291" customWidth="1"/>
    <col min="6403" max="6403" width="11.5703125" style="291" customWidth="1"/>
    <col min="6404" max="6404" width="2.42578125" style="291" customWidth="1"/>
    <col min="6405" max="6405" width="11.5703125" style="291" customWidth="1"/>
    <col min="6406" max="6406" width="2.42578125" style="291" customWidth="1"/>
    <col min="6407" max="6407" width="10.85546875" style="291" customWidth="1"/>
    <col min="6408" max="6408" width="2.42578125" style="291" customWidth="1"/>
    <col min="6409" max="6409" width="11.140625" style="291" customWidth="1"/>
    <col min="6410" max="6410" width="1.85546875" style="291" customWidth="1"/>
    <col min="6411" max="6411" width="11" style="291" customWidth="1"/>
    <col min="6412" max="6412" width="0.7109375" style="291" customWidth="1"/>
    <col min="6413" max="6413" width="1.85546875" style="291" customWidth="1"/>
    <col min="6414" max="6414" width="11.85546875" style="291" bestFit="1" customWidth="1"/>
    <col min="6415" max="6415" width="15.28515625" style="291" bestFit="1" customWidth="1"/>
    <col min="6416" max="6416" width="5" style="291" customWidth="1"/>
    <col min="6417" max="6417" width="10.42578125" style="291" bestFit="1" customWidth="1"/>
    <col min="6418" max="6418" width="5" style="291" customWidth="1"/>
    <col min="6419" max="6419" width="10.42578125" style="291" bestFit="1" customWidth="1"/>
    <col min="6420" max="6422" width="9" style="291"/>
    <col min="6423" max="6423" width="10.42578125" style="291" bestFit="1" customWidth="1"/>
    <col min="6424" max="6652" width="9" style="291"/>
    <col min="6653" max="6653" width="3.5703125" style="291" customWidth="1"/>
    <col min="6654" max="6654" width="4.85546875" style="291" customWidth="1"/>
    <col min="6655" max="6655" width="5.42578125" style="291" customWidth="1"/>
    <col min="6656" max="6656" width="31.28515625" style="291" customWidth="1"/>
    <col min="6657" max="6657" width="7.5703125" style="291" customWidth="1"/>
    <col min="6658" max="6658" width="2.42578125" style="291" customWidth="1"/>
    <col min="6659" max="6659" width="11.5703125" style="291" customWidth="1"/>
    <col min="6660" max="6660" width="2.42578125" style="291" customWidth="1"/>
    <col min="6661" max="6661" width="11.5703125" style="291" customWidth="1"/>
    <col min="6662" max="6662" width="2.42578125" style="291" customWidth="1"/>
    <col min="6663" max="6663" width="10.85546875" style="291" customWidth="1"/>
    <col min="6664" max="6664" width="2.42578125" style="291" customWidth="1"/>
    <col min="6665" max="6665" width="11.140625" style="291" customWidth="1"/>
    <col min="6666" max="6666" width="1.85546875" style="291" customWidth="1"/>
    <col min="6667" max="6667" width="11" style="291" customWidth="1"/>
    <col min="6668" max="6668" width="0.7109375" style="291" customWidth="1"/>
    <col min="6669" max="6669" width="1.85546875" style="291" customWidth="1"/>
    <col min="6670" max="6670" width="11.85546875" style="291" bestFit="1" customWidth="1"/>
    <col min="6671" max="6671" width="15.28515625" style="291" bestFit="1" customWidth="1"/>
    <col min="6672" max="6672" width="5" style="291" customWidth="1"/>
    <col min="6673" max="6673" width="10.42578125" style="291" bestFit="1" customWidth="1"/>
    <col min="6674" max="6674" width="5" style="291" customWidth="1"/>
    <col min="6675" max="6675" width="10.42578125" style="291" bestFit="1" customWidth="1"/>
    <col min="6676" max="6678" width="9" style="291"/>
    <col min="6679" max="6679" width="10.42578125" style="291" bestFit="1" customWidth="1"/>
    <col min="6680" max="6908" width="9" style="291"/>
    <col min="6909" max="6909" width="3.5703125" style="291" customWidth="1"/>
    <col min="6910" max="6910" width="4.85546875" style="291" customWidth="1"/>
    <col min="6911" max="6911" width="5.42578125" style="291" customWidth="1"/>
    <col min="6912" max="6912" width="31.28515625" style="291" customWidth="1"/>
    <col min="6913" max="6913" width="7.5703125" style="291" customWidth="1"/>
    <col min="6914" max="6914" width="2.42578125" style="291" customWidth="1"/>
    <col min="6915" max="6915" width="11.5703125" style="291" customWidth="1"/>
    <col min="6916" max="6916" width="2.42578125" style="291" customWidth="1"/>
    <col min="6917" max="6917" width="11.5703125" style="291" customWidth="1"/>
    <col min="6918" max="6918" width="2.42578125" style="291" customWidth="1"/>
    <col min="6919" max="6919" width="10.85546875" style="291" customWidth="1"/>
    <col min="6920" max="6920" width="2.42578125" style="291" customWidth="1"/>
    <col min="6921" max="6921" width="11.140625" style="291" customWidth="1"/>
    <col min="6922" max="6922" width="1.85546875" style="291" customWidth="1"/>
    <col min="6923" max="6923" width="11" style="291" customWidth="1"/>
    <col min="6924" max="6924" width="0.7109375" style="291" customWidth="1"/>
    <col min="6925" max="6925" width="1.85546875" style="291" customWidth="1"/>
    <col min="6926" max="6926" width="11.85546875" style="291" bestFit="1" customWidth="1"/>
    <col min="6927" max="6927" width="15.28515625" style="291" bestFit="1" customWidth="1"/>
    <col min="6928" max="6928" width="5" style="291" customWidth="1"/>
    <col min="6929" max="6929" width="10.42578125" style="291" bestFit="1" customWidth="1"/>
    <col min="6930" max="6930" width="5" style="291" customWidth="1"/>
    <col min="6931" max="6931" width="10.42578125" style="291" bestFit="1" customWidth="1"/>
    <col min="6932" max="6934" width="9" style="291"/>
    <col min="6935" max="6935" width="10.42578125" style="291" bestFit="1" customWidth="1"/>
    <col min="6936" max="7164" width="9" style="291"/>
    <col min="7165" max="7165" width="3.5703125" style="291" customWidth="1"/>
    <col min="7166" max="7166" width="4.85546875" style="291" customWidth="1"/>
    <col min="7167" max="7167" width="5.42578125" style="291" customWidth="1"/>
    <col min="7168" max="7168" width="31.28515625" style="291" customWidth="1"/>
    <col min="7169" max="7169" width="7.5703125" style="291" customWidth="1"/>
    <col min="7170" max="7170" width="2.42578125" style="291" customWidth="1"/>
    <col min="7171" max="7171" width="11.5703125" style="291" customWidth="1"/>
    <col min="7172" max="7172" width="2.42578125" style="291" customWidth="1"/>
    <col min="7173" max="7173" width="11.5703125" style="291" customWidth="1"/>
    <col min="7174" max="7174" width="2.42578125" style="291" customWidth="1"/>
    <col min="7175" max="7175" width="10.85546875" style="291" customWidth="1"/>
    <col min="7176" max="7176" width="2.42578125" style="291" customWidth="1"/>
    <col min="7177" max="7177" width="11.140625" style="291" customWidth="1"/>
    <col min="7178" max="7178" width="1.85546875" style="291" customWidth="1"/>
    <col min="7179" max="7179" width="11" style="291" customWidth="1"/>
    <col min="7180" max="7180" width="0.7109375" style="291" customWidth="1"/>
    <col min="7181" max="7181" width="1.85546875" style="291" customWidth="1"/>
    <col min="7182" max="7182" width="11.85546875" style="291" bestFit="1" customWidth="1"/>
    <col min="7183" max="7183" width="15.28515625" style="291" bestFit="1" customWidth="1"/>
    <col min="7184" max="7184" width="5" style="291" customWidth="1"/>
    <col min="7185" max="7185" width="10.42578125" style="291" bestFit="1" customWidth="1"/>
    <col min="7186" max="7186" width="5" style="291" customWidth="1"/>
    <col min="7187" max="7187" width="10.42578125" style="291" bestFit="1" customWidth="1"/>
    <col min="7188" max="7190" width="9" style="291"/>
    <col min="7191" max="7191" width="10.42578125" style="291" bestFit="1" customWidth="1"/>
    <col min="7192" max="7420" width="9" style="291"/>
    <col min="7421" max="7421" width="3.5703125" style="291" customWidth="1"/>
    <col min="7422" max="7422" width="4.85546875" style="291" customWidth="1"/>
    <col min="7423" max="7423" width="5.42578125" style="291" customWidth="1"/>
    <col min="7424" max="7424" width="31.28515625" style="291" customWidth="1"/>
    <col min="7425" max="7425" width="7.5703125" style="291" customWidth="1"/>
    <col min="7426" max="7426" width="2.42578125" style="291" customWidth="1"/>
    <col min="7427" max="7427" width="11.5703125" style="291" customWidth="1"/>
    <col min="7428" max="7428" width="2.42578125" style="291" customWidth="1"/>
    <col min="7429" max="7429" width="11.5703125" style="291" customWidth="1"/>
    <col min="7430" max="7430" width="2.42578125" style="291" customWidth="1"/>
    <col min="7431" max="7431" width="10.85546875" style="291" customWidth="1"/>
    <col min="7432" max="7432" width="2.42578125" style="291" customWidth="1"/>
    <col min="7433" max="7433" width="11.140625" style="291" customWidth="1"/>
    <col min="7434" max="7434" width="1.85546875" style="291" customWidth="1"/>
    <col min="7435" max="7435" width="11" style="291" customWidth="1"/>
    <col min="7436" max="7436" width="0.7109375" style="291" customWidth="1"/>
    <col min="7437" max="7437" width="1.85546875" style="291" customWidth="1"/>
    <col min="7438" max="7438" width="11.85546875" style="291" bestFit="1" customWidth="1"/>
    <col min="7439" max="7439" width="15.28515625" style="291" bestFit="1" customWidth="1"/>
    <col min="7440" max="7440" width="5" style="291" customWidth="1"/>
    <col min="7441" max="7441" width="10.42578125" style="291" bestFit="1" customWidth="1"/>
    <col min="7442" max="7442" width="5" style="291" customWidth="1"/>
    <col min="7443" max="7443" width="10.42578125" style="291" bestFit="1" customWidth="1"/>
    <col min="7444" max="7446" width="9" style="291"/>
    <col min="7447" max="7447" width="10.42578125" style="291" bestFit="1" customWidth="1"/>
    <col min="7448" max="7676" width="9" style="291"/>
    <col min="7677" max="7677" width="3.5703125" style="291" customWidth="1"/>
    <col min="7678" max="7678" width="4.85546875" style="291" customWidth="1"/>
    <col min="7679" max="7679" width="5.42578125" style="291" customWidth="1"/>
    <col min="7680" max="7680" width="31.28515625" style="291" customWidth="1"/>
    <col min="7681" max="7681" width="7.5703125" style="291" customWidth="1"/>
    <col min="7682" max="7682" width="2.42578125" style="291" customWidth="1"/>
    <col min="7683" max="7683" width="11.5703125" style="291" customWidth="1"/>
    <col min="7684" max="7684" width="2.42578125" style="291" customWidth="1"/>
    <col min="7685" max="7685" width="11.5703125" style="291" customWidth="1"/>
    <col min="7686" max="7686" width="2.42578125" style="291" customWidth="1"/>
    <col min="7687" max="7687" width="10.85546875" style="291" customWidth="1"/>
    <col min="7688" max="7688" width="2.42578125" style="291" customWidth="1"/>
    <col min="7689" max="7689" width="11.140625" style="291" customWidth="1"/>
    <col min="7690" max="7690" width="1.85546875" style="291" customWidth="1"/>
    <col min="7691" max="7691" width="11" style="291" customWidth="1"/>
    <col min="7692" max="7692" width="0.7109375" style="291" customWidth="1"/>
    <col min="7693" max="7693" width="1.85546875" style="291" customWidth="1"/>
    <col min="7694" max="7694" width="11.85546875" style="291" bestFit="1" customWidth="1"/>
    <col min="7695" max="7695" width="15.28515625" style="291" bestFit="1" customWidth="1"/>
    <col min="7696" max="7696" width="5" style="291" customWidth="1"/>
    <col min="7697" max="7697" width="10.42578125" style="291" bestFit="1" customWidth="1"/>
    <col min="7698" max="7698" width="5" style="291" customWidth="1"/>
    <col min="7699" max="7699" width="10.42578125" style="291" bestFit="1" customWidth="1"/>
    <col min="7700" max="7702" width="9" style="291"/>
    <col min="7703" max="7703" width="10.42578125" style="291" bestFit="1" customWidth="1"/>
    <col min="7704" max="7932" width="9" style="291"/>
    <col min="7933" max="7933" width="3.5703125" style="291" customWidth="1"/>
    <col min="7934" max="7934" width="4.85546875" style="291" customWidth="1"/>
    <col min="7935" max="7935" width="5.42578125" style="291" customWidth="1"/>
    <col min="7936" max="7936" width="31.28515625" style="291" customWidth="1"/>
    <col min="7937" max="7937" width="7.5703125" style="291" customWidth="1"/>
    <col min="7938" max="7938" width="2.42578125" style="291" customWidth="1"/>
    <col min="7939" max="7939" width="11.5703125" style="291" customWidth="1"/>
    <col min="7940" max="7940" width="2.42578125" style="291" customWidth="1"/>
    <col min="7941" max="7941" width="11.5703125" style="291" customWidth="1"/>
    <col min="7942" max="7942" width="2.42578125" style="291" customWidth="1"/>
    <col min="7943" max="7943" width="10.85546875" style="291" customWidth="1"/>
    <col min="7944" max="7944" width="2.42578125" style="291" customWidth="1"/>
    <col min="7945" max="7945" width="11.140625" style="291" customWidth="1"/>
    <col min="7946" max="7946" width="1.85546875" style="291" customWidth="1"/>
    <col min="7947" max="7947" width="11" style="291" customWidth="1"/>
    <col min="7948" max="7948" width="0.7109375" style="291" customWidth="1"/>
    <col min="7949" max="7949" width="1.85546875" style="291" customWidth="1"/>
    <col min="7950" max="7950" width="11.85546875" style="291" bestFit="1" customWidth="1"/>
    <col min="7951" max="7951" width="15.28515625" style="291" bestFit="1" customWidth="1"/>
    <col min="7952" max="7952" width="5" style="291" customWidth="1"/>
    <col min="7953" max="7953" width="10.42578125" style="291" bestFit="1" customWidth="1"/>
    <col min="7954" max="7954" width="5" style="291" customWidth="1"/>
    <col min="7955" max="7955" width="10.42578125" style="291" bestFit="1" customWidth="1"/>
    <col min="7956" max="7958" width="9" style="291"/>
    <col min="7959" max="7959" width="10.42578125" style="291" bestFit="1" customWidth="1"/>
    <col min="7960" max="8188" width="9" style="291"/>
    <col min="8189" max="8189" width="3.5703125" style="291" customWidth="1"/>
    <col min="8190" max="8190" width="4.85546875" style="291" customWidth="1"/>
    <col min="8191" max="8191" width="5.42578125" style="291" customWidth="1"/>
    <col min="8192" max="8192" width="31.28515625" style="291" customWidth="1"/>
    <col min="8193" max="8193" width="7.5703125" style="291" customWidth="1"/>
    <col min="8194" max="8194" width="2.42578125" style="291" customWidth="1"/>
    <col min="8195" max="8195" width="11.5703125" style="291" customWidth="1"/>
    <col min="8196" max="8196" width="2.42578125" style="291" customWidth="1"/>
    <col min="8197" max="8197" width="11.5703125" style="291" customWidth="1"/>
    <col min="8198" max="8198" width="2.42578125" style="291" customWidth="1"/>
    <col min="8199" max="8199" width="10.85546875" style="291" customWidth="1"/>
    <col min="8200" max="8200" width="2.42578125" style="291" customWidth="1"/>
    <col min="8201" max="8201" width="11.140625" style="291" customWidth="1"/>
    <col min="8202" max="8202" width="1.85546875" style="291" customWidth="1"/>
    <col min="8203" max="8203" width="11" style="291" customWidth="1"/>
    <col min="8204" max="8204" width="0.7109375" style="291" customWidth="1"/>
    <col min="8205" max="8205" width="1.85546875" style="291" customWidth="1"/>
    <col min="8206" max="8206" width="11.85546875" style="291" bestFit="1" customWidth="1"/>
    <col min="8207" max="8207" width="15.28515625" style="291" bestFit="1" customWidth="1"/>
    <col min="8208" max="8208" width="5" style="291" customWidth="1"/>
    <col min="8209" max="8209" width="10.42578125" style="291" bestFit="1" customWidth="1"/>
    <col min="8210" max="8210" width="5" style="291" customWidth="1"/>
    <col min="8211" max="8211" width="10.42578125" style="291" bestFit="1" customWidth="1"/>
    <col min="8212" max="8214" width="9" style="291"/>
    <col min="8215" max="8215" width="10.42578125" style="291" bestFit="1" customWidth="1"/>
    <col min="8216" max="8444" width="9" style="291"/>
    <col min="8445" max="8445" width="3.5703125" style="291" customWidth="1"/>
    <col min="8446" max="8446" width="4.85546875" style="291" customWidth="1"/>
    <col min="8447" max="8447" width="5.42578125" style="291" customWidth="1"/>
    <col min="8448" max="8448" width="31.28515625" style="291" customWidth="1"/>
    <col min="8449" max="8449" width="7.5703125" style="291" customWidth="1"/>
    <col min="8450" max="8450" width="2.42578125" style="291" customWidth="1"/>
    <col min="8451" max="8451" width="11.5703125" style="291" customWidth="1"/>
    <col min="8452" max="8452" width="2.42578125" style="291" customWidth="1"/>
    <col min="8453" max="8453" width="11.5703125" style="291" customWidth="1"/>
    <col min="8454" max="8454" width="2.42578125" style="291" customWidth="1"/>
    <col min="8455" max="8455" width="10.85546875" style="291" customWidth="1"/>
    <col min="8456" max="8456" width="2.42578125" style="291" customWidth="1"/>
    <col min="8457" max="8457" width="11.140625" style="291" customWidth="1"/>
    <col min="8458" max="8458" width="1.85546875" style="291" customWidth="1"/>
    <col min="8459" max="8459" width="11" style="291" customWidth="1"/>
    <col min="8460" max="8460" width="0.7109375" style="291" customWidth="1"/>
    <col min="8461" max="8461" width="1.85546875" style="291" customWidth="1"/>
    <col min="8462" max="8462" width="11.85546875" style="291" bestFit="1" customWidth="1"/>
    <col min="8463" max="8463" width="15.28515625" style="291" bestFit="1" customWidth="1"/>
    <col min="8464" max="8464" width="5" style="291" customWidth="1"/>
    <col min="8465" max="8465" width="10.42578125" style="291" bestFit="1" customWidth="1"/>
    <col min="8466" max="8466" width="5" style="291" customWidth="1"/>
    <col min="8467" max="8467" width="10.42578125" style="291" bestFit="1" customWidth="1"/>
    <col min="8468" max="8470" width="9" style="291"/>
    <col min="8471" max="8471" width="10.42578125" style="291" bestFit="1" customWidth="1"/>
    <col min="8472" max="8700" width="9" style="291"/>
    <col min="8701" max="8701" width="3.5703125" style="291" customWidth="1"/>
    <col min="8702" max="8702" width="4.85546875" style="291" customWidth="1"/>
    <col min="8703" max="8703" width="5.42578125" style="291" customWidth="1"/>
    <col min="8704" max="8704" width="31.28515625" style="291" customWidth="1"/>
    <col min="8705" max="8705" width="7.5703125" style="291" customWidth="1"/>
    <col min="8706" max="8706" width="2.42578125" style="291" customWidth="1"/>
    <col min="8707" max="8707" width="11.5703125" style="291" customWidth="1"/>
    <col min="8708" max="8708" width="2.42578125" style="291" customWidth="1"/>
    <col min="8709" max="8709" width="11.5703125" style="291" customWidth="1"/>
    <col min="8710" max="8710" width="2.42578125" style="291" customWidth="1"/>
    <col min="8711" max="8711" width="10.85546875" style="291" customWidth="1"/>
    <col min="8712" max="8712" width="2.42578125" style="291" customWidth="1"/>
    <col min="8713" max="8713" width="11.140625" style="291" customWidth="1"/>
    <col min="8714" max="8714" width="1.85546875" style="291" customWidth="1"/>
    <col min="8715" max="8715" width="11" style="291" customWidth="1"/>
    <col min="8716" max="8716" width="0.7109375" style="291" customWidth="1"/>
    <col min="8717" max="8717" width="1.85546875" style="291" customWidth="1"/>
    <col min="8718" max="8718" width="11.85546875" style="291" bestFit="1" customWidth="1"/>
    <col min="8719" max="8719" width="15.28515625" style="291" bestFit="1" customWidth="1"/>
    <col min="8720" max="8720" width="5" style="291" customWidth="1"/>
    <col min="8721" max="8721" width="10.42578125" style="291" bestFit="1" customWidth="1"/>
    <col min="8722" max="8722" width="5" style="291" customWidth="1"/>
    <col min="8723" max="8723" width="10.42578125" style="291" bestFit="1" customWidth="1"/>
    <col min="8724" max="8726" width="9" style="291"/>
    <col min="8727" max="8727" width="10.42578125" style="291" bestFit="1" customWidth="1"/>
    <col min="8728" max="8956" width="9" style="291"/>
    <col min="8957" max="8957" width="3.5703125" style="291" customWidth="1"/>
    <col min="8958" max="8958" width="4.85546875" style="291" customWidth="1"/>
    <col min="8959" max="8959" width="5.42578125" style="291" customWidth="1"/>
    <col min="8960" max="8960" width="31.28515625" style="291" customWidth="1"/>
    <col min="8961" max="8961" width="7.5703125" style="291" customWidth="1"/>
    <col min="8962" max="8962" width="2.42578125" style="291" customWidth="1"/>
    <col min="8963" max="8963" width="11.5703125" style="291" customWidth="1"/>
    <col min="8964" max="8964" width="2.42578125" style="291" customWidth="1"/>
    <col min="8965" max="8965" width="11.5703125" style="291" customWidth="1"/>
    <col min="8966" max="8966" width="2.42578125" style="291" customWidth="1"/>
    <col min="8967" max="8967" width="10.85546875" style="291" customWidth="1"/>
    <col min="8968" max="8968" width="2.42578125" style="291" customWidth="1"/>
    <col min="8969" max="8969" width="11.140625" style="291" customWidth="1"/>
    <col min="8970" max="8970" width="1.85546875" style="291" customWidth="1"/>
    <col min="8971" max="8971" width="11" style="291" customWidth="1"/>
    <col min="8972" max="8972" width="0.7109375" style="291" customWidth="1"/>
    <col min="8973" max="8973" width="1.85546875" style="291" customWidth="1"/>
    <col min="8974" max="8974" width="11.85546875" style="291" bestFit="1" customWidth="1"/>
    <col min="8975" max="8975" width="15.28515625" style="291" bestFit="1" customWidth="1"/>
    <col min="8976" max="8976" width="5" style="291" customWidth="1"/>
    <col min="8977" max="8977" width="10.42578125" style="291" bestFit="1" customWidth="1"/>
    <col min="8978" max="8978" width="5" style="291" customWidth="1"/>
    <col min="8979" max="8979" width="10.42578125" style="291" bestFit="1" customWidth="1"/>
    <col min="8980" max="8982" width="9" style="291"/>
    <col min="8983" max="8983" width="10.42578125" style="291" bestFit="1" customWidth="1"/>
    <col min="8984" max="9212" width="9" style="291"/>
    <col min="9213" max="9213" width="3.5703125" style="291" customWidth="1"/>
    <col min="9214" max="9214" width="4.85546875" style="291" customWidth="1"/>
    <col min="9215" max="9215" width="5.42578125" style="291" customWidth="1"/>
    <col min="9216" max="9216" width="31.28515625" style="291" customWidth="1"/>
    <col min="9217" max="9217" width="7.5703125" style="291" customWidth="1"/>
    <col min="9218" max="9218" width="2.42578125" style="291" customWidth="1"/>
    <col min="9219" max="9219" width="11.5703125" style="291" customWidth="1"/>
    <col min="9220" max="9220" width="2.42578125" style="291" customWidth="1"/>
    <col min="9221" max="9221" width="11.5703125" style="291" customWidth="1"/>
    <col min="9222" max="9222" width="2.42578125" style="291" customWidth="1"/>
    <col min="9223" max="9223" width="10.85546875" style="291" customWidth="1"/>
    <col min="9224" max="9224" width="2.42578125" style="291" customWidth="1"/>
    <col min="9225" max="9225" width="11.140625" style="291" customWidth="1"/>
    <col min="9226" max="9226" width="1.85546875" style="291" customWidth="1"/>
    <col min="9227" max="9227" width="11" style="291" customWidth="1"/>
    <col min="9228" max="9228" width="0.7109375" style="291" customWidth="1"/>
    <col min="9229" max="9229" width="1.85546875" style="291" customWidth="1"/>
    <col min="9230" max="9230" width="11.85546875" style="291" bestFit="1" customWidth="1"/>
    <col min="9231" max="9231" width="15.28515625" style="291" bestFit="1" customWidth="1"/>
    <col min="9232" max="9232" width="5" style="291" customWidth="1"/>
    <col min="9233" max="9233" width="10.42578125" style="291" bestFit="1" customWidth="1"/>
    <col min="9234" max="9234" width="5" style="291" customWidth="1"/>
    <col min="9235" max="9235" width="10.42578125" style="291" bestFit="1" customWidth="1"/>
    <col min="9236" max="9238" width="9" style="291"/>
    <col min="9239" max="9239" width="10.42578125" style="291" bestFit="1" customWidth="1"/>
    <col min="9240" max="9468" width="9" style="291"/>
    <col min="9469" max="9469" width="3.5703125" style="291" customWidth="1"/>
    <col min="9470" max="9470" width="4.85546875" style="291" customWidth="1"/>
    <col min="9471" max="9471" width="5.42578125" style="291" customWidth="1"/>
    <col min="9472" max="9472" width="31.28515625" style="291" customWidth="1"/>
    <col min="9473" max="9473" width="7.5703125" style="291" customWidth="1"/>
    <col min="9474" max="9474" width="2.42578125" style="291" customWidth="1"/>
    <col min="9475" max="9475" width="11.5703125" style="291" customWidth="1"/>
    <col min="9476" max="9476" width="2.42578125" style="291" customWidth="1"/>
    <col min="9477" max="9477" width="11.5703125" style="291" customWidth="1"/>
    <col min="9478" max="9478" width="2.42578125" style="291" customWidth="1"/>
    <col min="9479" max="9479" width="10.85546875" style="291" customWidth="1"/>
    <col min="9480" max="9480" width="2.42578125" style="291" customWidth="1"/>
    <col min="9481" max="9481" width="11.140625" style="291" customWidth="1"/>
    <col min="9482" max="9482" width="1.85546875" style="291" customWidth="1"/>
    <col min="9483" max="9483" width="11" style="291" customWidth="1"/>
    <col min="9484" max="9484" width="0.7109375" style="291" customWidth="1"/>
    <col min="9485" max="9485" width="1.85546875" style="291" customWidth="1"/>
    <col min="9486" max="9486" width="11.85546875" style="291" bestFit="1" customWidth="1"/>
    <col min="9487" max="9487" width="15.28515625" style="291" bestFit="1" customWidth="1"/>
    <col min="9488" max="9488" width="5" style="291" customWidth="1"/>
    <col min="9489" max="9489" width="10.42578125" style="291" bestFit="1" customWidth="1"/>
    <col min="9490" max="9490" width="5" style="291" customWidth="1"/>
    <col min="9491" max="9491" width="10.42578125" style="291" bestFit="1" customWidth="1"/>
    <col min="9492" max="9494" width="9" style="291"/>
    <col min="9495" max="9495" width="10.42578125" style="291" bestFit="1" customWidth="1"/>
    <col min="9496" max="9724" width="9" style="291"/>
    <col min="9725" max="9725" width="3.5703125" style="291" customWidth="1"/>
    <col min="9726" max="9726" width="4.85546875" style="291" customWidth="1"/>
    <col min="9727" max="9727" width="5.42578125" style="291" customWidth="1"/>
    <col min="9728" max="9728" width="31.28515625" style="291" customWidth="1"/>
    <col min="9729" max="9729" width="7.5703125" style="291" customWidth="1"/>
    <col min="9730" max="9730" width="2.42578125" style="291" customWidth="1"/>
    <col min="9731" max="9731" width="11.5703125" style="291" customWidth="1"/>
    <col min="9732" max="9732" width="2.42578125" style="291" customWidth="1"/>
    <col min="9733" max="9733" width="11.5703125" style="291" customWidth="1"/>
    <col min="9734" max="9734" width="2.42578125" style="291" customWidth="1"/>
    <col min="9735" max="9735" width="10.85546875" style="291" customWidth="1"/>
    <col min="9736" max="9736" width="2.42578125" style="291" customWidth="1"/>
    <col min="9737" max="9737" width="11.140625" style="291" customWidth="1"/>
    <col min="9738" max="9738" width="1.85546875" style="291" customWidth="1"/>
    <col min="9739" max="9739" width="11" style="291" customWidth="1"/>
    <col min="9740" max="9740" width="0.7109375" style="291" customWidth="1"/>
    <col min="9741" max="9741" width="1.85546875" style="291" customWidth="1"/>
    <col min="9742" max="9742" width="11.85546875" style="291" bestFit="1" customWidth="1"/>
    <col min="9743" max="9743" width="15.28515625" style="291" bestFit="1" customWidth="1"/>
    <col min="9744" max="9744" width="5" style="291" customWidth="1"/>
    <col min="9745" max="9745" width="10.42578125" style="291" bestFit="1" customWidth="1"/>
    <col min="9746" max="9746" width="5" style="291" customWidth="1"/>
    <col min="9747" max="9747" width="10.42578125" style="291" bestFit="1" customWidth="1"/>
    <col min="9748" max="9750" width="9" style="291"/>
    <col min="9751" max="9751" width="10.42578125" style="291" bestFit="1" customWidth="1"/>
    <col min="9752" max="9980" width="9" style="291"/>
    <col min="9981" max="9981" width="3.5703125" style="291" customWidth="1"/>
    <col min="9982" max="9982" width="4.85546875" style="291" customWidth="1"/>
    <col min="9983" max="9983" width="5.42578125" style="291" customWidth="1"/>
    <col min="9984" max="9984" width="31.28515625" style="291" customWidth="1"/>
    <col min="9985" max="9985" width="7.5703125" style="291" customWidth="1"/>
    <col min="9986" max="9986" width="2.42578125" style="291" customWidth="1"/>
    <col min="9987" max="9987" width="11.5703125" style="291" customWidth="1"/>
    <col min="9988" max="9988" width="2.42578125" style="291" customWidth="1"/>
    <col min="9989" max="9989" width="11.5703125" style="291" customWidth="1"/>
    <col min="9990" max="9990" width="2.42578125" style="291" customWidth="1"/>
    <col min="9991" max="9991" width="10.85546875" style="291" customWidth="1"/>
    <col min="9992" max="9992" width="2.42578125" style="291" customWidth="1"/>
    <col min="9993" max="9993" width="11.140625" style="291" customWidth="1"/>
    <col min="9994" max="9994" width="1.85546875" style="291" customWidth="1"/>
    <col min="9995" max="9995" width="11" style="291" customWidth="1"/>
    <col min="9996" max="9996" width="0.7109375" style="291" customWidth="1"/>
    <col min="9997" max="9997" width="1.85546875" style="291" customWidth="1"/>
    <col min="9998" max="9998" width="11.85546875" style="291" bestFit="1" customWidth="1"/>
    <col min="9999" max="9999" width="15.28515625" style="291" bestFit="1" customWidth="1"/>
    <col min="10000" max="10000" width="5" style="291" customWidth="1"/>
    <col min="10001" max="10001" width="10.42578125" style="291" bestFit="1" customWidth="1"/>
    <col min="10002" max="10002" width="5" style="291" customWidth="1"/>
    <col min="10003" max="10003" width="10.42578125" style="291" bestFit="1" customWidth="1"/>
    <col min="10004" max="10006" width="9" style="291"/>
    <col min="10007" max="10007" width="10.42578125" style="291" bestFit="1" customWidth="1"/>
    <col min="10008" max="10236" width="9" style="291"/>
    <col min="10237" max="10237" width="3.5703125" style="291" customWidth="1"/>
    <col min="10238" max="10238" width="4.85546875" style="291" customWidth="1"/>
    <col min="10239" max="10239" width="5.42578125" style="291" customWidth="1"/>
    <col min="10240" max="10240" width="31.28515625" style="291" customWidth="1"/>
    <col min="10241" max="10241" width="7.5703125" style="291" customWidth="1"/>
    <col min="10242" max="10242" width="2.42578125" style="291" customWidth="1"/>
    <col min="10243" max="10243" width="11.5703125" style="291" customWidth="1"/>
    <col min="10244" max="10244" width="2.42578125" style="291" customWidth="1"/>
    <col min="10245" max="10245" width="11.5703125" style="291" customWidth="1"/>
    <col min="10246" max="10246" width="2.42578125" style="291" customWidth="1"/>
    <col min="10247" max="10247" width="10.85546875" style="291" customWidth="1"/>
    <col min="10248" max="10248" width="2.42578125" style="291" customWidth="1"/>
    <col min="10249" max="10249" width="11.140625" style="291" customWidth="1"/>
    <col min="10250" max="10250" width="1.85546875" style="291" customWidth="1"/>
    <col min="10251" max="10251" width="11" style="291" customWidth="1"/>
    <col min="10252" max="10252" width="0.7109375" style="291" customWidth="1"/>
    <col min="10253" max="10253" width="1.85546875" style="291" customWidth="1"/>
    <col min="10254" max="10254" width="11.85546875" style="291" bestFit="1" customWidth="1"/>
    <col min="10255" max="10255" width="15.28515625" style="291" bestFit="1" customWidth="1"/>
    <col min="10256" max="10256" width="5" style="291" customWidth="1"/>
    <col min="10257" max="10257" width="10.42578125" style="291" bestFit="1" customWidth="1"/>
    <col min="10258" max="10258" width="5" style="291" customWidth="1"/>
    <col min="10259" max="10259" width="10.42578125" style="291" bestFit="1" customWidth="1"/>
    <col min="10260" max="10262" width="9" style="291"/>
    <col min="10263" max="10263" width="10.42578125" style="291" bestFit="1" customWidth="1"/>
    <col min="10264" max="10492" width="9" style="291"/>
    <col min="10493" max="10493" width="3.5703125" style="291" customWidth="1"/>
    <col min="10494" max="10494" width="4.85546875" style="291" customWidth="1"/>
    <col min="10495" max="10495" width="5.42578125" style="291" customWidth="1"/>
    <col min="10496" max="10496" width="31.28515625" style="291" customWidth="1"/>
    <col min="10497" max="10497" width="7.5703125" style="291" customWidth="1"/>
    <col min="10498" max="10498" width="2.42578125" style="291" customWidth="1"/>
    <col min="10499" max="10499" width="11.5703125" style="291" customWidth="1"/>
    <col min="10500" max="10500" width="2.42578125" style="291" customWidth="1"/>
    <col min="10501" max="10501" width="11.5703125" style="291" customWidth="1"/>
    <col min="10502" max="10502" width="2.42578125" style="291" customWidth="1"/>
    <col min="10503" max="10503" width="10.85546875" style="291" customWidth="1"/>
    <col min="10504" max="10504" width="2.42578125" style="291" customWidth="1"/>
    <col min="10505" max="10505" width="11.140625" style="291" customWidth="1"/>
    <col min="10506" max="10506" width="1.85546875" style="291" customWidth="1"/>
    <col min="10507" max="10507" width="11" style="291" customWidth="1"/>
    <col min="10508" max="10508" width="0.7109375" style="291" customWidth="1"/>
    <col min="10509" max="10509" width="1.85546875" style="291" customWidth="1"/>
    <col min="10510" max="10510" width="11.85546875" style="291" bestFit="1" customWidth="1"/>
    <col min="10511" max="10511" width="15.28515625" style="291" bestFit="1" customWidth="1"/>
    <col min="10512" max="10512" width="5" style="291" customWidth="1"/>
    <col min="10513" max="10513" width="10.42578125" style="291" bestFit="1" customWidth="1"/>
    <col min="10514" max="10514" width="5" style="291" customWidth="1"/>
    <col min="10515" max="10515" width="10.42578125" style="291" bestFit="1" customWidth="1"/>
    <col min="10516" max="10518" width="9" style="291"/>
    <col min="10519" max="10519" width="10.42578125" style="291" bestFit="1" customWidth="1"/>
    <col min="10520" max="10748" width="9" style="291"/>
    <col min="10749" max="10749" width="3.5703125" style="291" customWidth="1"/>
    <col min="10750" max="10750" width="4.85546875" style="291" customWidth="1"/>
    <col min="10751" max="10751" width="5.42578125" style="291" customWidth="1"/>
    <col min="10752" max="10752" width="31.28515625" style="291" customWidth="1"/>
    <col min="10753" max="10753" width="7.5703125" style="291" customWidth="1"/>
    <col min="10754" max="10754" width="2.42578125" style="291" customWidth="1"/>
    <col min="10755" max="10755" width="11.5703125" style="291" customWidth="1"/>
    <col min="10756" max="10756" width="2.42578125" style="291" customWidth="1"/>
    <col min="10757" max="10757" width="11.5703125" style="291" customWidth="1"/>
    <col min="10758" max="10758" width="2.42578125" style="291" customWidth="1"/>
    <col min="10759" max="10759" width="10.85546875" style="291" customWidth="1"/>
    <col min="10760" max="10760" width="2.42578125" style="291" customWidth="1"/>
    <col min="10761" max="10761" width="11.140625" style="291" customWidth="1"/>
    <col min="10762" max="10762" width="1.85546875" style="291" customWidth="1"/>
    <col min="10763" max="10763" width="11" style="291" customWidth="1"/>
    <col min="10764" max="10764" width="0.7109375" style="291" customWidth="1"/>
    <col min="10765" max="10765" width="1.85546875" style="291" customWidth="1"/>
    <col min="10766" max="10766" width="11.85546875" style="291" bestFit="1" customWidth="1"/>
    <col min="10767" max="10767" width="15.28515625" style="291" bestFit="1" customWidth="1"/>
    <col min="10768" max="10768" width="5" style="291" customWidth="1"/>
    <col min="10769" max="10769" width="10.42578125" style="291" bestFit="1" customWidth="1"/>
    <col min="10770" max="10770" width="5" style="291" customWidth="1"/>
    <col min="10771" max="10771" width="10.42578125" style="291" bestFit="1" customWidth="1"/>
    <col min="10772" max="10774" width="9" style="291"/>
    <col min="10775" max="10775" width="10.42578125" style="291" bestFit="1" customWidth="1"/>
    <col min="10776" max="11004" width="9" style="291"/>
    <col min="11005" max="11005" width="3.5703125" style="291" customWidth="1"/>
    <col min="11006" max="11006" width="4.85546875" style="291" customWidth="1"/>
    <col min="11007" max="11007" width="5.42578125" style="291" customWidth="1"/>
    <col min="11008" max="11008" width="31.28515625" style="291" customWidth="1"/>
    <col min="11009" max="11009" width="7.5703125" style="291" customWidth="1"/>
    <col min="11010" max="11010" width="2.42578125" style="291" customWidth="1"/>
    <col min="11011" max="11011" width="11.5703125" style="291" customWidth="1"/>
    <col min="11012" max="11012" width="2.42578125" style="291" customWidth="1"/>
    <col min="11013" max="11013" width="11.5703125" style="291" customWidth="1"/>
    <col min="11014" max="11014" width="2.42578125" style="291" customWidth="1"/>
    <col min="11015" max="11015" width="10.85546875" style="291" customWidth="1"/>
    <col min="11016" max="11016" width="2.42578125" style="291" customWidth="1"/>
    <col min="11017" max="11017" width="11.140625" style="291" customWidth="1"/>
    <col min="11018" max="11018" width="1.85546875" style="291" customWidth="1"/>
    <col min="11019" max="11019" width="11" style="291" customWidth="1"/>
    <col min="11020" max="11020" width="0.7109375" style="291" customWidth="1"/>
    <col min="11021" max="11021" width="1.85546875" style="291" customWidth="1"/>
    <col min="11022" max="11022" width="11.85546875" style="291" bestFit="1" customWidth="1"/>
    <col min="11023" max="11023" width="15.28515625" style="291" bestFit="1" customWidth="1"/>
    <col min="11024" max="11024" width="5" style="291" customWidth="1"/>
    <col min="11025" max="11025" width="10.42578125" style="291" bestFit="1" customWidth="1"/>
    <col min="11026" max="11026" width="5" style="291" customWidth="1"/>
    <col min="11027" max="11027" width="10.42578125" style="291" bestFit="1" customWidth="1"/>
    <col min="11028" max="11030" width="9" style="291"/>
    <col min="11031" max="11031" width="10.42578125" style="291" bestFit="1" customWidth="1"/>
    <col min="11032" max="11260" width="9" style="291"/>
    <col min="11261" max="11261" width="3.5703125" style="291" customWidth="1"/>
    <col min="11262" max="11262" width="4.85546875" style="291" customWidth="1"/>
    <col min="11263" max="11263" width="5.42578125" style="291" customWidth="1"/>
    <col min="11264" max="11264" width="31.28515625" style="291" customWidth="1"/>
    <col min="11265" max="11265" width="7.5703125" style="291" customWidth="1"/>
    <col min="11266" max="11266" width="2.42578125" style="291" customWidth="1"/>
    <col min="11267" max="11267" width="11.5703125" style="291" customWidth="1"/>
    <col min="11268" max="11268" width="2.42578125" style="291" customWidth="1"/>
    <col min="11269" max="11269" width="11.5703125" style="291" customWidth="1"/>
    <col min="11270" max="11270" width="2.42578125" style="291" customWidth="1"/>
    <col min="11271" max="11271" width="10.85546875" style="291" customWidth="1"/>
    <col min="11272" max="11272" width="2.42578125" style="291" customWidth="1"/>
    <col min="11273" max="11273" width="11.140625" style="291" customWidth="1"/>
    <col min="11274" max="11274" width="1.85546875" style="291" customWidth="1"/>
    <col min="11275" max="11275" width="11" style="291" customWidth="1"/>
    <col min="11276" max="11276" width="0.7109375" style="291" customWidth="1"/>
    <col min="11277" max="11277" width="1.85546875" style="291" customWidth="1"/>
    <col min="11278" max="11278" width="11.85546875" style="291" bestFit="1" customWidth="1"/>
    <col min="11279" max="11279" width="15.28515625" style="291" bestFit="1" customWidth="1"/>
    <col min="11280" max="11280" width="5" style="291" customWidth="1"/>
    <col min="11281" max="11281" width="10.42578125" style="291" bestFit="1" customWidth="1"/>
    <col min="11282" max="11282" width="5" style="291" customWidth="1"/>
    <col min="11283" max="11283" width="10.42578125" style="291" bestFit="1" customWidth="1"/>
    <col min="11284" max="11286" width="9" style="291"/>
    <col min="11287" max="11287" width="10.42578125" style="291" bestFit="1" customWidth="1"/>
    <col min="11288" max="11516" width="9" style="291"/>
    <col min="11517" max="11517" width="3.5703125" style="291" customWidth="1"/>
    <col min="11518" max="11518" width="4.85546875" style="291" customWidth="1"/>
    <col min="11519" max="11519" width="5.42578125" style="291" customWidth="1"/>
    <col min="11520" max="11520" width="31.28515625" style="291" customWidth="1"/>
    <col min="11521" max="11521" width="7.5703125" style="291" customWidth="1"/>
    <col min="11522" max="11522" width="2.42578125" style="291" customWidth="1"/>
    <col min="11523" max="11523" width="11.5703125" style="291" customWidth="1"/>
    <col min="11524" max="11524" width="2.42578125" style="291" customWidth="1"/>
    <col min="11525" max="11525" width="11.5703125" style="291" customWidth="1"/>
    <col min="11526" max="11526" width="2.42578125" style="291" customWidth="1"/>
    <col min="11527" max="11527" width="10.85546875" style="291" customWidth="1"/>
    <col min="11528" max="11528" width="2.42578125" style="291" customWidth="1"/>
    <col min="11529" max="11529" width="11.140625" style="291" customWidth="1"/>
    <col min="11530" max="11530" width="1.85546875" style="291" customWidth="1"/>
    <col min="11531" max="11531" width="11" style="291" customWidth="1"/>
    <col min="11532" max="11532" width="0.7109375" style="291" customWidth="1"/>
    <col min="11533" max="11533" width="1.85546875" style="291" customWidth="1"/>
    <col min="11534" max="11534" width="11.85546875" style="291" bestFit="1" customWidth="1"/>
    <col min="11535" max="11535" width="15.28515625" style="291" bestFit="1" customWidth="1"/>
    <col min="11536" max="11536" width="5" style="291" customWidth="1"/>
    <col min="11537" max="11537" width="10.42578125" style="291" bestFit="1" customWidth="1"/>
    <col min="11538" max="11538" width="5" style="291" customWidth="1"/>
    <col min="11539" max="11539" width="10.42578125" style="291" bestFit="1" customWidth="1"/>
    <col min="11540" max="11542" width="9" style="291"/>
    <col min="11543" max="11543" width="10.42578125" style="291" bestFit="1" customWidth="1"/>
    <col min="11544" max="11772" width="9" style="291"/>
    <col min="11773" max="11773" width="3.5703125" style="291" customWidth="1"/>
    <col min="11774" max="11774" width="4.85546875" style="291" customWidth="1"/>
    <col min="11775" max="11775" width="5.42578125" style="291" customWidth="1"/>
    <col min="11776" max="11776" width="31.28515625" style="291" customWidth="1"/>
    <col min="11777" max="11777" width="7.5703125" style="291" customWidth="1"/>
    <col min="11778" max="11778" width="2.42578125" style="291" customWidth="1"/>
    <col min="11779" max="11779" width="11.5703125" style="291" customWidth="1"/>
    <col min="11780" max="11780" width="2.42578125" style="291" customWidth="1"/>
    <col min="11781" max="11781" width="11.5703125" style="291" customWidth="1"/>
    <col min="11782" max="11782" width="2.42578125" style="291" customWidth="1"/>
    <col min="11783" max="11783" width="10.85546875" style="291" customWidth="1"/>
    <col min="11784" max="11784" width="2.42578125" style="291" customWidth="1"/>
    <col min="11785" max="11785" width="11.140625" style="291" customWidth="1"/>
    <col min="11786" max="11786" width="1.85546875" style="291" customWidth="1"/>
    <col min="11787" max="11787" width="11" style="291" customWidth="1"/>
    <col min="11788" max="11788" width="0.7109375" style="291" customWidth="1"/>
    <col min="11789" max="11789" width="1.85546875" style="291" customWidth="1"/>
    <col min="11790" max="11790" width="11.85546875" style="291" bestFit="1" customWidth="1"/>
    <col min="11791" max="11791" width="15.28515625" style="291" bestFit="1" customWidth="1"/>
    <col min="11792" max="11792" width="5" style="291" customWidth="1"/>
    <col min="11793" max="11793" width="10.42578125" style="291" bestFit="1" customWidth="1"/>
    <col min="11794" max="11794" width="5" style="291" customWidth="1"/>
    <col min="11795" max="11795" width="10.42578125" style="291" bestFit="1" customWidth="1"/>
    <col min="11796" max="11798" width="9" style="291"/>
    <col min="11799" max="11799" width="10.42578125" style="291" bestFit="1" customWidth="1"/>
    <col min="11800" max="12028" width="9" style="291"/>
    <col min="12029" max="12029" width="3.5703125" style="291" customWidth="1"/>
    <col min="12030" max="12030" width="4.85546875" style="291" customWidth="1"/>
    <col min="12031" max="12031" width="5.42578125" style="291" customWidth="1"/>
    <col min="12032" max="12032" width="31.28515625" style="291" customWidth="1"/>
    <col min="12033" max="12033" width="7.5703125" style="291" customWidth="1"/>
    <col min="12034" max="12034" width="2.42578125" style="291" customWidth="1"/>
    <col min="12035" max="12035" width="11.5703125" style="291" customWidth="1"/>
    <col min="12036" max="12036" width="2.42578125" style="291" customWidth="1"/>
    <col min="12037" max="12037" width="11.5703125" style="291" customWidth="1"/>
    <col min="12038" max="12038" width="2.42578125" style="291" customWidth="1"/>
    <col min="12039" max="12039" width="10.85546875" style="291" customWidth="1"/>
    <col min="12040" max="12040" width="2.42578125" style="291" customWidth="1"/>
    <col min="12041" max="12041" width="11.140625" style="291" customWidth="1"/>
    <col min="12042" max="12042" width="1.85546875" style="291" customWidth="1"/>
    <col min="12043" max="12043" width="11" style="291" customWidth="1"/>
    <col min="12044" max="12044" width="0.7109375" style="291" customWidth="1"/>
    <col min="12045" max="12045" width="1.85546875" style="291" customWidth="1"/>
    <col min="12046" max="12046" width="11.85546875" style="291" bestFit="1" customWidth="1"/>
    <col min="12047" max="12047" width="15.28515625" style="291" bestFit="1" customWidth="1"/>
    <col min="12048" max="12048" width="5" style="291" customWidth="1"/>
    <col min="12049" max="12049" width="10.42578125" style="291" bestFit="1" customWidth="1"/>
    <col min="12050" max="12050" width="5" style="291" customWidth="1"/>
    <col min="12051" max="12051" width="10.42578125" style="291" bestFit="1" customWidth="1"/>
    <col min="12052" max="12054" width="9" style="291"/>
    <col min="12055" max="12055" width="10.42578125" style="291" bestFit="1" customWidth="1"/>
    <col min="12056" max="12284" width="9" style="291"/>
    <col min="12285" max="12285" width="3.5703125" style="291" customWidth="1"/>
    <col min="12286" max="12286" width="4.85546875" style="291" customWidth="1"/>
    <col min="12287" max="12287" width="5.42578125" style="291" customWidth="1"/>
    <col min="12288" max="12288" width="31.28515625" style="291" customWidth="1"/>
    <col min="12289" max="12289" width="7.5703125" style="291" customWidth="1"/>
    <col min="12290" max="12290" width="2.42578125" style="291" customWidth="1"/>
    <col min="12291" max="12291" width="11.5703125" style="291" customWidth="1"/>
    <col min="12292" max="12292" width="2.42578125" style="291" customWidth="1"/>
    <col min="12293" max="12293" width="11.5703125" style="291" customWidth="1"/>
    <col min="12294" max="12294" width="2.42578125" style="291" customWidth="1"/>
    <col min="12295" max="12295" width="10.85546875" style="291" customWidth="1"/>
    <col min="12296" max="12296" width="2.42578125" style="291" customWidth="1"/>
    <col min="12297" max="12297" width="11.140625" style="291" customWidth="1"/>
    <col min="12298" max="12298" width="1.85546875" style="291" customWidth="1"/>
    <col min="12299" max="12299" width="11" style="291" customWidth="1"/>
    <col min="12300" max="12300" width="0.7109375" style="291" customWidth="1"/>
    <col min="12301" max="12301" width="1.85546875" style="291" customWidth="1"/>
    <col min="12302" max="12302" width="11.85546875" style="291" bestFit="1" customWidth="1"/>
    <col min="12303" max="12303" width="15.28515625" style="291" bestFit="1" customWidth="1"/>
    <col min="12304" max="12304" width="5" style="291" customWidth="1"/>
    <col min="12305" max="12305" width="10.42578125" style="291" bestFit="1" customWidth="1"/>
    <col min="12306" max="12306" width="5" style="291" customWidth="1"/>
    <col min="12307" max="12307" width="10.42578125" style="291" bestFit="1" customWidth="1"/>
    <col min="12308" max="12310" width="9" style="291"/>
    <col min="12311" max="12311" width="10.42578125" style="291" bestFit="1" customWidth="1"/>
    <col min="12312" max="12540" width="9" style="291"/>
    <col min="12541" max="12541" width="3.5703125" style="291" customWidth="1"/>
    <col min="12542" max="12542" width="4.85546875" style="291" customWidth="1"/>
    <col min="12543" max="12543" width="5.42578125" style="291" customWidth="1"/>
    <col min="12544" max="12544" width="31.28515625" style="291" customWidth="1"/>
    <col min="12545" max="12545" width="7.5703125" style="291" customWidth="1"/>
    <col min="12546" max="12546" width="2.42578125" style="291" customWidth="1"/>
    <col min="12547" max="12547" width="11.5703125" style="291" customWidth="1"/>
    <col min="12548" max="12548" width="2.42578125" style="291" customWidth="1"/>
    <col min="12549" max="12549" width="11.5703125" style="291" customWidth="1"/>
    <col min="12550" max="12550" width="2.42578125" style="291" customWidth="1"/>
    <col min="12551" max="12551" width="10.85546875" style="291" customWidth="1"/>
    <col min="12552" max="12552" width="2.42578125" style="291" customWidth="1"/>
    <col min="12553" max="12553" width="11.140625" style="291" customWidth="1"/>
    <col min="12554" max="12554" width="1.85546875" style="291" customWidth="1"/>
    <col min="12555" max="12555" width="11" style="291" customWidth="1"/>
    <col min="12556" max="12556" width="0.7109375" style="291" customWidth="1"/>
    <col min="12557" max="12557" width="1.85546875" style="291" customWidth="1"/>
    <col min="12558" max="12558" width="11.85546875" style="291" bestFit="1" customWidth="1"/>
    <col min="12559" max="12559" width="15.28515625" style="291" bestFit="1" customWidth="1"/>
    <col min="12560" max="12560" width="5" style="291" customWidth="1"/>
    <col min="12561" max="12561" width="10.42578125" style="291" bestFit="1" customWidth="1"/>
    <col min="12562" max="12562" width="5" style="291" customWidth="1"/>
    <col min="12563" max="12563" width="10.42578125" style="291" bestFit="1" customWidth="1"/>
    <col min="12564" max="12566" width="9" style="291"/>
    <col min="12567" max="12567" width="10.42578125" style="291" bestFit="1" customWidth="1"/>
    <col min="12568" max="12796" width="9" style="291"/>
    <col min="12797" max="12797" width="3.5703125" style="291" customWidth="1"/>
    <col min="12798" max="12798" width="4.85546875" style="291" customWidth="1"/>
    <col min="12799" max="12799" width="5.42578125" style="291" customWidth="1"/>
    <col min="12800" max="12800" width="31.28515625" style="291" customWidth="1"/>
    <col min="12801" max="12801" width="7.5703125" style="291" customWidth="1"/>
    <col min="12802" max="12802" width="2.42578125" style="291" customWidth="1"/>
    <col min="12803" max="12803" width="11.5703125" style="291" customWidth="1"/>
    <col min="12804" max="12804" width="2.42578125" style="291" customWidth="1"/>
    <col min="12805" max="12805" width="11.5703125" style="291" customWidth="1"/>
    <col min="12806" max="12806" width="2.42578125" style="291" customWidth="1"/>
    <col min="12807" max="12807" width="10.85546875" style="291" customWidth="1"/>
    <col min="12808" max="12808" width="2.42578125" style="291" customWidth="1"/>
    <col min="12809" max="12809" width="11.140625" style="291" customWidth="1"/>
    <col min="12810" max="12810" width="1.85546875" style="291" customWidth="1"/>
    <col min="12811" max="12811" width="11" style="291" customWidth="1"/>
    <col min="12812" max="12812" width="0.7109375" style="291" customWidth="1"/>
    <col min="12813" max="12813" width="1.85546875" style="291" customWidth="1"/>
    <col min="12814" max="12814" width="11.85546875" style="291" bestFit="1" customWidth="1"/>
    <col min="12815" max="12815" width="15.28515625" style="291" bestFit="1" customWidth="1"/>
    <col min="12816" max="12816" width="5" style="291" customWidth="1"/>
    <col min="12817" max="12817" width="10.42578125" style="291" bestFit="1" customWidth="1"/>
    <col min="12818" max="12818" width="5" style="291" customWidth="1"/>
    <col min="12819" max="12819" width="10.42578125" style="291" bestFit="1" customWidth="1"/>
    <col min="12820" max="12822" width="9" style="291"/>
    <col min="12823" max="12823" width="10.42578125" style="291" bestFit="1" customWidth="1"/>
    <col min="12824" max="13052" width="9" style="291"/>
    <col min="13053" max="13053" width="3.5703125" style="291" customWidth="1"/>
    <col min="13054" max="13054" width="4.85546875" style="291" customWidth="1"/>
    <col min="13055" max="13055" width="5.42578125" style="291" customWidth="1"/>
    <col min="13056" max="13056" width="31.28515625" style="291" customWidth="1"/>
    <col min="13057" max="13057" width="7.5703125" style="291" customWidth="1"/>
    <col min="13058" max="13058" width="2.42578125" style="291" customWidth="1"/>
    <col min="13059" max="13059" width="11.5703125" style="291" customWidth="1"/>
    <col min="13060" max="13060" width="2.42578125" style="291" customWidth="1"/>
    <col min="13061" max="13061" width="11.5703125" style="291" customWidth="1"/>
    <col min="13062" max="13062" width="2.42578125" style="291" customWidth="1"/>
    <col min="13063" max="13063" width="10.85546875" style="291" customWidth="1"/>
    <col min="13064" max="13064" width="2.42578125" style="291" customWidth="1"/>
    <col min="13065" max="13065" width="11.140625" style="291" customWidth="1"/>
    <col min="13066" max="13066" width="1.85546875" style="291" customWidth="1"/>
    <col min="13067" max="13067" width="11" style="291" customWidth="1"/>
    <col min="13068" max="13068" width="0.7109375" style="291" customWidth="1"/>
    <col min="13069" max="13069" width="1.85546875" style="291" customWidth="1"/>
    <col min="13070" max="13070" width="11.85546875" style="291" bestFit="1" customWidth="1"/>
    <col min="13071" max="13071" width="15.28515625" style="291" bestFit="1" customWidth="1"/>
    <col min="13072" max="13072" width="5" style="291" customWidth="1"/>
    <col min="13073" max="13073" width="10.42578125" style="291" bestFit="1" customWidth="1"/>
    <col min="13074" max="13074" width="5" style="291" customWidth="1"/>
    <col min="13075" max="13075" width="10.42578125" style="291" bestFit="1" customWidth="1"/>
    <col min="13076" max="13078" width="9" style="291"/>
    <col min="13079" max="13079" width="10.42578125" style="291" bestFit="1" customWidth="1"/>
    <col min="13080" max="13308" width="9" style="291"/>
    <col min="13309" max="13309" width="3.5703125" style="291" customWidth="1"/>
    <col min="13310" max="13310" width="4.85546875" style="291" customWidth="1"/>
    <col min="13311" max="13311" width="5.42578125" style="291" customWidth="1"/>
    <col min="13312" max="13312" width="31.28515625" style="291" customWidth="1"/>
    <col min="13313" max="13313" width="7.5703125" style="291" customWidth="1"/>
    <col min="13314" max="13314" width="2.42578125" style="291" customWidth="1"/>
    <col min="13315" max="13315" width="11.5703125" style="291" customWidth="1"/>
    <col min="13316" max="13316" width="2.42578125" style="291" customWidth="1"/>
    <col min="13317" max="13317" width="11.5703125" style="291" customWidth="1"/>
    <col min="13318" max="13318" width="2.42578125" style="291" customWidth="1"/>
    <col min="13319" max="13319" width="10.85546875" style="291" customWidth="1"/>
    <col min="13320" max="13320" width="2.42578125" style="291" customWidth="1"/>
    <col min="13321" max="13321" width="11.140625" style="291" customWidth="1"/>
    <col min="13322" max="13322" width="1.85546875" style="291" customWidth="1"/>
    <col min="13323" max="13323" width="11" style="291" customWidth="1"/>
    <col min="13324" max="13324" width="0.7109375" style="291" customWidth="1"/>
    <col min="13325" max="13325" width="1.85546875" style="291" customWidth="1"/>
    <col min="13326" max="13326" width="11.85546875" style="291" bestFit="1" customWidth="1"/>
    <col min="13327" max="13327" width="15.28515625" style="291" bestFit="1" customWidth="1"/>
    <col min="13328" max="13328" width="5" style="291" customWidth="1"/>
    <col min="13329" max="13329" width="10.42578125" style="291" bestFit="1" customWidth="1"/>
    <col min="13330" max="13330" width="5" style="291" customWidth="1"/>
    <col min="13331" max="13331" width="10.42578125" style="291" bestFit="1" customWidth="1"/>
    <col min="13332" max="13334" width="9" style="291"/>
    <col min="13335" max="13335" width="10.42578125" style="291" bestFit="1" customWidth="1"/>
    <col min="13336" max="13564" width="9" style="291"/>
    <col min="13565" max="13565" width="3.5703125" style="291" customWidth="1"/>
    <col min="13566" max="13566" width="4.85546875" style="291" customWidth="1"/>
    <col min="13567" max="13567" width="5.42578125" style="291" customWidth="1"/>
    <col min="13568" max="13568" width="31.28515625" style="291" customWidth="1"/>
    <col min="13569" max="13569" width="7.5703125" style="291" customWidth="1"/>
    <col min="13570" max="13570" width="2.42578125" style="291" customWidth="1"/>
    <col min="13571" max="13571" width="11.5703125" style="291" customWidth="1"/>
    <col min="13572" max="13572" width="2.42578125" style="291" customWidth="1"/>
    <col min="13573" max="13573" width="11.5703125" style="291" customWidth="1"/>
    <col min="13574" max="13574" width="2.42578125" style="291" customWidth="1"/>
    <col min="13575" max="13575" width="10.85546875" style="291" customWidth="1"/>
    <col min="13576" max="13576" width="2.42578125" style="291" customWidth="1"/>
    <col min="13577" max="13577" width="11.140625" style="291" customWidth="1"/>
    <col min="13578" max="13578" width="1.85546875" style="291" customWidth="1"/>
    <col min="13579" max="13579" width="11" style="291" customWidth="1"/>
    <col min="13580" max="13580" width="0.7109375" style="291" customWidth="1"/>
    <col min="13581" max="13581" width="1.85546875" style="291" customWidth="1"/>
    <col min="13582" max="13582" width="11.85546875" style="291" bestFit="1" customWidth="1"/>
    <col min="13583" max="13583" width="15.28515625" style="291" bestFit="1" customWidth="1"/>
    <col min="13584" max="13584" width="5" style="291" customWidth="1"/>
    <col min="13585" max="13585" width="10.42578125" style="291" bestFit="1" customWidth="1"/>
    <col min="13586" max="13586" width="5" style="291" customWidth="1"/>
    <col min="13587" max="13587" width="10.42578125" style="291" bestFit="1" customWidth="1"/>
    <col min="13588" max="13590" width="9" style="291"/>
    <col min="13591" max="13591" width="10.42578125" style="291" bestFit="1" customWidth="1"/>
    <col min="13592" max="13820" width="9" style="291"/>
    <col min="13821" max="13821" width="3.5703125" style="291" customWidth="1"/>
    <col min="13822" max="13822" width="4.85546875" style="291" customWidth="1"/>
    <col min="13823" max="13823" width="5.42578125" style="291" customWidth="1"/>
    <col min="13824" max="13824" width="31.28515625" style="291" customWidth="1"/>
    <col min="13825" max="13825" width="7.5703125" style="291" customWidth="1"/>
    <col min="13826" max="13826" width="2.42578125" style="291" customWidth="1"/>
    <col min="13827" max="13827" width="11.5703125" style="291" customWidth="1"/>
    <col min="13828" max="13828" width="2.42578125" style="291" customWidth="1"/>
    <col min="13829" max="13829" width="11.5703125" style="291" customWidth="1"/>
    <col min="13830" max="13830" width="2.42578125" style="291" customWidth="1"/>
    <col min="13831" max="13831" width="10.85546875" style="291" customWidth="1"/>
    <col min="13832" max="13832" width="2.42578125" style="291" customWidth="1"/>
    <col min="13833" max="13833" width="11.140625" style="291" customWidth="1"/>
    <col min="13834" max="13834" width="1.85546875" style="291" customWidth="1"/>
    <col min="13835" max="13835" width="11" style="291" customWidth="1"/>
    <col min="13836" max="13836" width="0.7109375" style="291" customWidth="1"/>
    <col min="13837" max="13837" width="1.85546875" style="291" customWidth="1"/>
    <col min="13838" max="13838" width="11.85546875" style="291" bestFit="1" customWidth="1"/>
    <col min="13839" max="13839" width="15.28515625" style="291" bestFit="1" customWidth="1"/>
    <col min="13840" max="13840" width="5" style="291" customWidth="1"/>
    <col min="13841" max="13841" width="10.42578125" style="291" bestFit="1" customWidth="1"/>
    <col min="13842" max="13842" width="5" style="291" customWidth="1"/>
    <col min="13843" max="13843" width="10.42578125" style="291" bestFit="1" customWidth="1"/>
    <col min="13844" max="13846" width="9" style="291"/>
    <col min="13847" max="13847" width="10.42578125" style="291" bestFit="1" customWidth="1"/>
    <col min="13848" max="14076" width="9" style="291"/>
    <col min="14077" max="14077" width="3.5703125" style="291" customWidth="1"/>
    <col min="14078" max="14078" width="4.85546875" style="291" customWidth="1"/>
    <col min="14079" max="14079" width="5.42578125" style="291" customWidth="1"/>
    <col min="14080" max="14080" width="31.28515625" style="291" customWidth="1"/>
    <col min="14081" max="14081" width="7.5703125" style="291" customWidth="1"/>
    <col min="14082" max="14082" width="2.42578125" style="291" customWidth="1"/>
    <col min="14083" max="14083" width="11.5703125" style="291" customWidth="1"/>
    <col min="14084" max="14084" width="2.42578125" style="291" customWidth="1"/>
    <col min="14085" max="14085" width="11.5703125" style="291" customWidth="1"/>
    <col min="14086" max="14086" width="2.42578125" style="291" customWidth="1"/>
    <col min="14087" max="14087" width="10.85546875" style="291" customWidth="1"/>
    <col min="14088" max="14088" width="2.42578125" style="291" customWidth="1"/>
    <col min="14089" max="14089" width="11.140625" style="291" customWidth="1"/>
    <col min="14090" max="14090" width="1.85546875" style="291" customWidth="1"/>
    <col min="14091" max="14091" width="11" style="291" customWidth="1"/>
    <col min="14092" max="14092" width="0.7109375" style="291" customWidth="1"/>
    <col min="14093" max="14093" width="1.85546875" style="291" customWidth="1"/>
    <col min="14094" max="14094" width="11.85546875" style="291" bestFit="1" customWidth="1"/>
    <col min="14095" max="14095" width="15.28515625" style="291" bestFit="1" customWidth="1"/>
    <col min="14096" max="14096" width="5" style="291" customWidth="1"/>
    <col min="14097" max="14097" width="10.42578125" style="291" bestFit="1" customWidth="1"/>
    <col min="14098" max="14098" width="5" style="291" customWidth="1"/>
    <col min="14099" max="14099" width="10.42578125" style="291" bestFit="1" customWidth="1"/>
    <col min="14100" max="14102" width="9" style="291"/>
    <col min="14103" max="14103" width="10.42578125" style="291" bestFit="1" customWidth="1"/>
    <col min="14104" max="14332" width="9" style="291"/>
    <col min="14333" max="14333" width="3.5703125" style="291" customWidth="1"/>
    <col min="14334" max="14334" width="4.85546875" style="291" customWidth="1"/>
    <col min="14335" max="14335" width="5.42578125" style="291" customWidth="1"/>
    <col min="14336" max="14336" width="31.28515625" style="291" customWidth="1"/>
    <col min="14337" max="14337" width="7.5703125" style="291" customWidth="1"/>
    <col min="14338" max="14338" width="2.42578125" style="291" customWidth="1"/>
    <col min="14339" max="14339" width="11.5703125" style="291" customWidth="1"/>
    <col min="14340" max="14340" width="2.42578125" style="291" customWidth="1"/>
    <col min="14341" max="14341" width="11.5703125" style="291" customWidth="1"/>
    <col min="14342" max="14342" width="2.42578125" style="291" customWidth="1"/>
    <col min="14343" max="14343" width="10.85546875" style="291" customWidth="1"/>
    <col min="14344" max="14344" width="2.42578125" style="291" customWidth="1"/>
    <col min="14345" max="14345" width="11.140625" style="291" customWidth="1"/>
    <col min="14346" max="14346" width="1.85546875" style="291" customWidth="1"/>
    <col min="14347" max="14347" width="11" style="291" customWidth="1"/>
    <col min="14348" max="14348" width="0.7109375" style="291" customWidth="1"/>
    <col min="14349" max="14349" width="1.85546875" style="291" customWidth="1"/>
    <col min="14350" max="14350" width="11.85546875" style="291" bestFit="1" customWidth="1"/>
    <col min="14351" max="14351" width="15.28515625" style="291" bestFit="1" customWidth="1"/>
    <col min="14352" max="14352" width="5" style="291" customWidth="1"/>
    <col min="14353" max="14353" width="10.42578125" style="291" bestFit="1" customWidth="1"/>
    <col min="14354" max="14354" width="5" style="291" customWidth="1"/>
    <col min="14355" max="14355" width="10.42578125" style="291" bestFit="1" customWidth="1"/>
    <col min="14356" max="14358" width="9" style="291"/>
    <col min="14359" max="14359" width="10.42578125" style="291" bestFit="1" customWidth="1"/>
    <col min="14360" max="14588" width="9" style="291"/>
    <col min="14589" max="14589" width="3.5703125" style="291" customWidth="1"/>
    <col min="14590" max="14590" width="4.85546875" style="291" customWidth="1"/>
    <col min="14591" max="14591" width="5.42578125" style="291" customWidth="1"/>
    <col min="14592" max="14592" width="31.28515625" style="291" customWidth="1"/>
    <col min="14593" max="14593" width="7.5703125" style="291" customWidth="1"/>
    <col min="14594" max="14594" width="2.42578125" style="291" customWidth="1"/>
    <col min="14595" max="14595" width="11.5703125" style="291" customWidth="1"/>
    <col min="14596" max="14596" width="2.42578125" style="291" customWidth="1"/>
    <col min="14597" max="14597" width="11.5703125" style="291" customWidth="1"/>
    <col min="14598" max="14598" width="2.42578125" style="291" customWidth="1"/>
    <col min="14599" max="14599" width="10.85546875" style="291" customWidth="1"/>
    <col min="14600" max="14600" width="2.42578125" style="291" customWidth="1"/>
    <col min="14601" max="14601" width="11.140625" style="291" customWidth="1"/>
    <col min="14602" max="14602" width="1.85546875" style="291" customWidth="1"/>
    <col min="14603" max="14603" width="11" style="291" customWidth="1"/>
    <col min="14604" max="14604" width="0.7109375" style="291" customWidth="1"/>
    <col min="14605" max="14605" width="1.85546875" style="291" customWidth="1"/>
    <col min="14606" max="14606" width="11.85546875" style="291" bestFit="1" customWidth="1"/>
    <col min="14607" max="14607" width="15.28515625" style="291" bestFit="1" customWidth="1"/>
    <col min="14608" max="14608" width="5" style="291" customWidth="1"/>
    <col min="14609" max="14609" width="10.42578125" style="291" bestFit="1" customWidth="1"/>
    <col min="14610" max="14610" width="5" style="291" customWidth="1"/>
    <col min="14611" max="14611" width="10.42578125" style="291" bestFit="1" customWidth="1"/>
    <col min="14612" max="14614" width="9" style="291"/>
    <col min="14615" max="14615" width="10.42578125" style="291" bestFit="1" customWidth="1"/>
    <col min="14616" max="14844" width="9" style="291"/>
    <col min="14845" max="14845" width="3.5703125" style="291" customWidth="1"/>
    <col min="14846" max="14846" width="4.85546875" style="291" customWidth="1"/>
    <col min="14847" max="14847" width="5.42578125" style="291" customWidth="1"/>
    <col min="14848" max="14848" width="31.28515625" style="291" customWidth="1"/>
    <col min="14849" max="14849" width="7.5703125" style="291" customWidth="1"/>
    <col min="14850" max="14850" width="2.42578125" style="291" customWidth="1"/>
    <col min="14851" max="14851" width="11.5703125" style="291" customWidth="1"/>
    <col min="14852" max="14852" width="2.42578125" style="291" customWidth="1"/>
    <col min="14853" max="14853" width="11.5703125" style="291" customWidth="1"/>
    <col min="14854" max="14854" width="2.42578125" style="291" customWidth="1"/>
    <col min="14855" max="14855" width="10.85546875" style="291" customWidth="1"/>
    <col min="14856" max="14856" width="2.42578125" style="291" customWidth="1"/>
    <col min="14857" max="14857" width="11.140625" style="291" customWidth="1"/>
    <col min="14858" max="14858" width="1.85546875" style="291" customWidth="1"/>
    <col min="14859" max="14859" width="11" style="291" customWidth="1"/>
    <col min="14860" max="14860" width="0.7109375" style="291" customWidth="1"/>
    <col min="14861" max="14861" width="1.85546875" style="291" customWidth="1"/>
    <col min="14862" max="14862" width="11.85546875" style="291" bestFit="1" customWidth="1"/>
    <col min="14863" max="14863" width="15.28515625" style="291" bestFit="1" customWidth="1"/>
    <col min="14864" max="14864" width="5" style="291" customWidth="1"/>
    <col min="14865" max="14865" width="10.42578125" style="291" bestFit="1" customWidth="1"/>
    <col min="14866" max="14866" width="5" style="291" customWidth="1"/>
    <col min="14867" max="14867" width="10.42578125" style="291" bestFit="1" customWidth="1"/>
    <col min="14868" max="14870" width="9" style="291"/>
    <col min="14871" max="14871" width="10.42578125" style="291" bestFit="1" customWidth="1"/>
    <col min="14872" max="15100" width="9" style="291"/>
    <col min="15101" max="15101" width="3.5703125" style="291" customWidth="1"/>
    <col min="15102" max="15102" width="4.85546875" style="291" customWidth="1"/>
    <col min="15103" max="15103" width="5.42578125" style="291" customWidth="1"/>
    <col min="15104" max="15104" width="31.28515625" style="291" customWidth="1"/>
    <col min="15105" max="15105" width="7.5703125" style="291" customWidth="1"/>
    <col min="15106" max="15106" width="2.42578125" style="291" customWidth="1"/>
    <col min="15107" max="15107" width="11.5703125" style="291" customWidth="1"/>
    <col min="15108" max="15108" width="2.42578125" style="291" customWidth="1"/>
    <col min="15109" max="15109" width="11.5703125" style="291" customWidth="1"/>
    <col min="15110" max="15110" width="2.42578125" style="291" customWidth="1"/>
    <col min="15111" max="15111" width="10.85546875" style="291" customWidth="1"/>
    <col min="15112" max="15112" width="2.42578125" style="291" customWidth="1"/>
    <col min="15113" max="15113" width="11.140625" style="291" customWidth="1"/>
    <col min="15114" max="15114" width="1.85546875" style="291" customWidth="1"/>
    <col min="15115" max="15115" width="11" style="291" customWidth="1"/>
    <col min="15116" max="15116" width="0.7109375" style="291" customWidth="1"/>
    <col min="15117" max="15117" width="1.85546875" style="291" customWidth="1"/>
    <col min="15118" max="15118" width="11.85546875" style="291" bestFit="1" customWidth="1"/>
    <col min="15119" max="15119" width="15.28515625" style="291" bestFit="1" customWidth="1"/>
    <col min="15120" max="15120" width="5" style="291" customWidth="1"/>
    <col min="15121" max="15121" width="10.42578125" style="291" bestFit="1" customWidth="1"/>
    <col min="15122" max="15122" width="5" style="291" customWidth="1"/>
    <col min="15123" max="15123" width="10.42578125" style="291" bestFit="1" customWidth="1"/>
    <col min="15124" max="15126" width="9" style="291"/>
    <col min="15127" max="15127" width="10.42578125" style="291" bestFit="1" customWidth="1"/>
    <col min="15128" max="15356" width="9" style="291"/>
    <col min="15357" max="15357" width="3.5703125" style="291" customWidth="1"/>
    <col min="15358" max="15358" width="4.85546875" style="291" customWidth="1"/>
    <col min="15359" max="15359" width="5.42578125" style="291" customWidth="1"/>
    <col min="15360" max="15360" width="31.28515625" style="291" customWidth="1"/>
    <col min="15361" max="15361" width="7.5703125" style="291" customWidth="1"/>
    <col min="15362" max="15362" width="2.42578125" style="291" customWidth="1"/>
    <col min="15363" max="15363" width="11.5703125" style="291" customWidth="1"/>
    <col min="15364" max="15364" width="2.42578125" style="291" customWidth="1"/>
    <col min="15365" max="15365" width="11.5703125" style="291" customWidth="1"/>
    <col min="15366" max="15366" width="2.42578125" style="291" customWidth="1"/>
    <col min="15367" max="15367" width="10.85546875" style="291" customWidth="1"/>
    <col min="15368" max="15368" width="2.42578125" style="291" customWidth="1"/>
    <col min="15369" max="15369" width="11.140625" style="291" customWidth="1"/>
    <col min="15370" max="15370" width="1.85546875" style="291" customWidth="1"/>
    <col min="15371" max="15371" width="11" style="291" customWidth="1"/>
    <col min="15372" max="15372" width="0.7109375" style="291" customWidth="1"/>
    <col min="15373" max="15373" width="1.85546875" style="291" customWidth="1"/>
    <col min="15374" max="15374" width="11.85546875" style="291" bestFit="1" customWidth="1"/>
    <col min="15375" max="15375" width="15.28515625" style="291" bestFit="1" customWidth="1"/>
    <col min="15376" max="15376" width="5" style="291" customWidth="1"/>
    <col min="15377" max="15377" width="10.42578125" style="291" bestFit="1" customWidth="1"/>
    <col min="15378" max="15378" width="5" style="291" customWidth="1"/>
    <col min="15379" max="15379" width="10.42578125" style="291" bestFit="1" customWidth="1"/>
    <col min="15380" max="15382" width="9" style="291"/>
    <col min="15383" max="15383" width="10.42578125" style="291" bestFit="1" customWidth="1"/>
    <col min="15384" max="15612" width="9" style="291"/>
    <col min="15613" max="15613" width="3.5703125" style="291" customWidth="1"/>
    <col min="15614" max="15614" width="4.85546875" style="291" customWidth="1"/>
    <col min="15615" max="15615" width="5.42578125" style="291" customWidth="1"/>
    <col min="15616" max="15616" width="31.28515625" style="291" customWidth="1"/>
    <col min="15617" max="15617" width="7.5703125" style="291" customWidth="1"/>
    <col min="15618" max="15618" width="2.42578125" style="291" customWidth="1"/>
    <col min="15619" max="15619" width="11.5703125" style="291" customWidth="1"/>
    <col min="15620" max="15620" width="2.42578125" style="291" customWidth="1"/>
    <col min="15621" max="15621" width="11.5703125" style="291" customWidth="1"/>
    <col min="15622" max="15622" width="2.42578125" style="291" customWidth="1"/>
    <col min="15623" max="15623" width="10.85546875" style="291" customWidth="1"/>
    <col min="15624" max="15624" width="2.42578125" style="291" customWidth="1"/>
    <col min="15625" max="15625" width="11.140625" style="291" customWidth="1"/>
    <col min="15626" max="15626" width="1.85546875" style="291" customWidth="1"/>
    <col min="15627" max="15627" width="11" style="291" customWidth="1"/>
    <col min="15628" max="15628" width="0.7109375" style="291" customWidth="1"/>
    <col min="15629" max="15629" width="1.85546875" style="291" customWidth="1"/>
    <col min="15630" max="15630" width="11.85546875" style="291" bestFit="1" customWidth="1"/>
    <col min="15631" max="15631" width="15.28515625" style="291" bestFit="1" customWidth="1"/>
    <col min="15632" max="15632" width="5" style="291" customWidth="1"/>
    <col min="15633" max="15633" width="10.42578125" style="291" bestFit="1" customWidth="1"/>
    <col min="15634" max="15634" width="5" style="291" customWidth="1"/>
    <col min="15635" max="15635" width="10.42578125" style="291" bestFit="1" customWidth="1"/>
    <col min="15636" max="15638" width="9" style="291"/>
    <col min="15639" max="15639" width="10.42578125" style="291" bestFit="1" customWidth="1"/>
    <col min="15640" max="15868" width="9" style="291"/>
    <col min="15869" max="15869" width="3.5703125" style="291" customWidth="1"/>
    <col min="15870" max="15870" width="4.85546875" style="291" customWidth="1"/>
    <col min="15871" max="15871" width="5.42578125" style="291" customWidth="1"/>
    <col min="15872" max="15872" width="31.28515625" style="291" customWidth="1"/>
    <col min="15873" max="15873" width="7.5703125" style="291" customWidth="1"/>
    <col min="15874" max="15874" width="2.42578125" style="291" customWidth="1"/>
    <col min="15875" max="15875" width="11.5703125" style="291" customWidth="1"/>
    <col min="15876" max="15876" width="2.42578125" style="291" customWidth="1"/>
    <col min="15877" max="15877" width="11.5703125" style="291" customWidth="1"/>
    <col min="15878" max="15878" width="2.42578125" style="291" customWidth="1"/>
    <col min="15879" max="15879" width="10.85546875" style="291" customWidth="1"/>
    <col min="15880" max="15880" width="2.42578125" style="291" customWidth="1"/>
    <col min="15881" max="15881" width="11.140625" style="291" customWidth="1"/>
    <col min="15882" max="15882" width="1.85546875" style="291" customWidth="1"/>
    <col min="15883" max="15883" width="11" style="291" customWidth="1"/>
    <col min="15884" max="15884" width="0.7109375" style="291" customWidth="1"/>
    <col min="15885" max="15885" width="1.85546875" style="291" customWidth="1"/>
    <col min="15886" max="15886" width="11.85546875" style="291" bestFit="1" customWidth="1"/>
    <col min="15887" max="15887" width="15.28515625" style="291" bestFit="1" customWidth="1"/>
    <col min="15888" max="15888" width="5" style="291" customWidth="1"/>
    <col min="15889" max="15889" width="10.42578125" style="291" bestFit="1" customWidth="1"/>
    <col min="15890" max="15890" width="5" style="291" customWidth="1"/>
    <col min="15891" max="15891" width="10.42578125" style="291" bestFit="1" customWidth="1"/>
    <col min="15892" max="15894" width="9" style="291"/>
    <col min="15895" max="15895" width="10.42578125" style="291" bestFit="1" customWidth="1"/>
    <col min="15896" max="16124" width="9" style="291"/>
    <col min="16125" max="16125" width="3.5703125" style="291" customWidth="1"/>
    <col min="16126" max="16126" width="4.85546875" style="291" customWidth="1"/>
    <col min="16127" max="16127" width="5.42578125" style="291" customWidth="1"/>
    <col min="16128" max="16128" width="31.28515625" style="291" customWidth="1"/>
    <col min="16129" max="16129" width="7.5703125" style="291" customWidth="1"/>
    <col min="16130" max="16130" width="2.42578125" style="291" customWidth="1"/>
    <col min="16131" max="16131" width="11.5703125" style="291" customWidth="1"/>
    <col min="16132" max="16132" width="2.42578125" style="291" customWidth="1"/>
    <col min="16133" max="16133" width="11.5703125" style="291" customWidth="1"/>
    <col min="16134" max="16134" width="2.42578125" style="291" customWidth="1"/>
    <col min="16135" max="16135" width="10.85546875" style="291" customWidth="1"/>
    <col min="16136" max="16136" width="2.42578125" style="291" customWidth="1"/>
    <col min="16137" max="16137" width="11.140625" style="291" customWidth="1"/>
    <col min="16138" max="16138" width="1.85546875" style="291" customWidth="1"/>
    <col min="16139" max="16139" width="11" style="291" customWidth="1"/>
    <col min="16140" max="16140" width="0.7109375" style="291" customWidth="1"/>
    <col min="16141" max="16141" width="1.85546875" style="291" customWidth="1"/>
    <col min="16142" max="16142" width="11.85546875" style="291" bestFit="1" customWidth="1"/>
    <col min="16143" max="16143" width="15.28515625" style="291" bestFit="1" customWidth="1"/>
    <col min="16144" max="16144" width="5" style="291" customWidth="1"/>
    <col min="16145" max="16145" width="10.42578125" style="291" bestFit="1" customWidth="1"/>
    <col min="16146" max="16146" width="5" style="291" customWidth="1"/>
    <col min="16147" max="16147" width="10.42578125" style="291" bestFit="1" customWidth="1"/>
    <col min="16148" max="16150" width="9" style="291"/>
    <col min="16151" max="16151" width="10.42578125" style="291" bestFit="1" customWidth="1"/>
    <col min="16152" max="16380" width="9" style="291"/>
    <col min="16381" max="16384" width="9" style="291" customWidth="1"/>
  </cols>
  <sheetData>
    <row r="1" spans="1:17" s="279" customFormat="1" ht="41.25" customHeight="1" x14ac:dyDescent="0.85">
      <c r="A1" s="1450" t="s">
        <v>244</v>
      </c>
      <c r="B1" s="1450"/>
      <c r="C1" s="1450"/>
      <c r="D1" s="1450"/>
      <c r="E1" s="1450"/>
      <c r="F1" s="1450"/>
      <c r="G1" s="1450"/>
      <c r="H1" s="1450"/>
      <c r="I1" s="1450"/>
      <c r="J1" s="1450"/>
      <c r="K1" s="1450"/>
      <c r="L1" s="1450"/>
      <c r="M1" s="1450"/>
      <c r="N1" s="277"/>
      <c r="O1" s="278"/>
      <c r="P1" s="278"/>
      <c r="Q1" s="278"/>
    </row>
    <row r="2" spans="1:17" s="279" customFormat="1" ht="41.25" customHeight="1" x14ac:dyDescent="0.85">
      <c r="A2" s="1451" t="s">
        <v>225</v>
      </c>
      <c r="B2" s="1451"/>
      <c r="C2" s="1451"/>
      <c r="D2" s="1451"/>
      <c r="E2" s="1451"/>
      <c r="F2" s="1451"/>
      <c r="G2" s="1451"/>
      <c r="H2" s="1451"/>
      <c r="I2" s="1451"/>
      <c r="J2" s="1451"/>
      <c r="K2" s="1451"/>
      <c r="L2" s="1451"/>
      <c r="M2" s="1451"/>
      <c r="N2" s="277"/>
      <c r="O2" s="278"/>
      <c r="P2" s="278"/>
      <c r="Q2" s="278"/>
    </row>
    <row r="3" spans="1:17" s="279" customFormat="1" ht="41.25" customHeight="1" x14ac:dyDescent="0.85">
      <c r="A3" s="1451" t="s">
        <v>1187</v>
      </c>
      <c r="B3" s="1451"/>
      <c r="C3" s="1451"/>
      <c r="D3" s="1451"/>
      <c r="E3" s="1451"/>
      <c r="F3" s="1451"/>
      <c r="G3" s="1451"/>
      <c r="H3" s="1451"/>
      <c r="I3" s="1451"/>
      <c r="J3" s="1451"/>
      <c r="K3" s="1451"/>
      <c r="L3" s="1451"/>
      <c r="M3" s="1451"/>
      <c r="N3" s="277"/>
      <c r="O3" s="278"/>
      <c r="P3" s="278"/>
      <c r="Q3" s="278"/>
    </row>
    <row r="4" spans="1:17" s="286" customFormat="1" ht="36.75" customHeight="1" x14ac:dyDescent="0.85">
      <c r="A4" s="280" t="s">
        <v>403</v>
      </c>
      <c r="B4" s="281" t="s">
        <v>71</v>
      </c>
      <c r="C4" s="281"/>
      <c r="D4" s="281"/>
      <c r="E4" s="282"/>
      <c r="F4" s="282"/>
      <c r="G4" s="282"/>
      <c r="H4" s="282"/>
      <c r="I4" s="282"/>
      <c r="J4" s="282"/>
      <c r="K4" s="282"/>
      <c r="L4" s="282"/>
      <c r="M4" s="282"/>
      <c r="N4" s="283"/>
      <c r="O4" s="284"/>
      <c r="P4" s="285"/>
      <c r="Q4" s="285"/>
    </row>
    <row r="5" spans="1:17" s="298" customFormat="1" ht="30" customHeight="1" x14ac:dyDescent="0.85">
      <c r="A5" s="287"/>
      <c r="B5" s="293"/>
      <c r="C5" s="1013" t="s">
        <v>438</v>
      </c>
      <c r="D5" s="292"/>
      <c r="E5" s="294"/>
      <c r="F5" s="294"/>
      <c r="G5" s="294"/>
      <c r="H5" s="294"/>
      <c r="I5" s="295">
        <v>1403</v>
      </c>
      <c r="J5" s="296"/>
      <c r="K5" s="295">
        <v>1402</v>
      </c>
      <c r="L5" s="296"/>
      <c r="M5" s="294"/>
      <c r="N5" s="294"/>
      <c r="O5" s="297"/>
    </row>
    <row r="6" spans="1:17" ht="31.5" customHeight="1" x14ac:dyDescent="0.25">
      <c r="A6" s="287"/>
      <c r="B6" s="299"/>
      <c r="C6" s="299"/>
      <c r="D6" s="299"/>
      <c r="E6" s="289"/>
      <c r="F6" s="289"/>
      <c r="G6" s="289"/>
      <c r="H6" s="289"/>
      <c r="I6" s="300" t="s">
        <v>591</v>
      </c>
      <c r="J6" s="289"/>
      <c r="K6" s="300" t="s">
        <v>591</v>
      </c>
      <c r="L6" s="289"/>
      <c r="M6" s="289"/>
      <c r="N6" s="300"/>
      <c r="O6" s="301"/>
    </row>
    <row r="7" spans="1:17" ht="38.25" customHeight="1" x14ac:dyDescent="0.25">
      <c r="A7" s="302" t="s">
        <v>490</v>
      </c>
      <c r="B7" s="303" t="s">
        <v>73</v>
      </c>
      <c r="C7" s="304" t="s">
        <v>439</v>
      </c>
      <c r="D7" s="303"/>
      <c r="E7" s="970"/>
      <c r="G7" s="970"/>
      <c r="I7" s="1149">
        <v>3254533296155</v>
      </c>
      <c r="J7" s="1149"/>
      <c r="K7" s="1149">
        <v>3895387018547</v>
      </c>
      <c r="L7" s="304"/>
      <c r="M7" s="304"/>
    </row>
    <row r="8" spans="1:17" ht="38.25" customHeight="1" x14ac:dyDescent="0.25">
      <c r="B8" s="303" t="s">
        <v>74</v>
      </c>
      <c r="C8" s="306" t="s">
        <v>819</v>
      </c>
      <c r="D8" s="307"/>
      <c r="E8" s="970"/>
      <c r="G8" s="970"/>
      <c r="I8" s="1149">
        <v>346380535332</v>
      </c>
      <c r="J8" s="1149"/>
      <c r="K8" s="1149">
        <v>319047792173</v>
      </c>
      <c r="L8" s="304"/>
      <c r="M8" s="304"/>
    </row>
    <row r="9" spans="1:17" ht="38.25" customHeight="1" x14ac:dyDescent="0.25">
      <c r="B9" s="303" t="s">
        <v>960</v>
      </c>
      <c r="C9" s="306"/>
      <c r="D9" s="307"/>
      <c r="E9" s="970"/>
      <c r="G9" s="970"/>
      <c r="I9" s="1149">
        <v>2614590000</v>
      </c>
      <c r="J9" s="1149"/>
      <c r="K9" s="1149">
        <v>3521936000</v>
      </c>
      <c r="L9" s="304"/>
      <c r="M9" s="304"/>
    </row>
    <row r="10" spans="1:17" ht="38.25" customHeight="1" x14ac:dyDescent="0.25">
      <c r="B10" s="308" t="s">
        <v>75</v>
      </c>
      <c r="C10" s="308"/>
      <c r="D10" s="308"/>
      <c r="I10" s="1149"/>
      <c r="J10" s="1149"/>
      <c r="K10" s="1149"/>
      <c r="L10" s="304"/>
      <c r="M10" s="304"/>
    </row>
    <row r="11" spans="1:17" ht="38.25" customHeight="1" x14ac:dyDescent="0.25">
      <c r="B11" s="303" t="s">
        <v>820</v>
      </c>
      <c r="C11" s="303"/>
      <c r="D11" s="303"/>
      <c r="I11" s="1149">
        <v>459974821773</v>
      </c>
      <c r="J11" s="1149"/>
      <c r="K11" s="1149">
        <v>412826438821</v>
      </c>
      <c r="L11" s="304"/>
      <c r="M11" s="304"/>
    </row>
    <row r="12" spans="1:17" ht="38.25" customHeight="1" x14ac:dyDescent="0.25">
      <c r="B12" s="303" t="s">
        <v>1012</v>
      </c>
      <c r="C12" s="303"/>
      <c r="D12" s="303"/>
      <c r="I12" s="1149">
        <v>116374132011</v>
      </c>
      <c r="J12" s="1149"/>
      <c r="K12" s="1149">
        <v>54692435659.554771</v>
      </c>
      <c r="L12" s="304"/>
      <c r="M12" s="304"/>
    </row>
    <row r="13" spans="1:17" ht="38.25" customHeight="1" x14ac:dyDescent="0.25">
      <c r="B13" s="303" t="s">
        <v>821</v>
      </c>
      <c r="C13" s="303"/>
      <c r="D13" s="303"/>
      <c r="I13" s="1149">
        <v>106609412986</v>
      </c>
      <c r="J13" s="1149"/>
      <c r="K13" s="1149">
        <v>73385160605.232727</v>
      </c>
      <c r="L13" s="304"/>
      <c r="M13" s="304"/>
    </row>
    <row r="14" spans="1:17" ht="38.25" customHeight="1" x14ac:dyDescent="0.25">
      <c r="B14" s="303" t="s">
        <v>307</v>
      </c>
      <c r="C14" s="303"/>
      <c r="D14" s="303"/>
      <c r="I14" s="1149">
        <v>105980185665</v>
      </c>
      <c r="J14" s="1149"/>
      <c r="K14" s="1149">
        <v>170632916710.41016</v>
      </c>
      <c r="L14" s="304"/>
      <c r="M14" s="304"/>
    </row>
    <row r="15" spans="1:17" ht="38.25" customHeight="1" x14ac:dyDescent="0.25">
      <c r="B15" s="303" t="s">
        <v>306</v>
      </c>
      <c r="C15" s="303"/>
      <c r="D15" s="303"/>
      <c r="I15" s="1149">
        <v>61414443701</v>
      </c>
      <c r="J15" s="1149"/>
      <c r="K15" s="1149">
        <v>61158221380.904305</v>
      </c>
      <c r="L15" s="304"/>
      <c r="M15" s="304"/>
    </row>
    <row r="16" spans="1:17" ht="38.25" customHeight="1" x14ac:dyDescent="0.25">
      <c r="B16" s="303" t="s">
        <v>823</v>
      </c>
      <c r="C16" s="303"/>
      <c r="D16" s="303"/>
      <c r="I16" s="1149">
        <v>59130201818</v>
      </c>
      <c r="J16" s="1149"/>
      <c r="K16" s="1149">
        <v>43153376893.56678</v>
      </c>
      <c r="L16" s="304"/>
      <c r="M16" s="304"/>
    </row>
    <row r="17" spans="2:13" ht="38.25" customHeight="1" x14ac:dyDescent="0.25">
      <c r="B17" s="303" t="s">
        <v>310</v>
      </c>
      <c r="C17" s="303"/>
      <c r="D17" s="303"/>
      <c r="I17" s="1149">
        <v>57036224299</v>
      </c>
      <c r="J17" s="1149"/>
      <c r="K17" s="1149">
        <v>88580341455</v>
      </c>
      <c r="L17" s="304"/>
      <c r="M17" s="304"/>
    </row>
    <row r="18" spans="2:13" ht="38.25" customHeight="1" x14ac:dyDescent="0.25">
      <c r="B18" s="303" t="s">
        <v>308</v>
      </c>
      <c r="C18" s="303"/>
      <c r="D18" s="303"/>
      <c r="I18" s="1149">
        <v>36462987564</v>
      </c>
      <c r="J18" s="1149"/>
      <c r="K18" s="1149">
        <v>20030828894.447681</v>
      </c>
      <c r="L18" s="304"/>
      <c r="M18" s="304"/>
    </row>
    <row r="19" spans="2:13" ht="38.25" customHeight="1" x14ac:dyDescent="0.25">
      <c r="B19" s="303" t="s">
        <v>822</v>
      </c>
      <c r="C19" s="303"/>
      <c r="D19" s="303"/>
      <c r="G19" s="304"/>
      <c r="H19" s="304"/>
      <c r="I19" s="1149">
        <v>32298533984</v>
      </c>
      <c r="J19" s="1149"/>
      <c r="K19" s="1149">
        <v>27519055847.073338</v>
      </c>
      <c r="L19" s="304"/>
      <c r="M19" s="304"/>
    </row>
    <row r="20" spans="2:13" ht="38.25" customHeight="1" x14ac:dyDescent="0.25">
      <c r="B20" s="303" t="s">
        <v>309</v>
      </c>
      <c r="C20" s="303"/>
      <c r="D20" s="303"/>
      <c r="I20" s="1149">
        <v>19265148322</v>
      </c>
      <c r="J20" s="1149"/>
      <c r="K20" s="1149">
        <v>8899730552.0722256</v>
      </c>
      <c r="L20" s="304"/>
      <c r="M20" s="304"/>
    </row>
    <row r="21" spans="2:13" ht="38.25" customHeight="1" x14ac:dyDescent="0.25">
      <c r="B21" s="303" t="s">
        <v>1008</v>
      </c>
      <c r="C21" s="303"/>
      <c r="D21" s="303"/>
      <c r="I21" s="1149">
        <v>14091716537</v>
      </c>
      <c r="J21" s="1149"/>
      <c r="K21" s="1149">
        <v>22740376497.491978</v>
      </c>
      <c r="L21" s="304"/>
      <c r="M21" s="304"/>
    </row>
    <row r="22" spans="2:13" ht="38.25" customHeight="1" x14ac:dyDescent="0.25">
      <c r="B22" s="303" t="s">
        <v>1011</v>
      </c>
      <c r="C22" s="306" t="s">
        <v>1041</v>
      </c>
      <c r="D22" s="303"/>
      <c r="I22" s="1149">
        <v>11725587499</v>
      </c>
      <c r="J22" s="1149"/>
      <c r="K22" s="1149">
        <v>11256708997.338192</v>
      </c>
      <c r="L22" s="304"/>
      <c r="M22" s="304"/>
    </row>
    <row r="23" spans="2:13" ht="38.25" customHeight="1" x14ac:dyDescent="0.25">
      <c r="B23" s="303" t="s">
        <v>1010</v>
      </c>
      <c r="C23" s="303"/>
      <c r="D23" s="303"/>
      <c r="I23" s="1149">
        <v>10609569258</v>
      </c>
      <c r="J23" s="1149"/>
      <c r="K23" s="1149">
        <v>12470977630.350264</v>
      </c>
      <c r="L23" s="304"/>
      <c r="M23" s="304"/>
    </row>
    <row r="24" spans="2:13" ht="38.25" customHeight="1" x14ac:dyDescent="0.25">
      <c r="B24" s="303" t="s">
        <v>1007</v>
      </c>
      <c r="C24" s="303"/>
      <c r="D24" s="303"/>
      <c r="I24" s="1149">
        <v>14333128166</v>
      </c>
      <c r="J24" s="1149"/>
      <c r="K24" s="1149">
        <v>65133969633.895248</v>
      </c>
      <c r="L24" s="304"/>
      <c r="M24" s="304"/>
    </row>
    <row r="25" spans="2:13" ht="38.25" customHeight="1" x14ac:dyDescent="0.25">
      <c r="B25" s="303" t="s">
        <v>1009</v>
      </c>
      <c r="C25" s="303"/>
      <c r="D25" s="303"/>
      <c r="I25" s="1149">
        <v>4551638863</v>
      </c>
      <c r="J25" s="1149"/>
      <c r="K25" s="1149">
        <v>13508234119.469196</v>
      </c>
      <c r="L25" s="304"/>
      <c r="M25" s="304"/>
    </row>
    <row r="26" spans="2:13" ht="38.25" customHeight="1" x14ac:dyDescent="0.25">
      <c r="B26" s="303" t="s">
        <v>311</v>
      </c>
      <c r="C26" s="303"/>
      <c r="D26" s="303"/>
      <c r="I26" s="1149">
        <v>384045534755</v>
      </c>
      <c r="J26" s="1149"/>
      <c r="K26" s="1149">
        <v>420266009741.02795</v>
      </c>
      <c r="L26" s="304"/>
      <c r="M26" s="304"/>
    </row>
    <row r="27" spans="2:13" ht="38.25" customHeight="1" x14ac:dyDescent="0.25">
      <c r="B27" s="303"/>
      <c r="C27" s="303"/>
      <c r="D27" s="303"/>
      <c r="I27" s="1197">
        <f>SUM(I11:I26)</f>
        <v>1493903267201</v>
      </c>
      <c r="J27" s="304"/>
      <c r="K27" s="1197">
        <v>1506254783438.835</v>
      </c>
      <c r="L27" s="304"/>
      <c r="M27" s="304"/>
    </row>
    <row r="28" spans="2:13" ht="38.25" customHeight="1" x14ac:dyDescent="0.25">
      <c r="B28" s="303" t="s">
        <v>77</v>
      </c>
      <c r="C28" s="303"/>
      <c r="D28" s="303"/>
      <c r="I28" s="1149">
        <f>I7+I8+I27+I9</f>
        <v>5097431688688</v>
      </c>
      <c r="J28" s="304"/>
      <c r="K28" s="1149">
        <v>5724211530158.835</v>
      </c>
      <c r="L28" s="304"/>
      <c r="M28" s="304"/>
    </row>
    <row r="29" spans="2:13" ht="38.25" customHeight="1" x14ac:dyDescent="0.25">
      <c r="B29" s="308" t="s">
        <v>78</v>
      </c>
      <c r="C29" s="303"/>
      <c r="D29" s="303"/>
      <c r="I29" s="1149">
        <v>123223716589</v>
      </c>
      <c r="J29" s="304"/>
      <c r="K29" s="1150">
        <v>-122094442860</v>
      </c>
      <c r="L29" s="304"/>
      <c r="M29" s="304"/>
    </row>
    <row r="30" spans="2:13" ht="38.25" customHeight="1" x14ac:dyDescent="0.25">
      <c r="B30" s="291" t="s">
        <v>80</v>
      </c>
      <c r="I30" s="312">
        <f>SUM(I28:I29)</f>
        <v>5220655405277</v>
      </c>
      <c r="J30" s="304"/>
      <c r="K30" s="1149">
        <v>5602117087298.835</v>
      </c>
      <c r="L30" s="304"/>
      <c r="M30" s="304"/>
    </row>
    <row r="31" spans="2:13" ht="38.25" hidden="1" customHeight="1" x14ac:dyDescent="0.25">
      <c r="B31" s="291" t="s">
        <v>709</v>
      </c>
      <c r="G31" s="304"/>
      <c r="H31" s="304"/>
      <c r="I31" s="305">
        <v>0</v>
      </c>
      <c r="J31" s="304"/>
      <c r="K31" s="305">
        <v>0</v>
      </c>
      <c r="L31" s="304"/>
      <c r="M31" s="304"/>
    </row>
    <row r="32" spans="2:13" ht="38.25" customHeight="1" x14ac:dyDescent="0.25">
      <c r="B32" s="308" t="s">
        <v>402</v>
      </c>
      <c r="C32" s="308"/>
      <c r="D32" s="308"/>
      <c r="G32" s="304"/>
      <c r="H32" s="304"/>
      <c r="I32" s="1149">
        <v>482838095298</v>
      </c>
      <c r="J32" s="304"/>
      <c r="K32" s="1151">
        <v>-729706068200</v>
      </c>
      <c r="L32" s="304"/>
      <c r="M32" s="304"/>
    </row>
    <row r="33" spans="1:17" ht="38.25" customHeight="1" x14ac:dyDescent="0.25">
      <c r="B33" s="308" t="s">
        <v>312</v>
      </c>
      <c r="C33" s="307"/>
      <c r="D33" s="307"/>
      <c r="I33" s="1151">
        <v>-36674673470</v>
      </c>
      <c r="J33" s="304"/>
      <c r="K33" s="1151">
        <v>-29797003546</v>
      </c>
      <c r="L33" s="304"/>
      <c r="M33" s="304"/>
    </row>
    <row r="34" spans="1:17" ht="38.25" customHeight="1" thickBot="1" x14ac:dyDescent="0.3">
      <c r="B34" s="308" t="s">
        <v>710</v>
      </c>
      <c r="I34" s="309">
        <f>SUM(I30:I33)</f>
        <v>5666818827105</v>
      </c>
      <c r="J34" s="304"/>
      <c r="K34" s="310">
        <v>4842614015552.835</v>
      </c>
      <c r="L34" s="304"/>
      <c r="M34" s="304"/>
      <c r="P34" s="291">
        <f>I34+سودوزيان!F10</f>
        <v>0</v>
      </c>
      <c r="Q34" s="291">
        <f>K34+سودوزيان!H10</f>
        <v>0</v>
      </c>
    </row>
    <row r="35" spans="1:17" ht="12.75" customHeight="1" thickTop="1" x14ac:dyDescent="0.25">
      <c r="J35" s="304"/>
      <c r="K35" s="304"/>
      <c r="L35" s="304"/>
      <c r="M35" s="304"/>
    </row>
    <row r="36" spans="1:17" ht="48" hidden="1" customHeight="1" x14ac:dyDescent="0.25">
      <c r="B36" s="302"/>
      <c r="C36" s="1452"/>
      <c r="D36" s="1452"/>
      <c r="E36" s="1452"/>
      <c r="F36" s="1452"/>
      <c r="G36" s="1452"/>
      <c r="H36" s="1452"/>
      <c r="I36" s="1452"/>
      <c r="J36" s="1452"/>
      <c r="K36" s="304"/>
      <c r="L36" s="304"/>
      <c r="M36" s="304"/>
    </row>
    <row r="37" spans="1:17" ht="48" hidden="1" customHeight="1" x14ac:dyDescent="0.25">
      <c r="J37" s="304"/>
      <c r="K37" s="304"/>
      <c r="L37" s="304"/>
      <c r="M37" s="304"/>
    </row>
    <row r="38" spans="1:17" ht="48" hidden="1" customHeight="1" x14ac:dyDescent="0.25">
      <c r="J38" s="304"/>
      <c r="K38" s="304"/>
      <c r="L38" s="304"/>
      <c r="M38" s="304"/>
    </row>
    <row r="39" spans="1:17" ht="48" hidden="1" customHeight="1" x14ac:dyDescent="0.25">
      <c r="J39" s="304"/>
      <c r="K39" s="304"/>
      <c r="L39" s="304"/>
      <c r="M39" s="304"/>
    </row>
    <row r="40" spans="1:17" ht="48" hidden="1" customHeight="1" x14ac:dyDescent="0.25">
      <c r="J40" s="304"/>
      <c r="K40" s="304"/>
      <c r="L40" s="304"/>
      <c r="M40" s="304"/>
    </row>
    <row r="41" spans="1:17" ht="48" hidden="1" customHeight="1" x14ac:dyDescent="0.25">
      <c r="J41" s="304"/>
      <c r="K41" s="304"/>
      <c r="L41" s="304"/>
      <c r="M41" s="304"/>
    </row>
    <row r="42" spans="1:17" ht="48" hidden="1" customHeight="1" x14ac:dyDescent="0.25">
      <c r="J42" s="304"/>
      <c r="K42" s="304"/>
      <c r="L42" s="304"/>
      <c r="M42" s="304"/>
    </row>
    <row r="43" spans="1:17" ht="48" hidden="1" customHeight="1" x14ac:dyDescent="0.25">
      <c r="J43" s="304"/>
      <c r="K43" s="304"/>
      <c r="L43" s="304"/>
      <c r="M43" s="304"/>
    </row>
    <row r="44" spans="1:17" ht="48" hidden="1" customHeight="1" x14ac:dyDescent="0.25">
      <c r="G44" s="304"/>
      <c r="H44" s="304"/>
      <c r="J44" s="304"/>
      <c r="K44" s="304"/>
      <c r="L44" s="304"/>
      <c r="M44" s="304"/>
    </row>
    <row r="45" spans="1:17" ht="48" hidden="1" customHeight="1" x14ac:dyDescent="0.25">
      <c r="C45" s="304"/>
      <c r="D45" s="304"/>
      <c r="E45" s="304"/>
      <c r="F45" s="304"/>
    </row>
    <row r="46" spans="1:17" ht="31.5" customHeight="1" x14ac:dyDescent="0.25">
      <c r="A46" s="280" t="s">
        <v>404</v>
      </c>
      <c r="B46" s="291" t="s">
        <v>450</v>
      </c>
      <c r="C46" s="304"/>
      <c r="D46" s="304"/>
      <c r="E46" s="304"/>
      <c r="F46" s="304"/>
    </row>
    <row r="47" spans="1:17" ht="26.25" customHeight="1" x14ac:dyDescent="0.25">
      <c r="I47" s="304" t="s">
        <v>1107</v>
      </c>
      <c r="K47" s="311" t="s">
        <v>959</v>
      </c>
    </row>
    <row r="48" spans="1:17" ht="31.5" customHeight="1" x14ac:dyDescent="0.25">
      <c r="I48" s="312" t="s">
        <v>591</v>
      </c>
      <c r="K48" s="312" t="s">
        <v>591</v>
      </c>
    </row>
    <row r="49" spans="1:17" ht="36.75" customHeight="1" x14ac:dyDescent="0.25">
      <c r="B49" s="291" t="s">
        <v>441</v>
      </c>
      <c r="I49" s="304">
        <v>1843044930332</v>
      </c>
      <c r="J49" s="304"/>
      <c r="K49" s="1149">
        <v>1118035649634</v>
      </c>
    </row>
    <row r="50" spans="1:17" ht="36.75" customHeight="1" x14ac:dyDescent="0.25">
      <c r="B50" s="291" t="s">
        <v>442</v>
      </c>
      <c r="C50" s="306" t="s">
        <v>818</v>
      </c>
      <c r="I50" s="304">
        <f>E70</f>
        <v>2899918129650</v>
      </c>
      <c r="J50" s="304"/>
      <c r="K50" s="291">
        <v>4658635344751</v>
      </c>
    </row>
    <row r="51" spans="1:17" ht="36.75" customHeight="1" x14ac:dyDescent="0.25">
      <c r="B51" s="291" t="s">
        <v>692</v>
      </c>
      <c r="I51" s="304">
        <v>288480655</v>
      </c>
      <c r="J51" s="304"/>
      <c r="K51" s="304">
        <v>-12496327</v>
      </c>
    </row>
    <row r="52" spans="1:17" ht="48" hidden="1" customHeight="1" x14ac:dyDescent="0.25">
      <c r="J52" s="304"/>
      <c r="K52" s="311"/>
    </row>
    <row r="53" spans="1:17" ht="36.75" customHeight="1" x14ac:dyDescent="0.25">
      <c r="B53" s="291" t="s">
        <v>443</v>
      </c>
      <c r="I53" s="312">
        <f>SUM(I49:I52)</f>
        <v>4743251540637</v>
      </c>
      <c r="J53" s="304"/>
      <c r="K53" s="313">
        <v>5776658498058</v>
      </c>
    </row>
    <row r="54" spans="1:17" ht="36.75" customHeight="1" x14ac:dyDescent="0.25">
      <c r="B54" s="291" t="s">
        <v>932</v>
      </c>
      <c r="I54" s="1172">
        <v>-1414783017001</v>
      </c>
      <c r="J54" s="304"/>
      <c r="K54" s="1244">
        <v>-1821638916854</v>
      </c>
    </row>
    <row r="55" spans="1:17" ht="36.75" customHeight="1" x14ac:dyDescent="0.25">
      <c r="B55" s="291" t="s">
        <v>938</v>
      </c>
      <c r="I55" s="304">
        <v>-41562482324</v>
      </c>
      <c r="J55" s="304"/>
      <c r="K55" s="1244">
        <v>-21406813478</v>
      </c>
    </row>
    <row r="56" spans="1:17" ht="36.75" customHeight="1" x14ac:dyDescent="0.25">
      <c r="B56" s="291" t="s">
        <v>446</v>
      </c>
      <c r="I56" s="304">
        <v>-22297152857</v>
      </c>
      <c r="J56" s="304"/>
      <c r="K56" s="1244">
        <v>-9282748866</v>
      </c>
    </row>
    <row r="57" spans="1:17" ht="36.75" customHeight="1" x14ac:dyDescent="0.25">
      <c r="B57" s="291" t="s">
        <v>447</v>
      </c>
      <c r="I57" s="304">
        <v>-3550451906</v>
      </c>
      <c r="J57" s="304"/>
      <c r="K57" s="1244">
        <v>-22465868697</v>
      </c>
    </row>
    <row r="58" spans="1:17" ht="36.75" customHeight="1" x14ac:dyDescent="0.25">
      <c r="B58" s="291" t="s">
        <v>449</v>
      </c>
      <c r="I58" s="304">
        <v>-6525140394</v>
      </c>
      <c r="J58" s="304"/>
      <c r="K58" s="1244">
        <v>-6477131616</v>
      </c>
    </row>
    <row r="59" spans="1:17" ht="36.75" customHeight="1" thickBot="1" x14ac:dyDescent="0.3">
      <c r="B59" s="291" t="s">
        <v>445</v>
      </c>
      <c r="I59" s="309">
        <f>SUM(I53:I58)</f>
        <v>3254533296155</v>
      </c>
      <c r="K59" s="309">
        <v>3895387018547</v>
      </c>
      <c r="P59" s="291" t="b">
        <f>I59=I7</f>
        <v>1</v>
      </c>
      <c r="Q59" s="291" t="b">
        <f>K59=K7</f>
        <v>1</v>
      </c>
    </row>
    <row r="60" spans="1:17" ht="48" hidden="1" customHeight="1" thickTop="1" x14ac:dyDescent="0.25"/>
    <row r="61" spans="1:17" ht="12.75" customHeight="1" thickTop="1" x14ac:dyDescent="0.25"/>
    <row r="62" spans="1:17" ht="48" customHeight="1" x14ac:dyDescent="0.25">
      <c r="A62" s="314" t="s">
        <v>804</v>
      </c>
      <c r="B62" s="1453" t="s">
        <v>1182</v>
      </c>
      <c r="C62" s="1453"/>
      <c r="D62" s="1453"/>
      <c r="E62" s="1453"/>
      <c r="F62" s="1453"/>
      <c r="G62" s="1453"/>
      <c r="H62" s="1453"/>
      <c r="I62" s="1453"/>
      <c r="J62" s="1453"/>
      <c r="K62" s="1453"/>
      <c r="L62" s="315"/>
      <c r="M62" s="315"/>
    </row>
    <row r="63" spans="1:17" ht="22.5" customHeight="1" x14ac:dyDescent="0.25">
      <c r="A63" s="280"/>
      <c r="B63" s="1453"/>
      <c r="C63" s="1453"/>
      <c r="D63" s="1453"/>
      <c r="E63" s="1453"/>
      <c r="F63" s="1453"/>
      <c r="G63" s="1453"/>
      <c r="H63" s="1453"/>
      <c r="I63" s="1453"/>
      <c r="J63" s="1453"/>
      <c r="K63" s="1453"/>
      <c r="L63" s="315"/>
      <c r="M63" s="315"/>
    </row>
    <row r="64" spans="1:17" ht="26.25" customHeight="1" x14ac:dyDescent="0.25">
      <c r="A64" s="287"/>
      <c r="B64" s="288"/>
      <c r="C64" s="288"/>
      <c r="D64" s="288"/>
      <c r="E64" s="1449">
        <v>1403</v>
      </c>
      <c r="F64" s="1449"/>
      <c r="G64" s="1449"/>
      <c r="H64" s="296"/>
      <c r="I64" s="1449">
        <v>1402</v>
      </c>
      <c r="J64" s="1449"/>
      <c r="K64" s="1449"/>
      <c r="L64" s="316"/>
      <c r="M64" s="295"/>
      <c r="N64" s="289"/>
    </row>
    <row r="65" spans="1:17" s="298" customFormat="1" ht="64.5" customHeight="1" x14ac:dyDescent="0.25">
      <c r="A65" s="287"/>
      <c r="B65" s="295" t="s">
        <v>81</v>
      </c>
      <c r="C65" s="317" t="s">
        <v>82</v>
      </c>
      <c r="D65" s="293"/>
      <c r="E65" s="317" t="s">
        <v>494</v>
      </c>
      <c r="F65" s="293"/>
      <c r="G65" s="295" t="s">
        <v>910</v>
      </c>
      <c r="H65" s="294"/>
      <c r="I65" s="317" t="s">
        <v>494</v>
      </c>
      <c r="J65" s="293"/>
      <c r="K65" s="1064" t="s">
        <v>910</v>
      </c>
      <c r="L65" s="294"/>
      <c r="M65" s="296"/>
      <c r="N65" s="294"/>
      <c r="O65" s="297"/>
    </row>
    <row r="66" spans="1:17" ht="30.75" customHeight="1" x14ac:dyDescent="0.25">
      <c r="A66" s="287"/>
      <c r="B66" s="300" t="s">
        <v>401</v>
      </c>
      <c r="C66" s="293" t="s">
        <v>909</v>
      </c>
      <c r="D66" s="299"/>
      <c r="E66" s="318">
        <v>2615822207605</v>
      </c>
      <c r="F66" s="289"/>
      <c r="G66" s="319">
        <f>E66/E$70</f>
        <v>0.90203312323190021</v>
      </c>
      <c r="H66" s="289"/>
      <c r="I66" s="318">
        <f>2080052367170+2395722289821-4829768126</f>
        <v>4470944888865</v>
      </c>
      <c r="J66" s="289"/>
      <c r="K66" s="319">
        <f>I66/I$70</f>
        <v>0.95971127980697701</v>
      </c>
      <c r="L66" s="288"/>
      <c r="M66" s="288"/>
      <c r="N66" s="300"/>
      <c r="O66" s="301"/>
    </row>
    <row r="67" spans="1:17" ht="30.75" customHeight="1" x14ac:dyDescent="0.25">
      <c r="A67" s="287"/>
      <c r="B67" s="300" t="s">
        <v>397</v>
      </c>
      <c r="C67" s="293" t="s">
        <v>398</v>
      </c>
      <c r="D67" s="299"/>
      <c r="E67" s="288">
        <v>43782063332</v>
      </c>
      <c r="F67" s="289"/>
      <c r="G67" s="319">
        <f>E67/E$70</f>
        <v>1.5097689443144449E-2</v>
      </c>
      <c r="H67" s="289"/>
      <c r="I67" s="289">
        <v>62422941548</v>
      </c>
      <c r="J67" s="289"/>
      <c r="K67" s="319">
        <f>I67/I$70</f>
        <v>1.3399404960582175E-2</v>
      </c>
      <c r="L67" s="288"/>
      <c r="M67" s="288"/>
      <c r="N67" s="300"/>
      <c r="O67" s="301"/>
    </row>
    <row r="68" spans="1:17" ht="30.75" customHeight="1" x14ac:dyDescent="0.25">
      <c r="A68" s="287"/>
      <c r="B68" s="300" t="s">
        <v>397</v>
      </c>
      <c r="C68" s="293" t="s">
        <v>399</v>
      </c>
      <c r="D68" s="299"/>
      <c r="E68" s="288">
        <v>169408349116</v>
      </c>
      <c r="F68" s="289"/>
      <c r="G68" s="320">
        <f>E68/E$70</f>
        <v>5.8418321325659772E-2</v>
      </c>
      <c r="H68" s="289"/>
      <c r="I68" s="288">
        <v>61741859798</v>
      </c>
      <c r="J68" s="289"/>
      <c r="K68" s="320">
        <f>I68/I$70</f>
        <v>1.3253207265420782E-2</v>
      </c>
      <c r="L68" s="288"/>
      <c r="M68" s="288"/>
      <c r="N68" s="300"/>
      <c r="O68" s="301"/>
    </row>
    <row r="69" spans="1:17" ht="30.75" customHeight="1" x14ac:dyDescent="0.25">
      <c r="B69" s="300" t="s">
        <v>397</v>
      </c>
      <c r="C69" s="304" t="s">
        <v>130</v>
      </c>
      <c r="E69" s="311">
        <v>70905509597</v>
      </c>
      <c r="G69" s="319">
        <f>E69/E$70</f>
        <v>2.4450865999295576E-2</v>
      </c>
      <c r="I69" s="321">
        <v>63525654540</v>
      </c>
      <c r="K69" s="319">
        <f>I69/I$70</f>
        <v>1.3636107967019985E-2</v>
      </c>
      <c r="L69" s="289"/>
      <c r="M69" s="289"/>
    </row>
    <row r="70" spans="1:17" ht="30.75" customHeight="1" thickBot="1" x14ac:dyDescent="0.3">
      <c r="E70" s="1135">
        <f>SUM(E66:E69)</f>
        <v>2899918129650</v>
      </c>
      <c r="I70" s="322">
        <f>SUM(I66:I69)</f>
        <v>4658635344751</v>
      </c>
      <c r="L70" s="289"/>
      <c r="M70" s="289"/>
      <c r="P70" s="291" t="b">
        <f>E70=I50</f>
        <v>1</v>
      </c>
      <c r="Q70" s="291" t="b">
        <f>I70=K50</f>
        <v>1</v>
      </c>
    </row>
    <row r="71" spans="1:17" ht="48" hidden="1" customHeight="1" thickTop="1" x14ac:dyDescent="0.25">
      <c r="I71" s="323"/>
    </row>
    <row r="72" spans="1:17" ht="48" hidden="1" customHeight="1" x14ac:dyDescent="0.25">
      <c r="I72" s="323"/>
    </row>
    <row r="73" spans="1:17" ht="48" hidden="1" customHeight="1" x14ac:dyDescent="0.25">
      <c r="I73" s="291"/>
    </row>
    <row r="74" spans="1:17" ht="48" hidden="1" customHeight="1" x14ac:dyDescent="0.25">
      <c r="I74" s="323"/>
    </row>
    <row r="75" spans="1:17" ht="48" hidden="1" customHeight="1" x14ac:dyDescent="0.25">
      <c r="I75" s="323"/>
    </row>
    <row r="76" spans="1:17" ht="17.25" customHeight="1" thickTop="1" x14ac:dyDescent="0.85">
      <c r="C76" s="286"/>
      <c r="D76" s="286"/>
      <c r="E76" s="286"/>
      <c r="F76" s="286"/>
      <c r="G76" s="286"/>
      <c r="H76" s="286"/>
      <c r="I76" s="286"/>
      <c r="J76" s="286"/>
      <c r="K76" s="286"/>
      <c r="L76" s="286"/>
      <c r="M76" s="286"/>
    </row>
    <row r="77" spans="1:17" ht="33" customHeight="1" x14ac:dyDescent="0.25">
      <c r="A77" s="1432">
        <v>12</v>
      </c>
      <c r="B77" s="1432"/>
      <c r="C77" s="1432"/>
      <c r="D77" s="1432"/>
      <c r="E77" s="1432"/>
      <c r="F77" s="1432"/>
      <c r="G77" s="1432"/>
      <c r="H77" s="1432"/>
      <c r="I77" s="1432"/>
      <c r="J77" s="1432"/>
      <c r="K77" s="1432"/>
    </row>
  </sheetData>
  <customSheetViews>
    <customSheetView guid="{39716EAB-185B-4ADF-90CF-1B1041867F58}" scale="55" showPageBreaks="1" view="pageBreakPreview" topLeftCell="A19">
      <selection activeCell="F28" sqref="F28"/>
      <rowBreaks count="1" manualBreakCount="1">
        <brk id="40" max="16383" man="1"/>
      </rowBreaks>
      <pageMargins left="0" right="0" top="0" bottom="0" header="0.31496062992125984" footer="0.31496062992125984"/>
      <printOptions horizontalCentered="1"/>
      <pageSetup paperSize="9" scale="27" fitToWidth="3" fitToHeight="3" orientation="landscape" r:id="rId1"/>
    </customSheetView>
    <customSheetView guid="{5CB8382F-C212-4512-9396-17792C62978E}" scale="55" showPageBreaks="1" view="pageBreakPreview">
      <selection activeCell="F28" sqref="F28"/>
      <rowBreaks count="1" manualBreakCount="1">
        <brk id="40" max="16383" man="1"/>
      </rowBreaks>
      <pageMargins left="0" right="0" top="0" bottom="0" header="0.31496062992125984" footer="0.31496062992125984"/>
      <printOptions horizontalCentered="1"/>
      <pageSetup paperSize="9" scale="27" fitToWidth="3" fitToHeight="3" orientation="landscape" r:id="rId2"/>
    </customSheetView>
    <customSheetView guid="{184BCED3-EADB-44CF-BFDA-DA8D3E7206C0}" scale="55" showPageBreaks="1" view="pageBreakPreview" topLeftCell="A20">
      <selection activeCell="C28" sqref="C28"/>
      <rowBreaks count="1" manualBreakCount="1">
        <brk id="40" max="16383" man="1"/>
      </rowBreaks>
      <pageMargins left="0" right="0" top="0" bottom="0" header="0.31496062992125984" footer="0.31496062992125984"/>
      <printOptions horizontalCentered="1"/>
      <pageSetup paperSize="9" scale="27" fitToWidth="3" fitToHeight="3" orientation="landscape" r:id="rId3"/>
    </customSheetView>
  </customSheetViews>
  <mergeCells count="8">
    <mergeCell ref="A77:K77"/>
    <mergeCell ref="I64:K64"/>
    <mergeCell ref="E64:G64"/>
    <mergeCell ref="A1:M1"/>
    <mergeCell ref="A2:M2"/>
    <mergeCell ref="A3:M3"/>
    <mergeCell ref="C36:J36"/>
    <mergeCell ref="B62:K63"/>
  </mergeCells>
  <conditionalFormatting sqref="I6 K6 I27 K27 K29 I31 K31:K34 I33 B66:B69">
    <cfRule type="cellIs" dxfId="103" priority="1" stopIfTrue="1" operator="lessThan">
      <formula>0</formula>
    </cfRule>
  </conditionalFormatting>
  <conditionalFormatting sqref="N6 N66:N68">
    <cfRule type="cellIs" dxfId="102" priority="23" stopIfTrue="1" operator="lessThan">
      <formula>0</formula>
    </cfRule>
  </conditionalFormatting>
  <hyperlinks>
    <hyperlink ref="A1:XFD3" r:id="rId4" display="http://modiriatmali.com/" xr:uid="{00000000-0004-0000-0C00-000000000000}"/>
  </hyperlinks>
  <printOptions horizontalCentered="1"/>
  <pageMargins left="0" right="0" top="0" bottom="0" header="0.31496062992126" footer="0.31496062992126"/>
  <pageSetup paperSize="9" scale="40" fitToWidth="3" fitToHeight="3" orientation="portrait" r:id="rId5"/>
  <legacyDrawing r:id="rId6"/>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X62"/>
  <sheetViews>
    <sheetView rightToLeft="1" topLeftCell="A23" zoomScale="59" zoomScaleNormal="59" zoomScaleSheetLayoutView="55" workbookViewId="0">
      <selection activeCell="E52" sqref="E52"/>
    </sheetView>
  </sheetViews>
  <sheetFormatPr defaultRowHeight="34.5" customHeight="1" x14ac:dyDescent="0.25"/>
  <cols>
    <col min="1" max="1" width="9.5703125" style="327" customWidth="1"/>
    <col min="2" max="2" width="32" style="260" customWidth="1"/>
    <col min="3" max="3" width="9.140625" style="260" customWidth="1"/>
    <col min="4" max="4" width="23.7109375" style="260" customWidth="1"/>
    <col min="5" max="5" width="32.140625" style="260" bestFit="1" customWidth="1"/>
    <col min="6" max="6" width="2.28515625" style="260" customWidth="1"/>
    <col min="7" max="7" width="31.85546875" style="260" customWidth="1"/>
    <col min="8" max="8" width="2.140625" style="260" customWidth="1"/>
    <col min="9" max="9" width="23.85546875" style="260" customWidth="1"/>
    <col min="10" max="10" width="0.7109375" style="260" customWidth="1"/>
    <col min="11" max="11" width="21.42578125" style="260" customWidth="1"/>
    <col min="12" max="12" width="9.85546875" style="262" customWidth="1"/>
    <col min="13" max="13" width="1.42578125" style="260" customWidth="1"/>
    <col min="14" max="14" width="8.28515625" style="260" bestFit="1" customWidth="1"/>
    <col min="15" max="15" width="10.42578125" style="260" bestFit="1" customWidth="1"/>
    <col min="16" max="16" width="27.140625" style="260" bestFit="1" customWidth="1"/>
    <col min="17" max="17" width="24.85546875" style="260" bestFit="1" customWidth="1"/>
    <col min="18" max="18" width="9" style="260"/>
    <col min="19" max="19" width="10.42578125" style="260" bestFit="1" customWidth="1"/>
    <col min="20" max="248" width="9" style="260"/>
    <col min="249" max="249" width="3.5703125" style="260" customWidth="1"/>
    <col min="250" max="250" width="4.85546875" style="260" customWidth="1"/>
    <col min="251" max="251" width="5.42578125" style="260" customWidth="1"/>
    <col min="252" max="252" width="31.28515625" style="260" customWidth="1"/>
    <col min="253" max="253" width="7.5703125" style="260" customWidth="1"/>
    <col min="254" max="254" width="2.42578125" style="260" customWidth="1"/>
    <col min="255" max="255" width="11.5703125" style="260" customWidth="1"/>
    <col min="256" max="256" width="2.42578125" style="260" customWidth="1"/>
    <col min="257" max="257" width="11.5703125" style="260" customWidth="1"/>
    <col min="258" max="258" width="2.42578125" style="260" customWidth="1"/>
    <col min="259" max="259" width="10.85546875" style="260" customWidth="1"/>
    <col min="260" max="260" width="2.42578125" style="260" customWidth="1"/>
    <col min="261" max="261" width="11.140625" style="260" customWidth="1"/>
    <col min="262" max="262" width="1.85546875" style="260" customWidth="1"/>
    <col min="263" max="263" width="11" style="260" customWidth="1"/>
    <col min="264" max="264" width="0.7109375" style="260" customWidth="1"/>
    <col min="265" max="265" width="1.85546875" style="260" customWidth="1"/>
    <col min="266" max="266" width="11.85546875" style="260" bestFit="1" customWidth="1"/>
    <col min="267" max="267" width="15.28515625" style="260" bestFit="1" customWidth="1"/>
    <col min="268" max="268" width="5" style="260" customWidth="1"/>
    <col min="269" max="269" width="10.42578125" style="260" bestFit="1" customWidth="1"/>
    <col min="270" max="270" width="5" style="260" customWidth="1"/>
    <col min="271" max="271" width="10.42578125" style="260" bestFit="1" customWidth="1"/>
    <col min="272" max="274" width="9" style="260"/>
    <col min="275" max="275" width="10.42578125" style="260" bestFit="1" customWidth="1"/>
    <col min="276" max="504" width="9" style="260"/>
    <col min="505" max="505" width="3.5703125" style="260" customWidth="1"/>
    <col min="506" max="506" width="4.85546875" style="260" customWidth="1"/>
    <col min="507" max="507" width="5.42578125" style="260" customWidth="1"/>
    <col min="508" max="508" width="31.28515625" style="260" customWidth="1"/>
    <col min="509" max="509" width="7.5703125" style="260" customWidth="1"/>
    <col min="510" max="510" width="2.42578125" style="260" customWidth="1"/>
    <col min="511" max="511" width="11.5703125" style="260" customWidth="1"/>
    <col min="512" max="512" width="2.42578125" style="260" customWidth="1"/>
    <col min="513" max="513" width="11.5703125" style="260" customWidth="1"/>
    <col min="514" max="514" width="2.42578125" style="260" customWidth="1"/>
    <col min="515" max="515" width="10.85546875" style="260" customWidth="1"/>
    <col min="516" max="516" width="2.42578125" style="260" customWidth="1"/>
    <col min="517" max="517" width="11.140625" style="260" customWidth="1"/>
    <col min="518" max="518" width="1.85546875" style="260" customWidth="1"/>
    <col min="519" max="519" width="11" style="260" customWidth="1"/>
    <col min="520" max="520" width="0.7109375" style="260" customWidth="1"/>
    <col min="521" max="521" width="1.85546875" style="260" customWidth="1"/>
    <col min="522" max="522" width="11.85546875" style="260" bestFit="1" customWidth="1"/>
    <col min="523" max="523" width="15.28515625" style="260" bestFit="1" customWidth="1"/>
    <col min="524" max="524" width="5" style="260" customWidth="1"/>
    <col min="525" max="525" width="10.42578125" style="260" bestFit="1" customWidth="1"/>
    <col min="526" max="526" width="5" style="260" customWidth="1"/>
    <col min="527" max="527" width="10.42578125" style="260" bestFit="1" customWidth="1"/>
    <col min="528" max="530" width="9" style="260"/>
    <col min="531" max="531" width="10.42578125" style="260" bestFit="1" customWidth="1"/>
    <col min="532" max="760" width="9" style="260"/>
    <col min="761" max="761" width="3.5703125" style="260" customWidth="1"/>
    <col min="762" max="762" width="4.85546875" style="260" customWidth="1"/>
    <col min="763" max="763" width="5.42578125" style="260" customWidth="1"/>
    <col min="764" max="764" width="31.28515625" style="260" customWidth="1"/>
    <col min="765" max="765" width="7.5703125" style="260" customWidth="1"/>
    <col min="766" max="766" width="2.42578125" style="260" customWidth="1"/>
    <col min="767" max="767" width="11.5703125" style="260" customWidth="1"/>
    <col min="768" max="768" width="2.42578125" style="260" customWidth="1"/>
    <col min="769" max="769" width="11.5703125" style="260" customWidth="1"/>
    <col min="770" max="770" width="2.42578125" style="260" customWidth="1"/>
    <col min="771" max="771" width="10.85546875" style="260" customWidth="1"/>
    <col min="772" max="772" width="2.42578125" style="260" customWidth="1"/>
    <col min="773" max="773" width="11.140625" style="260" customWidth="1"/>
    <col min="774" max="774" width="1.85546875" style="260" customWidth="1"/>
    <col min="775" max="775" width="11" style="260" customWidth="1"/>
    <col min="776" max="776" width="0.7109375" style="260" customWidth="1"/>
    <col min="777" max="777" width="1.85546875" style="260" customWidth="1"/>
    <col min="778" max="778" width="11.85546875" style="260" bestFit="1" customWidth="1"/>
    <col min="779" max="779" width="15.28515625" style="260" bestFit="1" customWidth="1"/>
    <col min="780" max="780" width="5" style="260" customWidth="1"/>
    <col min="781" max="781" width="10.42578125" style="260" bestFit="1" customWidth="1"/>
    <col min="782" max="782" width="5" style="260" customWidth="1"/>
    <col min="783" max="783" width="10.42578125" style="260" bestFit="1" customWidth="1"/>
    <col min="784" max="786" width="9" style="260"/>
    <col min="787" max="787" width="10.42578125" style="260" bestFit="1" customWidth="1"/>
    <col min="788" max="1016" width="9" style="260"/>
    <col min="1017" max="1017" width="3.5703125" style="260" customWidth="1"/>
    <col min="1018" max="1018" width="4.85546875" style="260" customWidth="1"/>
    <col min="1019" max="1019" width="5.42578125" style="260" customWidth="1"/>
    <col min="1020" max="1020" width="31.28515625" style="260" customWidth="1"/>
    <col min="1021" max="1021" width="7.5703125" style="260" customWidth="1"/>
    <col min="1022" max="1022" width="2.42578125" style="260" customWidth="1"/>
    <col min="1023" max="1023" width="11.5703125" style="260" customWidth="1"/>
    <col min="1024" max="1024" width="2.42578125" style="260" customWidth="1"/>
    <col min="1025" max="1025" width="11.5703125" style="260" customWidth="1"/>
    <col min="1026" max="1026" width="2.42578125" style="260" customWidth="1"/>
    <col min="1027" max="1027" width="10.85546875" style="260" customWidth="1"/>
    <col min="1028" max="1028" width="2.42578125" style="260" customWidth="1"/>
    <col min="1029" max="1029" width="11.140625" style="260" customWidth="1"/>
    <col min="1030" max="1030" width="1.85546875" style="260" customWidth="1"/>
    <col min="1031" max="1031" width="11" style="260" customWidth="1"/>
    <col min="1032" max="1032" width="0.7109375" style="260" customWidth="1"/>
    <col min="1033" max="1033" width="1.85546875" style="260" customWidth="1"/>
    <col min="1034" max="1034" width="11.85546875" style="260" bestFit="1" customWidth="1"/>
    <col min="1035" max="1035" width="15.28515625" style="260" bestFit="1" customWidth="1"/>
    <col min="1036" max="1036" width="5" style="260" customWidth="1"/>
    <col min="1037" max="1037" width="10.42578125" style="260" bestFit="1" customWidth="1"/>
    <col min="1038" max="1038" width="5" style="260" customWidth="1"/>
    <col min="1039" max="1039" width="10.42578125" style="260" bestFit="1" customWidth="1"/>
    <col min="1040" max="1042" width="9" style="260"/>
    <col min="1043" max="1043" width="10.42578125" style="260" bestFit="1" customWidth="1"/>
    <col min="1044" max="1272" width="9" style="260"/>
    <col min="1273" max="1273" width="3.5703125" style="260" customWidth="1"/>
    <col min="1274" max="1274" width="4.85546875" style="260" customWidth="1"/>
    <col min="1275" max="1275" width="5.42578125" style="260" customWidth="1"/>
    <col min="1276" max="1276" width="31.28515625" style="260" customWidth="1"/>
    <col min="1277" max="1277" width="7.5703125" style="260" customWidth="1"/>
    <col min="1278" max="1278" width="2.42578125" style="260" customWidth="1"/>
    <col min="1279" max="1279" width="11.5703125" style="260" customWidth="1"/>
    <col min="1280" max="1280" width="2.42578125" style="260" customWidth="1"/>
    <col min="1281" max="1281" width="11.5703125" style="260" customWidth="1"/>
    <col min="1282" max="1282" width="2.42578125" style="260" customWidth="1"/>
    <col min="1283" max="1283" width="10.85546875" style="260" customWidth="1"/>
    <col min="1284" max="1284" width="2.42578125" style="260" customWidth="1"/>
    <col min="1285" max="1285" width="11.140625" style="260" customWidth="1"/>
    <col min="1286" max="1286" width="1.85546875" style="260" customWidth="1"/>
    <col min="1287" max="1287" width="11" style="260" customWidth="1"/>
    <col min="1288" max="1288" width="0.7109375" style="260" customWidth="1"/>
    <col min="1289" max="1289" width="1.85546875" style="260" customWidth="1"/>
    <col min="1290" max="1290" width="11.85546875" style="260" bestFit="1" customWidth="1"/>
    <col min="1291" max="1291" width="15.28515625" style="260" bestFit="1" customWidth="1"/>
    <col min="1292" max="1292" width="5" style="260" customWidth="1"/>
    <col min="1293" max="1293" width="10.42578125" style="260" bestFit="1" customWidth="1"/>
    <col min="1294" max="1294" width="5" style="260" customWidth="1"/>
    <col min="1295" max="1295" width="10.42578125" style="260" bestFit="1" customWidth="1"/>
    <col min="1296" max="1298" width="9" style="260"/>
    <col min="1299" max="1299" width="10.42578125" style="260" bestFit="1" customWidth="1"/>
    <col min="1300" max="1528" width="9" style="260"/>
    <col min="1529" max="1529" width="3.5703125" style="260" customWidth="1"/>
    <col min="1530" max="1530" width="4.85546875" style="260" customWidth="1"/>
    <col min="1531" max="1531" width="5.42578125" style="260" customWidth="1"/>
    <col min="1532" max="1532" width="31.28515625" style="260" customWidth="1"/>
    <col min="1533" max="1533" width="7.5703125" style="260" customWidth="1"/>
    <col min="1534" max="1534" width="2.42578125" style="260" customWidth="1"/>
    <col min="1535" max="1535" width="11.5703125" style="260" customWidth="1"/>
    <col min="1536" max="1536" width="2.42578125" style="260" customWidth="1"/>
    <col min="1537" max="1537" width="11.5703125" style="260" customWidth="1"/>
    <col min="1538" max="1538" width="2.42578125" style="260" customWidth="1"/>
    <col min="1539" max="1539" width="10.85546875" style="260" customWidth="1"/>
    <col min="1540" max="1540" width="2.42578125" style="260" customWidth="1"/>
    <col min="1541" max="1541" width="11.140625" style="260" customWidth="1"/>
    <col min="1542" max="1542" width="1.85546875" style="260" customWidth="1"/>
    <col min="1543" max="1543" width="11" style="260" customWidth="1"/>
    <col min="1544" max="1544" width="0.7109375" style="260" customWidth="1"/>
    <col min="1545" max="1545" width="1.85546875" style="260" customWidth="1"/>
    <col min="1546" max="1546" width="11.85546875" style="260" bestFit="1" customWidth="1"/>
    <col min="1547" max="1547" width="15.28515625" style="260" bestFit="1" customWidth="1"/>
    <col min="1548" max="1548" width="5" style="260" customWidth="1"/>
    <col min="1549" max="1549" width="10.42578125" style="260" bestFit="1" customWidth="1"/>
    <col min="1550" max="1550" width="5" style="260" customWidth="1"/>
    <col min="1551" max="1551" width="10.42578125" style="260" bestFit="1" customWidth="1"/>
    <col min="1552" max="1554" width="9" style="260"/>
    <col min="1555" max="1555" width="10.42578125" style="260" bestFit="1" customWidth="1"/>
    <col min="1556" max="1784" width="9" style="260"/>
    <col min="1785" max="1785" width="3.5703125" style="260" customWidth="1"/>
    <col min="1786" max="1786" width="4.85546875" style="260" customWidth="1"/>
    <col min="1787" max="1787" width="5.42578125" style="260" customWidth="1"/>
    <col min="1788" max="1788" width="31.28515625" style="260" customWidth="1"/>
    <col min="1789" max="1789" width="7.5703125" style="260" customWidth="1"/>
    <col min="1790" max="1790" width="2.42578125" style="260" customWidth="1"/>
    <col min="1791" max="1791" width="11.5703125" style="260" customWidth="1"/>
    <col min="1792" max="1792" width="2.42578125" style="260" customWidth="1"/>
    <col min="1793" max="1793" width="11.5703125" style="260" customWidth="1"/>
    <col min="1794" max="1794" width="2.42578125" style="260" customWidth="1"/>
    <col min="1795" max="1795" width="10.85546875" style="260" customWidth="1"/>
    <col min="1796" max="1796" width="2.42578125" style="260" customWidth="1"/>
    <col min="1797" max="1797" width="11.140625" style="260" customWidth="1"/>
    <col min="1798" max="1798" width="1.85546875" style="260" customWidth="1"/>
    <col min="1799" max="1799" width="11" style="260" customWidth="1"/>
    <col min="1800" max="1800" width="0.7109375" style="260" customWidth="1"/>
    <col min="1801" max="1801" width="1.85546875" style="260" customWidth="1"/>
    <col min="1802" max="1802" width="11.85546875" style="260" bestFit="1" customWidth="1"/>
    <col min="1803" max="1803" width="15.28515625" style="260" bestFit="1" customWidth="1"/>
    <col min="1804" max="1804" width="5" style="260" customWidth="1"/>
    <col min="1805" max="1805" width="10.42578125" style="260" bestFit="1" customWidth="1"/>
    <col min="1806" max="1806" width="5" style="260" customWidth="1"/>
    <col min="1807" max="1807" width="10.42578125" style="260" bestFit="1" customWidth="1"/>
    <col min="1808" max="1810" width="9" style="260"/>
    <col min="1811" max="1811" width="10.42578125" style="260" bestFit="1" customWidth="1"/>
    <col min="1812" max="2040" width="9" style="260"/>
    <col min="2041" max="2041" width="3.5703125" style="260" customWidth="1"/>
    <col min="2042" max="2042" width="4.85546875" style="260" customWidth="1"/>
    <col min="2043" max="2043" width="5.42578125" style="260" customWidth="1"/>
    <col min="2044" max="2044" width="31.28515625" style="260" customWidth="1"/>
    <col min="2045" max="2045" width="7.5703125" style="260" customWidth="1"/>
    <col min="2046" max="2046" width="2.42578125" style="260" customWidth="1"/>
    <col min="2047" max="2047" width="11.5703125" style="260" customWidth="1"/>
    <col min="2048" max="2048" width="2.42578125" style="260" customWidth="1"/>
    <col min="2049" max="2049" width="11.5703125" style="260" customWidth="1"/>
    <col min="2050" max="2050" width="2.42578125" style="260" customWidth="1"/>
    <col min="2051" max="2051" width="10.85546875" style="260" customWidth="1"/>
    <col min="2052" max="2052" width="2.42578125" style="260" customWidth="1"/>
    <col min="2053" max="2053" width="11.140625" style="260" customWidth="1"/>
    <col min="2054" max="2054" width="1.85546875" style="260" customWidth="1"/>
    <col min="2055" max="2055" width="11" style="260" customWidth="1"/>
    <col min="2056" max="2056" width="0.7109375" style="260" customWidth="1"/>
    <col min="2057" max="2057" width="1.85546875" style="260" customWidth="1"/>
    <col min="2058" max="2058" width="11.85546875" style="260" bestFit="1" customWidth="1"/>
    <col min="2059" max="2059" width="15.28515625" style="260" bestFit="1" customWidth="1"/>
    <col min="2060" max="2060" width="5" style="260" customWidth="1"/>
    <col min="2061" max="2061" width="10.42578125" style="260" bestFit="1" customWidth="1"/>
    <col min="2062" max="2062" width="5" style="260" customWidth="1"/>
    <col min="2063" max="2063" width="10.42578125" style="260" bestFit="1" customWidth="1"/>
    <col min="2064" max="2066" width="9" style="260"/>
    <col min="2067" max="2067" width="10.42578125" style="260" bestFit="1" customWidth="1"/>
    <col min="2068" max="2296" width="9" style="260"/>
    <col min="2297" max="2297" width="3.5703125" style="260" customWidth="1"/>
    <col min="2298" max="2298" width="4.85546875" style="260" customWidth="1"/>
    <col min="2299" max="2299" width="5.42578125" style="260" customWidth="1"/>
    <col min="2300" max="2300" width="31.28515625" style="260" customWidth="1"/>
    <col min="2301" max="2301" width="7.5703125" style="260" customWidth="1"/>
    <col min="2302" max="2302" width="2.42578125" style="260" customWidth="1"/>
    <col min="2303" max="2303" width="11.5703125" style="260" customWidth="1"/>
    <col min="2304" max="2304" width="2.42578125" style="260" customWidth="1"/>
    <col min="2305" max="2305" width="11.5703125" style="260" customWidth="1"/>
    <col min="2306" max="2306" width="2.42578125" style="260" customWidth="1"/>
    <col min="2307" max="2307" width="10.85546875" style="260" customWidth="1"/>
    <col min="2308" max="2308" width="2.42578125" style="260" customWidth="1"/>
    <col min="2309" max="2309" width="11.140625" style="260" customWidth="1"/>
    <col min="2310" max="2310" width="1.85546875" style="260" customWidth="1"/>
    <col min="2311" max="2311" width="11" style="260" customWidth="1"/>
    <col min="2312" max="2312" width="0.7109375" style="260" customWidth="1"/>
    <col min="2313" max="2313" width="1.85546875" style="260" customWidth="1"/>
    <col min="2314" max="2314" width="11.85546875" style="260" bestFit="1" customWidth="1"/>
    <col min="2315" max="2315" width="15.28515625" style="260" bestFit="1" customWidth="1"/>
    <col min="2316" max="2316" width="5" style="260" customWidth="1"/>
    <col min="2317" max="2317" width="10.42578125" style="260" bestFit="1" customWidth="1"/>
    <col min="2318" max="2318" width="5" style="260" customWidth="1"/>
    <col min="2319" max="2319" width="10.42578125" style="260" bestFit="1" customWidth="1"/>
    <col min="2320" max="2322" width="9" style="260"/>
    <col min="2323" max="2323" width="10.42578125" style="260" bestFit="1" customWidth="1"/>
    <col min="2324" max="2552" width="9" style="260"/>
    <col min="2553" max="2553" width="3.5703125" style="260" customWidth="1"/>
    <col min="2554" max="2554" width="4.85546875" style="260" customWidth="1"/>
    <col min="2555" max="2555" width="5.42578125" style="260" customWidth="1"/>
    <col min="2556" max="2556" width="31.28515625" style="260" customWidth="1"/>
    <col min="2557" max="2557" width="7.5703125" style="260" customWidth="1"/>
    <col min="2558" max="2558" width="2.42578125" style="260" customWidth="1"/>
    <col min="2559" max="2559" width="11.5703125" style="260" customWidth="1"/>
    <col min="2560" max="2560" width="2.42578125" style="260" customWidth="1"/>
    <col min="2561" max="2561" width="11.5703125" style="260" customWidth="1"/>
    <col min="2562" max="2562" width="2.42578125" style="260" customWidth="1"/>
    <col min="2563" max="2563" width="10.85546875" style="260" customWidth="1"/>
    <col min="2564" max="2564" width="2.42578125" style="260" customWidth="1"/>
    <col min="2565" max="2565" width="11.140625" style="260" customWidth="1"/>
    <col min="2566" max="2566" width="1.85546875" style="260" customWidth="1"/>
    <col min="2567" max="2567" width="11" style="260" customWidth="1"/>
    <col min="2568" max="2568" width="0.7109375" style="260" customWidth="1"/>
    <col min="2569" max="2569" width="1.85546875" style="260" customWidth="1"/>
    <col min="2570" max="2570" width="11.85546875" style="260" bestFit="1" customWidth="1"/>
    <col min="2571" max="2571" width="15.28515625" style="260" bestFit="1" customWidth="1"/>
    <col min="2572" max="2572" width="5" style="260" customWidth="1"/>
    <col min="2573" max="2573" width="10.42578125" style="260" bestFit="1" customWidth="1"/>
    <col min="2574" max="2574" width="5" style="260" customWidth="1"/>
    <col min="2575" max="2575" width="10.42578125" style="260" bestFit="1" customWidth="1"/>
    <col min="2576" max="2578" width="9" style="260"/>
    <col min="2579" max="2579" width="10.42578125" style="260" bestFit="1" customWidth="1"/>
    <col min="2580" max="2808" width="9" style="260"/>
    <col min="2809" max="2809" width="3.5703125" style="260" customWidth="1"/>
    <col min="2810" max="2810" width="4.85546875" style="260" customWidth="1"/>
    <col min="2811" max="2811" width="5.42578125" style="260" customWidth="1"/>
    <col min="2812" max="2812" width="31.28515625" style="260" customWidth="1"/>
    <col min="2813" max="2813" width="7.5703125" style="260" customWidth="1"/>
    <col min="2814" max="2814" width="2.42578125" style="260" customWidth="1"/>
    <col min="2815" max="2815" width="11.5703125" style="260" customWidth="1"/>
    <col min="2816" max="2816" width="2.42578125" style="260" customWidth="1"/>
    <col min="2817" max="2817" width="11.5703125" style="260" customWidth="1"/>
    <col min="2818" max="2818" width="2.42578125" style="260" customWidth="1"/>
    <col min="2819" max="2819" width="10.85546875" style="260" customWidth="1"/>
    <col min="2820" max="2820" width="2.42578125" style="260" customWidth="1"/>
    <col min="2821" max="2821" width="11.140625" style="260" customWidth="1"/>
    <col min="2822" max="2822" width="1.85546875" style="260" customWidth="1"/>
    <col min="2823" max="2823" width="11" style="260" customWidth="1"/>
    <col min="2824" max="2824" width="0.7109375" style="260" customWidth="1"/>
    <col min="2825" max="2825" width="1.85546875" style="260" customWidth="1"/>
    <col min="2826" max="2826" width="11.85546875" style="260" bestFit="1" customWidth="1"/>
    <col min="2827" max="2827" width="15.28515625" style="260" bestFit="1" customWidth="1"/>
    <col min="2828" max="2828" width="5" style="260" customWidth="1"/>
    <col min="2829" max="2829" width="10.42578125" style="260" bestFit="1" customWidth="1"/>
    <col min="2830" max="2830" width="5" style="260" customWidth="1"/>
    <col min="2831" max="2831" width="10.42578125" style="260" bestFit="1" customWidth="1"/>
    <col min="2832" max="2834" width="9" style="260"/>
    <col min="2835" max="2835" width="10.42578125" style="260" bestFit="1" customWidth="1"/>
    <col min="2836" max="3064" width="9" style="260"/>
    <col min="3065" max="3065" width="3.5703125" style="260" customWidth="1"/>
    <col min="3066" max="3066" width="4.85546875" style="260" customWidth="1"/>
    <col min="3067" max="3067" width="5.42578125" style="260" customWidth="1"/>
    <col min="3068" max="3068" width="31.28515625" style="260" customWidth="1"/>
    <col min="3069" max="3069" width="7.5703125" style="260" customWidth="1"/>
    <col min="3070" max="3070" width="2.42578125" style="260" customWidth="1"/>
    <col min="3071" max="3071" width="11.5703125" style="260" customWidth="1"/>
    <col min="3072" max="3072" width="2.42578125" style="260" customWidth="1"/>
    <col min="3073" max="3073" width="11.5703125" style="260" customWidth="1"/>
    <col min="3074" max="3074" width="2.42578125" style="260" customWidth="1"/>
    <col min="3075" max="3075" width="10.85546875" style="260" customWidth="1"/>
    <col min="3076" max="3076" width="2.42578125" style="260" customWidth="1"/>
    <col min="3077" max="3077" width="11.140625" style="260" customWidth="1"/>
    <col min="3078" max="3078" width="1.85546875" style="260" customWidth="1"/>
    <col min="3079" max="3079" width="11" style="260" customWidth="1"/>
    <col min="3080" max="3080" width="0.7109375" style="260" customWidth="1"/>
    <col min="3081" max="3081" width="1.85546875" style="260" customWidth="1"/>
    <col min="3082" max="3082" width="11.85546875" style="260" bestFit="1" customWidth="1"/>
    <col min="3083" max="3083" width="15.28515625" style="260" bestFit="1" customWidth="1"/>
    <col min="3084" max="3084" width="5" style="260" customWidth="1"/>
    <col min="3085" max="3085" width="10.42578125" style="260" bestFit="1" customWidth="1"/>
    <col min="3086" max="3086" width="5" style="260" customWidth="1"/>
    <col min="3087" max="3087" width="10.42578125" style="260" bestFit="1" customWidth="1"/>
    <col min="3088" max="3090" width="9" style="260"/>
    <col min="3091" max="3091" width="10.42578125" style="260" bestFit="1" customWidth="1"/>
    <col min="3092" max="3320" width="9" style="260"/>
    <col min="3321" max="3321" width="3.5703125" style="260" customWidth="1"/>
    <col min="3322" max="3322" width="4.85546875" style="260" customWidth="1"/>
    <col min="3323" max="3323" width="5.42578125" style="260" customWidth="1"/>
    <col min="3324" max="3324" width="31.28515625" style="260" customWidth="1"/>
    <col min="3325" max="3325" width="7.5703125" style="260" customWidth="1"/>
    <col min="3326" max="3326" width="2.42578125" style="260" customWidth="1"/>
    <col min="3327" max="3327" width="11.5703125" style="260" customWidth="1"/>
    <col min="3328" max="3328" width="2.42578125" style="260" customWidth="1"/>
    <col min="3329" max="3329" width="11.5703125" style="260" customWidth="1"/>
    <col min="3330" max="3330" width="2.42578125" style="260" customWidth="1"/>
    <col min="3331" max="3331" width="10.85546875" style="260" customWidth="1"/>
    <col min="3332" max="3332" width="2.42578125" style="260" customWidth="1"/>
    <col min="3333" max="3333" width="11.140625" style="260" customWidth="1"/>
    <col min="3334" max="3334" width="1.85546875" style="260" customWidth="1"/>
    <col min="3335" max="3335" width="11" style="260" customWidth="1"/>
    <col min="3336" max="3336" width="0.7109375" style="260" customWidth="1"/>
    <col min="3337" max="3337" width="1.85546875" style="260" customWidth="1"/>
    <col min="3338" max="3338" width="11.85546875" style="260" bestFit="1" customWidth="1"/>
    <col min="3339" max="3339" width="15.28515625" style="260" bestFit="1" customWidth="1"/>
    <col min="3340" max="3340" width="5" style="260" customWidth="1"/>
    <col min="3341" max="3341" width="10.42578125" style="260" bestFit="1" customWidth="1"/>
    <col min="3342" max="3342" width="5" style="260" customWidth="1"/>
    <col min="3343" max="3343" width="10.42578125" style="260" bestFit="1" customWidth="1"/>
    <col min="3344" max="3346" width="9" style="260"/>
    <col min="3347" max="3347" width="10.42578125" style="260" bestFit="1" customWidth="1"/>
    <col min="3348" max="3576" width="9" style="260"/>
    <col min="3577" max="3577" width="3.5703125" style="260" customWidth="1"/>
    <col min="3578" max="3578" width="4.85546875" style="260" customWidth="1"/>
    <col min="3579" max="3579" width="5.42578125" style="260" customWidth="1"/>
    <col min="3580" max="3580" width="31.28515625" style="260" customWidth="1"/>
    <col min="3581" max="3581" width="7.5703125" style="260" customWidth="1"/>
    <col min="3582" max="3582" width="2.42578125" style="260" customWidth="1"/>
    <col min="3583" max="3583" width="11.5703125" style="260" customWidth="1"/>
    <col min="3584" max="3584" width="2.42578125" style="260" customWidth="1"/>
    <col min="3585" max="3585" width="11.5703125" style="260" customWidth="1"/>
    <col min="3586" max="3586" width="2.42578125" style="260" customWidth="1"/>
    <col min="3587" max="3587" width="10.85546875" style="260" customWidth="1"/>
    <col min="3588" max="3588" width="2.42578125" style="260" customWidth="1"/>
    <col min="3589" max="3589" width="11.140625" style="260" customWidth="1"/>
    <col min="3590" max="3590" width="1.85546875" style="260" customWidth="1"/>
    <col min="3591" max="3591" width="11" style="260" customWidth="1"/>
    <col min="3592" max="3592" width="0.7109375" style="260" customWidth="1"/>
    <col min="3593" max="3593" width="1.85546875" style="260" customWidth="1"/>
    <col min="3594" max="3594" width="11.85546875" style="260" bestFit="1" customWidth="1"/>
    <col min="3595" max="3595" width="15.28515625" style="260" bestFit="1" customWidth="1"/>
    <col min="3596" max="3596" width="5" style="260" customWidth="1"/>
    <col min="3597" max="3597" width="10.42578125" style="260" bestFit="1" customWidth="1"/>
    <col min="3598" max="3598" width="5" style="260" customWidth="1"/>
    <col min="3599" max="3599" width="10.42578125" style="260" bestFit="1" customWidth="1"/>
    <col min="3600" max="3602" width="9" style="260"/>
    <col min="3603" max="3603" width="10.42578125" style="260" bestFit="1" customWidth="1"/>
    <col min="3604" max="3832" width="9" style="260"/>
    <col min="3833" max="3833" width="3.5703125" style="260" customWidth="1"/>
    <col min="3834" max="3834" width="4.85546875" style="260" customWidth="1"/>
    <col min="3835" max="3835" width="5.42578125" style="260" customWidth="1"/>
    <col min="3836" max="3836" width="31.28515625" style="260" customWidth="1"/>
    <col min="3837" max="3837" width="7.5703125" style="260" customWidth="1"/>
    <col min="3838" max="3838" width="2.42578125" style="260" customWidth="1"/>
    <col min="3839" max="3839" width="11.5703125" style="260" customWidth="1"/>
    <col min="3840" max="3840" width="2.42578125" style="260" customWidth="1"/>
    <col min="3841" max="3841" width="11.5703125" style="260" customWidth="1"/>
    <col min="3842" max="3842" width="2.42578125" style="260" customWidth="1"/>
    <col min="3843" max="3843" width="10.85546875" style="260" customWidth="1"/>
    <col min="3844" max="3844" width="2.42578125" style="260" customWidth="1"/>
    <col min="3845" max="3845" width="11.140625" style="260" customWidth="1"/>
    <col min="3846" max="3846" width="1.85546875" style="260" customWidth="1"/>
    <col min="3847" max="3847" width="11" style="260" customWidth="1"/>
    <col min="3848" max="3848" width="0.7109375" style="260" customWidth="1"/>
    <col min="3849" max="3849" width="1.85546875" style="260" customWidth="1"/>
    <col min="3850" max="3850" width="11.85546875" style="260" bestFit="1" customWidth="1"/>
    <col min="3851" max="3851" width="15.28515625" style="260" bestFit="1" customWidth="1"/>
    <col min="3852" max="3852" width="5" style="260" customWidth="1"/>
    <col min="3853" max="3853" width="10.42578125" style="260" bestFit="1" customWidth="1"/>
    <col min="3854" max="3854" width="5" style="260" customWidth="1"/>
    <col min="3855" max="3855" width="10.42578125" style="260" bestFit="1" customWidth="1"/>
    <col min="3856" max="3858" width="9" style="260"/>
    <col min="3859" max="3859" width="10.42578125" style="260" bestFit="1" customWidth="1"/>
    <col min="3860" max="4088" width="9" style="260"/>
    <col min="4089" max="4089" width="3.5703125" style="260" customWidth="1"/>
    <col min="4090" max="4090" width="4.85546875" style="260" customWidth="1"/>
    <col min="4091" max="4091" width="5.42578125" style="260" customWidth="1"/>
    <col min="4092" max="4092" width="31.28515625" style="260" customWidth="1"/>
    <col min="4093" max="4093" width="7.5703125" style="260" customWidth="1"/>
    <col min="4094" max="4094" width="2.42578125" style="260" customWidth="1"/>
    <col min="4095" max="4095" width="11.5703125" style="260" customWidth="1"/>
    <col min="4096" max="4096" width="2.42578125" style="260" customWidth="1"/>
    <col min="4097" max="4097" width="11.5703125" style="260" customWidth="1"/>
    <col min="4098" max="4098" width="2.42578125" style="260" customWidth="1"/>
    <col min="4099" max="4099" width="10.85546875" style="260" customWidth="1"/>
    <col min="4100" max="4100" width="2.42578125" style="260" customWidth="1"/>
    <col min="4101" max="4101" width="11.140625" style="260" customWidth="1"/>
    <col min="4102" max="4102" width="1.85546875" style="260" customWidth="1"/>
    <col min="4103" max="4103" width="11" style="260" customWidth="1"/>
    <col min="4104" max="4104" width="0.7109375" style="260" customWidth="1"/>
    <col min="4105" max="4105" width="1.85546875" style="260" customWidth="1"/>
    <col min="4106" max="4106" width="11.85546875" style="260" bestFit="1" customWidth="1"/>
    <col min="4107" max="4107" width="15.28515625" style="260" bestFit="1" customWidth="1"/>
    <col min="4108" max="4108" width="5" style="260" customWidth="1"/>
    <col min="4109" max="4109" width="10.42578125" style="260" bestFit="1" customWidth="1"/>
    <col min="4110" max="4110" width="5" style="260" customWidth="1"/>
    <col min="4111" max="4111" width="10.42578125" style="260" bestFit="1" customWidth="1"/>
    <col min="4112" max="4114" width="9" style="260"/>
    <col min="4115" max="4115" width="10.42578125" style="260" bestFit="1" customWidth="1"/>
    <col min="4116" max="4344" width="9" style="260"/>
    <col min="4345" max="4345" width="3.5703125" style="260" customWidth="1"/>
    <col min="4346" max="4346" width="4.85546875" style="260" customWidth="1"/>
    <col min="4347" max="4347" width="5.42578125" style="260" customWidth="1"/>
    <col min="4348" max="4348" width="31.28515625" style="260" customWidth="1"/>
    <col min="4349" max="4349" width="7.5703125" style="260" customWidth="1"/>
    <col min="4350" max="4350" width="2.42578125" style="260" customWidth="1"/>
    <col min="4351" max="4351" width="11.5703125" style="260" customWidth="1"/>
    <col min="4352" max="4352" width="2.42578125" style="260" customWidth="1"/>
    <col min="4353" max="4353" width="11.5703125" style="260" customWidth="1"/>
    <col min="4354" max="4354" width="2.42578125" style="260" customWidth="1"/>
    <col min="4355" max="4355" width="10.85546875" style="260" customWidth="1"/>
    <col min="4356" max="4356" width="2.42578125" style="260" customWidth="1"/>
    <col min="4357" max="4357" width="11.140625" style="260" customWidth="1"/>
    <col min="4358" max="4358" width="1.85546875" style="260" customWidth="1"/>
    <col min="4359" max="4359" width="11" style="260" customWidth="1"/>
    <col min="4360" max="4360" width="0.7109375" style="260" customWidth="1"/>
    <col min="4361" max="4361" width="1.85546875" style="260" customWidth="1"/>
    <col min="4362" max="4362" width="11.85546875" style="260" bestFit="1" customWidth="1"/>
    <col min="4363" max="4363" width="15.28515625" style="260" bestFit="1" customWidth="1"/>
    <col min="4364" max="4364" width="5" style="260" customWidth="1"/>
    <col min="4365" max="4365" width="10.42578125" style="260" bestFit="1" customWidth="1"/>
    <col min="4366" max="4366" width="5" style="260" customWidth="1"/>
    <col min="4367" max="4367" width="10.42578125" style="260" bestFit="1" customWidth="1"/>
    <col min="4368" max="4370" width="9" style="260"/>
    <col min="4371" max="4371" width="10.42578125" style="260" bestFit="1" customWidth="1"/>
    <col min="4372" max="4600" width="9" style="260"/>
    <col min="4601" max="4601" width="3.5703125" style="260" customWidth="1"/>
    <col min="4602" max="4602" width="4.85546875" style="260" customWidth="1"/>
    <col min="4603" max="4603" width="5.42578125" style="260" customWidth="1"/>
    <col min="4604" max="4604" width="31.28515625" style="260" customWidth="1"/>
    <col min="4605" max="4605" width="7.5703125" style="260" customWidth="1"/>
    <col min="4606" max="4606" width="2.42578125" style="260" customWidth="1"/>
    <col min="4607" max="4607" width="11.5703125" style="260" customWidth="1"/>
    <col min="4608" max="4608" width="2.42578125" style="260" customWidth="1"/>
    <col min="4609" max="4609" width="11.5703125" style="260" customWidth="1"/>
    <col min="4610" max="4610" width="2.42578125" style="260" customWidth="1"/>
    <col min="4611" max="4611" width="10.85546875" style="260" customWidth="1"/>
    <col min="4612" max="4612" width="2.42578125" style="260" customWidth="1"/>
    <col min="4613" max="4613" width="11.140625" style="260" customWidth="1"/>
    <col min="4614" max="4614" width="1.85546875" style="260" customWidth="1"/>
    <col min="4615" max="4615" width="11" style="260" customWidth="1"/>
    <col min="4616" max="4616" width="0.7109375" style="260" customWidth="1"/>
    <col min="4617" max="4617" width="1.85546875" style="260" customWidth="1"/>
    <col min="4618" max="4618" width="11.85546875" style="260" bestFit="1" customWidth="1"/>
    <col min="4619" max="4619" width="15.28515625" style="260" bestFit="1" customWidth="1"/>
    <col min="4620" max="4620" width="5" style="260" customWidth="1"/>
    <col min="4621" max="4621" width="10.42578125" style="260" bestFit="1" customWidth="1"/>
    <col min="4622" max="4622" width="5" style="260" customWidth="1"/>
    <col min="4623" max="4623" width="10.42578125" style="260" bestFit="1" customWidth="1"/>
    <col min="4624" max="4626" width="9" style="260"/>
    <col min="4627" max="4627" width="10.42578125" style="260" bestFit="1" customWidth="1"/>
    <col min="4628" max="4856" width="9" style="260"/>
    <col min="4857" max="4857" width="3.5703125" style="260" customWidth="1"/>
    <col min="4858" max="4858" width="4.85546875" style="260" customWidth="1"/>
    <col min="4859" max="4859" width="5.42578125" style="260" customWidth="1"/>
    <col min="4860" max="4860" width="31.28515625" style="260" customWidth="1"/>
    <col min="4861" max="4861" width="7.5703125" style="260" customWidth="1"/>
    <col min="4862" max="4862" width="2.42578125" style="260" customWidth="1"/>
    <col min="4863" max="4863" width="11.5703125" style="260" customWidth="1"/>
    <col min="4864" max="4864" width="2.42578125" style="260" customWidth="1"/>
    <col min="4865" max="4865" width="11.5703125" style="260" customWidth="1"/>
    <col min="4866" max="4866" width="2.42578125" style="260" customWidth="1"/>
    <col min="4867" max="4867" width="10.85546875" style="260" customWidth="1"/>
    <col min="4868" max="4868" width="2.42578125" style="260" customWidth="1"/>
    <col min="4869" max="4869" width="11.140625" style="260" customWidth="1"/>
    <col min="4870" max="4870" width="1.85546875" style="260" customWidth="1"/>
    <col min="4871" max="4871" width="11" style="260" customWidth="1"/>
    <col min="4872" max="4872" width="0.7109375" style="260" customWidth="1"/>
    <col min="4873" max="4873" width="1.85546875" style="260" customWidth="1"/>
    <col min="4874" max="4874" width="11.85546875" style="260" bestFit="1" customWidth="1"/>
    <col min="4875" max="4875" width="15.28515625" style="260" bestFit="1" customWidth="1"/>
    <col min="4876" max="4876" width="5" style="260" customWidth="1"/>
    <col min="4877" max="4877" width="10.42578125" style="260" bestFit="1" customWidth="1"/>
    <col min="4878" max="4878" width="5" style="260" customWidth="1"/>
    <col min="4879" max="4879" width="10.42578125" style="260" bestFit="1" customWidth="1"/>
    <col min="4880" max="4882" width="9" style="260"/>
    <col min="4883" max="4883" width="10.42578125" style="260" bestFit="1" customWidth="1"/>
    <col min="4884" max="5112" width="9" style="260"/>
    <col min="5113" max="5113" width="3.5703125" style="260" customWidth="1"/>
    <col min="5114" max="5114" width="4.85546875" style="260" customWidth="1"/>
    <col min="5115" max="5115" width="5.42578125" style="260" customWidth="1"/>
    <col min="5116" max="5116" width="31.28515625" style="260" customWidth="1"/>
    <col min="5117" max="5117" width="7.5703125" style="260" customWidth="1"/>
    <col min="5118" max="5118" width="2.42578125" style="260" customWidth="1"/>
    <col min="5119" max="5119" width="11.5703125" style="260" customWidth="1"/>
    <col min="5120" max="5120" width="2.42578125" style="260" customWidth="1"/>
    <col min="5121" max="5121" width="11.5703125" style="260" customWidth="1"/>
    <col min="5122" max="5122" width="2.42578125" style="260" customWidth="1"/>
    <col min="5123" max="5123" width="10.85546875" style="260" customWidth="1"/>
    <col min="5124" max="5124" width="2.42578125" style="260" customWidth="1"/>
    <col min="5125" max="5125" width="11.140625" style="260" customWidth="1"/>
    <col min="5126" max="5126" width="1.85546875" style="260" customWidth="1"/>
    <col min="5127" max="5127" width="11" style="260" customWidth="1"/>
    <col min="5128" max="5128" width="0.7109375" style="260" customWidth="1"/>
    <col min="5129" max="5129" width="1.85546875" style="260" customWidth="1"/>
    <col min="5130" max="5130" width="11.85546875" style="260" bestFit="1" customWidth="1"/>
    <col min="5131" max="5131" width="15.28515625" style="260" bestFit="1" customWidth="1"/>
    <col min="5132" max="5132" width="5" style="260" customWidth="1"/>
    <col min="5133" max="5133" width="10.42578125" style="260" bestFit="1" customWidth="1"/>
    <col min="5134" max="5134" width="5" style="260" customWidth="1"/>
    <col min="5135" max="5135" width="10.42578125" style="260" bestFit="1" customWidth="1"/>
    <col min="5136" max="5138" width="9" style="260"/>
    <col min="5139" max="5139" width="10.42578125" style="260" bestFit="1" customWidth="1"/>
    <col min="5140" max="5368" width="9" style="260"/>
    <col min="5369" max="5369" width="3.5703125" style="260" customWidth="1"/>
    <col min="5370" max="5370" width="4.85546875" style="260" customWidth="1"/>
    <col min="5371" max="5371" width="5.42578125" style="260" customWidth="1"/>
    <col min="5372" max="5372" width="31.28515625" style="260" customWidth="1"/>
    <col min="5373" max="5373" width="7.5703125" style="260" customWidth="1"/>
    <col min="5374" max="5374" width="2.42578125" style="260" customWidth="1"/>
    <col min="5375" max="5375" width="11.5703125" style="260" customWidth="1"/>
    <col min="5376" max="5376" width="2.42578125" style="260" customWidth="1"/>
    <col min="5377" max="5377" width="11.5703125" style="260" customWidth="1"/>
    <col min="5378" max="5378" width="2.42578125" style="260" customWidth="1"/>
    <col min="5379" max="5379" width="10.85546875" style="260" customWidth="1"/>
    <col min="5380" max="5380" width="2.42578125" style="260" customWidth="1"/>
    <col min="5381" max="5381" width="11.140625" style="260" customWidth="1"/>
    <col min="5382" max="5382" width="1.85546875" style="260" customWidth="1"/>
    <col min="5383" max="5383" width="11" style="260" customWidth="1"/>
    <col min="5384" max="5384" width="0.7109375" style="260" customWidth="1"/>
    <col min="5385" max="5385" width="1.85546875" style="260" customWidth="1"/>
    <col min="5386" max="5386" width="11.85546875" style="260" bestFit="1" customWidth="1"/>
    <col min="5387" max="5387" width="15.28515625" style="260" bestFit="1" customWidth="1"/>
    <col min="5388" max="5388" width="5" style="260" customWidth="1"/>
    <col min="5389" max="5389" width="10.42578125" style="260" bestFit="1" customWidth="1"/>
    <col min="5390" max="5390" width="5" style="260" customWidth="1"/>
    <col min="5391" max="5391" width="10.42578125" style="260" bestFit="1" customWidth="1"/>
    <col min="5392" max="5394" width="9" style="260"/>
    <col min="5395" max="5395" width="10.42578125" style="260" bestFit="1" customWidth="1"/>
    <col min="5396" max="5624" width="9" style="260"/>
    <col min="5625" max="5625" width="3.5703125" style="260" customWidth="1"/>
    <col min="5626" max="5626" width="4.85546875" style="260" customWidth="1"/>
    <col min="5627" max="5627" width="5.42578125" style="260" customWidth="1"/>
    <col min="5628" max="5628" width="31.28515625" style="260" customWidth="1"/>
    <col min="5629" max="5629" width="7.5703125" style="260" customWidth="1"/>
    <col min="5630" max="5630" width="2.42578125" style="260" customWidth="1"/>
    <col min="5631" max="5631" width="11.5703125" style="260" customWidth="1"/>
    <col min="5632" max="5632" width="2.42578125" style="260" customWidth="1"/>
    <col min="5633" max="5633" width="11.5703125" style="260" customWidth="1"/>
    <col min="5634" max="5634" width="2.42578125" style="260" customWidth="1"/>
    <col min="5635" max="5635" width="10.85546875" style="260" customWidth="1"/>
    <col min="5636" max="5636" width="2.42578125" style="260" customWidth="1"/>
    <col min="5637" max="5637" width="11.140625" style="260" customWidth="1"/>
    <col min="5638" max="5638" width="1.85546875" style="260" customWidth="1"/>
    <col min="5639" max="5639" width="11" style="260" customWidth="1"/>
    <col min="5640" max="5640" width="0.7109375" style="260" customWidth="1"/>
    <col min="5641" max="5641" width="1.85546875" style="260" customWidth="1"/>
    <col min="5642" max="5642" width="11.85546875" style="260" bestFit="1" customWidth="1"/>
    <col min="5643" max="5643" width="15.28515625" style="260" bestFit="1" customWidth="1"/>
    <col min="5644" max="5644" width="5" style="260" customWidth="1"/>
    <col min="5645" max="5645" width="10.42578125" style="260" bestFit="1" customWidth="1"/>
    <col min="5646" max="5646" width="5" style="260" customWidth="1"/>
    <col min="5647" max="5647" width="10.42578125" style="260" bestFit="1" customWidth="1"/>
    <col min="5648" max="5650" width="9" style="260"/>
    <col min="5651" max="5651" width="10.42578125" style="260" bestFit="1" customWidth="1"/>
    <col min="5652" max="5880" width="9" style="260"/>
    <col min="5881" max="5881" width="3.5703125" style="260" customWidth="1"/>
    <col min="5882" max="5882" width="4.85546875" style="260" customWidth="1"/>
    <col min="5883" max="5883" width="5.42578125" style="260" customWidth="1"/>
    <col min="5884" max="5884" width="31.28515625" style="260" customWidth="1"/>
    <col min="5885" max="5885" width="7.5703125" style="260" customWidth="1"/>
    <col min="5886" max="5886" width="2.42578125" style="260" customWidth="1"/>
    <col min="5887" max="5887" width="11.5703125" style="260" customWidth="1"/>
    <col min="5888" max="5888" width="2.42578125" style="260" customWidth="1"/>
    <col min="5889" max="5889" width="11.5703125" style="260" customWidth="1"/>
    <col min="5890" max="5890" width="2.42578125" style="260" customWidth="1"/>
    <col min="5891" max="5891" width="10.85546875" style="260" customWidth="1"/>
    <col min="5892" max="5892" width="2.42578125" style="260" customWidth="1"/>
    <col min="5893" max="5893" width="11.140625" style="260" customWidth="1"/>
    <col min="5894" max="5894" width="1.85546875" style="260" customWidth="1"/>
    <col min="5895" max="5895" width="11" style="260" customWidth="1"/>
    <col min="5896" max="5896" width="0.7109375" style="260" customWidth="1"/>
    <col min="5897" max="5897" width="1.85546875" style="260" customWidth="1"/>
    <col min="5898" max="5898" width="11.85546875" style="260" bestFit="1" customWidth="1"/>
    <col min="5899" max="5899" width="15.28515625" style="260" bestFit="1" customWidth="1"/>
    <col min="5900" max="5900" width="5" style="260" customWidth="1"/>
    <col min="5901" max="5901" width="10.42578125" style="260" bestFit="1" customWidth="1"/>
    <col min="5902" max="5902" width="5" style="260" customWidth="1"/>
    <col min="5903" max="5903" width="10.42578125" style="260" bestFit="1" customWidth="1"/>
    <col min="5904" max="5906" width="9" style="260"/>
    <col min="5907" max="5907" width="10.42578125" style="260" bestFit="1" customWidth="1"/>
    <col min="5908" max="6136" width="9" style="260"/>
    <col min="6137" max="6137" width="3.5703125" style="260" customWidth="1"/>
    <col min="6138" max="6138" width="4.85546875" style="260" customWidth="1"/>
    <col min="6139" max="6139" width="5.42578125" style="260" customWidth="1"/>
    <col min="6140" max="6140" width="31.28515625" style="260" customWidth="1"/>
    <col min="6141" max="6141" width="7.5703125" style="260" customWidth="1"/>
    <col min="6142" max="6142" width="2.42578125" style="260" customWidth="1"/>
    <col min="6143" max="6143" width="11.5703125" style="260" customWidth="1"/>
    <col min="6144" max="6144" width="2.42578125" style="260" customWidth="1"/>
    <col min="6145" max="6145" width="11.5703125" style="260" customWidth="1"/>
    <col min="6146" max="6146" width="2.42578125" style="260" customWidth="1"/>
    <col min="6147" max="6147" width="10.85546875" style="260" customWidth="1"/>
    <col min="6148" max="6148" width="2.42578125" style="260" customWidth="1"/>
    <col min="6149" max="6149" width="11.140625" style="260" customWidth="1"/>
    <col min="6150" max="6150" width="1.85546875" style="260" customWidth="1"/>
    <col min="6151" max="6151" width="11" style="260" customWidth="1"/>
    <col min="6152" max="6152" width="0.7109375" style="260" customWidth="1"/>
    <col min="6153" max="6153" width="1.85546875" style="260" customWidth="1"/>
    <col min="6154" max="6154" width="11.85546875" style="260" bestFit="1" customWidth="1"/>
    <col min="6155" max="6155" width="15.28515625" style="260" bestFit="1" customWidth="1"/>
    <col min="6156" max="6156" width="5" style="260" customWidth="1"/>
    <col min="6157" max="6157" width="10.42578125" style="260" bestFit="1" customWidth="1"/>
    <col min="6158" max="6158" width="5" style="260" customWidth="1"/>
    <col min="6159" max="6159" width="10.42578125" style="260" bestFit="1" customWidth="1"/>
    <col min="6160" max="6162" width="9" style="260"/>
    <col min="6163" max="6163" width="10.42578125" style="260" bestFit="1" customWidth="1"/>
    <col min="6164" max="6392" width="9" style="260"/>
    <col min="6393" max="6393" width="3.5703125" style="260" customWidth="1"/>
    <col min="6394" max="6394" width="4.85546875" style="260" customWidth="1"/>
    <col min="6395" max="6395" width="5.42578125" style="260" customWidth="1"/>
    <col min="6396" max="6396" width="31.28515625" style="260" customWidth="1"/>
    <col min="6397" max="6397" width="7.5703125" style="260" customWidth="1"/>
    <col min="6398" max="6398" width="2.42578125" style="260" customWidth="1"/>
    <col min="6399" max="6399" width="11.5703125" style="260" customWidth="1"/>
    <col min="6400" max="6400" width="2.42578125" style="260" customWidth="1"/>
    <col min="6401" max="6401" width="11.5703125" style="260" customWidth="1"/>
    <col min="6402" max="6402" width="2.42578125" style="260" customWidth="1"/>
    <col min="6403" max="6403" width="10.85546875" style="260" customWidth="1"/>
    <col min="6404" max="6404" width="2.42578125" style="260" customWidth="1"/>
    <col min="6405" max="6405" width="11.140625" style="260" customWidth="1"/>
    <col min="6406" max="6406" width="1.85546875" style="260" customWidth="1"/>
    <col min="6407" max="6407" width="11" style="260" customWidth="1"/>
    <col min="6408" max="6408" width="0.7109375" style="260" customWidth="1"/>
    <col min="6409" max="6409" width="1.85546875" style="260" customWidth="1"/>
    <col min="6410" max="6410" width="11.85546875" style="260" bestFit="1" customWidth="1"/>
    <col min="6411" max="6411" width="15.28515625" style="260" bestFit="1" customWidth="1"/>
    <col min="6412" max="6412" width="5" style="260" customWidth="1"/>
    <col min="6413" max="6413" width="10.42578125" style="260" bestFit="1" customWidth="1"/>
    <col min="6414" max="6414" width="5" style="260" customWidth="1"/>
    <col min="6415" max="6415" width="10.42578125" style="260" bestFit="1" customWidth="1"/>
    <col min="6416" max="6418" width="9" style="260"/>
    <col min="6419" max="6419" width="10.42578125" style="260" bestFit="1" customWidth="1"/>
    <col min="6420" max="6648" width="9" style="260"/>
    <col min="6649" max="6649" width="3.5703125" style="260" customWidth="1"/>
    <col min="6650" max="6650" width="4.85546875" style="260" customWidth="1"/>
    <col min="6651" max="6651" width="5.42578125" style="260" customWidth="1"/>
    <col min="6652" max="6652" width="31.28515625" style="260" customWidth="1"/>
    <col min="6653" max="6653" width="7.5703125" style="260" customWidth="1"/>
    <col min="6654" max="6654" width="2.42578125" style="260" customWidth="1"/>
    <col min="6655" max="6655" width="11.5703125" style="260" customWidth="1"/>
    <col min="6656" max="6656" width="2.42578125" style="260" customWidth="1"/>
    <col min="6657" max="6657" width="11.5703125" style="260" customWidth="1"/>
    <col min="6658" max="6658" width="2.42578125" style="260" customWidth="1"/>
    <col min="6659" max="6659" width="10.85546875" style="260" customWidth="1"/>
    <col min="6660" max="6660" width="2.42578125" style="260" customWidth="1"/>
    <col min="6661" max="6661" width="11.140625" style="260" customWidth="1"/>
    <col min="6662" max="6662" width="1.85546875" style="260" customWidth="1"/>
    <col min="6663" max="6663" width="11" style="260" customWidth="1"/>
    <col min="6664" max="6664" width="0.7109375" style="260" customWidth="1"/>
    <col min="6665" max="6665" width="1.85546875" style="260" customWidth="1"/>
    <col min="6666" max="6666" width="11.85546875" style="260" bestFit="1" customWidth="1"/>
    <col min="6667" max="6667" width="15.28515625" style="260" bestFit="1" customWidth="1"/>
    <col min="6668" max="6668" width="5" style="260" customWidth="1"/>
    <col min="6669" max="6669" width="10.42578125" style="260" bestFit="1" customWidth="1"/>
    <col min="6670" max="6670" width="5" style="260" customWidth="1"/>
    <col min="6671" max="6671" width="10.42578125" style="260" bestFit="1" customWidth="1"/>
    <col min="6672" max="6674" width="9" style="260"/>
    <col min="6675" max="6675" width="10.42578125" style="260" bestFit="1" customWidth="1"/>
    <col min="6676" max="6904" width="9" style="260"/>
    <col min="6905" max="6905" width="3.5703125" style="260" customWidth="1"/>
    <col min="6906" max="6906" width="4.85546875" style="260" customWidth="1"/>
    <col min="6907" max="6907" width="5.42578125" style="260" customWidth="1"/>
    <col min="6908" max="6908" width="31.28515625" style="260" customWidth="1"/>
    <col min="6909" max="6909" width="7.5703125" style="260" customWidth="1"/>
    <col min="6910" max="6910" width="2.42578125" style="260" customWidth="1"/>
    <col min="6911" max="6911" width="11.5703125" style="260" customWidth="1"/>
    <col min="6912" max="6912" width="2.42578125" style="260" customWidth="1"/>
    <col min="6913" max="6913" width="11.5703125" style="260" customWidth="1"/>
    <col min="6914" max="6914" width="2.42578125" style="260" customWidth="1"/>
    <col min="6915" max="6915" width="10.85546875" style="260" customWidth="1"/>
    <col min="6916" max="6916" width="2.42578125" style="260" customWidth="1"/>
    <col min="6917" max="6917" width="11.140625" style="260" customWidth="1"/>
    <col min="6918" max="6918" width="1.85546875" style="260" customWidth="1"/>
    <col min="6919" max="6919" width="11" style="260" customWidth="1"/>
    <col min="6920" max="6920" width="0.7109375" style="260" customWidth="1"/>
    <col min="6921" max="6921" width="1.85546875" style="260" customWidth="1"/>
    <col min="6922" max="6922" width="11.85546875" style="260" bestFit="1" customWidth="1"/>
    <col min="6923" max="6923" width="15.28515625" style="260" bestFit="1" customWidth="1"/>
    <col min="6924" max="6924" width="5" style="260" customWidth="1"/>
    <col min="6925" max="6925" width="10.42578125" style="260" bestFit="1" customWidth="1"/>
    <col min="6926" max="6926" width="5" style="260" customWidth="1"/>
    <col min="6927" max="6927" width="10.42578125" style="260" bestFit="1" customWidth="1"/>
    <col min="6928" max="6930" width="9" style="260"/>
    <col min="6931" max="6931" width="10.42578125" style="260" bestFit="1" customWidth="1"/>
    <col min="6932" max="7160" width="9" style="260"/>
    <col min="7161" max="7161" width="3.5703125" style="260" customWidth="1"/>
    <col min="7162" max="7162" width="4.85546875" style="260" customWidth="1"/>
    <col min="7163" max="7163" width="5.42578125" style="260" customWidth="1"/>
    <col min="7164" max="7164" width="31.28515625" style="260" customWidth="1"/>
    <col min="7165" max="7165" width="7.5703125" style="260" customWidth="1"/>
    <col min="7166" max="7166" width="2.42578125" style="260" customWidth="1"/>
    <col min="7167" max="7167" width="11.5703125" style="260" customWidth="1"/>
    <col min="7168" max="7168" width="2.42578125" style="260" customWidth="1"/>
    <col min="7169" max="7169" width="11.5703125" style="260" customWidth="1"/>
    <col min="7170" max="7170" width="2.42578125" style="260" customWidth="1"/>
    <col min="7171" max="7171" width="10.85546875" style="260" customWidth="1"/>
    <col min="7172" max="7172" width="2.42578125" style="260" customWidth="1"/>
    <col min="7173" max="7173" width="11.140625" style="260" customWidth="1"/>
    <col min="7174" max="7174" width="1.85546875" style="260" customWidth="1"/>
    <col min="7175" max="7175" width="11" style="260" customWidth="1"/>
    <col min="7176" max="7176" width="0.7109375" style="260" customWidth="1"/>
    <col min="7177" max="7177" width="1.85546875" style="260" customWidth="1"/>
    <col min="7178" max="7178" width="11.85546875" style="260" bestFit="1" customWidth="1"/>
    <col min="7179" max="7179" width="15.28515625" style="260" bestFit="1" customWidth="1"/>
    <col min="7180" max="7180" width="5" style="260" customWidth="1"/>
    <col min="7181" max="7181" width="10.42578125" style="260" bestFit="1" customWidth="1"/>
    <col min="7182" max="7182" width="5" style="260" customWidth="1"/>
    <col min="7183" max="7183" width="10.42578125" style="260" bestFit="1" customWidth="1"/>
    <col min="7184" max="7186" width="9" style="260"/>
    <col min="7187" max="7187" width="10.42578125" style="260" bestFit="1" customWidth="1"/>
    <col min="7188" max="7416" width="9" style="260"/>
    <col min="7417" max="7417" width="3.5703125" style="260" customWidth="1"/>
    <col min="7418" max="7418" width="4.85546875" style="260" customWidth="1"/>
    <col min="7419" max="7419" width="5.42578125" style="260" customWidth="1"/>
    <col min="7420" max="7420" width="31.28515625" style="260" customWidth="1"/>
    <col min="7421" max="7421" width="7.5703125" style="260" customWidth="1"/>
    <col min="7422" max="7422" width="2.42578125" style="260" customWidth="1"/>
    <col min="7423" max="7423" width="11.5703125" style="260" customWidth="1"/>
    <col min="7424" max="7424" width="2.42578125" style="260" customWidth="1"/>
    <col min="7425" max="7425" width="11.5703125" style="260" customWidth="1"/>
    <col min="7426" max="7426" width="2.42578125" style="260" customWidth="1"/>
    <col min="7427" max="7427" width="10.85546875" style="260" customWidth="1"/>
    <col min="7428" max="7428" width="2.42578125" style="260" customWidth="1"/>
    <col min="7429" max="7429" width="11.140625" style="260" customWidth="1"/>
    <col min="7430" max="7430" width="1.85546875" style="260" customWidth="1"/>
    <col min="7431" max="7431" width="11" style="260" customWidth="1"/>
    <col min="7432" max="7432" width="0.7109375" style="260" customWidth="1"/>
    <col min="7433" max="7433" width="1.85546875" style="260" customWidth="1"/>
    <col min="7434" max="7434" width="11.85546875" style="260" bestFit="1" customWidth="1"/>
    <col min="7435" max="7435" width="15.28515625" style="260" bestFit="1" customWidth="1"/>
    <col min="7436" max="7436" width="5" style="260" customWidth="1"/>
    <col min="7437" max="7437" width="10.42578125" style="260" bestFit="1" customWidth="1"/>
    <col min="7438" max="7438" width="5" style="260" customWidth="1"/>
    <col min="7439" max="7439" width="10.42578125" style="260" bestFit="1" customWidth="1"/>
    <col min="7440" max="7442" width="9" style="260"/>
    <col min="7443" max="7443" width="10.42578125" style="260" bestFit="1" customWidth="1"/>
    <col min="7444" max="7672" width="9" style="260"/>
    <col min="7673" max="7673" width="3.5703125" style="260" customWidth="1"/>
    <col min="7674" max="7674" width="4.85546875" style="260" customWidth="1"/>
    <col min="7675" max="7675" width="5.42578125" style="260" customWidth="1"/>
    <col min="7676" max="7676" width="31.28515625" style="260" customWidth="1"/>
    <col min="7677" max="7677" width="7.5703125" style="260" customWidth="1"/>
    <col min="7678" max="7678" width="2.42578125" style="260" customWidth="1"/>
    <col min="7679" max="7679" width="11.5703125" style="260" customWidth="1"/>
    <col min="7680" max="7680" width="2.42578125" style="260" customWidth="1"/>
    <col min="7681" max="7681" width="11.5703125" style="260" customWidth="1"/>
    <col min="7682" max="7682" width="2.42578125" style="260" customWidth="1"/>
    <col min="7683" max="7683" width="10.85546875" style="260" customWidth="1"/>
    <col min="7684" max="7684" width="2.42578125" style="260" customWidth="1"/>
    <col min="7685" max="7685" width="11.140625" style="260" customWidth="1"/>
    <col min="7686" max="7686" width="1.85546875" style="260" customWidth="1"/>
    <col min="7687" max="7687" width="11" style="260" customWidth="1"/>
    <col min="7688" max="7688" width="0.7109375" style="260" customWidth="1"/>
    <col min="7689" max="7689" width="1.85546875" style="260" customWidth="1"/>
    <col min="7690" max="7690" width="11.85546875" style="260" bestFit="1" customWidth="1"/>
    <col min="7691" max="7691" width="15.28515625" style="260" bestFit="1" customWidth="1"/>
    <col min="7692" max="7692" width="5" style="260" customWidth="1"/>
    <col min="7693" max="7693" width="10.42578125" style="260" bestFit="1" customWidth="1"/>
    <col min="7694" max="7694" width="5" style="260" customWidth="1"/>
    <col min="7695" max="7695" width="10.42578125" style="260" bestFit="1" customWidth="1"/>
    <col min="7696" max="7698" width="9" style="260"/>
    <col min="7699" max="7699" width="10.42578125" style="260" bestFit="1" customWidth="1"/>
    <col min="7700" max="7928" width="9" style="260"/>
    <col min="7929" max="7929" width="3.5703125" style="260" customWidth="1"/>
    <col min="7930" max="7930" width="4.85546875" style="260" customWidth="1"/>
    <col min="7931" max="7931" width="5.42578125" style="260" customWidth="1"/>
    <col min="7932" max="7932" width="31.28515625" style="260" customWidth="1"/>
    <col min="7933" max="7933" width="7.5703125" style="260" customWidth="1"/>
    <col min="7934" max="7934" width="2.42578125" style="260" customWidth="1"/>
    <col min="7935" max="7935" width="11.5703125" style="260" customWidth="1"/>
    <col min="7936" max="7936" width="2.42578125" style="260" customWidth="1"/>
    <col min="7937" max="7937" width="11.5703125" style="260" customWidth="1"/>
    <col min="7938" max="7938" width="2.42578125" style="260" customWidth="1"/>
    <col min="7939" max="7939" width="10.85546875" style="260" customWidth="1"/>
    <col min="7940" max="7940" width="2.42578125" style="260" customWidth="1"/>
    <col min="7941" max="7941" width="11.140625" style="260" customWidth="1"/>
    <col min="7942" max="7942" width="1.85546875" style="260" customWidth="1"/>
    <col min="7943" max="7943" width="11" style="260" customWidth="1"/>
    <col min="7944" max="7944" width="0.7109375" style="260" customWidth="1"/>
    <col min="7945" max="7945" width="1.85546875" style="260" customWidth="1"/>
    <col min="7946" max="7946" width="11.85546875" style="260" bestFit="1" customWidth="1"/>
    <col min="7947" max="7947" width="15.28515625" style="260" bestFit="1" customWidth="1"/>
    <col min="7948" max="7948" width="5" style="260" customWidth="1"/>
    <col min="7949" max="7949" width="10.42578125" style="260" bestFit="1" customWidth="1"/>
    <col min="7950" max="7950" width="5" style="260" customWidth="1"/>
    <col min="7951" max="7951" width="10.42578125" style="260" bestFit="1" customWidth="1"/>
    <col min="7952" max="7954" width="9" style="260"/>
    <col min="7955" max="7955" width="10.42578125" style="260" bestFit="1" customWidth="1"/>
    <col min="7956" max="8184" width="9" style="260"/>
    <col min="8185" max="8185" width="3.5703125" style="260" customWidth="1"/>
    <col min="8186" max="8186" width="4.85546875" style="260" customWidth="1"/>
    <col min="8187" max="8187" width="5.42578125" style="260" customWidth="1"/>
    <col min="8188" max="8188" width="31.28515625" style="260" customWidth="1"/>
    <col min="8189" max="8189" width="7.5703125" style="260" customWidth="1"/>
    <col min="8190" max="8190" width="2.42578125" style="260" customWidth="1"/>
    <col min="8191" max="8191" width="11.5703125" style="260" customWidth="1"/>
    <col min="8192" max="8192" width="2.42578125" style="260" customWidth="1"/>
    <col min="8193" max="8193" width="11.5703125" style="260" customWidth="1"/>
    <col min="8194" max="8194" width="2.42578125" style="260" customWidth="1"/>
    <col min="8195" max="8195" width="10.85546875" style="260" customWidth="1"/>
    <col min="8196" max="8196" width="2.42578125" style="260" customWidth="1"/>
    <col min="8197" max="8197" width="11.140625" style="260" customWidth="1"/>
    <col min="8198" max="8198" width="1.85546875" style="260" customWidth="1"/>
    <col min="8199" max="8199" width="11" style="260" customWidth="1"/>
    <col min="8200" max="8200" width="0.7109375" style="260" customWidth="1"/>
    <col min="8201" max="8201" width="1.85546875" style="260" customWidth="1"/>
    <col min="8202" max="8202" width="11.85546875" style="260" bestFit="1" customWidth="1"/>
    <col min="8203" max="8203" width="15.28515625" style="260" bestFit="1" customWidth="1"/>
    <col min="8204" max="8204" width="5" style="260" customWidth="1"/>
    <col min="8205" max="8205" width="10.42578125" style="260" bestFit="1" customWidth="1"/>
    <col min="8206" max="8206" width="5" style="260" customWidth="1"/>
    <col min="8207" max="8207" width="10.42578125" style="260" bestFit="1" customWidth="1"/>
    <col min="8208" max="8210" width="9" style="260"/>
    <col min="8211" max="8211" width="10.42578125" style="260" bestFit="1" customWidth="1"/>
    <col min="8212" max="8440" width="9" style="260"/>
    <col min="8441" max="8441" width="3.5703125" style="260" customWidth="1"/>
    <col min="8442" max="8442" width="4.85546875" style="260" customWidth="1"/>
    <col min="8443" max="8443" width="5.42578125" style="260" customWidth="1"/>
    <col min="8444" max="8444" width="31.28515625" style="260" customWidth="1"/>
    <col min="8445" max="8445" width="7.5703125" style="260" customWidth="1"/>
    <col min="8446" max="8446" width="2.42578125" style="260" customWidth="1"/>
    <col min="8447" max="8447" width="11.5703125" style="260" customWidth="1"/>
    <col min="8448" max="8448" width="2.42578125" style="260" customWidth="1"/>
    <col min="8449" max="8449" width="11.5703125" style="260" customWidth="1"/>
    <col min="8450" max="8450" width="2.42578125" style="260" customWidth="1"/>
    <col min="8451" max="8451" width="10.85546875" style="260" customWidth="1"/>
    <col min="8452" max="8452" width="2.42578125" style="260" customWidth="1"/>
    <col min="8453" max="8453" width="11.140625" style="260" customWidth="1"/>
    <col min="8454" max="8454" width="1.85546875" style="260" customWidth="1"/>
    <col min="8455" max="8455" width="11" style="260" customWidth="1"/>
    <col min="8456" max="8456" width="0.7109375" style="260" customWidth="1"/>
    <col min="8457" max="8457" width="1.85546875" style="260" customWidth="1"/>
    <col min="8458" max="8458" width="11.85546875" style="260" bestFit="1" customWidth="1"/>
    <col min="8459" max="8459" width="15.28515625" style="260" bestFit="1" customWidth="1"/>
    <col min="8460" max="8460" width="5" style="260" customWidth="1"/>
    <col min="8461" max="8461" width="10.42578125" style="260" bestFit="1" customWidth="1"/>
    <col min="8462" max="8462" width="5" style="260" customWidth="1"/>
    <col min="8463" max="8463" width="10.42578125" style="260" bestFit="1" customWidth="1"/>
    <col min="8464" max="8466" width="9" style="260"/>
    <col min="8467" max="8467" width="10.42578125" style="260" bestFit="1" customWidth="1"/>
    <col min="8468" max="8696" width="9" style="260"/>
    <col min="8697" max="8697" width="3.5703125" style="260" customWidth="1"/>
    <col min="8698" max="8698" width="4.85546875" style="260" customWidth="1"/>
    <col min="8699" max="8699" width="5.42578125" style="260" customWidth="1"/>
    <col min="8700" max="8700" width="31.28515625" style="260" customWidth="1"/>
    <col min="8701" max="8701" width="7.5703125" style="260" customWidth="1"/>
    <col min="8702" max="8702" width="2.42578125" style="260" customWidth="1"/>
    <col min="8703" max="8703" width="11.5703125" style="260" customWidth="1"/>
    <col min="8704" max="8704" width="2.42578125" style="260" customWidth="1"/>
    <col min="8705" max="8705" width="11.5703125" style="260" customWidth="1"/>
    <col min="8706" max="8706" width="2.42578125" style="260" customWidth="1"/>
    <col min="8707" max="8707" width="10.85546875" style="260" customWidth="1"/>
    <col min="8708" max="8708" width="2.42578125" style="260" customWidth="1"/>
    <col min="8709" max="8709" width="11.140625" style="260" customWidth="1"/>
    <col min="8710" max="8710" width="1.85546875" style="260" customWidth="1"/>
    <col min="8711" max="8711" width="11" style="260" customWidth="1"/>
    <col min="8712" max="8712" width="0.7109375" style="260" customWidth="1"/>
    <col min="8713" max="8713" width="1.85546875" style="260" customWidth="1"/>
    <col min="8714" max="8714" width="11.85546875" style="260" bestFit="1" customWidth="1"/>
    <col min="8715" max="8715" width="15.28515625" style="260" bestFit="1" customWidth="1"/>
    <col min="8716" max="8716" width="5" style="260" customWidth="1"/>
    <col min="8717" max="8717" width="10.42578125" style="260" bestFit="1" customWidth="1"/>
    <col min="8718" max="8718" width="5" style="260" customWidth="1"/>
    <col min="8719" max="8719" width="10.42578125" style="260" bestFit="1" customWidth="1"/>
    <col min="8720" max="8722" width="9" style="260"/>
    <col min="8723" max="8723" width="10.42578125" style="260" bestFit="1" customWidth="1"/>
    <col min="8724" max="8952" width="9" style="260"/>
    <col min="8953" max="8953" width="3.5703125" style="260" customWidth="1"/>
    <col min="8954" max="8954" width="4.85546875" style="260" customWidth="1"/>
    <col min="8955" max="8955" width="5.42578125" style="260" customWidth="1"/>
    <col min="8956" max="8956" width="31.28515625" style="260" customWidth="1"/>
    <col min="8957" max="8957" width="7.5703125" style="260" customWidth="1"/>
    <col min="8958" max="8958" width="2.42578125" style="260" customWidth="1"/>
    <col min="8959" max="8959" width="11.5703125" style="260" customWidth="1"/>
    <col min="8960" max="8960" width="2.42578125" style="260" customWidth="1"/>
    <col min="8961" max="8961" width="11.5703125" style="260" customWidth="1"/>
    <col min="8962" max="8962" width="2.42578125" style="260" customWidth="1"/>
    <col min="8963" max="8963" width="10.85546875" style="260" customWidth="1"/>
    <col min="8964" max="8964" width="2.42578125" style="260" customWidth="1"/>
    <col min="8965" max="8965" width="11.140625" style="260" customWidth="1"/>
    <col min="8966" max="8966" width="1.85546875" style="260" customWidth="1"/>
    <col min="8967" max="8967" width="11" style="260" customWidth="1"/>
    <col min="8968" max="8968" width="0.7109375" style="260" customWidth="1"/>
    <col min="8969" max="8969" width="1.85546875" style="260" customWidth="1"/>
    <col min="8970" max="8970" width="11.85546875" style="260" bestFit="1" customWidth="1"/>
    <col min="8971" max="8971" width="15.28515625" style="260" bestFit="1" customWidth="1"/>
    <col min="8972" max="8972" width="5" style="260" customWidth="1"/>
    <col min="8973" max="8973" width="10.42578125" style="260" bestFit="1" customWidth="1"/>
    <col min="8974" max="8974" width="5" style="260" customWidth="1"/>
    <col min="8975" max="8975" width="10.42578125" style="260" bestFit="1" customWidth="1"/>
    <col min="8976" max="8978" width="9" style="260"/>
    <col min="8979" max="8979" width="10.42578125" style="260" bestFit="1" customWidth="1"/>
    <col min="8980" max="9208" width="9" style="260"/>
    <col min="9209" max="9209" width="3.5703125" style="260" customWidth="1"/>
    <col min="9210" max="9210" width="4.85546875" style="260" customWidth="1"/>
    <col min="9211" max="9211" width="5.42578125" style="260" customWidth="1"/>
    <col min="9212" max="9212" width="31.28515625" style="260" customWidth="1"/>
    <col min="9213" max="9213" width="7.5703125" style="260" customWidth="1"/>
    <col min="9214" max="9214" width="2.42578125" style="260" customWidth="1"/>
    <col min="9215" max="9215" width="11.5703125" style="260" customWidth="1"/>
    <col min="9216" max="9216" width="2.42578125" style="260" customWidth="1"/>
    <col min="9217" max="9217" width="11.5703125" style="260" customWidth="1"/>
    <col min="9218" max="9218" width="2.42578125" style="260" customWidth="1"/>
    <col min="9219" max="9219" width="10.85546875" style="260" customWidth="1"/>
    <col min="9220" max="9220" width="2.42578125" style="260" customWidth="1"/>
    <col min="9221" max="9221" width="11.140625" style="260" customWidth="1"/>
    <col min="9222" max="9222" width="1.85546875" style="260" customWidth="1"/>
    <col min="9223" max="9223" width="11" style="260" customWidth="1"/>
    <col min="9224" max="9224" width="0.7109375" style="260" customWidth="1"/>
    <col min="9225" max="9225" width="1.85546875" style="260" customWidth="1"/>
    <col min="9226" max="9226" width="11.85546875" style="260" bestFit="1" customWidth="1"/>
    <col min="9227" max="9227" width="15.28515625" style="260" bestFit="1" customWidth="1"/>
    <col min="9228" max="9228" width="5" style="260" customWidth="1"/>
    <col min="9229" max="9229" width="10.42578125" style="260" bestFit="1" customWidth="1"/>
    <col min="9230" max="9230" width="5" style="260" customWidth="1"/>
    <col min="9231" max="9231" width="10.42578125" style="260" bestFit="1" customWidth="1"/>
    <col min="9232" max="9234" width="9" style="260"/>
    <col min="9235" max="9235" width="10.42578125" style="260" bestFit="1" customWidth="1"/>
    <col min="9236" max="9464" width="9" style="260"/>
    <col min="9465" max="9465" width="3.5703125" style="260" customWidth="1"/>
    <col min="9466" max="9466" width="4.85546875" style="260" customWidth="1"/>
    <col min="9467" max="9467" width="5.42578125" style="260" customWidth="1"/>
    <col min="9468" max="9468" width="31.28515625" style="260" customWidth="1"/>
    <col min="9469" max="9469" width="7.5703125" style="260" customWidth="1"/>
    <col min="9470" max="9470" width="2.42578125" style="260" customWidth="1"/>
    <col min="9471" max="9471" width="11.5703125" style="260" customWidth="1"/>
    <col min="9472" max="9472" width="2.42578125" style="260" customWidth="1"/>
    <col min="9473" max="9473" width="11.5703125" style="260" customWidth="1"/>
    <col min="9474" max="9474" width="2.42578125" style="260" customWidth="1"/>
    <col min="9475" max="9475" width="10.85546875" style="260" customWidth="1"/>
    <col min="9476" max="9476" width="2.42578125" style="260" customWidth="1"/>
    <col min="9477" max="9477" width="11.140625" style="260" customWidth="1"/>
    <col min="9478" max="9478" width="1.85546875" style="260" customWidth="1"/>
    <col min="9479" max="9479" width="11" style="260" customWidth="1"/>
    <col min="9480" max="9480" width="0.7109375" style="260" customWidth="1"/>
    <col min="9481" max="9481" width="1.85546875" style="260" customWidth="1"/>
    <col min="9482" max="9482" width="11.85546875" style="260" bestFit="1" customWidth="1"/>
    <col min="9483" max="9483" width="15.28515625" style="260" bestFit="1" customWidth="1"/>
    <col min="9484" max="9484" width="5" style="260" customWidth="1"/>
    <col min="9485" max="9485" width="10.42578125" style="260" bestFit="1" customWidth="1"/>
    <col min="9486" max="9486" width="5" style="260" customWidth="1"/>
    <col min="9487" max="9487" width="10.42578125" style="260" bestFit="1" customWidth="1"/>
    <col min="9488" max="9490" width="9" style="260"/>
    <col min="9491" max="9491" width="10.42578125" style="260" bestFit="1" customWidth="1"/>
    <col min="9492" max="9720" width="9" style="260"/>
    <col min="9721" max="9721" width="3.5703125" style="260" customWidth="1"/>
    <col min="9722" max="9722" width="4.85546875" style="260" customWidth="1"/>
    <col min="9723" max="9723" width="5.42578125" style="260" customWidth="1"/>
    <col min="9724" max="9724" width="31.28515625" style="260" customWidth="1"/>
    <col min="9725" max="9725" width="7.5703125" style="260" customWidth="1"/>
    <col min="9726" max="9726" width="2.42578125" style="260" customWidth="1"/>
    <col min="9727" max="9727" width="11.5703125" style="260" customWidth="1"/>
    <col min="9728" max="9728" width="2.42578125" style="260" customWidth="1"/>
    <col min="9729" max="9729" width="11.5703125" style="260" customWidth="1"/>
    <col min="9730" max="9730" width="2.42578125" style="260" customWidth="1"/>
    <col min="9731" max="9731" width="10.85546875" style="260" customWidth="1"/>
    <col min="9732" max="9732" width="2.42578125" style="260" customWidth="1"/>
    <col min="9733" max="9733" width="11.140625" style="260" customWidth="1"/>
    <col min="9734" max="9734" width="1.85546875" style="260" customWidth="1"/>
    <col min="9735" max="9735" width="11" style="260" customWidth="1"/>
    <col min="9736" max="9736" width="0.7109375" style="260" customWidth="1"/>
    <col min="9737" max="9737" width="1.85546875" style="260" customWidth="1"/>
    <col min="9738" max="9738" width="11.85546875" style="260" bestFit="1" customWidth="1"/>
    <col min="9739" max="9739" width="15.28515625" style="260" bestFit="1" customWidth="1"/>
    <col min="9740" max="9740" width="5" style="260" customWidth="1"/>
    <col min="9741" max="9741" width="10.42578125" style="260" bestFit="1" customWidth="1"/>
    <col min="9742" max="9742" width="5" style="260" customWidth="1"/>
    <col min="9743" max="9743" width="10.42578125" style="260" bestFit="1" customWidth="1"/>
    <col min="9744" max="9746" width="9" style="260"/>
    <col min="9747" max="9747" width="10.42578125" style="260" bestFit="1" customWidth="1"/>
    <col min="9748" max="9976" width="9" style="260"/>
    <col min="9977" max="9977" width="3.5703125" style="260" customWidth="1"/>
    <col min="9978" max="9978" width="4.85546875" style="260" customWidth="1"/>
    <col min="9979" max="9979" width="5.42578125" style="260" customWidth="1"/>
    <col min="9980" max="9980" width="31.28515625" style="260" customWidth="1"/>
    <col min="9981" max="9981" width="7.5703125" style="260" customWidth="1"/>
    <col min="9982" max="9982" width="2.42578125" style="260" customWidth="1"/>
    <col min="9983" max="9983" width="11.5703125" style="260" customWidth="1"/>
    <col min="9984" max="9984" width="2.42578125" style="260" customWidth="1"/>
    <col min="9985" max="9985" width="11.5703125" style="260" customWidth="1"/>
    <col min="9986" max="9986" width="2.42578125" style="260" customWidth="1"/>
    <col min="9987" max="9987" width="10.85546875" style="260" customWidth="1"/>
    <col min="9988" max="9988" width="2.42578125" style="260" customWidth="1"/>
    <col min="9989" max="9989" width="11.140625" style="260" customWidth="1"/>
    <col min="9990" max="9990" width="1.85546875" style="260" customWidth="1"/>
    <col min="9991" max="9991" width="11" style="260" customWidth="1"/>
    <col min="9992" max="9992" width="0.7109375" style="260" customWidth="1"/>
    <col min="9993" max="9993" width="1.85546875" style="260" customWidth="1"/>
    <col min="9994" max="9994" width="11.85546875" style="260" bestFit="1" customWidth="1"/>
    <col min="9995" max="9995" width="15.28515625" style="260" bestFit="1" customWidth="1"/>
    <col min="9996" max="9996" width="5" style="260" customWidth="1"/>
    <col min="9997" max="9997" width="10.42578125" style="260" bestFit="1" customWidth="1"/>
    <col min="9998" max="9998" width="5" style="260" customWidth="1"/>
    <col min="9999" max="9999" width="10.42578125" style="260" bestFit="1" customWidth="1"/>
    <col min="10000" max="10002" width="9" style="260"/>
    <col min="10003" max="10003" width="10.42578125" style="260" bestFit="1" customWidth="1"/>
    <col min="10004" max="10232" width="9" style="260"/>
    <col min="10233" max="10233" width="3.5703125" style="260" customWidth="1"/>
    <col min="10234" max="10234" width="4.85546875" style="260" customWidth="1"/>
    <col min="10235" max="10235" width="5.42578125" style="260" customWidth="1"/>
    <col min="10236" max="10236" width="31.28515625" style="260" customWidth="1"/>
    <col min="10237" max="10237" width="7.5703125" style="260" customWidth="1"/>
    <col min="10238" max="10238" width="2.42578125" style="260" customWidth="1"/>
    <col min="10239" max="10239" width="11.5703125" style="260" customWidth="1"/>
    <col min="10240" max="10240" width="2.42578125" style="260" customWidth="1"/>
    <col min="10241" max="10241" width="11.5703125" style="260" customWidth="1"/>
    <col min="10242" max="10242" width="2.42578125" style="260" customWidth="1"/>
    <col min="10243" max="10243" width="10.85546875" style="260" customWidth="1"/>
    <col min="10244" max="10244" width="2.42578125" style="260" customWidth="1"/>
    <col min="10245" max="10245" width="11.140625" style="260" customWidth="1"/>
    <col min="10246" max="10246" width="1.85546875" style="260" customWidth="1"/>
    <col min="10247" max="10247" width="11" style="260" customWidth="1"/>
    <col min="10248" max="10248" width="0.7109375" style="260" customWidth="1"/>
    <col min="10249" max="10249" width="1.85546875" style="260" customWidth="1"/>
    <col min="10250" max="10250" width="11.85546875" style="260" bestFit="1" customWidth="1"/>
    <col min="10251" max="10251" width="15.28515625" style="260" bestFit="1" customWidth="1"/>
    <col min="10252" max="10252" width="5" style="260" customWidth="1"/>
    <col min="10253" max="10253" width="10.42578125" style="260" bestFit="1" customWidth="1"/>
    <col min="10254" max="10254" width="5" style="260" customWidth="1"/>
    <col min="10255" max="10255" width="10.42578125" style="260" bestFit="1" customWidth="1"/>
    <col min="10256" max="10258" width="9" style="260"/>
    <col min="10259" max="10259" width="10.42578125" style="260" bestFit="1" customWidth="1"/>
    <col min="10260" max="10488" width="9" style="260"/>
    <col min="10489" max="10489" width="3.5703125" style="260" customWidth="1"/>
    <col min="10490" max="10490" width="4.85546875" style="260" customWidth="1"/>
    <col min="10491" max="10491" width="5.42578125" style="260" customWidth="1"/>
    <col min="10492" max="10492" width="31.28515625" style="260" customWidth="1"/>
    <col min="10493" max="10493" width="7.5703125" style="260" customWidth="1"/>
    <col min="10494" max="10494" width="2.42578125" style="260" customWidth="1"/>
    <col min="10495" max="10495" width="11.5703125" style="260" customWidth="1"/>
    <col min="10496" max="10496" width="2.42578125" style="260" customWidth="1"/>
    <col min="10497" max="10497" width="11.5703125" style="260" customWidth="1"/>
    <col min="10498" max="10498" width="2.42578125" style="260" customWidth="1"/>
    <col min="10499" max="10499" width="10.85546875" style="260" customWidth="1"/>
    <col min="10500" max="10500" width="2.42578125" style="260" customWidth="1"/>
    <col min="10501" max="10501" width="11.140625" style="260" customWidth="1"/>
    <col min="10502" max="10502" width="1.85546875" style="260" customWidth="1"/>
    <col min="10503" max="10503" width="11" style="260" customWidth="1"/>
    <col min="10504" max="10504" width="0.7109375" style="260" customWidth="1"/>
    <col min="10505" max="10505" width="1.85546875" style="260" customWidth="1"/>
    <col min="10506" max="10506" width="11.85546875" style="260" bestFit="1" customWidth="1"/>
    <col min="10507" max="10507" width="15.28515625" style="260" bestFit="1" customWidth="1"/>
    <col min="10508" max="10508" width="5" style="260" customWidth="1"/>
    <col min="10509" max="10509" width="10.42578125" style="260" bestFit="1" customWidth="1"/>
    <col min="10510" max="10510" width="5" style="260" customWidth="1"/>
    <col min="10511" max="10511" width="10.42578125" style="260" bestFit="1" customWidth="1"/>
    <col min="10512" max="10514" width="9" style="260"/>
    <col min="10515" max="10515" width="10.42578125" style="260" bestFit="1" customWidth="1"/>
    <col min="10516" max="10744" width="9" style="260"/>
    <col min="10745" max="10745" width="3.5703125" style="260" customWidth="1"/>
    <col min="10746" max="10746" width="4.85546875" style="260" customWidth="1"/>
    <col min="10747" max="10747" width="5.42578125" style="260" customWidth="1"/>
    <col min="10748" max="10748" width="31.28515625" style="260" customWidth="1"/>
    <col min="10749" max="10749" width="7.5703125" style="260" customWidth="1"/>
    <col min="10750" max="10750" width="2.42578125" style="260" customWidth="1"/>
    <col min="10751" max="10751" width="11.5703125" style="260" customWidth="1"/>
    <col min="10752" max="10752" width="2.42578125" style="260" customWidth="1"/>
    <col min="10753" max="10753" width="11.5703125" style="260" customWidth="1"/>
    <col min="10754" max="10754" width="2.42578125" style="260" customWidth="1"/>
    <col min="10755" max="10755" width="10.85546875" style="260" customWidth="1"/>
    <col min="10756" max="10756" width="2.42578125" style="260" customWidth="1"/>
    <col min="10757" max="10757" width="11.140625" style="260" customWidth="1"/>
    <col min="10758" max="10758" width="1.85546875" style="260" customWidth="1"/>
    <col min="10759" max="10759" width="11" style="260" customWidth="1"/>
    <col min="10760" max="10760" width="0.7109375" style="260" customWidth="1"/>
    <col min="10761" max="10761" width="1.85546875" style="260" customWidth="1"/>
    <col min="10762" max="10762" width="11.85546875" style="260" bestFit="1" customWidth="1"/>
    <col min="10763" max="10763" width="15.28515625" style="260" bestFit="1" customWidth="1"/>
    <col min="10764" max="10764" width="5" style="260" customWidth="1"/>
    <col min="10765" max="10765" width="10.42578125" style="260" bestFit="1" customWidth="1"/>
    <col min="10766" max="10766" width="5" style="260" customWidth="1"/>
    <col min="10767" max="10767" width="10.42578125" style="260" bestFit="1" customWidth="1"/>
    <col min="10768" max="10770" width="9" style="260"/>
    <col min="10771" max="10771" width="10.42578125" style="260" bestFit="1" customWidth="1"/>
    <col min="10772" max="11000" width="9" style="260"/>
    <col min="11001" max="11001" width="3.5703125" style="260" customWidth="1"/>
    <col min="11002" max="11002" width="4.85546875" style="260" customWidth="1"/>
    <col min="11003" max="11003" width="5.42578125" style="260" customWidth="1"/>
    <col min="11004" max="11004" width="31.28515625" style="260" customWidth="1"/>
    <col min="11005" max="11005" width="7.5703125" style="260" customWidth="1"/>
    <col min="11006" max="11006" width="2.42578125" style="260" customWidth="1"/>
    <col min="11007" max="11007" width="11.5703125" style="260" customWidth="1"/>
    <col min="11008" max="11008" width="2.42578125" style="260" customWidth="1"/>
    <col min="11009" max="11009" width="11.5703125" style="260" customWidth="1"/>
    <col min="11010" max="11010" width="2.42578125" style="260" customWidth="1"/>
    <col min="11011" max="11011" width="10.85546875" style="260" customWidth="1"/>
    <col min="11012" max="11012" width="2.42578125" style="260" customWidth="1"/>
    <col min="11013" max="11013" width="11.140625" style="260" customWidth="1"/>
    <col min="11014" max="11014" width="1.85546875" style="260" customWidth="1"/>
    <col min="11015" max="11015" width="11" style="260" customWidth="1"/>
    <col min="11016" max="11016" width="0.7109375" style="260" customWidth="1"/>
    <col min="11017" max="11017" width="1.85546875" style="260" customWidth="1"/>
    <col min="11018" max="11018" width="11.85546875" style="260" bestFit="1" customWidth="1"/>
    <col min="11019" max="11019" width="15.28515625" style="260" bestFit="1" customWidth="1"/>
    <col min="11020" max="11020" width="5" style="260" customWidth="1"/>
    <col min="11021" max="11021" width="10.42578125" style="260" bestFit="1" customWidth="1"/>
    <col min="11022" max="11022" width="5" style="260" customWidth="1"/>
    <col min="11023" max="11023" width="10.42578125" style="260" bestFit="1" customWidth="1"/>
    <col min="11024" max="11026" width="9" style="260"/>
    <col min="11027" max="11027" width="10.42578125" style="260" bestFit="1" customWidth="1"/>
    <col min="11028" max="11256" width="9" style="260"/>
    <col min="11257" max="11257" width="3.5703125" style="260" customWidth="1"/>
    <col min="11258" max="11258" width="4.85546875" style="260" customWidth="1"/>
    <col min="11259" max="11259" width="5.42578125" style="260" customWidth="1"/>
    <col min="11260" max="11260" width="31.28515625" style="260" customWidth="1"/>
    <col min="11261" max="11261" width="7.5703125" style="260" customWidth="1"/>
    <col min="11262" max="11262" width="2.42578125" style="260" customWidth="1"/>
    <col min="11263" max="11263" width="11.5703125" style="260" customWidth="1"/>
    <col min="11264" max="11264" width="2.42578125" style="260" customWidth="1"/>
    <col min="11265" max="11265" width="11.5703125" style="260" customWidth="1"/>
    <col min="11266" max="11266" width="2.42578125" style="260" customWidth="1"/>
    <col min="11267" max="11267" width="10.85546875" style="260" customWidth="1"/>
    <col min="11268" max="11268" width="2.42578125" style="260" customWidth="1"/>
    <col min="11269" max="11269" width="11.140625" style="260" customWidth="1"/>
    <col min="11270" max="11270" width="1.85546875" style="260" customWidth="1"/>
    <col min="11271" max="11271" width="11" style="260" customWidth="1"/>
    <col min="11272" max="11272" width="0.7109375" style="260" customWidth="1"/>
    <col min="11273" max="11273" width="1.85546875" style="260" customWidth="1"/>
    <col min="11274" max="11274" width="11.85546875" style="260" bestFit="1" customWidth="1"/>
    <col min="11275" max="11275" width="15.28515625" style="260" bestFit="1" customWidth="1"/>
    <col min="11276" max="11276" width="5" style="260" customWidth="1"/>
    <col min="11277" max="11277" width="10.42578125" style="260" bestFit="1" customWidth="1"/>
    <col min="11278" max="11278" width="5" style="260" customWidth="1"/>
    <col min="11279" max="11279" width="10.42578125" style="260" bestFit="1" customWidth="1"/>
    <col min="11280" max="11282" width="9" style="260"/>
    <col min="11283" max="11283" width="10.42578125" style="260" bestFit="1" customWidth="1"/>
    <col min="11284" max="11512" width="9" style="260"/>
    <col min="11513" max="11513" width="3.5703125" style="260" customWidth="1"/>
    <col min="11514" max="11514" width="4.85546875" style="260" customWidth="1"/>
    <col min="11515" max="11515" width="5.42578125" style="260" customWidth="1"/>
    <col min="11516" max="11516" width="31.28515625" style="260" customWidth="1"/>
    <col min="11517" max="11517" width="7.5703125" style="260" customWidth="1"/>
    <col min="11518" max="11518" width="2.42578125" style="260" customWidth="1"/>
    <col min="11519" max="11519" width="11.5703125" style="260" customWidth="1"/>
    <col min="11520" max="11520" width="2.42578125" style="260" customWidth="1"/>
    <col min="11521" max="11521" width="11.5703125" style="260" customWidth="1"/>
    <col min="11522" max="11522" width="2.42578125" style="260" customWidth="1"/>
    <col min="11523" max="11523" width="10.85546875" style="260" customWidth="1"/>
    <col min="11524" max="11524" width="2.42578125" style="260" customWidth="1"/>
    <col min="11525" max="11525" width="11.140625" style="260" customWidth="1"/>
    <col min="11526" max="11526" width="1.85546875" style="260" customWidth="1"/>
    <col min="11527" max="11527" width="11" style="260" customWidth="1"/>
    <col min="11528" max="11528" width="0.7109375" style="260" customWidth="1"/>
    <col min="11529" max="11529" width="1.85546875" style="260" customWidth="1"/>
    <col min="11530" max="11530" width="11.85546875" style="260" bestFit="1" customWidth="1"/>
    <col min="11531" max="11531" width="15.28515625" style="260" bestFit="1" customWidth="1"/>
    <col min="11532" max="11532" width="5" style="260" customWidth="1"/>
    <col min="11533" max="11533" width="10.42578125" style="260" bestFit="1" customWidth="1"/>
    <col min="11534" max="11534" width="5" style="260" customWidth="1"/>
    <col min="11535" max="11535" width="10.42578125" style="260" bestFit="1" customWidth="1"/>
    <col min="11536" max="11538" width="9" style="260"/>
    <col min="11539" max="11539" width="10.42578125" style="260" bestFit="1" customWidth="1"/>
    <col min="11540" max="11768" width="9" style="260"/>
    <col min="11769" max="11769" width="3.5703125" style="260" customWidth="1"/>
    <col min="11770" max="11770" width="4.85546875" style="260" customWidth="1"/>
    <col min="11771" max="11771" width="5.42578125" style="260" customWidth="1"/>
    <col min="11772" max="11772" width="31.28515625" style="260" customWidth="1"/>
    <col min="11773" max="11773" width="7.5703125" style="260" customWidth="1"/>
    <col min="11774" max="11774" width="2.42578125" style="260" customWidth="1"/>
    <col min="11775" max="11775" width="11.5703125" style="260" customWidth="1"/>
    <col min="11776" max="11776" width="2.42578125" style="260" customWidth="1"/>
    <col min="11777" max="11777" width="11.5703125" style="260" customWidth="1"/>
    <col min="11778" max="11778" width="2.42578125" style="260" customWidth="1"/>
    <col min="11779" max="11779" width="10.85546875" style="260" customWidth="1"/>
    <col min="11780" max="11780" width="2.42578125" style="260" customWidth="1"/>
    <col min="11781" max="11781" width="11.140625" style="260" customWidth="1"/>
    <col min="11782" max="11782" width="1.85546875" style="260" customWidth="1"/>
    <col min="11783" max="11783" width="11" style="260" customWidth="1"/>
    <col min="11784" max="11784" width="0.7109375" style="260" customWidth="1"/>
    <col min="11785" max="11785" width="1.85546875" style="260" customWidth="1"/>
    <col min="11786" max="11786" width="11.85546875" style="260" bestFit="1" customWidth="1"/>
    <col min="11787" max="11787" width="15.28515625" style="260" bestFit="1" customWidth="1"/>
    <col min="11788" max="11788" width="5" style="260" customWidth="1"/>
    <col min="11789" max="11789" width="10.42578125" style="260" bestFit="1" customWidth="1"/>
    <col min="11790" max="11790" width="5" style="260" customWidth="1"/>
    <col min="11791" max="11791" width="10.42578125" style="260" bestFit="1" customWidth="1"/>
    <col min="11792" max="11794" width="9" style="260"/>
    <col min="11795" max="11795" width="10.42578125" style="260" bestFit="1" customWidth="1"/>
    <col min="11796" max="12024" width="9" style="260"/>
    <col min="12025" max="12025" width="3.5703125" style="260" customWidth="1"/>
    <col min="12026" max="12026" width="4.85546875" style="260" customWidth="1"/>
    <col min="12027" max="12027" width="5.42578125" style="260" customWidth="1"/>
    <col min="12028" max="12028" width="31.28515625" style="260" customWidth="1"/>
    <col min="12029" max="12029" width="7.5703125" style="260" customWidth="1"/>
    <col min="12030" max="12030" width="2.42578125" style="260" customWidth="1"/>
    <col min="12031" max="12031" width="11.5703125" style="260" customWidth="1"/>
    <col min="12032" max="12032" width="2.42578125" style="260" customWidth="1"/>
    <col min="12033" max="12033" width="11.5703125" style="260" customWidth="1"/>
    <col min="12034" max="12034" width="2.42578125" style="260" customWidth="1"/>
    <col min="12035" max="12035" width="10.85546875" style="260" customWidth="1"/>
    <col min="12036" max="12036" width="2.42578125" style="260" customWidth="1"/>
    <col min="12037" max="12037" width="11.140625" style="260" customWidth="1"/>
    <col min="12038" max="12038" width="1.85546875" style="260" customWidth="1"/>
    <col min="12039" max="12039" width="11" style="260" customWidth="1"/>
    <col min="12040" max="12040" width="0.7109375" style="260" customWidth="1"/>
    <col min="12041" max="12041" width="1.85546875" style="260" customWidth="1"/>
    <col min="12042" max="12042" width="11.85546875" style="260" bestFit="1" customWidth="1"/>
    <col min="12043" max="12043" width="15.28515625" style="260" bestFit="1" customWidth="1"/>
    <col min="12044" max="12044" width="5" style="260" customWidth="1"/>
    <col min="12045" max="12045" width="10.42578125" style="260" bestFit="1" customWidth="1"/>
    <col min="12046" max="12046" width="5" style="260" customWidth="1"/>
    <col min="12047" max="12047" width="10.42578125" style="260" bestFit="1" customWidth="1"/>
    <col min="12048" max="12050" width="9" style="260"/>
    <col min="12051" max="12051" width="10.42578125" style="260" bestFit="1" customWidth="1"/>
    <col min="12052" max="12280" width="9" style="260"/>
    <col min="12281" max="12281" width="3.5703125" style="260" customWidth="1"/>
    <col min="12282" max="12282" width="4.85546875" style="260" customWidth="1"/>
    <col min="12283" max="12283" width="5.42578125" style="260" customWidth="1"/>
    <col min="12284" max="12284" width="31.28515625" style="260" customWidth="1"/>
    <col min="12285" max="12285" width="7.5703125" style="260" customWidth="1"/>
    <col min="12286" max="12286" width="2.42578125" style="260" customWidth="1"/>
    <col min="12287" max="12287" width="11.5703125" style="260" customWidth="1"/>
    <col min="12288" max="12288" width="2.42578125" style="260" customWidth="1"/>
    <col min="12289" max="12289" width="11.5703125" style="260" customWidth="1"/>
    <col min="12290" max="12290" width="2.42578125" style="260" customWidth="1"/>
    <col min="12291" max="12291" width="10.85546875" style="260" customWidth="1"/>
    <col min="12292" max="12292" width="2.42578125" style="260" customWidth="1"/>
    <col min="12293" max="12293" width="11.140625" style="260" customWidth="1"/>
    <col min="12294" max="12294" width="1.85546875" style="260" customWidth="1"/>
    <col min="12295" max="12295" width="11" style="260" customWidth="1"/>
    <col min="12296" max="12296" width="0.7109375" style="260" customWidth="1"/>
    <col min="12297" max="12297" width="1.85546875" style="260" customWidth="1"/>
    <col min="12298" max="12298" width="11.85546875" style="260" bestFit="1" customWidth="1"/>
    <col min="12299" max="12299" width="15.28515625" style="260" bestFit="1" customWidth="1"/>
    <col min="12300" max="12300" width="5" style="260" customWidth="1"/>
    <col min="12301" max="12301" width="10.42578125" style="260" bestFit="1" customWidth="1"/>
    <col min="12302" max="12302" width="5" style="260" customWidth="1"/>
    <col min="12303" max="12303" width="10.42578125" style="260" bestFit="1" customWidth="1"/>
    <col min="12304" max="12306" width="9" style="260"/>
    <col min="12307" max="12307" width="10.42578125" style="260" bestFit="1" customWidth="1"/>
    <col min="12308" max="12536" width="9" style="260"/>
    <col min="12537" max="12537" width="3.5703125" style="260" customWidth="1"/>
    <col min="12538" max="12538" width="4.85546875" style="260" customWidth="1"/>
    <col min="12539" max="12539" width="5.42578125" style="260" customWidth="1"/>
    <col min="12540" max="12540" width="31.28515625" style="260" customWidth="1"/>
    <col min="12541" max="12541" width="7.5703125" style="260" customWidth="1"/>
    <col min="12542" max="12542" width="2.42578125" style="260" customWidth="1"/>
    <col min="12543" max="12543" width="11.5703125" style="260" customWidth="1"/>
    <col min="12544" max="12544" width="2.42578125" style="260" customWidth="1"/>
    <col min="12545" max="12545" width="11.5703125" style="260" customWidth="1"/>
    <col min="12546" max="12546" width="2.42578125" style="260" customWidth="1"/>
    <col min="12547" max="12547" width="10.85546875" style="260" customWidth="1"/>
    <col min="12548" max="12548" width="2.42578125" style="260" customWidth="1"/>
    <col min="12549" max="12549" width="11.140625" style="260" customWidth="1"/>
    <col min="12550" max="12550" width="1.85546875" style="260" customWidth="1"/>
    <col min="12551" max="12551" width="11" style="260" customWidth="1"/>
    <col min="12552" max="12552" width="0.7109375" style="260" customWidth="1"/>
    <col min="12553" max="12553" width="1.85546875" style="260" customWidth="1"/>
    <col min="12554" max="12554" width="11.85546875" style="260" bestFit="1" customWidth="1"/>
    <col min="12555" max="12555" width="15.28515625" style="260" bestFit="1" customWidth="1"/>
    <col min="12556" max="12556" width="5" style="260" customWidth="1"/>
    <col min="12557" max="12557" width="10.42578125" style="260" bestFit="1" customWidth="1"/>
    <col min="12558" max="12558" width="5" style="260" customWidth="1"/>
    <col min="12559" max="12559" width="10.42578125" style="260" bestFit="1" customWidth="1"/>
    <col min="12560" max="12562" width="9" style="260"/>
    <col min="12563" max="12563" width="10.42578125" style="260" bestFit="1" customWidth="1"/>
    <col min="12564" max="12792" width="9" style="260"/>
    <col min="12793" max="12793" width="3.5703125" style="260" customWidth="1"/>
    <col min="12794" max="12794" width="4.85546875" style="260" customWidth="1"/>
    <col min="12795" max="12795" width="5.42578125" style="260" customWidth="1"/>
    <col min="12796" max="12796" width="31.28515625" style="260" customWidth="1"/>
    <col min="12797" max="12797" width="7.5703125" style="260" customWidth="1"/>
    <col min="12798" max="12798" width="2.42578125" style="260" customWidth="1"/>
    <col min="12799" max="12799" width="11.5703125" style="260" customWidth="1"/>
    <col min="12800" max="12800" width="2.42578125" style="260" customWidth="1"/>
    <col min="12801" max="12801" width="11.5703125" style="260" customWidth="1"/>
    <col min="12802" max="12802" width="2.42578125" style="260" customWidth="1"/>
    <col min="12803" max="12803" width="10.85546875" style="260" customWidth="1"/>
    <col min="12804" max="12804" width="2.42578125" style="260" customWidth="1"/>
    <col min="12805" max="12805" width="11.140625" style="260" customWidth="1"/>
    <col min="12806" max="12806" width="1.85546875" style="260" customWidth="1"/>
    <col min="12807" max="12807" width="11" style="260" customWidth="1"/>
    <col min="12808" max="12808" width="0.7109375" style="260" customWidth="1"/>
    <col min="12809" max="12809" width="1.85546875" style="260" customWidth="1"/>
    <col min="12810" max="12810" width="11.85546875" style="260" bestFit="1" customWidth="1"/>
    <col min="12811" max="12811" width="15.28515625" style="260" bestFit="1" customWidth="1"/>
    <col min="12812" max="12812" width="5" style="260" customWidth="1"/>
    <col min="12813" max="12813" width="10.42578125" style="260" bestFit="1" customWidth="1"/>
    <col min="12814" max="12814" width="5" style="260" customWidth="1"/>
    <col min="12815" max="12815" width="10.42578125" style="260" bestFit="1" customWidth="1"/>
    <col min="12816" max="12818" width="9" style="260"/>
    <col min="12819" max="12819" width="10.42578125" style="260" bestFit="1" customWidth="1"/>
    <col min="12820" max="13048" width="9" style="260"/>
    <col min="13049" max="13049" width="3.5703125" style="260" customWidth="1"/>
    <col min="13050" max="13050" width="4.85546875" style="260" customWidth="1"/>
    <col min="13051" max="13051" width="5.42578125" style="260" customWidth="1"/>
    <col min="13052" max="13052" width="31.28515625" style="260" customWidth="1"/>
    <col min="13053" max="13053" width="7.5703125" style="260" customWidth="1"/>
    <col min="13054" max="13054" width="2.42578125" style="260" customWidth="1"/>
    <col min="13055" max="13055" width="11.5703125" style="260" customWidth="1"/>
    <col min="13056" max="13056" width="2.42578125" style="260" customWidth="1"/>
    <col min="13057" max="13057" width="11.5703125" style="260" customWidth="1"/>
    <col min="13058" max="13058" width="2.42578125" style="260" customWidth="1"/>
    <col min="13059" max="13059" width="10.85546875" style="260" customWidth="1"/>
    <col min="13060" max="13060" width="2.42578125" style="260" customWidth="1"/>
    <col min="13061" max="13061" width="11.140625" style="260" customWidth="1"/>
    <col min="13062" max="13062" width="1.85546875" style="260" customWidth="1"/>
    <col min="13063" max="13063" width="11" style="260" customWidth="1"/>
    <col min="13064" max="13064" width="0.7109375" style="260" customWidth="1"/>
    <col min="13065" max="13065" width="1.85546875" style="260" customWidth="1"/>
    <col min="13066" max="13066" width="11.85546875" style="260" bestFit="1" customWidth="1"/>
    <col min="13067" max="13067" width="15.28515625" style="260" bestFit="1" customWidth="1"/>
    <col min="13068" max="13068" width="5" style="260" customWidth="1"/>
    <col min="13069" max="13069" width="10.42578125" style="260" bestFit="1" customWidth="1"/>
    <col min="13070" max="13070" width="5" style="260" customWidth="1"/>
    <col min="13071" max="13071" width="10.42578125" style="260" bestFit="1" customWidth="1"/>
    <col min="13072" max="13074" width="9" style="260"/>
    <col min="13075" max="13075" width="10.42578125" style="260" bestFit="1" customWidth="1"/>
    <col min="13076" max="13304" width="9" style="260"/>
    <col min="13305" max="13305" width="3.5703125" style="260" customWidth="1"/>
    <col min="13306" max="13306" width="4.85546875" style="260" customWidth="1"/>
    <col min="13307" max="13307" width="5.42578125" style="260" customWidth="1"/>
    <col min="13308" max="13308" width="31.28515625" style="260" customWidth="1"/>
    <col min="13309" max="13309" width="7.5703125" style="260" customWidth="1"/>
    <col min="13310" max="13310" width="2.42578125" style="260" customWidth="1"/>
    <col min="13311" max="13311" width="11.5703125" style="260" customWidth="1"/>
    <col min="13312" max="13312" width="2.42578125" style="260" customWidth="1"/>
    <col min="13313" max="13313" width="11.5703125" style="260" customWidth="1"/>
    <col min="13314" max="13314" width="2.42578125" style="260" customWidth="1"/>
    <col min="13315" max="13315" width="10.85546875" style="260" customWidth="1"/>
    <col min="13316" max="13316" width="2.42578125" style="260" customWidth="1"/>
    <col min="13317" max="13317" width="11.140625" style="260" customWidth="1"/>
    <col min="13318" max="13318" width="1.85546875" style="260" customWidth="1"/>
    <col min="13319" max="13319" width="11" style="260" customWidth="1"/>
    <col min="13320" max="13320" width="0.7109375" style="260" customWidth="1"/>
    <col min="13321" max="13321" width="1.85546875" style="260" customWidth="1"/>
    <col min="13322" max="13322" width="11.85546875" style="260" bestFit="1" customWidth="1"/>
    <col min="13323" max="13323" width="15.28515625" style="260" bestFit="1" customWidth="1"/>
    <col min="13324" max="13324" width="5" style="260" customWidth="1"/>
    <col min="13325" max="13325" width="10.42578125" style="260" bestFit="1" customWidth="1"/>
    <col min="13326" max="13326" width="5" style="260" customWidth="1"/>
    <col min="13327" max="13327" width="10.42578125" style="260" bestFit="1" customWidth="1"/>
    <col min="13328" max="13330" width="9" style="260"/>
    <col min="13331" max="13331" width="10.42578125" style="260" bestFit="1" customWidth="1"/>
    <col min="13332" max="13560" width="9" style="260"/>
    <col min="13561" max="13561" width="3.5703125" style="260" customWidth="1"/>
    <col min="13562" max="13562" width="4.85546875" style="260" customWidth="1"/>
    <col min="13563" max="13563" width="5.42578125" style="260" customWidth="1"/>
    <col min="13564" max="13564" width="31.28515625" style="260" customWidth="1"/>
    <col min="13565" max="13565" width="7.5703125" style="260" customWidth="1"/>
    <col min="13566" max="13566" width="2.42578125" style="260" customWidth="1"/>
    <col min="13567" max="13567" width="11.5703125" style="260" customWidth="1"/>
    <col min="13568" max="13568" width="2.42578125" style="260" customWidth="1"/>
    <col min="13569" max="13569" width="11.5703125" style="260" customWidth="1"/>
    <col min="13570" max="13570" width="2.42578125" style="260" customWidth="1"/>
    <col min="13571" max="13571" width="10.85546875" style="260" customWidth="1"/>
    <col min="13572" max="13572" width="2.42578125" style="260" customWidth="1"/>
    <col min="13573" max="13573" width="11.140625" style="260" customWidth="1"/>
    <col min="13574" max="13574" width="1.85546875" style="260" customWidth="1"/>
    <col min="13575" max="13575" width="11" style="260" customWidth="1"/>
    <col min="13576" max="13576" width="0.7109375" style="260" customWidth="1"/>
    <col min="13577" max="13577" width="1.85546875" style="260" customWidth="1"/>
    <col min="13578" max="13578" width="11.85546875" style="260" bestFit="1" customWidth="1"/>
    <col min="13579" max="13579" width="15.28515625" style="260" bestFit="1" customWidth="1"/>
    <col min="13580" max="13580" width="5" style="260" customWidth="1"/>
    <col min="13581" max="13581" width="10.42578125" style="260" bestFit="1" customWidth="1"/>
    <col min="13582" max="13582" width="5" style="260" customWidth="1"/>
    <col min="13583" max="13583" width="10.42578125" style="260" bestFit="1" customWidth="1"/>
    <col min="13584" max="13586" width="9" style="260"/>
    <col min="13587" max="13587" width="10.42578125" style="260" bestFit="1" customWidth="1"/>
    <col min="13588" max="13816" width="9" style="260"/>
    <col min="13817" max="13817" width="3.5703125" style="260" customWidth="1"/>
    <col min="13818" max="13818" width="4.85546875" style="260" customWidth="1"/>
    <col min="13819" max="13819" width="5.42578125" style="260" customWidth="1"/>
    <col min="13820" max="13820" width="31.28515625" style="260" customWidth="1"/>
    <col min="13821" max="13821" width="7.5703125" style="260" customWidth="1"/>
    <col min="13822" max="13822" width="2.42578125" style="260" customWidth="1"/>
    <col min="13823" max="13823" width="11.5703125" style="260" customWidth="1"/>
    <col min="13824" max="13824" width="2.42578125" style="260" customWidth="1"/>
    <col min="13825" max="13825" width="11.5703125" style="260" customWidth="1"/>
    <col min="13826" max="13826" width="2.42578125" style="260" customWidth="1"/>
    <col min="13827" max="13827" width="10.85546875" style="260" customWidth="1"/>
    <col min="13828" max="13828" width="2.42578125" style="260" customWidth="1"/>
    <col min="13829" max="13829" width="11.140625" style="260" customWidth="1"/>
    <col min="13830" max="13830" width="1.85546875" style="260" customWidth="1"/>
    <col min="13831" max="13831" width="11" style="260" customWidth="1"/>
    <col min="13832" max="13832" width="0.7109375" style="260" customWidth="1"/>
    <col min="13833" max="13833" width="1.85546875" style="260" customWidth="1"/>
    <col min="13834" max="13834" width="11.85546875" style="260" bestFit="1" customWidth="1"/>
    <col min="13835" max="13835" width="15.28515625" style="260" bestFit="1" customWidth="1"/>
    <col min="13836" max="13836" width="5" style="260" customWidth="1"/>
    <col min="13837" max="13837" width="10.42578125" style="260" bestFit="1" customWidth="1"/>
    <col min="13838" max="13838" width="5" style="260" customWidth="1"/>
    <col min="13839" max="13839" width="10.42578125" style="260" bestFit="1" customWidth="1"/>
    <col min="13840" max="13842" width="9" style="260"/>
    <col min="13843" max="13843" width="10.42578125" style="260" bestFit="1" customWidth="1"/>
    <col min="13844" max="14072" width="9" style="260"/>
    <col min="14073" max="14073" width="3.5703125" style="260" customWidth="1"/>
    <col min="14074" max="14074" width="4.85546875" style="260" customWidth="1"/>
    <col min="14075" max="14075" width="5.42578125" style="260" customWidth="1"/>
    <col min="14076" max="14076" width="31.28515625" style="260" customWidth="1"/>
    <col min="14077" max="14077" width="7.5703125" style="260" customWidth="1"/>
    <col min="14078" max="14078" width="2.42578125" style="260" customWidth="1"/>
    <col min="14079" max="14079" width="11.5703125" style="260" customWidth="1"/>
    <col min="14080" max="14080" width="2.42578125" style="260" customWidth="1"/>
    <col min="14081" max="14081" width="11.5703125" style="260" customWidth="1"/>
    <col min="14082" max="14082" width="2.42578125" style="260" customWidth="1"/>
    <col min="14083" max="14083" width="10.85546875" style="260" customWidth="1"/>
    <col min="14084" max="14084" width="2.42578125" style="260" customWidth="1"/>
    <col min="14085" max="14085" width="11.140625" style="260" customWidth="1"/>
    <col min="14086" max="14086" width="1.85546875" style="260" customWidth="1"/>
    <col min="14087" max="14087" width="11" style="260" customWidth="1"/>
    <col min="14088" max="14088" width="0.7109375" style="260" customWidth="1"/>
    <col min="14089" max="14089" width="1.85546875" style="260" customWidth="1"/>
    <col min="14090" max="14090" width="11.85546875" style="260" bestFit="1" customWidth="1"/>
    <col min="14091" max="14091" width="15.28515625" style="260" bestFit="1" customWidth="1"/>
    <col min="14092" max="14092" width="5" style="260" customWidth="1"/>
    <col min="14093" max="14093" width="10.42578125" style="260" bestFit="1" customWidth="1"/>
    <col min="14094" max="14094" width="5" style="260" customWidth="1"/>
    <col min="14095" max="14095" width="10.42578125" style="260" bestFit="1" customWidth="1"/>
    <col min="14096" max="14098" width="9" style="260"/>
    <col min="14099" max="14099" width="10.42578125" style="260" bestFit="1" customWidth="1"/>
    <col min="14100" max="14328" width="9" style="260"/>
    <col min="14329" max="14329" width="3.5703125" style="260" customWidth="1"/>
    <col min="14330" max="14330" width="4.85546875" style="260" customWidth="1"/>
    <col min="14331" max="14331" width="5.42578125" style="260" customWidth="1"/>
    <col min="14332" max="14332" width="31.28515625" style="260" customWidth="1"/>
    <col min="14333" max="14333" width="7.5703125" style="260" customWidth="1"/>
    <col min="14334" max="14334" width="2.42578125" style="260" customWidth="1"/>
    <col min="14335" max="14335" width="11.5703125" style="260" customWidth="1"/>
    <col min="14336" max="14336" width="2.42578125" style="260" customWidth="1"/>
    <col min="14337" max="14337" width="11.5703125" style="260" customWidth="1"/>
    <col min="14338" max="14338" width="2.42578125" style="260" customWidth="1"/>
    <col min="14339" max="14339" width="10.85546875" style="260" customWidth="1"/>
    <col min="14340" max="14340" width="2.42578125" style="260" customWidth="1"/>
    <col min="14341" max="14341" width="11.140625" style="260" customWidth="1"/>
    <col min="14342" max="14342" width="1.85546875" style="260" customWidth="1"/>
    <col min="14343" max="14343" width="11" style="260" customWidth="1"/>
    <col min="14344" max="14344" width="0.7109375" style="260" customWidth="1"/>
    <col min="14345" max="14345" width="1.85546875" style="260" customWidth="1"/>
    <col min="14346" max="14346" width="11.85546875" style="260" bestFit="1" customWidth="1"/>
    <col min="14347" max="14347" width="15.28515625" style="260" bestFit="1" customWidth="1"/>
    <col min="14348" max="14348" width="5" style="260" customWidth="1"/>
    <col min="14349" max="14349" width="10.42578125" style="260" bestFit="1" customWidth="1"/>
    <col min="14350" max="14350" width="5" style="260" customWidth="1"/>
    <col min="14351" max="14351" width="10.42578125" style="260" bestFit="1" customWidth="1"/>
    <col min="14352" max="14354" width="9" style="260"/>
    <col min="14355" max="14355" width="10.42578125" style="260" bestFit="1" customWidth="1"/>
    <col min="14356" max="14584" width="9" style="260"/>
    <col min="14585" max="14585" width="3.5703125" style="260" customWidth="1"/>
    <col min="14586" max="14586" width="4.85546875" style="260" customWidth="1"/>
    <col min="14587" max="14587" width="5.42578125" style="260" customWidth="1"/>
    <col min="14588" max="14588" width="31.28515625" style="260" customWidth="1"/>
    <col min="14589" max="14589" width="7.5703125" style="260" customWidth="1"/>
    <col min="14590" max="14590" width="2.42578125" style="260" customWidth="1"/>
    <col min="14591" max="14591" width="11.5703125" style="260" customWidth="1"/>
    <col min="14592" max="14592" width="2.42578125" style="260" customWidth="1"/>
    <col min="14593" max="14593" width="11.5703125" style="260" customWidth="1"/>
    <col min="14594" max="14594" width="2.42578125" style="260" customWidth="1"/>
    <col min="14595" max="14595" width="10.85546875" style="260" customWidth="1"/>
    <col min="14596" max="14596" width="2.42578125" style="260" customWidth="1"/>
    <col min="14597" max="14597" width="11.140625" style="260" customWidth="1"/>
    <col min="14598" max="14598" width="1.85546875" style="260" customWidth="1"/>
    <col min="14599" max="14599" width="11" style="260" customWidth="1"/>
    <col min="14600" max="14600" width="0.7109375" style="260" customWidth="1"/>
    <col min="14601" max="14601" width="1.85546875" style="260" customWidth="1"/>
    <col min="14602" max="14602" width="11.85546875" style="260" bestFit="1" customWidth="1"/>
    <col min="14603" max="14603" width="15.28515625" style="260" bestFit="1" customWidth="1"/>
    <col min="14604" max="14604" width="5" style="260" customWidth="1"/>
    <col min="14605" max="14605" width="10.42578125" style="260" bestFit="1" customWidth="1"/>
    <col min="14606" max="14606" width="5" style="260" customWidth="1"/>
    <col min="14607" max="14607" width="10.42578125" style="260" bestFit="1" customWidth="1"/>
    <col min="14608" max="14610" width="9" style="260"/>
    <col min="14611" max="14611" width="10.42578125" style="260" bestFit="1" customWidth="1"/>
    <col min="14612" max="14840" width="9" style="260"/>
    <col min="14841" max="14841" width="3.5703125" style="260" customWidth="1"/>
    <col min="14842" max="14842" width="4.85546875" style="260" customWidth="1"/>
    <col min="14843" max="14843" width="5.42578125" style="260" customWidth="1"/>
    <col min="14844" max="14844" width="31.28515625" style="260" customWidth="1"/>
    <col min="14845" max="14845" width="7.5703125" style="260" customWidth="1"/>
    <col min="14846" max="14846" width="2.42578125" style="260" customWidth="1"/>
    <col min="14847" max="14847" width="11.5703125" style="260" customWidth="1"/>
    <col min="14848" max="14848" width="2.42578125" style="260" customWidth="1"/>
    <col min="14849" max="14849" width="11.5703125" style="260" customWidth="1"/>
    <col min="14850" max="14850" width="2.42578125" style="260" customWidth="1"/>
    <col min="14851" max="14851" width="10.85546875" style="260" customWidth="1"/>
    <col min="14852" max="14852" width="2.42578125" style="260" customWidth="1"/>
    <col min="14853" max="14853" width="11.140625" style="260" customWidth="1"/>
    <col min="14854" max="14854" width="1.85546875" style="260" customWidth="1"/>
    <col min="14855" max="14855" width="11" style="260" customWidth="1"/>
    <col min="14856" max="14856" width="0.7109375" style="260" customWidth="1"/>
    <col min="14857" max="14857" width="1.85546875" style="260" customWidth="1"/>
    <col min="14858" max="14858" width="11.85546875" style="260" bestFit="1" customWidth="1"/>
    <col min="14859" max="14859" width="15.28515625" style="260" bestFit="1" customWidth="1"/>
    <col min="14860" max="14860" width="5" style="260" customWidth="1"/>
    <col min="14861" max="14861" width="10.42578125" style="260" bestFit="1" customWidth="1"/>
    <col min="14862" max="14862" width="5" style="260" customWidth="1"/>
    <col min="14863" max="14863" width="10.42578125" style="260" bestFit="1" customWidth="1"/>
    <col min="14864" max="14866" width="9" style="260"/>
    <col min="14867" max="14867" width="10.42578125" style="260" bestFit="1" customWidth="1"/>
    <col min="14868" max="15096" width="9" style="260"/>
    <col min="15097" max="15097" width="3.5703125" style="260" customWidth="1"/>
    <col min="15098" max="15098" width="4.85546875" style="260" customWidth="1"/>
    <col min="15099" max="15099" width="5.42578125" style="260" customWidth="1"/>
    <col min="15100" max="15100" width="31.28515625" style="260" customWidth="1"/>
    <col min="15101" max="15101" width="7.5703125" style="260" customWidth="1"/>
    <col min="15102" max="15102" width="2.42578125" style="260" customWidth="1"/>
    <col min="15103" max="15103" width="11.5703125" style="260" customWidth="1"/>
    <col min="15104" max="15104" width="2.42578125" style="260" customWidth="1"/>
    <col min="15105" max="15105" width="11.5703125" style="260" customWidth="1"/>
    <col min="15106" max="15106" width="2.42578125" style="260" customWidth="1"/>
    <col min="15107" max="15107" width="10.85546875" style="260" customWidth="1"/>
    <col min="15108" max="15108" width="2.42578125" style="260" customWidth="1"/>
    <col min="15109" max="15109" width="11.140625" style="260" customWidth="1"/>
    <col min="15110" max="15110" width="1.85546875" style="260" customWidth="1"/>
    <col min="15111" max="15111" width="11" style="260" customWidth="1"/>
    <col min="15112" max="15112" width="0.7109375" style="260" customWidth="1"/>
    <col min="15113" max="15113" width="1.85546875" style="260" customWidth="1"/>
    <col min="15114" max="15114" width="11.85546875" style="260" bestFit="1" customWidth="1"/>
    <col min="15115" max="15115" width="15.28515625" style="260" bestFit="1" customWidth="1"/>
    <col min="15116" max="15116" width="5" style="260" customWidth="1"/>
    <col min="15117" max="15117" width="10.42578125" style="260" bestFit="1" customWidth="1"/>
    <col min="15118" max="15118" width="5" style="260" customWidth="1"/>
    <col min="15119" max="15119" width="10.42578125" style="260" bestFit="1" customWidth="1"/>
    <col min="15120" max="15122" width="9" style="260"/>
    <col min="15123" max="15123" width="10.42578125" style="260" bestFit="1" customWidth="1"/>
    <col min="15124" max="15352" width="9" style="260"/>
    <col min="15353" max="15353" width="3.5703125" style="260" customWidth="1"/>
    <col min="15354" max="15354" width="4.85546875" style="260" customWidth="1"/>
    <col min="15355" max="15355" width="5.42578125" style="260" customWidth="1"/>
    <col min="15356" max="15356" width="31.28515625" style="260" customWidth="1"/>
    <col min="15357" max="15357" width="7.5703125" style="260" customWidth="1"/>
    <col min="15358" max="15358" width="2.42578125" style="260" customWidth="1"/>
    <col min="15359" max="15359" width="11.5703125" style="260" customWidth="1"/>
    <col min="15360" max="15360" width="2.42578125" style="260" customWidth="1"/>
    <col min="15361" max="15361" width="11.5703125" style="260" customWidth="1"/>
    <col min="15362" max="15362" width="2.42578125" style="260" customWidth="1"/>
    <col min="15363" max="15363" width="10.85546875" style="260" customWidth="1"/>
    <col min="15364" max="15364" width="2.42578125" style="260" customWidth="1"/>
    <col min="15365" max="15365" width="11.140625" style="260" customWidth="1"/>
    <col min="15366" max="15366" width="1.85546875" style="260" customWidth="1"/>
    <col min="15367" max="15367" width="11" style="260" customWidth="1"/>
    <col min="15368" max="15368" width="0.7109375" style="260" customWidth="1"/>
    <col min="15369" max="15369" width="1.85546875" style="260" customWidth="1"/>
    <col min="15370" max="15370" width="11.85546875" style="260" bestFit="1" customWidth="1"/>
    <col min="15371" max="15371" width="15.28515625" style="260" bestFit="1" customWidth="1"/>
    <col min="15372" max="15372" width="5" style="260" customWidth="1"/>
    <col min="15373" max="15373" width="10.42578125" style="260" bestFit="1" customWidth="1"/>
    <col min="15374" max="15374" width="5" style="260" customWidth="1"/>
    <col min="15375" max="15375" width="10.42578125" style="260" bestFit="1" customWidth="1"/>
    <col min="15376" max="15378" width="9" style="260"/>
    <col min="15379" max="15379" width="10.42578125" style="260" bestFit="1" customWidth="1"/>
    <col min="15380" max="15608" width="9" style="260"/>
    <col min="15609" max="15609" width="3.5703125" style="260" customWidth="1"/>
    <col min="15610" max="15610" width="4.85546875" style="260" customWidth="1"/>
    <col min="15611" max="15611" width="5.42578125" style="260" customWidth="1"/>
    <col min="15612" max="15612" width="31.28515625" style="260" customWidth="1"/>
    <col min="15613" max="15613" width="7.5703125" style="260" customWidth="1"/>
    <col min="15614" max="15614" width="2.42578125" style="260" customWidth="1"/>
    <col min="15615" max="15615" width="11.5703125" style="260" customWidth="1"/>
    <col min="15616" max="15616" width="2.42578125" style="260" customWidth="1"/>
    <col min="15617" max="15617" width="11.5703125" style="260" customWidth="1"/>
    <col min="15618" max="15618" width="2.42578125" style="260" customWidth="1"/>
    <col min="15619" max="15619" width="10.85546875" style="260" customWidth="1"/>
    <col min="15620" max="15620" width="2.42578125" style="260" customWidth="1"/>
    <col min="15621" max="15621" width="11.140625" style="260" customWidth="1"/>
    <col min="15622" max="15622" width="1.85546875" style="260" customWidth="1"/>
    <col min="15623" max="15623" width="11" style="260" customWidth="1"/>
    <col min="15624" max="15624" width="0.7109375" style="260" customWidth="1"/>
    <col min="15625" max="15625" width="1.85546875" style="260" customWidth="1"/>
    <col min="15626" max="15626" width="11.85546875" style="260" bestFit="1" customWidth="1"/>
    <col min="15627" max="15627" width="15.28515625" style="260" bestFit="1" customWidth="1"/>
    <col min="15628" max="15628" width="5" style="260" customWidth="1"/>
    <col min="15629" max="15629" width="10.42578125" style="260" bestFit="1" customWidth="1"/>
    <col min="15630" max="15630" width="5" style="260" customWidth="1"/>
    <col min="15631" max="15631" width="10.42578125" style="260" bestFit="1" customWidth="1"/>
    <col min="15632" max="15634" width="9" style="260"/>
    <col min="15635" max="15635" width="10.42578125" style="260" bestFit="1" customWidth="1"/>
    <col min="15636" max="15864" width="9" style="260"/>
    <col min="15865" max="15865" width="3.5703125" style="260" customWidth="1"/>
    <col min="15866" max="15866" width="4.85546875" style="260" customWidth="1"/>
    <col min="15867" max="15867" width="5.42578125" style="260" customWidth="1"/>
    <col min="15868" max="15868" width="31.28515625" style="260" customWidth="1"/>
    <col min="15869" max="15869" width="7.5703125" style="260" customWidth="1"/>
    <col min="15870" max="15870" width="2.42578125" style="260" customWidth="1"/>
    <col min="15871" max="15871" width="11.5703125" style="260" customWidth="1"/>
    <col min="15872" max="15872" width="2.42578125" style="260" customWidth="1"/>
    <col min="15873" max="15873" width="11.5703125" style="260" customWidth="1"/>
    <col min="15874" max="15874" width="2.42578125" style="260" customWidth="1"/>
    <col min="15875" max="15875" width="10.85546875" style="260" customWidth="1"/>
    <col min="15876" max="15876" width="2.42578125" style="260" customWidth="1"/>
    <col min="15877" max="15877" width="11.140625" style="260" customWidth="1"/>
    <col min="15878" max="15878" width="1.85546875" style="260" customWidth="1"/>
    <col min="15879" max="15879" width="11" style="260" customWidth="1"/>
    <col min="15880" max="15880" width="0.7109375" style="260" customWidth="1"/>
    <col min="15881" max="15881" width="1.85546875" style="260" customWidth="1"/>
    <col min="15882" max="15882" width="11.85546875" style="260" bestFit="1" customWidth="1"/>
    <col min="15883" max="15883" width="15.28515625" style="260" bestFit="1" customWidth="1"/>
    <col min="15884" max="15884" width="5" style="260" customWidth="1"/>
    <col min="15885" max="15885" width="10.42578125" style="260" bestFit="1" customWidth="1"/>
    <col min="15886" max="15886" width="5" style="260" customWidth="1"/>
    <col min="15887" max="15887" width="10.42578125" style="260" bestFit="1" customWidth="1"/>
    <col min="15888" max="15890" width="9" style="260"/>
    <col min="15891" max="15891" width="10.42578125" style="260" bestFit="1" customWidth="1"/>
    <col min="15892" max="16120" width="9" style="260"/>
    <col min="16121" max="16121" width="3.5703125" style="260" customWidth="1"/>
    <col min="16122" max="16122" width="4.85546875" style="260" customWidth="1"/>
    <col min="16123" max="16123" width="5.42578125" style="260" customWidth="1"/>
    <col min="16124" max="16124" width="31.28515625" style="260" customWidth="1"/>
    <col min="16125" max="16125" width="7.5703125" style="260" customWidth="1"/>
    <col min="16126" max="16126" width="2.42578125" style="260" customWidth="1"/>
    <col min="16127" max="16127" width="11.5703125" style="260" customWidth="1"/>
    <col min="16128" max="16128" width="2.42578125" style="260" customWidth="1"/>
    <col min="16129" max="16129" width="11.5703125" style="260" customWidth="1"/>
    <col min="16130" max="16130" width="2.42578125" style="260" customWidth="1"/>
    <col min="16131" max="16131" width="10.85546875" style="260" customWidth="1"/>
    <col min="16132" max="16132" width="2.42578125" style="260" customWidth="1"/>
    <col min="16133" max="16133" width="11.140625" style="260" customWidth="1"/>
    <col min="16134" max="16134" width="1.85546875" style="260" customWidth="1"/>
    <col min="16135" max="16135" width="11" style="260" customWidth="1"/>
    <col min="16136" max="16136" width="0.7109375" style="260" customWidth="1"/>
    <col min="16137" max="16137" width="1.85546875" style="260" customWidth="1"/>
    <col min="16138" max="16138" width="11.85546875" style="260" bestFit="1" customWidth="1"/>
    <col min="16139" max="16139" width="15.28515625" style="260" bestFit="1" customWidth="1"/>
    <col min="16140" max="16140" width="5" style="260" customWidth="1"/>
    <col min="16141" max="16141" width="10.42578125" style="260" bestFit="1" customWidth="1"/>
    <col min="16142" max="16142" width="5" style="260" customWidth="1"/>
    <col min="16143" max="16143" width="10.42578125" style="260" bestFit="1" customWidth="1"/>
    <col min="16144" max="16146" width="9" style="260"/>
    <col min="16147" max="16147" width="10.42578125" style="260" bestFit="1" customWidth="1"/>
    <col min="16148" max="16384" width="9" style="260"/>
  </cols>
  <sheetData>
    <row r="1" spans="1:20" s="257" customFormat="1" ht="30.75" customHeight="1" x14ac:dyDescent="0.65">
      <c r="A1" s="1454" t="s">
        <v>244</v>
      </c>
      <c r="B1" s="1454"/>
      <c r="C1" s="1454"/>
      <c r="D1" s="1454"/>
      <c r="E1" s="1454"/>
      <c r="F1" s="1454"/>
      <c r="G1" s="1454"/>
      <c r="H1" s="1454"/>
      <c r="I1" s="1454"/>
      <c r="J1" s="1454"/>
      <c r="K1" s="1454"/>
      <c r="L1" s="1454"/>
      <c r="M1" s="256"/>
    </row>
    <row r="2" spans="1:20" s="257" customFormat="1" ht="30.75" customHeight="1" x14ac:dyDescent="0.65">
      <c r="A2" s="1454" t="str">
        <f>تاريخچه!A2</f>
        <v>يادداشتهاي توضيحي صورتهاي مالي</v>
      </c>
      <c r="B2" s="1454"/>
      <c r="C2" s="1454"/>
      <c r="D2" s="1454"/>
      <c r="E2" s="1454"/>
      <c r="F2" s="1454"/>
      <c r="G2" s="1454"/>
      <c r="H2" s="1454"/>
      <c r="I2" s="1454"/>
      <c r="J2" s="1454"/>
      <c r="K2" s="1454"/>
      <c r="L2" s="1454"/>
      <c r="M2" s="256"/>
    </row>
    <row r="3" spans="1:20" s="257" customFormat="1" ht="30.75" customHeight="1" x14ac:dyDescent="0.65">
      <c r="A3" s="1454" t="str">
        <f>سودوزيان!A3</f>
        <v>سال مالی منتهی به 30 اسفند 1403</v>
      </c>
      <c r="B3" s="1454"/>
      <c r="C3" s="1454"/>
      <c r="D3" s="1454"/>
      <c r="E3" s="1454"/>
      <c r="F3" s="1454"/>
      <c r="G3" s="1454"/>
      <c r="H3" s="1454"/>
      <c r="I3" s="1454"/>
      <c r="J3" s="1454"/>
      <c r="K3" s="1454"/>
      <c r="L3" s="1454"/>
      <c r="M3" s="256"/>
    </row>
    <row r="4" spans="1:20" s="257" customFormat="1" ht="34.5" customHeight="1" x14ac:dyDescent="0.65">
      <c r="A4" s="324"/>
      <c r="B4" s="324"/>
      <c r="C4" s="324"/>
      <c r="D4" s="324"/>
      <c r="E4" s="325"/>
      <c r="F4" s="324"/>
      <c r="G4" s="324"/>
      <c r="H4" s="324"/>
      <c r="I4" s="324"/>
      <c r="J4" s="324"/>
      <c r="K4" s="324"/>
      <c r="L4" s="256"/>
      <c r="M4" s="256"/>
    </row>
    <row r="5" spans="1:20" ht="34.5" customHeight="1" x14ac:dyDescent="0.25">
      <c r="A5" s="326" t="s">
        <v>819</v>
      </c>
      <c r="B5" s="261" t="s">
        <v>301</v>
      </c>
      <c r="C5" s="261"/>
      <c r="D5" s="261"/>
      <c r="E5" s="261"/>
      <c r="F5" s="261"/>
      <c r="G5" s="261"/>
      <c r="H5" s="261"/>
      <c r="I5" s="261"/>
      <c r="J5" s="261"/>
      <c r="K5" s="261"/>
      <c r="L5" s="261"/>
      <c r="M5" s="261"/>
      <c r="N5" s="261"/>
      <c r="O5" s="261"/>
      <c r="P5" s="261"/>
      <c r="Q5" s="261"/>
      <c r="R5" s="261"/>
      <c r="S5" s="261"/>
      <c r="T5" s="261"/>
    </row>
    <row r="6" spans="1:20" ht="34.5" customHeight="1" x14ac:dyDescent="0.25">
      <c r="E6" s="329">
        <v>1403</v>
      </c>
      <c r="F6" s="267"/>
      <c r="G6" s="329">
        <v>1402</v>
      </c>
      <c r="H6" s="267"/>
      <c r="J6" s="267"/>
      <c r="K6" s="261"/>
      <c r="L6" s="267"/>
      <c r="R6" s="262"/>
      <c r="S6" s="262"/>
    </row>
    <row r="7" spans="1:20" ht="34.5" customHeight="1" x14ac:dyDescent="0.25">
      <c r="A7" s="327" t="s">
        <v>490</v>
      </c>
      <c r="E7" s="305" t="s">
        <v>591</v>
      </c>
      <c r="F7" s="263"/>
      <c r="G7" s="305" t="s">
        <v>591</v>
      </c>
      <c r="H7" s="263"/>
      <c r="J7" s="263"/>
      <c r="K7" s="263"/>
      <c r="L7" s="198"/>
      <c r="R7" s="262"/>
      <c r="S7" s="262"/>
    </row>
    <row r="8" spans="1:20" ht="34.5" customHeight="1" x14ac:dyDescent="0.25">
      <c r="B8" s="331" t="s">
        <v>302</v>
      </c>
      <c r="E8" s="305">
        <v>262268051439</v>
      </c>
      <c r="G8" s="305">
        <v>255456225470</v>
      </c>
      <c r="H8" s="273"/>
      <c r="J8" s="305"/>
      <c r="K8" s="305"/>
      <c r="L8" s="332"/>
      <c r="R8" s="262"/>
      <c r="S8" s="262"/>
    </row>
    <row r="9" spans="1:20" ht="34.5" customHeight="1" x14ac:dyDescent="0.25">
      <c r="B9" s="331" t="s">
        <v>303</v>
      </c>
      <c r="E9" s="305">
        <v>53210975697</v>
      </c>
      <c r="G9" s="305">
        <v>43626102625</v>
      </c>
      <c r="H9" s="273"/>
      <c r="J9" s="305"/>
      <c r="K9" s="305"/>
      <c r="L9" s="332"/>
      <c r="R9" s="262"/>
      <c r="S9" s="262"/>
    </row>
    <row r="10" spans="1:20" ht="34.5" customHeight="1" x14ac:dyDescent="0.25">
      <c r="B10" s="331" t="s">
        <v>304</v>
      </c>
      <c r="E10" s="305">
        <v>30901508196</v>
      </c>
      <c r="G10" s="305">
        <v>19965464078</v>
      </c>
      <c r="H10" s="273"/>
      <c r="J10" s="305"/>
      <c r="K10" s="305"/>
      <c r="L10" s="332"/>
      <c r="R10" s="262"/>
      <c r="S10" s="262"/>
    </row>
    <row r="11" spans="1:20" ht="34.5" customHeight="1" thickBot="1" x14ac:dyDescent="0.3">
      <c r="E11" s="333">
        <f>SUM(E8:E10)</f>
        <v>346380535332</v>
      </c>
      <c r="F11" s="334"/>
      <c r="G11" s="333">
        <f>SUM(G8:G10)</f>
        <v>319047792173</v>
      </c>
      <c r="H11" s="334"/>
      <c r="J11" s="334"/>
      <c r="K11" s="334"/>
      <c r="L11" s="332"/>
      <c r="P11" s="260" t="b">
        <f>E11='6-1'!I8</f>
        <v>1</v>
      </c>
      <c r="Q11" s="260" t="b">
        <f>G11='6-1'!K8</f>
        <v>1</v>
      </c>
      <c r="R11" s="262"/>
      <c r="S11" s="262"/>
    </row>
    <row r="12" spans="1:20" ht="12.75" customHeight="1" thickTop="1" x14ac:dyDescent="0.25">
      <c r="L12" s="260"/>
      <c r="R12" s="262"/>
      <c r="S12" s="262"/>
    </row>
    <row r="13" spans="1:20" ht="34.5" customHeight="1" x14ac:dyDescent="0.25">
      <c r="A13" s="327" t="s">
        <v>824</v>
      </c>
      <c r="B13" s="1460" t="s">
        <v>1196</v>
      </c>
      <c r="C13" s="1461"/>
      <c r="D13" s="1461"/>
      <c r="E13" s="1461"/>
      <c r="F13" s="1461"/>
      <c r="G13" s="1461"/>
      <c r="H13" s="1461"/>
      <c r="I13" s="1461"/>
      <c r="J13" s="1461"/>
      <c r="K13" s="1461"/>
      <c r="L13" s="1461"/>
      <c r="R13" s="262"/>
      <c r="S13" s="262"/>
    </row>
    <row r="14" spans="1:20" ht="12.75" customHeight="1" x14ac:dyDescent="0.25">
      <c r="B14" s="272"/>
      <c r="C14" s="272"/>
      <c r="D14" s="272"/>
      <c r="E14" s="272"/>
      <c r="F14" s="272"/>
      <c r="G14" s="272"/>
      <c r="H14" s="272"/>
      <c r="I14" s="272"/>
      <c r="J14" s="272"/>
      <c r="K14" s="272"/>
      <c r="L14" s="272"/>
      <c r="R14" s="262"/>
      <c r="S14" s="262"/>
    </row>
    <row r="15" spans="1:20" ht="34.5" customHeight="1" x14ac:dyDescent="0.25">
      <c r="A15" s="327" t="s">
        <v>1041</v>
      </c>
      <c r="B15" s="327" t="s">
        <v>1042</v>
      </c>
      <c r="C15" s="327"/>
      <c r="D15" s="327"/>
      <c r="E15" s="327"/>
      <c r="F15" s="327"/>
      <c r="G15" s="327"/>
      <c r="H15" s="327"/>
      <c r="I15" s="327"/>
      <c r="L15" s="260"/>
      <c r="R15" s="262"/>
      <c r="S15" s="262"/>
    </row>
    <row r="16" spans="1:20" ht="12.75" customHeight="1" x14ac:dyDescent="0.25">
      <c r="G16" s="726"/>
      <c r="L16" s="260"/>
      <c r="R16" s="262"/>
      <c r="S16" s="262"/>
    </row>
    <row r="17" spans="1:20" ht="34.5" customHeight="1" x14ac:dyDescent="0.25">
      <c r="A17" s="327" t="s">
        <v>1053</v>
      </c>
      <c r="B17" s="1461" t="s">
        <v>1052</v>
      </c>
      <c r="C17" s="1461"/>
      <c r="D17" s="1461"/>
      <c r="E17" s="1461"/>
      <c r="F17" s="1461"/>
      <c r="G17" s="1461"/>
      <c r="H17" s="1461"/>
      <c r="I17" s="1461"/>
      <c r="J17" s="1461"/>
      <c r="K17" s="1461"/>
      <c r="L17" s="1461"/>
      <c r="S17" s="262"/>
      <c r="T17" s="262"/>
    </row>
    <row r="18" spans="1:20" ht="51" customHeight="1" x14ac:dyDescent="0.25">
      <c r="A18" s="335"/>
      <c r="B18" s="1014" t="s">
        <v>1025</v>
      </c>
      <c r="C18" s="1018" t="s">
        <v>1026</v>
      </c>
      <c r="D18" s="1014" t="s">
        <v>1080</v>
      </c>
      <c r="E18" s="1014" t="s">
        <v>1081</v>
      </c>
      <c r="F18" s="978"/>
      <c r="G18" s="1014" t="s">
        <v>1027</v>
      </c>
      <c r="H18" s="978"/>
      <c r="I18" s="1073" t="s">
        <v>1108</v>
      </c>
      <c r="J18" s="978"/>
      <c r="K18" s="1073" t="s">
        <v>1212</v>
      </c>
      <c r="L18" s="978"/>
      <c r="M18" s="272"/>
      <c r="S18" s="262"/>
      <c r="T18" s="262"/>
    </row>
    <row r="19" spans="1:20" ht="27.75" customHeight="1" x14ac:dyDescent="0.25">
      <c r="A19" s="335"/>
      <c r="B19" s="1014" t="s">
        <v>358</v>
      </c>
      <c r="C19" s="1014" t="s">
        <v>1028</v>
      </c>
      <c r="D19" s="1014">
        <v>2227100000</v>
      </c>
      <c r="E19" s="1014">
        <v>742366667</v>
      </c>
      <c r="F19" s="978"/>
      <c r="G19" s="1014">
        <v>784067012</v>
      </c>
      <c r="H19" s="978"/>
      <c r="I19" s="1014">
        <v>540984437</v>
      </c>
      <c r="J19" s="978"/>
      <c r="K19" s="1014">
        <v>656013629</v>
      </c>
      <c r="L19" s="978"/>
      <c r="M19" s="272"/>
      <c r="S19" s="262"/>
      <c r="T19" s="262"/>
    </row>
    <row r="20" spans="1:20" ht="27.75" customHeight="1" x14ac:dyDescent="0.25">
      <c r="A20" s="336"/>
      <c r="B20" s="1014" t="s">
        <v>359</v>
      </c>
      <c r="C20" s="1014" t="s">
        <v>1028</v>
      </c>
      <c r="D20" s="1014">
        <v>54000000</v>
      </c>
      <c r="E20" s="1014">
        <v>18000000</v>
      </c>
      <c r="F20" s="979"/>
      <c r="G20" s="1014">
        <v>25676366</v>
      </c>
      <c r="H20" s="979"/>
      <c r="I20" s="1014">
        <v>19224894</v>
      </c>
      <c r="J20" s="979"/>
      <c r="K20" s="1014">
        <v>32222024</v>
      </c>
      <c r="L20" s="979"/>
      <c r="M20" s="272"/>
      <c r="S20" s="262"/>
      <c r="T20" s="262"/>
    </row>
    <row r="21" spans="1:20" ht="27.75" customHeight="1" x14ac:dyDescent="0.25">
      <c r="A21" s="336"/>
      <c r="B21" s="1014" t="s">
        <v>360</v>
      </c>
      <c r="C21" s="1014" t="s">
        <v>1028</v>
      </c>
      <c r="D21" s="1014">
        <v>33000000</v>
      </c>
      <c r="E21" s="1014">
        <v>11000000</v>
      </c>
      <c r="F21" s="979"/>
      <c r="G21" s="1014">
        <v>13272691</v>
      </c>
      <c r="H21" s="979"/>
      <c r="I21" s="1014">
        <v>9660374</v>
      </c>
      <c r="J21" s="979"/>
      <c r="K21" s="1014">
        <v>12580629</v>
      </c>
      <c r="L21" s="979"/>
      <c r="M21" s="272"/>
      <c r="S21" s="262"/>
      <c r="T21" s="262"/>
    </row>
    <row r="22" spans="1:20" ht="27.75" customHeight="1" x14ac:dyDescent="0.25">
      <c r="A22" s="336"/>
      <c r="B22" s="1014" t="s">
        <v>362</v>
      </c>
      <c r="C22" s="1014" t="s">
        <v>1028</v>
      </c>
      <c r="D22" s="1014">
        <v>4200000</v>
      </c>
      <c r="E22" s="1014">
        <v>1400000</v>
      </c>
      <c r="F22" s="979"/>
      <c r="G22" s="1014">
        <v>1790056</v>
      </c>
      <c r="H22" s="979"/>
      <c r="I22" s="1014">
        <v>1681099</v>
      </c>
      <c r="J22" s="979"/>
      <c r="K22" s="1014">
        <v>1597454</v>
      </c>
      <c r="L22" s="979"/>
      <c r="M22" s="272"/>
      <c r="S22" s="262"/>
      <c r="T22" s="262"/>
    </row>
    <row r="23" spans="1:20" ht="27.75" customHeight="1" x14ac:dyDescent="0.25">
      <c r="A23" s="326"/>
      <c r="B23" s="1016" t="s">
        <v>361</v>
      </c>
      <c r="C23" s="1014" t="s">
        <v>1028</v>
      </c>
      <c r="D23" s="1014">
        <v>153000000</v>
      </c>
      <c r="E23" s="1014">
        <v>51000000</v>
      </c>
      <c r="G23" s="1014">
        <v>29466523</v>
      </c>
      <c r="I23" s="1014">
        <v>4954501</v>
      </c>
      <c r="K23" s="1014">
        <v>19134600</v>
      </c>
      <c r="L23" s="260"/>
      <c r="M23" s="272"/>
      <c r="S23" s="262"/>
      <c r="T23" s="262"/>
    </row>
    <row r="24" spans="1:20" ht="27.75" hidden="1" customHeight="1" x14ac:dyDescent="0.25">
      <c r="A24" s="326"/>
      <c r="B24" s="1016" t="s">
        <v>37</v>
      </c>
      <c r="C24" s="1016" t="s">
        <v>1028</v>
      </c>
      <c r="D24" s="1016">
        <f>SUM(D19:D23)</f>
        <v>2471300000</v>
      </c>
      <c r="E24" s="1016">
        <f>SUM(E19:E23)</f>
        <v>823766667</v>
      </c>
      <c r="G24" s="1016">
        <f>SUM(G19:G23)</f>
        <v>854272648</v>
      </c>
      <c r="I24" s="1016">
        <f>SUM(I19:I23)</f>
        <v>576505305</v>
      </c>
      <c r="L24" s="260"/>
      <c r="M24" s="272"/>
      <c r="P24" s="726"/>
      <c r="S24" s="262"/>
      <c r="T24" s="262"/>
    </row>
    <row r="25" spans="1:20" ht="12.75" customHeight="1" x14ac:dyDescent="0.25">
      <c r="A25" s="326"/>
      <c r="B25" s="304"/>
      <c r="C25" s="304"/>
      <c r="D25" s="304"/>
      <c r="E25" s="304"/>
      <c r="G25" s="304"/>
      <c r="I25" s="304"/>
      <c r="L25" s="260"/>
      <c r="M25" s="272"/>
      <c r="S25" s="262"/>
      <c r="T25" s="262"/>
    </row>
    <row r="26" spans="1:20" ht="29.25" customHeight="1" x14ac:dyDescent="0.25">
      <c r="A26" s="326" t="s">
        <v>70</v>
      </c>
      <c r="B26" s="337" t="s">
        <v>85</v>
      </c>
    </row>
    <row r="27" spans="1:20" s="273" customFormat="1" ht="22.5" customHeight="1" x14ac:dyDescent="0.25">
      <c r="A27" s="338"/>
      <c r="B27" s="264"/>
      <c r="C27" s="339" t="s">
        <v>438</v>
      </c>
      <c r="E27" s="329">
        <v>1403</v>
      </c>
      <c r="F27" s="267"/>
      <c r="G27" s="330">
        <v>1402</v>
      </c>
      <c r="K27" s="265"/>
      <c r="L27" s="340"/>
    </row>
    <row r="28" spans="1:20" s="273" customFormat="1" ht="27.75" customHeight="1" x14ac:dyDescent="0.25">
      <c r="A28" s="341"/>
      <c r="E28" s="273" t="s">
        <v>591</v>
      </c>
      <c r="G28" s="273" t="s">
        <v>591</v>
      </c>
      <c r="L28" s="340"/>
    </row>
    <row r="29" spans="1:20" ht="29.25" hidden="1" customHeight="1" x14ac:dyDescent="0.25">
      <c r="B29" s="342" t="s">
        <v>86</v>
      </c>
      <c r="C29" s="342"/>
      <c r="E29" s="273"/>
      <c r="G29" s="273"/>
    </row>
    <row r="30" spans="1:20" ht="29.25" customHeight="1" x14ac:dyDescent="0.25">
      <c r="B30" s="342" t="s">
        <v>87</v>
      </c>
      <c r="C30" s="1137" t="s">
        <v>911</v>
      </c>
      <c r="E30" s="305">
        <v>318471463040</v>
      </c>
      <c r="G30" s="305">
        <v>223170270265.64334</v>
      </c>
      <c r="L30" s="260"/>
      <c r="N30" s="262"/>
    </row>
    <row r="31" spans="1:20" ht="29.25" customHeight="1" x14ac:dyDescent="0.25">
      <c r="B31" s="342" t="s">
        <v>270</v>
      </c>
      <c r="C31" s="342"/>
      <c r="E31" s="305">
        <v>56975722143</v>
      </c>
      <c r="G31" s="305">
        <v>42274598904.542816</v>
      </c>
      <c r="L31" s="260"/>
      <c r="N31" s="262"/>
    </row>
    <row r="32" spans="1:20" ht="29.25" customHeight="1" x14ac:dyDescent="0.25">
      <c r="B32" s="342" t="s">
        <v>272</v>
      </c>
      <c r="C32" s="342"/>
      <c r="E32" s="305">
        <v>33559040495</v>
      </c>
      <c r="G32" s="305">
        <v>22197687808.877155</v>
      </c>
      <c r="L32" s="260"/>
      <c r="N32" s="262"/>
    </row>
    <row r="33" spans="2:24" ht="29.25" customHeight="1" x14ac:dyDescent="0.25">
      <c r="B33" s="342" t="s">
        <v>688</v>
      </c>
      <c r="C33" s="1137" t="s">
        <v>912</v>
      </c>
      <c r="E33" s="305">
        <v>25319537483</v>
      </c>
      <c r="G33" s="305">
        <v>48884802288.717354</v>
      </c>
      <c r="L33" s="260"/>
      <c r="N33" s="262"/>
    </row>
    <row r="34" spans="2:24" ht="29.25" customHeight="1" x14ac:dyDescent="0.25">
      <c r="B34" s="342" t="s">
        <v>277</v>
      </c>
      <c r="C34" s="1137" t="s">
        <v>913</v>
      </c>
      <c r="E34" s="305">
        <v>22012510090</v>
      </c>
      <c r="G34" s="305">
        <v>10478427922.197582</v>
      </c>
      <c r="L34" s="260"/>
      <c r="N34" s="262"/>
    </row>
    <row r="35" spans="2:24" ht="29.25" customHeight="1" x14ac:dyDescent="0.25">
      <c r="B35" s="342" t="s">
        <v>69</v>
      </c>
      <c r="C35" s="1137" t="s">
        <v>914</v>
      </c>
      <c r="E35" s="305">
        <v>21592487958</v>
      </c>
      <c r="G35" s="305">
        <v>24029268766.094795</v>
      </c>
      <c r="L35" s="260"/>
      <c r="N35" s="262"/>
    </row>
    <row r="36" spans="2:24" ht="29.25" customHeight="1" x14ac:dyDescent="0.25">
      <c r="B36" s="342" t="s">
        <v>899</v>
      </c>
      <c r="C36" s="341"/>
      <c r="E36" s="305">
        <v>18802544044</v>
      </c>
      <c r="G36" s="305">
        <v>6680408137.9918365</v>
      </c>
      <c r="L36" s="260"/>
      <c r="N36" s="262"/>
    </row>
    <row r="37" spans="2:24" ht="29.25" customHeight="1" x14ac:dyDescent="0.25">
      <c r="B37" s="342" t="s">
        <v>902</v>
      </c>
      <c r="C37" s="1137" t="s">
        <v>1185</v>
      </c>
      <c r="E37" s="305">
        <v>12084808942</v>
      </c>
      <c r="G37" s="305">
        <v>32262843351.001526</v>
      </c>
      <c r="L37" s="260"/>
      <c r="N37" s="262"/>
    </row>
    <row r="38" spans="2:24" ht="29.25" customHeight="1" x14ac:dyDescent="0.25">
      <c r="B38" s="342" t="s">
        <v>276</v>
      </c>
      <c r="C38" s="342"/>
      <c r="E38" s="305">
        <v>9053816723</v>
      </c>
      <c r="G38" s="305">
        <v>6970562471.9052286</v>
      </c>
      <c r="L38" s="260"/>
      <c r="N38" s="262"/>
      <c r="Q38" s="343"/>
      <c r="R38" s="343"/>
      <c r="S38" s="343"/>
      <c r="T38" s="344"/>
      <c r="U38" s="344"/>
      <c r="V38" s="195"/>
      <c r="W38" s="345"/>
      <c r="X38" s="195"/>
    </row>
    <row r="39" spans="2:24" ht="29.25" customHeight="1" x14ac:dyDescent="0.25">
      <c r="B39" s="342" t="s">
        <v>273</v>
      </c>
      <c r="C39" s="1137" t="s">
        <v>1213</v>
      </c>
      <c r="E39" s="305">
        <v>8285862648</v>
      </c>
      <c r="G39" s="305">
        <v>19495884840.891834</v>
      </c>
      <c r="L39" s="260"/>
      <c r="N39" s="262"/>
    </row>
    <row r="40" spans="2:24" ht="29.25" customHeight="1" x14ac:dyDescent="0.25">
      <c r="B40" s="342" t="s">
        <v>687</v>
      </c>
      <c r="C40" s="1137" t="s">
        <v>1214</v>
      </c>
      <c r="E40" s="305">
        <v>3368740126</v>
      </c>
      <c r="G40" s="305">
        <v>11510946574</v>
      </c>
      <c r="L40" s="260"/>
      <c r="N40" s="262"/>
    </row>
    <row r="41" spans="2:24" ht="29.25" customHeight="1" x14ac:dyDescent="0.25">
      <c r="B41" s="342" t="s">
        <v>271</v>
      </c>
      <c r="C41" s="342"/>
      <c r="E41" s="305">
        <v>2643343000</v>
      </c>
      <c r="G41" s="305">
        <v>4705006558.4235363</v>
      </c>
      <c r="L41" s="260"/>
      <c r="N41" s="262"/>
    </row>
    <row r="42" spans="2:24" ht="29.25" customHeight="1" x14ac:dyDescent="0.25">
      <c r="B42" s="342" t="s">
        <v>269</v>
      </c>
      <c r="C42" s="342"/>
      <c r="E42" s="305">
        <v>2552387436</v>
      </c>
      <c r="G42" s="305">
        <v>1402146105.552196</v>
      </c>
      <c r="L42" s="260"/>
      <c r="N42" s="262"/>
    </row>
    <row r="43" spans="2:24" ht="29.25" customHeight="1" x14ac:dyDescent="0.25">
      <c r="B43" s="342" t="s">
        <v>275</v>
      </c>
      <c r="C43" s="342"/>
      <c r="E43" s="305">
        <v>2478206225</v>
      </c>
      <c r="G43" s="305">
        <v>244622152.81411991</v>
      </c>
      <c r="L43" s="260"/>
      <c r="N43" s="262"/>
    </row>
    <row r="44" spans="2:24" ht="29.25" customHeight="1" x14ac:dyDescent="0.25">
      <c r="B44" s="342" t="s">
        <v>802</v>
      </c>
      <c r="C44" s="341"/>
      <c r="E44" s="305">
        <v>1915300521</v>
      </c>
      <c r="G44" s="305">
        <v>1795466589.5307097</v>
      </c>
      <c r="L44" s="260"/>
      <c r="N44" s="262"/>
    </row>
    <row r="45" spans="2:24" ht="29.25" customHeight="1" x14ac:dyDescent="0.25">
      <c r="B45" s="342" t="s">
        <v>801</v>
      </c>
      <c r="C45" s="342"/>
      <c r="E45" s="305">
        <v>1887455845</v>
      </c>
      <c r="G45" s="305">
        <v>3650422147.4795933</v>
      </c>
      <c r="L45" s="260"/>
      <c r="N45" s="262"/>
    </row>
    <row r="46" spans="2:24" ht="29.25" customHeight="1" x14ac:dyDescent="0.25">
      <c r="B46" s="342" t="s">
        <v>278</v>
      </c>
      <c r="C46" s="342"/>
      <c r="E46" s="305">
        <v>1682184611</v>
      </c>
      <c r="G46" s="305">
        <v>835097760.616081</v>
      </c>
      <c r="L46" s="260"/>
      <c r="N46" s="262"/>
    </row>
    <row r="47" spans="2:24" ht="29.25" customHeight="1" x14ac:dyDescent="0.25">
      <c r="B47" s="342" t="s">
        <v>280</v>
      </c>
      <c r="C47" s="342"/>
      <c r="E47" s="305">
        <v>1473136953</v>
      </c>
      <c r="G47" s="305">
        <v>7450630756.0068254</v>
      </c>
      <c r="L47" s="260"/>
      <c r="N47" s="262"/>
    </row>
    <row r="48" spans="2:24" ht="29.25" customHeight="1" x14ac:dyDescent="0.25">
      <c r="B48" s="342" t="s">
        <v>274</v>
      </c>
      <c r="C48" s="342"/>
      <c r="E48" s="305">
        <v>1343294624</v>
      </c>
      <c r="G48" s="305">
        <v>3403760953.3782086</v>
      </c>
      <c r="L48" s="260"/>
      <c r="N48" s="262"/>
    </row>
    <row r="49" spans="1:21" ht="34.5" hidden="1" customHeight="1" x14ac:dyDescent="0.25">
      <c r="B49" s="342" t="s">
        <v>900</v>
      </c>
      <c r="C49" s="342"/>
      <c r="D49" s="342"/>
      <c r="E49" s="305"/>
      <c r="G49" s="305"/>
      <c r="L49" s="260"/>
      <c r="N49" s="262"/>
    </row>
    <row r="50" spans="1:21" ht="34.5" hidden="1" customHeight="1" x14ac:dyDescent="0.25">
      <c r="B50" s="342" t="s">
        <v>901</v>
      </c>
      <c r="C50" s="342"/>
      <c r="D50" s="342"/>
      <c r="E50" s="305"/>
      <c r="G50" s="305"/>
      <c r="L50" s="260"/>
      <c r="N50" s="262"/>
    </row>
    <row r="51" spans="1:21" ht="34.5" hidden="1" customHeight="1" x14ac:dyDescent="0.25">
      <c r="B51" s="342" t="s">
        <v>279</v>
      </c>
      <c r="C51" s="342"/>
      <c r="D51" s="342"/>
      <c r="E51" s="305"/>
      <c r="G51" s="305"/>
      <c r="L51" s="260"/>
      <c r="N51" s="262"/>
    </row>
    <row r="52" spans="1:21" ht="29.25" customHeight="1" x14ac:dyDescent="0.25">
      <c r="B52" s="342" t="s">
        <v>153</v>
      </c>
      <c r="C52" s="342"/>
      <c r="D52" s="342"/>
      <c r="E52" s="1140">
        <f>20109320482+100162000</f>
        <v>20209482482</v>
      </c>
      <c r="G52" s="1140">
        <f>8911592017</f>
        <v>8911592017</v>
      </c>
      <c r="L52" s="260"/>
      <c r="N52" s="262"/>
    </row>
    <row r="53" spans="1:21" ht="29.25" customHeight="1" thickBot="1" x14ac:dyDescent="0.3">
      <c r="E53" s="952">
        <f>SUM(E30:E52)</f>
        <v>565711325389</v>
      </c>
      <c r="F53" s="388"/>
      <c r="G53" s="952">
        <f>SUM(G30:G52)</f>
        <v>480354446372.66473</v>
      </c>
      <c r="O53" s="260">
        <f>E53+سودوزيان!F12</f>
        <v>0</v>
      </c>
      <c r="P53" s="260">
        <f>G53+سودوزيان!H12</f>
        <v>0</v>
      </c>
      <c r="Q53" s="260">
        <v>10157515249</v>
      </c>
    </row>
    <row r="54" spans="1:21" ht="15" customHeight="1" thickTop="1" x14ac:dyDescent="0.25">
      <c r="A54" s="260"/>
      <c r="E54" s="332"/>
      <c r="G54" s="332"/>
    </row>
    <row r="55" spans="1:21" ht="21.75" customHeight="1" x14ac:dyDescent="0.25">
      <c r="A55" s="1017" t="s">
        <v>1054</v>
      </c>
      <c r="B55" s="1456" t="s">
        <v>1215</v>
      </c>
      <c r="C55" s="1457"/>
      <c r="D55" s="1457"/>
      <c r="E55" s="1457"/>
      <c r="F55" s="1457"/>
      <c r="G55" s="1457"/>
      <c r="H55" s="1457"/>
      <c r="I55" s="1457"/>
    </row>
    <row r="56" spans="1:21" ht="21.75" customHeight="1" x14ac:dyDescent="0.25">
      <c r="A56" s="1138" t="s">
        <v>1055</v>
      </c>
      <c r="B56" s="1457" t="s">
        <v>1000</v>
      </c>
      <c r="C56" s="1457"/>
      <c r="D56" s="1457"/>
      <c r="E56" s="1457"/>
      <c r="F56" s="1457"/>
      <c r="G56" s="1457"/>
      <c r="H56" s="1457"/>
      <c r="I56" s="1457"/>
    </row>
    <row r="57" spans="1:21" ht="21.75" customHeight="1" x14ac:dyDescent="0.25">
      <c r="A57" s="1017" t="s">
        <v>1056</v>
      </c>
      <c r="B57" s="1180" t="s">
        <v>1218</v>
      </c>
      <c r="C57" s="1179"/>
      <c r="D57" s="1179"/>
      <c r="E57" s="1179"/>
      <c r="F57" s="1179"/>
      <c r="G57" s="1179"/>
      <c r="H57" s="1179"/>
      <c r="I57" s="1179"/>
    </row>
    <row r="58" spans="1:21" ht="21.75" customHeight="1" x14ac:dyDescent="0.25">
      <c r="A58" s="1138" t="s">
        <v>1057</v>
      </c>
      <c r="B58" s="1456" t="s">
        <v>1219</v>
      </c>
      <c r="C58" s="1457"/>
      <c r="D58" s="1457"/>
      <c r="E58" s="1457"/>
      <c r="F58" s="1457"/>
      <c r="G58" s="1457"/>
      <c r="H58" s="1457"/>
      <c r="I58" s="1457"/>
    </row>
    <row r="59" spans="1:21" ht="21.75" customHeight="1" x14ac:dyDescent="0.25">
      <c r="A59" s="1138" t="s">
        <v>1184</v>
      </c>
      <c r="B59" s="1458" t="s">
        <v>1246</v>
      </c>
      <c r="C59" s="1459"/>
      <c r="D59" s="1459"/>
      <c r="E59" s="1459"/>
      <c r="F59" s="1459"/>
      <c r="G59" s="1459"/>
      <c r="H59" s="1459"/>
      <c r="I59" s="1459"/>
      <c r="L59" s="260"/>
      <c r="T59" s="262"/>
      <c r="U59" s="262"/>
    </row>
    <row r="60" spans="1:21" ht="21.75" customHeight="1" x14ac:dyDescent="0.25">
      <c r="A60" s="1138" t="s">
        <v>1216</v>
      </c>
      <c r="B60" s="1456" t="s">
        <v>1220</v>
      </c>
      <c r="C60" s="1457"/>
      <c r="D60" s="1457"/>
      <c r="E60" s="1457"/>
      <c r="F60" s="1457"/>
      <c r="G60" s="1457"/>
      <c r="H60" s="1457"/>
      <c r="I60" s="1457"/>
      <c r="L60" s="260"/>
      <c r="T60" s="262"/>
      <c r="U60" s="262"/>
    </row>
    <row r="61" spans="1:21" ht="21.75" customHeight="1" x14ac:dyDescent="0.25">
      <c r="A61" s="1138" t="s">
        <v>1217</v>
      </c>
      <c r="B61" s="1462" t="s">
        <v>1247</v>
      </c>
      <c r="C61" s="1463"/>
      <c r="D61" s="1463"/>
      <c r="E61" s="1463"/>
      <c r="F61" s="1463"/>
      <c r="G61" s="1463"/>
      <c r="H61" s="1463"/>
      <c r="I61" s="1463"/>
      <c r="L61" s="260"/>
      <c r="T61" s="262"/>
      <c r="U61" s="262"/>
    </row>
    <row r="62" spans="1:21" ht="34.5" customHeight="1" x14ac:dyDescent="0.25">
      <c r="A62" s="1455" t="s">
        <v>418</v>
      </c>
      <c r="B62" s="1455"/>
      <c r="C62" s="1455"/>
      <c r="D62" s="1455"/>
      <c r="E62" s="1455"/>
      <c r="F62" s="1455"/>
      <c r="G62" s="1455"/>
      <c r="H62" s="1455"/>
      <c r="I62" s="1455"/>
      <c r="J62" s="1455"/>
      <c r="K62" s="1455"/>
      <c r="L62" s="1455"/>
    </row>
  </sheetData>
  <sortState xmlns:xlrd2="http://schemas.microsoft.com/office/spreadsheetml/2017/richdata2" ref="B40:G52">
    <sortCondition descending="1" ref="G40:G52"/>
    <sortCondition descending="1" ref="E40:E52"/>
  </sortState>
  <customSheetViews>
    <customSheetView guid="{39716EAB-185B-4ADF-90CF-1B1041867F58}" scale="55" showPageBreaks="1" printArea="1" hiddenColumns="1" view="pageBreakPreview">
      <selection activeCell="F46" sqref="F46"/>
      <colBreaks count="1" manualBreakCount="1">
        <brk id="11" max="49" man="1"/>
      </colBreaks>
      <pageMargins left="0.39370078740157499" right="0.78740157480314998" top="0.39370078740157499" bottom="0.39370078740157499" header="0.31496062992126" footer="0.31496062992126"/>
      <pageSetup paperSize="9" scale="44" orientation="portrait" r:id="rId1"/>
    </customSheetView>
    <customSheetView guid="{5CB8382F-C212-4512-9396-17792C62978E}" scale="55" showPageBreaks="1" printArea="1" hiddenColumns="1" view="pageBreakPreview" topLeftCell="A31">
      <selection activeCell="P40" sqref="P40:W40"/>
      <colBreaks count="1" manualBreakCount="1">
        <brk id="11" max="49" man="1"/>
      </colBreaks>
      <pageMargins left="0.39370078740157499" right="0.78740157480314998" top="0.39370078740157499" bottom="0.39370078740157499" header="0.31496062992126" footer="0.31496062992126"/>
      <pageSetup paperSize="9" scale="44" orientation="portrait" r:id="rId2"/>
    </customSheetView>
    <customSheetView guid="{184BCED3-EADB-44CF-BFDA-DA8D3E7206C0}" scale="55" showPageBreaks="1" printArea="1" hiddenColumns="1" view="pageBreakPreview" topLeftCell="A29">
      <selection activeCell="F45" sqref="F45"/>
      <colBreaks count="1" manualBreakCount="1">
        <brk id="11" max="49" man="1"/>
      </colBreaks>
      <pageMargins left="0.39370078740157499" right="0.78740157480314998" top="0.39370078740157499" bottom="0.39370078740157499" header="0.31496062992126" footer="0.31496062992126"/>
      <pageSetup paperSize="9" scale="44" orientation="portrait" r:id="rId3"/>
    </customSheetView>
  </customSheetViews>
  <mergeCells count="12">
    <mergeCell ref="A1:L1"/>
    <mergeCell ref="A2:L2"/>
    <mergeCell ref="A3:L3"/>
    <mergeCell ref="A62:L62"/>
    <mergeCell ref="B55:I55"/>
    <mergeCell ref="B58:I58"/>
    <mergeCell ref="B59:I59"/>
    <mergeCell ref="B60:I60"/>
    <mergeCell ref="B56:I56"/>
    <mergeCell ref="B13:L13"/>
    <mergeCell ref="B17:L17"/>
    <mergeCell ref="B61:I61"/>
  </mergeCells>
  <conditionalFormatting sqref="E7:E11 E30:E52 G30:G54">
    <cfRule type="cellIs" dxfId="101" priority="4" stopIfTrue="1" operator="lessThan">
      <formula>0</formula>
    </cfRule>
  </conditionalFormatting>
  <conditionalFormatting sqref="G7:G11">
    <cfRule type="cellIs" dxfId="100" priority="1" stopIfTrue="1" operator="lessThan">
      <formula>0</formula>
    </cfRule>
  </conditionalFormatting>
  <conditionalFormatting sqref="L7 J8:L10">
    <cfRule type="cellIs" dxfId="99" priority="16" stopIfTrue="1" operator="lessThan">
      <formula>0</formula>
    </cfRule>
  </conditionalFormatting>
  <conditionalFormatting sqref="L11">
    <cfRule type="cellIs" dxfId="98" priority="11" stopIfTrue="1" operator="lessThan">
      <formula>0</formula>
    </cfRule>
  </conditionalFormatting>
  <printOptions horizontalCentered="1"/>
  <pageMargins left="0.39370078740157499" right="0.39370078740157499" top="0.39370078740157499" bottom="0.39370078740157499" header="0.31496062992126" footer="0.31496062992126"/>
  <pageSetup paperSize="9" scale="50" orientation="portrait" r:id="rId4"/>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sheetPr>
  <dimension ref="A1:AI24"/>
  <sheetViews>
    <sheetView rightToLeft="1" view="pageBreakPreview" topLeftCell="A13" zoomScale="40" zoomScaleNormal="70" zoomScaleSheetLayoutView="40" workbookViewId="0">
      <selection activeCell="B8" sqref="B8:C8"/>
    </sheetView>
  </sheetViews>
  <sheetFormatPr defaultRowHeight="30" x14ac:dyDescent="0.25"/>
  <cols>
    <col min="1" max="1" width="4.85546875" style="76" bestFit="1" customWidth="1"/>
    <col min="2" max="2" width="6.7109375" style="76" bestFit="1" customWidth="1"/>
    <col min="3" max="3" width="27.5703125" style="105" bestFit="1" customWidth="1"/>
    <col min="4" max="4" width="0.7109375" style="98" customWidth="1"/>
    <col min="5" max="5" width="28.42578125" style="92" bestFit="1" customWidth="1"/>
    <col min="6" max="6" width="4" style="99" bestFit="1" customWidth="1"/>
    <col min="7" max="7" width="30.42578125" style="92" bestFit="1" customWidth="1"/>
    <col min="8" max="8" width="4" style="99" bestFit="1" customWidth="1"/>
    <col min="9" max="9" width="32.42578125" style="92" bestFit="1" customWidth="1"/>
    <col min="10" max="10" width="4" style="99" bestFit="1" customWidth="1"/>
    <col min="11" max="11" width="32.42578125" style="92" bestFit="1" customWidth="1"/>
    <col min="12" max="12" width="4" style="99" bestFit="1" customWidth="1"/>
    <col min="13" max="13" width="41.42578125" style="92" bestFit="1" customWidth="1"/>
    <col min="14" max="14" width="4" style="99" bestFit="1" customWidth="1"/>
    <col min="15" max="15" width="31.42578125" style="92" bestFit="1" customWidth="1"/>
    <col min="16" max="16" width="4" style="99" bestFit="1" customWidth="1"/>
    <col min="17" max="17" width="33.28515625" style="92" bestFit="1" customWidth="1"/>
    <col min="18" max="18" width="4" style="99" bestFit="1" customWidth="1"/>
    <col min="19" max="19" width="32.85546875" style="92" bestFit="1" customWidth="1"/>
    <col min="20" max="20" width="4" style="99" bestFit="1" customWidth="1"/>
    <col min="21" max="21" width="36" style="99" bestFit="1" customWidth="1"/>
    <col min="22" max="22" width="4" style="99" bestFit="1" customWidth="1"/>
    <col min="23" max="23" width="42.42578125" style="92" customWidth="1"/>
    <col min="24" max="24" width="4" style="99" bestFit="1" customWidth="1"/>
    <col min="25" max="25" width="38.5703125" style="92" customWidth="1"/>
    <col min="26" max="26" width="4" style="99" bestFit="1" customWidth="1"/>
    <col min="27" max="27" width="36.28515625" style="99" customWidth="1"/>
    <col min="28" max="28" width="4" style="99" bestFit="1" customWidth="1"/>
    <col min="29" max="29" width="36.42578125" style="99" bestFit="1" customWidth="1"/>
    <col min="30" max="30" width="0.7109375" style="99" customWidth="1"/>
    <col min="31" max="31" width="1.85546875" style="98" customWidth="1"/>
    <col min="32" max="32" width="24.85546875" style="100" customWidth="1"/>
    <col min="33" max="33" width="15.28515625" style="80" bestFit="1" customWidth="1"/>
    <col min="34" max="34" width="9.140625" style="76" bestFit="1" customWidth="1"/>
    <col min="35" max="35" width="10.42578125" style="76" bestFit="1" customWidth="1"/>
    <col min="36" max="36" width="5" style="76" customWidth="1"/>
    <col min="37" max="37" width="10.42578125" style="76" bestFit="1" customWidth="1"/>
    <col min="38" max="40" width="9" style="76"/>
    <col min="41" max="41" width="10.42578125" style="76" bestFit="1" customWidth="1"/>
    <col min="42" max="270" width="9" style="76"/>
    <col min="271" max="271" width="3.5703125" style="76" customWidth="1"/>
    <col min="272" max="272" width="4.85546875" style="76" customWidth="1"/>
    <col min="273" max="273" width="5.42578125" style="76" customWidth="1"/>
    <col min="274" max="274" width="31.28515625" style="76" customWidth="1"/>
    <col min="275" max="275" width="7.5703125" style="76" customWidth="1"/>
    <col min="276" max="276" width="2.42578125" style="76" customWidth="1"/>
    <col min="277" max="277" width="11.5703125" style="76" customWidth="1"/>
    <col min="278" max="278" width="2.42578125" style="76" customWidth="1"/>
    <col min="279" max="279" width="11.5703125" style="76" customWidth="1"/>
    <col min="280" max="280" width="2.42578125" style="76" customWidth="1"/>
    <col min="281" max="281" width="10.85546875" style="76" customWidth="1"/>
    <col min="282" max="282" width="2.42578125" style="76" customWidth="1"/>
    <col min="283" max="283" width="11.140625" style="76" customWidth="1"/>
    <col min="284" max="284" width="1.85546875" style="76" customWidth="1"/>
    <col min="285" max="285" width="11" style="76" customWidth="1"/>
    <col min="286" max="286" width="0.7109375" style="76" customWidth="1"/>
    <col min="287" max="287" width="1.85546875" style="76" customWidth="1"/>
    <col min="288" max="288" width="11.85546875" style="76" bestFit="1" customWidth="1"/>
    <col min="289" max="289" width="15.28515625" style="76" bestFit="1" customWidth="1"/>
    <col min="290" max="290" width="5" style="76" customWidth="1"/>
    <col min="291" max="291" width="10.42578125" style="76" bestFit="1" customWidth="1"/>
    <col min="292" max="292" width="5" style="76" customWidth="1"/>
    <col min="293" max="293" width="10.42578125" style="76" bestFit="1" customWidth="1"/>
    <col min="294" max="296" width="9" style="76"/>
    <col min="297" max="297" width="10.42578125" style="76" bestFit="1" customWidth="1"/>
    <col min="298" max="526" width="9" style="76"/>
    <col min="527" max="527" width="3.5703125" style="76" customWidth="1"/>
    <col min="528" max="528" width="4.85546875" style="76" customWidth="1"/>
    <col min="529" max="529" width="5.42578125" style="76" customWidth="1"/>
    <col min="530" max="530" width="31.28515625" style="76" customWidth="1"/>
    <col min="531" max="531" width="7.5703125" style="76" customWidth="1"/>
    <col min="532" max="532" width="2.42578125" style="76" customWidth="1"/>
    <col min="533" max="533" width="11.5703125" style="76" customWidth="1"/>
    <col min="534" max="534" width="2.42578125" style="76" customWidth="1"/>
    <col min="535" max="535" width="11.5703125" style="76" customWidth="1"/>
    <col min="536" max="536" width="2.42578125" style="76" customWidth="1"/>
    <col min="537" max="537" width="10.85546875" style="76" customWidth="1"/>
    <col min="538" max="538" width="2.42578125" style="76" customWidth="1"/>
    <col min="539" max="539" width="11.140625" style="76" customWidth="1"/>
    <col min="540" max="540" width="1.85546875" style="76" customWidth="1"/>
    <col min="541" max="541" width="11" style="76" customWidth="1"/>
    <col min="542" max="542" width="0.7109375" style="76" customWidth="1"/>
    <col min="543" max="543" width="1.85546875" style="76" customWidth="1"/>
    <col min="544" max="544" width="11.85546875" style="76" bestFit="1" customWidth="1"/>
    <col min="545" max="545" width="15.28515625" style="76" bestFit="1" customWidth="1"/>
    <col min="546" max="546" width="5" style="76" customWidth="1"/>
    <col min="547" max="547" width="10.42578125" style="76" bestFit="1" customWidth="1"/>
    <col min="548" max="548" width="5" style="76" customWidth="1"/>
    <col min="549" max="549" width="10.42578125" style="76" bestFit="1" customWidth="1"/>
    <col min="550" max="552" width="9" style="76"/>
    <col min="553" max="553" width="10.42578125" style="76" bestFit="1" customWidth="1"/>
    <col min="554" max="782" width="9" style="76"/>
    <col min="783" max="783" width="3.5703125" style="76" customWidth="1"/>
    <col min="784" max="784" width="4.85546875" style="76" customWidth="1"/>
    <col min="785" max="785" width="5.42578125" style="76" customWidth="1"/>
    <col min="786" max="786" width="31.28515625" style="76" customWidth="1"/>
    <col min="787" max="787" width="7.5703125" style="76" customWidth="1"/>
    <col min="788" max="788" width="2.42578125" style="76" customWidth="1"/>
    <col min="789" max="789" width="11.5703125" style="76" customWidth="1"/>
    <col min="790" max="790" width="2.42578125" style="76" customWidth="1"/>
    <col min="791" max="791" width="11.5703125" style="76" customWidth="1"/>
    <col min="792" max="792" width="2.42578125" style="76" customWidth="1"/>
    <col min="793" max="793" width="10.85546875" style="76" customWidth="1"/>
    <col min="794" max="794" width="2.42578125" style="76" customWidth="1"/>
    <col min="795" max="795" width="11.140625" style="76" customWidth="1"/>
    <col min="796" max="796" width="1.85546875" style="76" customWidth="1"/>
    <col min="797" max="797" width="11" style="76" customWidth="1"/>
    <col min="798" max="798" width="0.7109375" style="76" customWidth="1"/>
    <col min="799" max="799" width="1.85546875" style="76" customWidth="1"/>
    <col min="800" max="800" width="11.85546875" style="76" bestFit="1" customWidth="1"/>
    <col min="801" max="801" width="15.28515625" style="76" bestFit="1" customWidth="1"/>
    <col min="802" max="802" width="5" style="76" customWidth="1"/>
    <col min="803" max="803" width="10.42578125" style="76" bestFit="1" customWidth="1"/>
    <col min="804" max="804" width="5" style="76" customWidth="1"/>
    <col min="805" max="805" width="10.42578125" style="76" bestFit="1" customWidth="1"/>
    <col min="806" max="808" width="9" style="76"/>
    <col min="809" max="809" width="10.42578125" style="76" bestFit="1" customWidth="1"/>
    <col min="810" max="1038" width="9" style="76"/>
    <col min="1039" max="1039" width="3.5703125" style="76" customWidth="1"/>
    <col min="1040" max="1040" width="4.85546875" style="76" customWidth="1"/>
    <col min="1041" max="1041" width="5.42578125" style="76" customWidth="1"/>
    <col min="1042" max="1042" width="31.28515625" style="76" customWidth="1"/>
    <col min="1043" max="1043" width="7.5703125" style="76" customWidth="1"/>
    <col min="1044" max="1044" width="2.42578125" style="76" customWidth="1"/>
    <col min="1045" max="1045" width="11.5703125" style="76" customWidth="1"/>
    <col min="1046" max="1046" width="2.42578125" style="76" customWidth="1"/>
    <col min="1047" max="1047" width="11.5703125" style="76" customWidth="1"/>
    <col min="1048" max="1048" width="2.42578125" style="76" customWidth="1"/>
    <col min="1049" max="1049" width="10.85546875" style="76" customWidth="1"/>
    <col min="1050" max="1050" width="2.42578125" style="76" customWidth="1"/>
    <col min="1051" max="1051" width="11.140625" style="76" customWidth="1"/>
    <col min="1052" max="1052" width="1.85546875" style="76" customWidth="1"/>
    <col min="1053" max="1053" width="11" style="76" customWidth="1"/>
    <col min="1054" max="1054" width="0.7109375" style="76" customWidth="1"/>
    <col min="1055" max="1055" width="1.85546875" style="76" customWidth="1"/>
    <col min="1056" max="1056" width="11.85546875" style="76" bestFit="1" customWidth="1"/>
    <col min="1057" max="1057" width="15.28515625" style="76" bestFit="1" customWidth="1"/>
    <col min="1058" max="1058" width="5" style="76" customWidth="1"/>
    <col min="1059" max="1059" width="10.42578125" style="76" bestFit="1" customWidth="1"/>
    <col min="1060" max="1060" width="5" style="76" customWidth="1"/>
    <col min="1061" max="1061" width="10.42578125" style="76" bestFit="1" customWidth="1"/>
    <col min="1062" max="1064" width="9" style="76"/>
    <col min="1065" max="1065" width="10.42578125" style="76" bestFit="1" customWidth="1"/>
    <col min="1066" max="1294" width="9" style="76"/>
    <col min="1295" max="1295" width="3.5703125" style="76" customWidth="1"/>
    <col min="1296" max="1296" width="4.85546875" style="76" customWidth="1"/>
    <col min="1297" max="1297" width="5.42578125" style="76" customWidth="1"/>
    <col min="1298" max="1298" width="31.28515625" style="76" customWidth="1"/>
    <col min="1299" max="1299" width="7.5703125" style="76" customWidth="1"/>
    <col min="1300" max="1300" width="2.42578125" style="76" customWidth="1"/>
    <col min="1301" max="1301" width="11.5703125" style="76" customWidth="1"/>
    <col min="1302" max="1302" width="2.42578125" style="76" customWidth="1"/>
    <col min="1303" max="1303" width="11.5703125" style="76" customWidth="1"/>
    <col min="1304" max="1304" width="2.42578125" style="76" customWidth="1"/>
    <col min="1305" max="1305" width="10.85546875" style="76" customWidth="1"/>
    <col min="1306" max="1306" width="2.42578125" style="76" customWidth="1"/>
    <col min="1307" max="1307" width="11.140625" style="76" customWidth="1"/>
    <col min="1308" max="1308" width="1.85546875" style="76" customWidth="1"/>
    <col min="1309" max="1309" width="11" style="76" customWidth="1"/>
    <col min="1310" max="1310" width="0.7109375" style="76" customWidth="1"/>
    <col min="1311" max="1311" width="1.85546875" style="76" customWidth="1"/>
    <col min="1312" max="1312" width="11.85546875" style="76" bestFit="1" customWidth="1"/>
    <col min="1313" max="1313" width="15.28515625" style="76" bestFit="1" customWidth="1"/>
    <col min="1314" max="1314" width="5" style="76" customWidth="1"/>
    <col min="1315" max="1315" width="10.42578125" style="76" bestFit="1" customWidth="1"/>
    <col min="1316" max="1316" width="5" style="76" customWidth="1"/>
    <col min="1317" max="1317" width="10.42578125" style="76" bestFit="1" customWidth="1"/>
    <col min="1318" max="1320" width="9" style="76"/>
    <col min="1321" max="1321" width="10.42578125" style="76" bestFit="1" customWidth="1"/>
    <col min="1322" max="1550" width="9" style="76"/>
    <col min="1551" max="1551" width="3.5703125" style="76" customWidth="1"/>
    <col min="1552" max="1552" width="4.85546875" style="76" customWidth="1"/>
    <col min="1553" max="1553" width="5.42578125" style="76" customWidth="1"/>
    <col min="1554" max="1554" width="31.28515625" style="76" customWidth="1"/>
    <col min="1555" max="1555" width="7.5703125" style="76" customWidth="1"/>
    <col min="1556" max="1556" width="2.42578125" style="76" customWidth="1"/>
    <col min="1557" max="1557" width="11.5703125" style="76" customWidth="1"/>
    <col min="1558" max="1558" width="2.42578125" style="76" customWidth="1"/>
    <col min="1559" max="1559" width="11.5703125" style="76" customWidth="1"/>
    <col min="1560" max="1560" width="2.42578125" style="76" customWidth="1"/>
    <col min="1561" max="1561" width="10.85546875" style="76" customWidth="1"/>
    <col min="1562" max="1562" width="2.42578125" style="76" customWidth="1"/>
    <col min="1563" max="1563" width="11.140625" style="76" customWidth="1"/>
    <col min="1564" max="1564" width="1.85546875" style="76" customWidth="1"/>
    <col min="1565" max="1565" width="11" style="76" customWidth="1"/>
    <col min="1566" max="1566" width="0.7109375" style="76" customWidth="1"/>
    <col min="1567" max="1567" width="1.85546875" style="76" customWidth="1"/>
    <col min="1568" max="1568" width="11.85546875" style="76" bestFit="1" customWidth="1"/>
    <col min="1569" max="1569" width="15.28515625" style="76" bestFit="1" customWidth="1"/>
    <col min="1570" max="1570" width="5" style="76" customWidth="1"/>
    <col min="1571" max="1571" width="10.42578125" style="76" bestFit="1" customWidth="1"/>
    <col min="1572" max="1572" width="5" style="76" customWidth="1"/>
    <col min="1573" max="1573" width="10.42578125" style="76" bestFit="1" customWidth="1"/>
    <col min="1574" max="1576" width="9" style="76"/>
    <col min="1577" max="1577" width="10.42578125" style="76" bestFit="1" customWidth="1"/>
    <col min="1578" max="1806" width="9" style="76"/>
    <col min="1807" max="1807" width="3.5703125" style="76" customWidth="1"/>
    <col min="1808" max="1808" width="4.85546875" style="76" customWidth="1"/>
    <col min="1809" max="1809" width="5.42578125" style="76" customWidth="1"/>
    <col min="1810" max="1810" width="31.28515625" style="76" customWidth="1"/>
    <col min="1811" max="1811" width="7.5703125" style="76" customWidth="1"/>
    <col min="1812" max="1812" width="2.42578125" style="76" customWidth="1"/>
    <col min="1813" max="1813" width="11.5703125" style="76" customWidth="1"/>
    <col min="1814" max="1814" width="2.42578125" style="76" customWidth="1"/>
    <col min="1815" max="1815" width="11.5703125" style="76" customWidth="1"/>
    <col min="1816" max="1816" width="2.42578125" style="76" customWidth="1"/>
    <col min="1817" max="1817" width="10.85546875" style="76" customWidth="1"/>
    <col min="1818" max="1818" width="2.42578125" style="76" customWidth="1"/>
    <col min="1819" max="1819" width="11.140625" style="76" customWidth="1"/>
    <col min="1820" max="1820" width="1.85546875" style="76" customWidth="1"/>
    <col min="1821" max="1821" width="11" style="76" customWidth="1"/>
    <col min="1822" max="1822" width="0.7109375" style="76" customWidth="1"/>
    <col min="1823" max="1823" width="1.85546875" style="76" customWidth="1"/>
    <col min="1824" max="1824" width="11.85546875" style="76" bestFit="1" customWidth="1"/>
    <col min="1825" max="1825" width="15.28515625" style="76" bestFit="1" customWidth="1"/>
    <col min="1826" max="1826" width="5" style="76" customWidth="1"/>
    <col min="1827" max="1827" width="10.42578125" style="76" bestFit="1" customWidth="1"/>
    <col min="1828" max="1828" width="5" style="76" customWidth="1"/>
    <col min="1829" max="1829" width="10.42578125" style="76" bestFit="1" customWidth="1"/>
    <col min="1830" max="1832" width="9" style="76"/>
    <col min="1833" max="1833" width="10.42578125" style="76" bestFit="1" customWidth="1"/>
    <col min="1834" max="2062" width="9" style="76"/>
    <col min="2063" max="2063" width="3.5703125" style="76" customWidth="1"/>
    <col min="2064" max="2064" width="4.85546875" style="76" customWidth="1"/>
    <col min="2065" max="2065" width="5.42578125" style="76" customWidth="1"/>
    <col min="2066" max="2066" width="31.28515625" style="76" customWidth="1"/>
    <col min="2067" max="2067" width="7.5703125" style="76" customWidth="1"/>
    <col min="2068" max="2068" width="2.42578125" style="76" customWidth="1"/>
    <col min="2069" max="2069" width="11.5703125" style="76" customWidth="1"/>
    <col min="2070" max="2070" width="2.42578125" style="76" customWidth="1"/>
    <col min="2071" max="2071" width="11.5703125" style="76" customWidth="1"/>
    <col min="2072" max="2072" width="2.42578125" style="76" customWidth="1"/>
    <col min="2073" max="2073" width="10.85546875" style="76" customWidth="1"/>
    <col min="2074" max="2074" width="2.42578125" style="76" customWidth="1"/>
    <col min="2075" max="2075" width="11.140625" style="76" customWidth="1"/>
    <col min="2076" max="2076" width="1.85546875" style="76" customWidth="1"/>
    <col min="2077" max="2077" width="11" style="76" customWidth="1"/>
    <col min="2078" max="2078" width="0.7109375" style="76" customWidth="1"/>
    <col min="2079" max="2079" width="1.85546875" style="76" customWidth="1"/>
    <col min="2080" max="2080" width="11.85546875" style="76" bestFit="1" customWidth="1"/>
    <col min="2081" max="2081" width="15.28515625" style="76" bestFit="1" customWidth="1"/>
    <col min="2082" max="2082" width="5" style="76" customWidth="1"/>
    <col min="2083" max="2083" width="10.42578125" style="76" bestFit="1" customWidth="1"/>
    <col min="2084" max="2084" width="5" style="76" customWidth="1"/>
    <col min="2085" max="2085" width="10.42578125" style="76" bestFit="1" customWidth="1"/>
    <col min="2086" max="2088" width="9" style="76"/>
    <col min="2089" max="2089" width="10.42578125" style="76" bestFit="1" customWidth="1"/>
    <col min="2090" max="2318" width="9" style="76"/>
    <col min="2319" max="2319" width="3.5703125" style="76" customWidth="1"/>
    <col min="2320" max="2320" width="4.85546875" style="76" customWidth="1"/>
    <col min="2321" max="2321" width="5.42578125" style="76" customWidth="1"/>
    <col min="2322" max="2322" width="31.28515625" style="76" customWidth="1"/>
    <col min="2323" max="2323" width="7.5703125" style="76" customWidth="1"/>
    <col min="2324" max="2324" width="2.42578125" style="76" customWidth="1"/>
    <col min="2325" max="2325" width="11.5703125" style="76" customWidth="1"/>
    <col min="2326" max="2326" width="2.42578125" style="76" customWidth="1"/>
    <col min="2327" max="2327" width="11.5703125" style="76" customWidth="1"/>
    <col min="2328" max="2328" width="2.42578125" style="76" customWidth="1"/>
    <col min="2329" max="2329" width="10.85546875" style="76" customWidth="1"/>
    <col min="2330" max="2330" width="2.42578125" style="76" customWidth="1"/>
    <col min="2331" max="2331" width="11.140625" style="76" customWidth="1"/>
    <col min="2332" max="2332" width="1.85546875" style="76" customWidth="1"/>
    <col min="2333" max="2333" width="11" style="76" customWidth="1"/>
    <col min="2334" max="2334" width="0.7109375" style="76" customWidth="1"/>
    <col min="2335" max="2335" width="1.85546875" style="76" customWidth="1"/>
    <col min="2336" max="2336" width="11.85546875" style="76" bestFit="1" customWidth="1"/>
    <col min="2337" max="2337" width="15.28515625" style="76" bestFit="1" customWidth="1"/>
    <col min="2338" max="2338" width="5" style="76" customWidth="1"/>
    <col min="2339" max="2339" width="10.42578125" style="76" bestFit="1" customWidth="1"/>
    <col min="2340" max="2340" width="5" style="76" customWidth="1"/>
    <col min="2341" max="2341" width="10.42578125" style="76" bestFit="1" customWidth="1"/>
    <col min="2342" max="2344" width="9" style="76"/>
    <col min="2345" max="2345" width="10.42578125" style="76" bestFit="1" customWidth="1"/>
    <col min="2346" max="2574" width="9" style="76"/>
    <col min="2575" max="2575" width="3.5703125" style="76" customWidth="1"/>
    <col min="2576" max="2576" width="4.85546875" style="76" customWidth="1"/>
    <col min="2577" max="2577" width="5.42578125" style="76" customWidth="1"/>
    <col min="2578" max="2578" width="31.28515625" style="76" customWidth="1"/>
    <col min="2579" max="2579" width="7.5703125" style="76" customWidth="1"/>
    <col min="2580" max="2580" width="2.42578125" style="76" customWidth="1"/>
    <col min="2581" max="2581" width="11.5703125" style="76" customWidth="1"/>
    <col min="2582" max="2582" width="2.42578125" style="76" customWidth="1"/>
    <col min="2583" max="2583" width="11.5703125" style="76" customWidth="1"/>
    <col min="2584" max="2584" width="2.42578125" style="76" customWidth="1"/>
    <col min="2585" max="2585" width="10.85546875" style="76" customWidth="1"/>
    <col min="2586" max="2586" width="2.42578125" style="76" customWidth="1"/>
    <col min="2587" max="2587" width="11.140625" style="76" customWidth="1"/>
    <col min="2588" max="2588" width="1.85546875" style="76" customWidth="1"/>
    <col min="2589" max="2589" width="11" style="76" customWidth="1"/>
    <col min="2590" max="2590" width="0.7109375" style="76" customWidth="1"/>
    <col min="2591" max="2591" width="1.85546875" style="76" customWidth="1"/>
    <col min="2592" max="2592" width="11.85546875" style="76" bestFit="1" customWidth="1"/>
    <col min="2593" max="2593" width="15.28515625" style="76" bestFit="1" customWidth="1"/>
    <col min="2594" max="2594" width="5" style="76" customWidth="1"/>
    <col min="2595" max="2595" width="10.42578125" style="76" bestFit="1" customWidth="1"/>
    <col min="2596" max="2596" width="5" style="76" customWidth="1"/>
    <col min="2597" max="2597" width="10.42578125" style="76" bestFit="1" customWidth="1"/>
    <col min="2598" max="2600" width="9" style="76"/>
    <col min="2601" max="2601" width="10.42578125" style="76" bestFit="1" customWidth="1"/>
    <col min="2602" max="2830" width="9" style="76"/>
    <col min="2831" max="2831" width="3.5703125" style="76" customWidth="1"/>
    <col min="2832" max="2832" width="4.85546875" style="76" customWidth="1"/>
    <col min="2833" max="2833" width="5.42578125" style="76" customWidth="1"/>
    <col min="2834" max="2834" width="31.28515625" style="76" customWidth="1"/>
    <col min="2835" max="2835" width="7.5703125" style="76" customWidth="1"/>
    <col min="2836" max="2836" width="2.42578125" style="76" customWidth="1"/>
    <col min="2837" max="2837" width="11.5703125" style="76" customWidth="1"/>
    <col min="2838" max="2838" width="2.42578125" style="76" customWidth="1"/>
    <col min="2839" max="2839" width="11.5703125" style="76" customWidth="1"/>
    <col min="2840" max="2840" width="2.42578125" style="76" customWidth="1"/>
    <col min="2841" max="2841" width="10.85546875" style="76" customWidth="1"/>
    <col min="2842" max="2842" width="2.42578125" style="76" customWidth="1"/>
    <col min="2843" max="2843" width="11.140625" style="76" customWidth="1"/>
    <col min="2844" max="2844" width="1.85546875" style="76" customWidth="1"/>
    <col min="2845" max="2845" width="11" style="76" customWidth="1"/>
    <col min="2846" max="2846" width="0.7109375" style="76" customWidth="1"/>
    <col min="2847" max="2847" width="1.85546875" style="76" customWidth="1"/>
    <col min="2848" max="2848" width="11.85546875" style="76" bestFit="1" customWidth="1"/>
    <col min="2849" max="2849" width="15.28515625" style="76" bestFit="1" customWidth="1"/>
    <col min="2850" max="2850" width="5" style="76" customWidth="1"/>
    <col min="2851" max="2851" width="10.42578125" style="76" bestFit="1" customWidth="1"/>
    <col min="2852" max="2852" width="5" style="76" customWidth="1"/>
    <col min="2853" max="2853" width="10.42578125" style="76" bestFit="1" customWidth="1"/>
    <col min="2854" max="2856" width="9" style="76"/>
    <col min="2857" max="2857" width="10.42578125" style="76" bestFit="1" customWidth="1"/>
    <col min="2858" max="3086" width="9" style="76"/>
    <col min="3087" max="3087" width="3.5703125" style="76" customWidth="1"/>
    <col min="3088" max="3088" width="4.85546875" style="76" customWidth="1"/>
    <col min="3089" max="3089" width="5.42578125" style="76" customWidth="1"/>
    <col min="3090" max="3090" width="31.28515625" style="76" customWidth="1"/>
    <col min="3091" max="3091" width="7.5703125" style="76" customWidth="1"/>
    <col min="3092" max="3092" width="2.42578125" style="76" customWidth="1"/>
    <col min="3093" max="3093" width="11.5703125" style="76" customWidth="1"/>
    <col min="3094" max="3094" width="2.42578125" style="76" customWidth="1"/>
    <col min="3095" max="3095" width="11.5703125" style="76" customWidth="1"/>
    <col min="3096" max="3096" width="2.42578125" style="76" customWidth="1"/>
    <col min="3097" max="3097" width="10.85546875" style="76" customWidth="1"/>
    <col min="3098" max="3098" width="2.42578125" style="76" customWidth="1"/>
    <col min="3099" max="3099" width="11.140625" style="76" customWidth="1"/>
    <col min="3100" max="3100" width="1.85546875" style="76" customWidth="1"/>
    <col min="3101" max="3101" width="11" style="76" customWidth="1"/>
    <col min="3102" max="3102" width="0.7109375" style="76" customWidth="1"/>
    <col min="3103" max="3103" width="1.85546875" style="76" customWidth="1"/>
    <col min="3104" max="3104" width="11.85546875" style="76" bestFit="1" customWidth="1"/>
    <col min="3105" max="3105" width="15.28515625" style="76" bestFit="1" customWidth="1"/>
    <col min="3106" max="3106" width="5" style="76" customWidth="1"/>
    <col min="3107" max="3107" width="10.42578125" style="76" bestFit="1" customWidth="1"/>
    <col min="3108" max="3108" width="5" style="76" customWidth="1"/>
    <col min="3109" max="3109" width="10.42578125" style="76" bestFit="1" customWidth="1"/>
    <col min="3110" max="3112" width="9" style="76"/>
    <col min="3113" max="3113" width="10.42578125" style="76" bestFit="1" customWidth="1"/>
    <col min="3114" max="3342" width="9" style="76"/>
    <col min="3343" max="3343" width="3.5703125" style="76" customWidth="1"/>
    <col min="3344" max="3344" width="4.85546875" style="76" customWidth="1"/>
    <col min="3345" max="3345" width="5.42578125" style="76" customWidth="1"/>
    <col min="3346" max="3346" width="31.28515625" style="76" customWidth="1"/>
    <col min="3347" max="3347" width="7.5703125" style="76" customWidth="1"/>
    <col min="3348" max="3348" width="2.42578125" style="76" customWidth="1"/>
    <col min="3349" max="3349" width="11.5703125" style="76" customWidth="1"/>
    <col min="3350" max="3350" width="2.42578125" style="76" customWidth="1"/>
    <col min="3351" max="3351" width="11.5703125" style="76" customWidth="1"/>
    <col min="3352" max="3352" width="2.42578125" style="76" customWidth="1"/>
    <col min="3353" max="3353" width="10.85546875" style="76" customWidth="1"/>
    <col min="3354" max="3354" width="2.42578125" style="76" customWidth="1"/>
    <col min="3355" max="3355" width="11.140625" style="76" customWidth="1"/>
    <col min="3356" max="3356" width="1.85546875" style="76" customWidth="1"/>
    <col min="3357" max="3357" width="11" style="76" customWidth="1"/>
    <col min="3358" max="3358" width="0.7109375" style="76" customWidth="1"/>
    <col min="3359" max="3359" width="1.85546875" style="76" customWidth="1"/>
    <col min="3360" max="3360" width="11.85546875" style="76" bestFit="1" customWidth="1"/>
    <col min="3361" max="3361" width="15.28515625" style="76" bestFit="1" customWidth="1"/>
    <col min="3362" max="3362" width="5" style="76" customWidth="1"/>
    <col min="3363" max="3363" width="10.42578125" style="76" bestFit="1" customWidth="1"/>
    <col min="3364" max="3364" width="5" style="76" customWidth="1"/>
    <col min="3365" max="3365" width="10.42578125" style="76" bestFit="1" customWidth="1"/>
    <col min="3366" max="3368" width="9" style="76"/>
    <col min="3369" max="3369" width="10.42578125" style="76" bestFit="1" customWidth="1"/>
    <col min="3370" max="3598" width="9" style="76"/>
    <col min="3599" max="3599" width="3.5703125" style="76" customWidth="1"/>
    <col min="3600" max="3600" width="4.85546875" style="76" customWidth="1"/>
    <col min="3601" max="3601" width="5.42578125" style="76" customWidth="1"/>
    <col min="3602" max="3602" width="31.28515625" style="76" customWidth="1"/>
    <col min="3603" max="3603" width="7.5703125" style="76" customWidth="1"/>
    <col min="3604" max="3604" width="2.42578125" style="76" customWidth="1"/>
    <col min="3605" max="3605" width="11.5703125" style="76" customWidth="1"/>
    <col min="3606" max="3606" width="2.42578125" style="76" customWidth="1"/>
    <col min="3607" max="3607" width="11.5703125" style="76" customWidth="1"/>
    <col min="3608" max="3608" width="2.42578125" style="76" customWidth="1"/>
    <col min="3609" max="3609" width="10.85546875" style="76" customWidth="1"/>
    <col min="3610" max="3610" width="2.42578125" style="76" customWidth="1"/>
    <col min="3611" max="3611" width="11.140625" style="76" customWidth="1"/>
    <col min="3612" max="3612" width="1.85546875" style="76" customWidth="1"/>
    <col min="3613" max="3613" width="11" style="76" customWidth="1"/>
    <col min="3614" max="3614" width="0.7109375" style="76" customWidth="1"/>
    <col min="3615" max="3615" width="1.85546875" style="76" customWidth="1"/>
    <col min="3616" max="3616" width="11.85546875" style="76" bestFit="1" customWidth="1"/>
    <col min="3617" max="3617" width="15.28515625" style="76" bestFit="1" customWidth="1"/>
    <col min="3618" max="3618" width="5" style="76" customWidth="1"/>
    <col min="3619" max="3619" width="10.42578125" style="76" bestFit="1" customWidth="1"/>
    <col min="3620" max="3620" width="5" style="76" customWidth="1"/>
    <col min="3621" max="3621" width="10.42578125" style="76" bestFit="1" customWidth="1"/>
    <col min="3622" max="3624" width="9" style="76"/>
    <col min="3625" max="3625" width="10.42578125" style="76" bestFit="1" customWidth="1"/>
    <col min="3626" max="3854" width="9" style="76"/>
    <col min="3855" max="3855" width="3.5703125" style="76" customWidth="1"/>
    <col min="3856" max="3856" width="4.85546875" style="76" customWidth="1"/>
    <col min="3857" max="3857" width="5.42578125" style="76" customWidth="1"/>
    <col min="3858" max="3858" width="31.28515625" style="76" customWidth="1"/>
    <col min="3859" max="3859" width="7.5703125" style="76" customWidth="1"/>
    <col min="3860" max="3860" width="2.42578125" style="76" customWidth="1"/>
    <col min="3861" max="3861" width="11.5703125" style="76" customWidth="1"/>
    <col min="3862" max="3862" width="2.42578125" style="76" customWidth="1"/>
    <col min="3863" max="3863" width="11.5703125" style="76" customWidth="1"/>
    <col min="3864" max="3864" width="2.42578125" style="76" customWidth="1"/>
    <col min="3865" max="3865" width="10.85546875" style="76" customWidth="1"/>
    <col min="3866" max="3866" width="2.42578125" style="76" customWidth="1"/>
    <col min="3867" max="3867" width="11.140625" style="76" customWidth="1"/>
    <col min="3868" max="3868" width="1.85546875" style="76" customWidth="1"/>
    <col min="3869" max="3869" width="11" style="76" customWidth="1"/>
    <col min="3870" max="3870" width="0.7109375" style="76" customWidth="1"/>
    <col min="3871" max="3871" width="1.85546875" style="76" customWidth="1"/>
    <col min="3872" max="3872" width="11.85546875" style="76" bestFit="1" customWidth="1"/>
    <col min="3873" max="3873" width="15.28515625" style="76" bestFit="1" customWidth="1"/>
    <col min="3874" max="3874" width="5" style="76" customWidth="1"/>
    <col min="3875" max="3875" width="10.42578125" style="76" bestFit="1" customWidth="1"/>
    <col min="3876" max="3876" width="5" style="76" customWidth="1"/>
    <col min="3877" max="3877" width="10.42578125" style="76" bestFit="1" customWidth="1"/>
    <col min="3878" max="3880" width="9" style="76"/>
    <col min="3881" max="3881" width="10.42578125" style="76" bestFit="1" customWidth="1"/>
    <col min="3882" max="4110" width="9" style="76"/>
    <col min="4111" max="4111" width="3.5703125" style="76" customWidth="1"/>
    <col min="4112" max="4112" width="4.85546875" style="76" customWidth="1"/>
    <col min="4113" max="4113" width="5.42578125" style="76" customWidth="1"/>
    <col min="4114" max="4114" width="31.28515625" style="76" customWidth="1"/>
    <col min="4115" max="4115" width="7.5703125" style="76" customWidth="1"/>
    <col min="4116" max="4116" width="2.42578125" style="76" customWidth="1"/>
    <col min="4117" max="4117" width="11.5703125" style="76" customWidth="1"/>
    <col min="4118" max="4118" width="2.42578125" style="76" customWidth="1"/>
    <col min="4119" max="4119" width="11.5703125" style="76" customWidth="1"/>
    <col min="4120" max="4120" width="2.42578125" style="76" customWidth="1"/>
    <col min="4121" max="4121" width="10.85546875" style="76" customWidth="1"/>
    <col min="4122" max="4122" width="2.42578125" style="76" customWidth="1"/>
    <col min="4123" max="4123" width="11.140625" style="76" customWidth="1"/>
    <col min="4124" max="4124" width="1.85546875" style="76" customWidth="1"/>
    <col min="4125" max="4125" width="11" style="76" customWidth="1"/>
    <col min="4126" max="4126" width="0.7109375" style="76" customWidth="1"/>
    <col min="4127" max="4127" width="1.85546875" style="76" customWidth="1"/>
    <col min="4128" max="4128" width="11.85546875" style="76" bestFit="1" customWidth="1"/>
    <col min="4129" max="4129" width="15.28515625" style="76" bestFit="1" customWidth="1"/>
    <col min="4130" max="4130" width="5" style="76" customWidth="1"/>
    <col min="4131" max="4131" width="10.42578125" style="76" bestFit="1" customWidth="1"/>
    <col min="4132" max="4132" width="5" style="76" customWidth="1"/>
    <col min="4133" max="4133" width="10.42578125" style="76" bestFit="1" customWidth="1"/>
    <col min="4134" max="4136" width="9" style="76"/>
    <col min="4137" max="4137" width="10.42578125" style="76" bestFit="1" customWidth="1"/>
    <col min="4138" max="4366" width="9" style="76"/>
    <col min="4367" max="4367" width="3.5703125" style="76" customWidth="1"/>
    <col min="4368" max="4368" width="4.85546875" style="76" customWidth="1"/>
    <col min="4369" max="4369" width="5.42578125" style="76" customWidth="1"/>
    <col min="4370" max="4370" width="31.28515625" style="76" customWidth="1"/>
    <col min="4371" max="4371" width="7.5703125" style="76" customWidth="1"/>
    <col min="4372" max="4372" width="2.42578125" style="76" customWidth="1"/>
    <col min="4373" max="4373" width="11.5703125" style="76" customWidth="1"/>
    <col min="4374" max="4374" width="2.42578125" style="76" customWidth="1"/>
    <col min="4375" max="4375" width="11.5703125" style="76" customWidth="1"/>
    <col min="4376" max="4376" width="2.42578125" style="76" customWidth="1"/>
    <col min="4377" max="4377" width="10.85546875" style="76" customWidth="1"/>
    <col min="4378" max="4378" width="2.42578125" style="76" customWidth="1"/>
    <col min="4379" max="4379" width="11.140625" style="76" customWidth="1"/>
    <col min="4380" max="4380" width="1.85546875" style="76" customWidth="1"/>
    <col min="4381" max="4381" width="11" style="76" customWidth="1"/>
    <col min="4382" max="4382" width="0.7109375" style="76" customWidth="1"/>
    <col min="4383" max="4383" width="1.85546875" style="76" customWidth="1"/>
    <col min="4384" max="4384" width="11.85546875" style="76" bestFit="1" customWidth="1"/>
    <col min="4385" max="4385" width="15.28515625" style="76" bestFit="1" customWidth="1"/>
    <col min="4386" max="4386" width="5" style="76" customWidth="1"/>
    <col min="4387" max="4387" width="10.42578125" style="76" bestFit="1" customWidth="1"/>
    <col min="4388" max="4388" width="5" style="76" customWidth="1"/>
    <col min="4389" max="4389" width="10.42578125" style="76" bestFit="1" customWidth="1"/>
    <col min="4390" max="4392" width="9" style="76"/>
    <col min="4393" max="4393" width="10.42578125" style="76" bestFit="1" customWidth="1"/>
    <col min="4394" max="4622" width="9" style="76"/>
    <col min="4623" max="4623" width="3.5703125" style="76" customWidth="1"/>
    <col min="4624" max="4624" width="4.85546875" style="76" customWidth="1"/>
    <col min="4625" max="4625" width="5.42578125" style="76" customWidth="1"/>
    <col min="4626" max="4626" width="31.28515625" style="76" customWidth="1"/>
    <col min="4627" max="4627" width="7.5703125" style="76" customWidth="1"/>
    <col min="4628" max="4628" width="2.42578125" style="76" customWidth="1"/>
    <col min="4629" max="4629" width="11.5703125" style="76" customWidth="1"/>
    <col min="4630" max="4630" width="2.42578125" style="76" customWidth="1"/>
    <col min="4631" max="4631" width="11.5703125" style="76" customWidth="1"/>
    <col min="4632" max="4632" width="2.42578125" style="76" customWidth="1"/>
    <col min="4633" max="4633" width="10.85546875" style="76" customWidth="1"/>
    <col min="4634" max="4634" width="2.42578125" style="76" customWidth="1"/>
    <col min="4635" max="4635" width="11.140625" style="76" customWidth="1"/>
    <col min="4636" max="4636" width="1.85546875" style="76" customWidth="1"/>
    <col min="4637" max="4637" width="11" style="76" customWidth="1"/>
    <col min="4638" max="4638" width="0.7109375" style="76" customWidth="1"/>
    <col min="4639" max="4639" width="1.85546875" style="76" customWidth="1"/>
    <col min="4640" max="4640" width="11.85546875" style="76" bestFit="1" customWidth="1"/>
    <col min="4641" max="4641" width="15.28515625" style="76" bestFit="1" customWidth="1"/>
    <col min="4642" max="4642" width="5" style="76" customWidth="1"/>
    <col min="4643" max="4643" width="10.42578125" style="76" bestFit="1" customWidth="1"/>
    <col min="4644" max="4644" width="5" style="76" customWidth="1"/>
    <col min="4645" max="4645" width="10.42578125" style="76" bestFit="1" customWidth="1"/>
    <col min="4646" max="4648" width="9" style="76"/>
    <col min="4649" max="4649" width="10.42578125" style="76" bestFit="1" customWidth="1"/>
    <col min="4650" max="4878" width="9" style="76"/>
    <col min="4879" max="4879" width="3.5703125" style="76" customWidth="1"/>
    <col min="4880" max="4880" width="4.85546875" style="76" customWidth="1"/>
    <col min="4881" max="4881" width="5.42578125" style="76" customWidth="1"/>
    <col min="4882" max="4882" width="31.28515625" style="76" customWidth="1"/>
    <col min="4883" max="4883" width="7.5703125" style="76" customWidth="1"/>
    <col min="4884" max="4884" width="2.42578125" style="76" customWidth="1"/>
    <col min="4885" max="4885" width="11.5703125" style="76" customWidth="1"/>
    <col min="4886" max="4886" width="2.42578125" style="76" customWidth="1"/>
    <col min="4887" max="4887" width="11.5703125" style="76" customWidth="1"/>
    <col min="4888" max="4888" width="2.42578125" style="76" customWidth="1"/>
    <col min="4889" max="4889" width="10.85546875" style="76" customWidth="1"/>
    <col min="4890" max="4890" width="2.42578125" style="76" customWidth="1"/>
    <col min="4891" max="4891" width="11.140625" style="76" customWidth="1"/>
    <col min="4892" max="4892" width="1.85546875" style="76" customWidth="1"/>
    <col min="4893" max="4893" width="11" style="76" customWidth="1"/>
    <col min="4894" max="4894" width="0.7109375" style="76" customWidth="1"/>
    <col min="4895" max="4895" width="1.85546875" style="76" customWidth="1"/>
    <col min="4896" max="4896" width="11.85546875" style="76" bestFit="1" customWidth="1"/>
    <col min="4897" max="4897" width="15.28515625" style="76" bestFit="1" customWidth="1"/>
    <col min="4898" max="4898" width="5" style="76" customWidth="1"/>
    <col min="4899" max="4899" width="10.42578125" style="76" bestFit="1" customWidth="1"/>
    <col min="4900" max="4900" width="5" style="76" customWidth="1"/>
    <col min="4901" max="4901" width="10.42578125" style="76" bestFit="1" customWidth="1"/>
    <col min="4902" max="4904" width="9" style="76"/>
    <col min="4905" max="4905" width="10.42578125" style="76" bestFit="1" customWidth="1"/>
    <col min="4906" max="5134" width="9" style="76"/>
    <col min="5135" max="5135" width="3.5703125" style="76" customWidth="1"/>
    <col min="5136" max="5136" width="4.85546875" style="76" customWidth="1"/>
    <col min="5137" max="5137" width="5.42578125" style="76" customWidth="1"/>
    <col min="5138" max="5138" width="31.28515625" style="76" customWidth="1"/>
    <col min="5139" max="5139" width="7.5703125" style="76" customWidth="1"/>
    <col min="5140" max="5140" width="2.42578125" style="76" customWidth="1"/>
    <col min="5141" max="5141" width="11.5703125" style="76" customWidth="1"/>
    <col min="5142" max="5142" width="2.42578125" style="76" customWidth="1"/>
    <col min="5143" max="5143" width="11.5703125" style="76" customWidth="1"/>
    <col min="5144" max="5144" width="2.42578125" style="76" customWidth="1"/>
    <col min="5145" max="5145" width="10.85546875" style="76" customWidth="1"/>
    <col min="5146" max="5146" width="2.42578125" style="76" customWidth="1"/>
    <col min="5147" max="5147" width="11.140625" style="76" customWidth="1"/>
    <col min="5148" max="5148" width="1.85546875" style="76" customWidth="1"/>
    <col min="5149" max="5149" width="11" style="76" customWidth="1"/>
    <col min="5150" max="5150" width="0.7109375" style="76" customWidth="1"/>
    <col min="5151" max="5151" width="1.85546875" style="76" customWidth="1"/>
    <col min="5152" max="5152" width="11.85546875" style="76" bestFit="1" customWidth="1"/>
    <col min="5153" max="5153" width="15.28515625" style="76" bestFit="1" customWidth="1"/>
    <col min="5154" max="5154" width="5" style="76" customWidth="1"/>
    <col min="5155" max="5155" width="10.42578125" style="76" bestFit="1" customWidth="1"/>
    <col min="5156" max="5156" width="5" style="76" customWidth="1"/>
    <col min="5157" max="5157" width="10.42578125" style="76" bestFit="1" customWidth="1"/>
    <col min="5158" max="5160" width="9" style="76"/>
    <col min="5161" max="5161" width="10.42578125" style="76" bestFit="1" customWidth="1"/>
    <col min="5162" max="5390" width="9" style="76"/>
    <col min="5391" max="5391" width="3.5703125" style="76" customWidth="1"/>
    <col min="5392" max="5392" width="4.85546875" style="76" customWidth="1"/>
    <col min="5393" max="5393" width="5.42578125" style="76" customWidth="1"/>
    <col min="5394" max="5394" width="31.28515625" style="76" customWidth="1"/>
    <col min="5395" max="5395" width="7.5703125" style="76" customWidth="1"/>
    <col min="5396" max="5396" width="2.42578125" style="76" customWidth="1"/>
    <col min="5397" max="5397" width="11.5703125" style="76" customWidth="1"/>
    <col min="5398" max="5398" width="2.42578125" style="76" customWidth="1"/>
    <col min="5399" max="5399" width="11.5703125" style="76" customWidth="1"/>
    <col min="5400" max="5400" width="2.42578125" style="76" customWidth="1"/>
    <col min="5401" max="5401" width="10.85546875" style="76" customWidth="1"/>
    <col min="5402" max="5402" width="2.42578125" style="76" customWidth="1"/>
    <col min="5403" max="5403" width="11.140625" style="76" customWidth="1"/>
    <col min="5404" max="5404" width="1.85546875" style="76" customWidth="1"/>
    <col min="5405" max="5405" width="11" style="76" customWidth="1"/>
    <col min="5406" max="5406" width="0.7109375" style="76" customWidth="1"/>
    <col min="5407" max="5407" width="1.85546875" style="76" customWidth="1"/>
    <col min="5408" max="5408" width="11.85546875" style="76" bestFit="1" customWidth="1"/>
    <col min="5409" max="5409" width="15.28515625" style="76" bestFit="1" customWidth="1"/>
    <col min="5410" max="5410" width="5" style="76" customWidth="1"/>
    <col min="5411" max="5411" width="10.42578125" style="76" bestFit="1" customWidth="1"/>
    <col min="5412" max="5412" width="5" style="76" customWidth="1"/>
    <col min="5413" max="5413" width="10.42578125" style="76" bestFit="1" customWidth="1"/>
    <col min="5414" max="5416" width="9" style="76"/>
    <col min="5417" max="5417" width="10.42578125" style="76" bestFit="1" customWidth="1"/>
    <col min="5418" max="5646" width="9" style="76"/>
    <col min="5647" max="5647" width="3.5703125" style="76" customWidth="1"/>
    <col min="5648" max="5648" width="4.85546875" style="76" customWidth="1"/>
    <col min="5649" max="5649" width="5.42578125" style="76" customWidth="1"/>
    <col min="5650" max="5650" width="31.28515625" style="76" customWidth="1"/>
    <col min="5651" max="5651" width="7.5703125" style="76" customWidth="1"/>
    <col min="5652" max="5652" width="2.42578125" style="76" customWidth="1"/>
    <col min="5653" max="5653" width="11.5703125" style="76" customWidth="1"/>
    <col min="5654" max="5654" width="2.42578125" style="76" customWidth="1"/>
    <col min="5655" max="5655" width="11.5703125" style="76" customWidth="1"/>
    <col min="5656" max="5656" width="2.42578125" style="76" customWidth="1"/>
    <col min="5657" max="5657" width="10.85546875" style="76" customWidth="1"/>
    <col min="5658" max="5658" width="2.42578125" style="76" customWidth="1"/>
    <col min="5659" max="5659" width="11.140625" style="76" customWidth="1"/>
    <col min="5660" max="5660" width="1.85546875" style="76" customWidth="1"/>
    <col min="5661" max="5661" width="11" style="76" customWidth="1"/>
    <col min="5662" max="5662" width="0.7109375" style="76" customWidth="1"/>
    <col min="5663" max="5663" width="1.85546875" style="76" customWidth="1"/>
    <col min="5664" max="5664" width="11.85546875" style="76" bestFit="1" customWidth="1"/>
    <col min="5665" max="5665" width="15.28515625" style="76" bestFit="1" customWidth="1"/>
    <col min="5666" max="5666" width="5" style="76" customWidth="1"/>
    <col min="5667" max="5667" width="10.42578125" style="76" bestFit="1" customWidth="1"/>
    <col min="5668" max="5668" width="5" style="76" customWidth="1"/>
    <col min="5669" max="5669" width="10.42578125" style="76" bestFit="1" customWidth="1"/>
    <col min="5670" max="5672" width="9" style="76"/>
    <col min="5673" max="5673" width="10.42578125" style="76" bestFit="1" customWidth="1"/>
    <col min="5674" max="5902" width="9" style="76"/>
    <col min="5903" max="5903" width="3.5703125" style="76" customWidth="1"/>
    <col min="5904" max="5904" width="4.85546875" style="76" customWidth="1"/>
    <col min="5905" max="5905" width="5.42578125" style="76" customWidth="1"/>
    <col min="5906" max="5906" width="31.28515625" style="76" customWidth="1"/>
    <col min="5907" max="5907" width="7.5703125" style="76" customWidth="1"/>
    <col min="5908" max="5908" width="2.42578125" style="76" customWidth="1"/>
    <col min="5909" max="5909" width="11.5703125" style="76" customWidth="1"/>
    <col min="5910" max="5910" width="2.42578125" style="76" customWidth="1"/>
    <col min="5911" max="5911" width="11.5703125" style="76" customWidth="1"/>
    <col min="5912" max="5912" width="2.42578125" style="76" customWidth="1"/>
    <col min="5913" max="5913" width="10.85546875" style="76" customWidth="1"/>
    <col min="5914" max="5914" width="2.42578125" style="76" customWidth="1"/>
    <col min="5915" max="5915" width="11.140625" style="76" customWidth="1"/>
    <col min="5916" max="5916" width="1.85546875" style="76" customWidth="1"/>
    <col min="5917" max="5917" width="11" style="76" customWidth="1"/>
    <col min="5918" max="5918" width="0.7109375" style="76" customWidth="1"/>
    <col min="5919" max="5919" width="1.85546875" style="76" customWidth="1"/>
    <col min="5920" max="5920" width="11.85546875" style="76" bestFit="1" customWidth="1"/>
    <col min="5921" max="5921" width="15.28515625" style="76" bestFit="1" customWidth="1"/>
    <col min="5922" max="5922" width="5" style="76" customWidth="1"/>
    <col min="5923" max="5923" width="10.42578125" style="76" bestFit="1" customWidth="1"/>
    <col min="5924" max="5924" width="5" style="76" customWidth="1"/>
    <col min="5925" max="5925" width="10.42578125" style="76" bestFit="1" customWidth="1"/>
    <col min="5926" max="5928" width="9" style="76"/>
    <col min="5929" max="5929" width="10.42578125" style="76" bestFit="1" customWidth="1"/>
    <col min="5930" max="6158" width="9" style="76"/>
    <col min="6159" max="6159" width="3.5703125" style="76" customWidth="1"/>
    <col min="6160" max="6160" width="4.85546875" style="76" customWidth="1"/>
    <col min="6161" max="6161" width="5.42578125" style="76" customWidth="1"/>
    <col min="6162" max="6162" width="31.28515625" style="76" customWidth="1"/>
    <col min="6163" max="6163" width="7.5703125" style="76" customWidth="1"/>
    <col min="6164" max="6164" width="2.42578125" style="76" customWidth="1"/>
    <col min="6165" max="6165" width="11.5703125" style="76" customWidth="1"/>
    <col min="6166" max="6166" width="2.42578125" style="76" customWidth="1"/>
    <col min="6167" max="6167" width="11.5703125" style="76" customWidth="1"/>
    <col min="6168" max="6168" width="2.42578125" style="76" customWidth="1"/>
    <col min="6169" max="6169" width="10.85546875" style="76" customWidth="1"/>
    <col min="6170" max="6170" width="2.42578125" style="76" customWidth="1"/>
    <col min="6171" max="6171" width="11.140625" style="76" customWidth="1"/>
    <col min="6172" max="6172" width="1.85546875" style="76" customWidth="1"/>
    <col min="6173" max="6173" width="11" style="76" customWidth="1"/>
    <col min="6174" max="6174" width="0.7109375" style="76" customWidth="1"/>
    <col min="6175" max="6175" width="1.85546875" style="76" customWidth="1"/>
    <col min="6176" max="6176" width="11.85546875" style="76" bestFit="1" customWidth="1"/>
    <col min="6177" max="6177" width="15.28515625" style="76" bestFit="1" customWidth="1"/>
    <col min="6178" max="6178" width="5" style="76" customWidth="1"/>
    <col min="6179" max="6179" width="10.42578125" style="76" bestFit="1" customWidth="1"/>
    <col min="6180" max="6180" width="5" style="76" customWidth="1"/>
    <col min="6181" max="6181" width="10.42578125" style="76" bestFit="1" customWidth="1"/>
    <col min="6182" max="6184" width="9" style="76"/>
    <col min="6185" max="6185" width="10.42578125" style="76" bestFit="1" customWidth="1"/>
    <col min="6186" max="6414" width="9" style="76"/>
    <col min="6415" max="6415" width="3.5703125" style="76" customWidth="1"/>
    <col min="6416" max="6416" width="4.85546875" style="76" customWidth="1"/>
    <col min="6417" max="6417" width="5.42578125" style="76" customWidth="1"/>
    <col min="6418" max="6418" width="31.28515625" style="76" customWidth="1"/>
    <col min="6419" max="6419" width="7.5703125" style="76" customWidth="1"/>
    <col min="6420" max="6420" width="2.42578125" style="76" customWidth="1"/>
    <col min="6421" max="6421" width="11.5703125" style="76" customWidth="1"/>
    <col min="6422" max="6422" width="2.42578125" style="76" customWidth="1"/>
    <col min="6423" max="6423" width="11.5703125" style="76" customWidth="1"/>
    <col min="6424" max="6424" width="2.42578125" style="76" customWidth="1"/>
    <col min="6425" max="6425" width="10.85546875" style="76" customWidth="1"/>
    <col min="6426" max="6426" width="2.42578125" style="76" customWidth="1"/>
    <col min="6427" max="6427" width="11.140625" style="76" customWidth="1"/>
    <col min="6428" max="6428" width="1.85546875" style="76" customWidth="1"/>
    <col min="6429" max="6429" width="11" style="76" customWidth="1"/>
    <col min="6430" max="6430" width="0.7109375" style="76" customWidth="1"/>
    <col min="6431" max="6431" width="1.85546875" style="76" customWidth="1"/>
    <col min="6432" max="6432" width="11.85546875" style="76" bestFit="1" customWidth="1"/>
    <col min="6433" max="6433" width="15.28515625" style="76" bestFit="1" customWidth="1"/>
    <col min="6434" max="6434" width="5" style="76" customWidth="1"/>
    <col min="6435" max="6435" width="10.42578125" style="76" bestFit="1" customWidth="1"/>
    <col min="6436" max="6436" width="5" style="76" customWidth="1"/>
    <col min="6437" max="6437" width="10.42578125" style="76" bestFit="1" customWidth="1"/>
    <col min="6438" max="6440" width="9" style="76"/>
    <col min="6441" max="6441" width="10.42578125" style="76" bestFit="1" customWidth="1"/>
    <col min="6442" max="6670" width="9" style="76"/>
    <col min="6671" max="6671" width="3.5703125" style="76" customWidth="1"/>
    <col min="6672" max="6672" width="4.85546875" style="76" customWidth="1"/>
    <col min="6673" max="6673" width="5.42578125" style="76" customWidth="1"/>
    <col min="6674" max="6674" width="31.28515625" style="76" customWidth="1"/>
    <col min="6675" max="6675" width="7.5703125" style="76" customWidth="1"/>
    <col min="6676" max="6676" width="2.42578125" style="76" customWidth="1"/>
    <col min="6677" max="6677" width="11.5703125" style="76" customWidth="1"/>
    <col min="6678" max="6678" width="2.42578125" style="76" customWidth="1"/>
    <col min="6679" max="6679" width="11.5703125" style="76" customWidth="1"/>
    <col min="6680" max="6680" width="2.42578125" style="76" customWidth="1"/>
    <col min="6681" max="6681" width="10.85546875" style="76" customWidth="1"/>
    <col min="6682" max="6682" width="2.42578125" style="76" customWidth="1"/>
    <col min="6683" max="6683" width="11.140625" style="76" customWidth="1"/>
    <col min="6684" max="6684" width="1.85546875" style="76" customWidth="1"/>
    <col min="6685" max="6685" width="11" style="76" customWidth="1"/>
    <col min="6686" max="6686" width="0.7109375" style="76" customWidth="1"/>
    <col min="6687" max="6687" width="1.85546875" style="76" customWidth="1"/>
    <col min="6688" max="6688" width="11.85546875" style="76" bestFit="1" customWidth="1"/>
    <col min="6689" max="6689" width="15.28515625" style="76" bestFit="1" customWidth="1"/>
    <col min="6690" max="6690" width="5" style="76" customWidth="1"/>
    <col min="6691" max="6691" width="10.42578125" style="76" bestFit="1" customWidth="1"/>
    <col min="6692" max="6692" width="5" style="76" customWidth="1"/>
    <col min="6693" max="6693" width="10.42578125" style="76" bestFit="1" customWidth="1"/>
    <col min="6694" max="6696" width="9" style="76"/>
    <col min="6697" max="6697" width="10.42578125" style="76" bestFit="1" customWidth="1"/>
    <col min="6698" max="6926" width="9" style="76"/>
    <col min="6927" max="6927" width="3.5703125" style="76" customWidth="1"/>
    <col min="6928" max="6928" width="4.85546875" style="76" customWidth="1"/>
    <col min="6929" max="6929" width="5.42578125" style="76" customWidth="1"/>
    <col min="6930" max="6930" width="31.28515625" style="76" customWidth="1"/>
    <col min="6931" max="6931" width="7.5703125" style="76" customWidth="1"/>
    <col min="6932" max="6932" width="2.42578125" style="76" customWidth="1"/>
    <col min="6933" max="6933" width="11.5703125" style="76" customWidth="1"/>
    <col min="6934" max="6934" width="2.42578125" style="76" customWidth="1"/>
    <col min="6935" max="6935" width="11.5703125" style="76" customWidth="1"/>
    <col min="6936" max="6936" width="2.42578125" style="76" customWidth="1"/>
    <col min="6937" max="6937" width="10.85546875" style="76" customWidth="1"/>
    <col min="6938" max="6938" width="2.42578125" style="76" customWidth="1"/>
    <col min="6939" max="6939" width="11.140625" style="76" customWidth="1"/>
    <col min="6940" max="6940" width="1.85546875" style="76" customWidth="1"/>
    <col min="6941" max="6941" width="11" style="76" customWidth="1"/>
    <col min="6942" max="6942" width="0.7109375" style="76" customWidth="1"/>
    <col min="6943" max="6943" width="1.85546875" style="76" customWidth="1"/>
    <col min="6944" max="6944" width="11.85546875" style="76" bestFit="1" customWidth="1"/>
    <col min="6945" max="6945" width="15.28515625" style="76" bestFit="1" customWidth="1"/>
    <col min="6946" max="6946" width="5" style="76" customWidth="1"/>
    <col min="6947" max="6947" width="10.42578125" style="76" bestFit="1" customWidth="1"/>
    <col min="6948" max="6948" width="5" style="76" customWidth="1"/>
    <col min="6949" max="6949" width="10.42578125" style="76" bestFit="1" customWidth="1"/>
    <col min="6950" max="6952" width="9" style="76"/>
    <col min="6953" max="6953" width="10.42578125" style="76" bestFit="1" customWidth="1"/>
    <col min="6954" max="7182" width="9" style="76"/>
    <col min="7183" max="7183" width="3.5703125" style="76" customWidth="1"/>
    <col min="7184" max="7184" width="4.85546875" style="76" customWidth="1"/>
    <col min="7185" max="7185" width="5.42578125" style="76" customWidth="1"/>
    <col min="7186" max="7186" width="31.28515625" style="76" customWidth="1"/>
    <col min="7187" max="7187" width="7.5703125" style="76" customWidth="1"/>
    <col min="7188" max="7188" width="2.42578125" style="76" customWidth="1"/>
    <col min="7189" max="7189" width="11.5703125" style="76" customWidth="1"/>
    <col min="7190" max="7190" width="2.42578125" style="76" customWidth="1"/>
    <col min="7191" max="7191" width="11.5703125" style="76" customWidth="1"/>
    <col min="7192" max="7192" width="2.42578125" style="76" customWidth="1"/>
    <col min="7193" max="7193" width="10.85546875" style="76" customWidth="1"/>
    <col min="7194" max="7194" width="2.42578125" style="76" customWidth="1"/>
    <col min="7195" max="7195" width="11.140625" style="76" customWidth="1"/>
    <col min="7196" max="7196" width="1.85546875" style="76" customWidth="1"/>
    <col min="7197" max="7197" width="11" style="76" customWidth="1"/>
    <col min="7198" max="7198" width="0.7109375" style="76" customWidth="1"/>
    <col min="7199" max="7199" width="1.85546875" style="76" customWidth="1"/>
    <col min="7200" max="7200" width="11.85546875" style="76" bestFit="1" customWidth="1"/>
    <col min="7201" max="7201" width="15.28515625" style="76" bestFit="1" customWidth="1"/>
    <col min="7202" max="7202" width="5" style="76" customWidth="1"/>
    <col min="7203" max="7203" width="10.42578125" style="76" bestFit="1" customWidth="1"/>
    <col min="7204" max="7204" width="5" style="76" customWidth="1"/>
    <col min="7205" max="7205" width="10.42578125" style="76" bestFit="1" customWidth="1"/>
    <col min="7206" max="7208" width="9" style="76"/>
    <col min="7209" max="7209" width="10.42578125" style="76" bestFit="1" customWidth="1"/>
    <col min="7210" max="7438" width="9" style="76"/>
    <col min="7439" max="7439" width="3.5703125" style="76" customWidth="1"/>
    <col min="7440" max="7440" width="4.85546875" style="76" customWidth="1"/>
    <col min="7441" max="7441" width="5.42578125" style="76" customWidth="1"/>
    <col min="7442" max="7442" width="31.28515625" style="76" customWidth="1"/>
    <col min="7443" max="7443" width="7.5703125" style="76" customWidth="1"/>
    <col min="7444" max="7444" width="2.42578125" style="76" customWidth="1"/>
    <col min="7445" max="7445" width="11.5703125" style="76" customWidth="1"/>
    <col min="7446" max="7446" width="2.42578125" style="76" customWidth="1"/>
    <col min="7447" max="7447" width="11.5703125" style="76" customWidth="1"/>
    <col min="7448" max="7448" width="2.42578125" style="76" customWidth="1"/>
    <col min="7449" max="7449" width="10.85546875" style="76" customWidth="1"/>
    <col min="7450" max="7450" width="2.42578125" style="76" customWidth="1"/>
    <col min="7451" max="7451" width="11.140625" style="76" customWidth="1"/>
    <col min="7452" max="7452" width="1.85546875" style="76" customWidth="1"/>
    <col min="7453" max="7453" width="11" style="76" customWidth="1"/>
    <col min="7454" max="7454" width="0.7109375" style="76" customWidth="1"/>
    <col min="7455" max="7455" width="1.85546875" style="76" customWidth="1"/>
    <col min="7456" max="7456" width="11.85546875" style="76" bestFit="1" customWidth="1"/>
    <col min="7457" max="7457" width="15.28515625" style="76" bestFit="1" customWidth="1"/>
    <col min="7458" max="7458" width="5" style="76" customWidth="1"/>
    <col min="7459" max="7459" width="10.42578125" style="76" bestFit="1" customWidth="1"/>
    <col min="7460" max="7460" width="5" style="76" customWidth="1"/>
    <col min="7461" max="7461" width="10.42578125" style="76" bestFit="1" customWidth="1"/>
    <col min="7462" max="7464" width="9" style="76"/>
    <col min="7465" max="7465" width="10.42578125" style="76" bestFit="1" customWidth="1"/>
    <col min="7466" max="7694" width="9" style="76"/>
    <col min="7695" max="7695" width="3.5703125" style="76" customWidth="1"/>
    <col min="7696" max="7696" width="4.85546875" style="76" customWidth="1"/>
    <col min="7697" max="7697" width="5.42578125" style="76" customWidth="1"/>
    <col min="7698" max="7698" width="31.28515625" style="76" customWidth="1"/>
    <col min="7699" max="7699" width="7.5703125" style="76" customWidth="1"/>
    <col min="7700" max="7700" width="2.42578125" style="76" customWidth="1"/>
    <col min="7701" max="7701" width="11.5703125" style="76" customWidth="1"/>
    <col min="7702" max="7702" width="2.42578125" style="76" customWidth="1"/>
    <col min="7703" max="7703" width="11.5703125" style="76" customWidth="1"/>
    <col min="7704" max="7704" width="2.42578125" style="76" customWidth="1"/>
    <col min="7705" max="7705" width="10.85546875" style="76" customWidth="1"/>
    <col min="7706" max="7706" width="2.42578125" style="76" customWidth="1"/>
    <col min="7707" max="7707" width="11.140625" style="76" customWidth="1"/>
    <col min="7708" max="7708" width="1.85546875" style="76" customWidth="1"/>
    <col min="7709" max="7709" width="11" style="76" customWidth="1"/>
    <col min="7710" max="7710" width="0.7109375" style="76" customWidth="1"/>
    <col min="7711" max="7711" width="1.85546875" style="76" customWidth="1"/>
    <col min="7712" max="7712" width="11.85546875" style="76" bestFit="1" customWidth="1"/>
    <col min="7713" max="7713" width="15.28515625" style="76" bestFit="1" customWidth="1"/>
    <col min="7714" max="7714" width="5" style="76" customWidth="1"/>
    <col min="7715" max="7715" width="10.42578125" style="76" bestFit="1" customWidth="1"/>
    <col min="7716" max="7716" width="5" style="76" customWidth="1"/>
    <col min="7717" max="7717" width="10.42578125" style="76" bestFit="1" customWidth="1"/>
    <col min="7718" max="7720" width="9" style="76"/>
    <col min="7721" max="7721" width="10.42578125" style="76" bestFit="1" customWidth="1"/>
    <col min="7722" max="7950" width="9" style="76"/>
    <col min="7951" max="7951" width="3.5703125" style="76" customWidth="1"/>
    <col min="7952" max="7952" width="4.85546875" style="76" customWidth="1"/>
    <col min="7953" max="7953" width="5.42578125" style="76" customWidth="1"/>
    <col min="7954" max="7954" width="31.28515625" style="76" customWidth="1"/>
    <col min="7955" max="7955" width="7.5703125" style="76" customWidth="1"/>
    <col min="7956" max="7956" width="2.42578125" style="76" customWidth="1"/>
    <col min="7957" max="7957" width="11.5703125" style="76" customWidth="1"/>
    <col min="7958" max="7958" width="2.42578125" style="76" customWidth="1"/>
    <col min="7959" max="7959" width="11.5703125" style="76" customWidth="1"/>
    <col min="7960" max="7960" width="2.42578125" style="76" customWidth="1"/>
    <col min="7961" max="7961" width="10.85546875" style="76" customWidth="1"/>
    <col min="7962" max="7962" width="2.42578125" style="76" customWidth="1"/>
    <col min="7963" max="7963" width="11.140625" style="76" customWidth="1"/>
    <col min="7964" max="7964" width="1.85546875" style="76" customWidth="1"/>
    <col min="7965" max="7965" width="11" style="76" customWidth="1"/>
    <col min="7966" max="7966" width="0.7109375" style="76" customWidth="1"/>
    <col min="7967" max="7967" width="1.85546875" style="76" customWidth="1"/>
    <col min="7968" max="7968" width="11.85546875" style="76" bestFit="1" customWidth="1"/>
    <col min="7969" max="7969" width="15.28515625" style="76" bestFit="1" customWidth="1"/>
    <col min="7970" max="7970" width="5" style="76" customWidth="1"/>
    <col min="7971" max="7971" width="10.42578125" style="76" bestFit="1" customWidth="1"/>
    <col min="7972" max="7972" width="5" style="76" customWidth="1"/>
    <col min="7973" max="7973" width="10.42578125" style="76" bestFit="1" customWidth="1"/>
    <col min="7974" max="7976" width="9" style="76"/>
    <col min="7977" max="7977" width="10.42578125" style="76" bestFit="1" customWidth="1"/>
    <col min="7978" max="8206" width="9" style="76"/>
    <col min="8207" max="8207" width="3.5703125" style="76" customWidth="1"/>
    <col min="8208" max="8208" width="4.85546875" style="76" customWidth="1"/>
    <col min="8209" max="8209" width="5.42578125" style="76" customWidth="1"/>
    <col min="8210" max="8210" width="31.28515625" style="76" customWidth="1"/>
    <col min="8211" max="8211" width="7.5703125" style="76" customWidth="1"/>
    <col min="8212" max="8212" width="2.42578125" style="76" customWidth="1"/>
    <col min="8213" max="8213" width="11.5703125" style="76" customWidth="1"/>
    <col min="8214" max="8214" width="2.42578125" style="76" customWidth="1"/>
    <col min="8215" max="8215" width="11.5703125" style="76" customWidth="1"/>
    <col min="8216" max="8216" width="2.42578125" style="76" customWidth="1"/>
    <col min="8217" max="8217" width="10.85546875" style="76" customWidth="1"/>
    <col min="8218" max="8218" width="2.42578125" style="76" customWidth="1"/>
    <col min="8219" max="8219" width="11.140625" style="76" customWidth="1"/>
    <col min="8220" max="8220" width="1.85546875" style="76" customWidth="1"/>
    <col min="8221" max="8221" width="11" style="76" customWidth="1"/>
    <col min="8222" max="8222" width="0.7109375" style="76" customWidth="1"/>
    <col min="8223" max="8223" width="1.85546875" style="76" customWidth="1"/>
    <col min="8224" max="8224" width="11.85546875" style="76" bestFit="1" customWidth="1"/>
    <col min="8225" max="8225" width="15.28515625" style="76" bestFit="1" customWidth="1"/>
    <col min="8226" max="8226" width="5" style="76" customWidth="1"/>
    <col min="8227" max="8227" width="10.42578125" style="76" bestFit="1" customWidth="1"/>
    <col min="8228" max="8228" width="5" style="76" customWidth="1"/>
    <col min="8229" max="8229" width="10.42578125" style="76" bestFit="1" customWidth="1"/>
    <col min="8230" max="8232" width="9" style="76"/>
    <col min="8233" max="8233" width="10.42578125" style="76" bestFit="1" customWidth="1"/>
    <col min="8234" max="8462" width="9" style="76"/>
    <col min="8463" max="8463" width="3.5703125" style="76" customWidth="1"/>
    <col min="8464" max="8464" width="4.85546875" style="76" customWidth="1"/>
    <col min="8465" max="8465" width="5.42578125" style="76" customWidth="1"/>
    <col min="8466" max="8466" width="31.28515625" style="76" customWidth="1"/>
    <col min="8467" max="8467" width="7.5703125" style="76" customWidth="1"/>
    <col min="8468" max="8468" width="2.42578125" style="76" customWidth="1"/>
    <col min="8469" max="8469" width="11.5703125" style="76" customWidth="1"/>
    <col min="8470" max="8470" width="2.42578125" style="76" customWidth="1"/>
    <col min="8471" max="8471" width="11.5703125" style="76" customWidth="1"/>
    <col min="8472" max="8472" width="2.42578125" style="76" customWidth="1"/>
    <col min="8473" max="8473" width="10.85546875" style="76" customWidth="1"/>
    <col min="8474" max="8474" width="2.42578125" style="76" customWidth="1"/>
    <col min="8475" max="8475" width="11.140625" style="76" customWidth="1"/>
    <col min="8476" max="8476" width="1.85546875" style="76" customWidth="1"/>
    <col min="8477" max="8477" width="11" style="76" customWidth="1"/>
    <col min="8478" max="8478" width="0.7109375" style="76" customWidth="1"/>
    <col min="8479" max="8479" width="1.85546875" style="76" customWidth="1"/>
    <col min="8480" max="8480" width="11.85546875" style="76" bestFit="1" customWidth="1"/>
    <col min="8481" max="8481" width="15.28515625" style="76" bestFit="1" customWidth="1"/>
    <col min="8482" max="8482" width="5" style="76" customWidth="1"/>
    <col min="8483" max="8483" width="10.42578125" style="76" bestFit="1" customWidth="1"/>
    <col min="8484" max="8484" width="5" style="76" customWidth="1"/>
    <col min="8485" max="8485" width="10.42578125" style="76" bestFit="1" customWidth="1"/>
    <col min="8486" max="8488" width="9" style="76"/>
    <col min="8489" max="8489" width="10.42578125" style="76" bestFit="1" customWidth="1"/>
    <col min="8490" max="8718" width="9" style="76"/>
    <col min="8719" max="8719" width="3.5703125" style="76" customWidth="1"/>
    <col min="8720" max="8720" width="4.85546875" style="76" customWidth="1"/>
    <col min="8721" max="8721" width="5.42578125" style="76" customWidth="1"/>
    <col min="8722" max="8722" width="31.28515625" style="76" customWidth="1"/>
    <col min="8723" max="8723" width="7.5703125" style="76" customWidth="1"/>
    <col min="8724" max="8724" width="2.42578125" style="76" customWidth="1"/>
    <col min="8725" max="8725" width="11.5703125" style="76" customWidth="1"/>
    <col min="8726" max="8726" width="2.42578125" style="76" customWidth="1"/>
    <col min="8727" max="8727" width="11.5703125" style="76" customWidth="1"/>
    <col min="8728" max="8728" width="2.42578125" style="76" customWidth="1"/>
    <col min="8729" max="8729" width="10.85546875" style="76" customWidth="1"/>
    <col min="8730" max="8730" width="2.42578125" style="76" customWidth="1"/>
    <col min="8731" max="8731" width="11.140625" style="76" customWidth="1"/>
    <col min="8732" max="8732" width="1.85546875" style="76" customWidth="1"/>
    <col min="8733" max="8733" width="11" style="76" customWidth="1"/>
    <col min="8734" max="8734" width="0.7109375" style="76" customWidth="1"/>
    <col min="8735" max="8735" width="1.85546875" style="76" customWidth="1"/>
    <col min="8736" max="8736" width="11.85546875" style="76" bestFit="1" customWidth="1"/>
    <col min="8737" max="8737" width="15.28515625" style="76" bestFit="1" customWidth="1"/>
    <col min="8738" max="8738" width="5" style="76" customWidth="1"/>
    <col min="8739" max="8739" width="10.42578125" style="76" bestFit="1" customWidth="1"/>
    <col min="8740" max="8740" width="5" style="76" customWidth="1"/>
    <col min="8741" max="8741" width="10.42578125" style="76" bestFit="1" customWidth="1"/>
    <col min="8742" max="8744" width="9" style="76"/>
    <col min="8745" max="8745" width="10.42578125" style="76" bestFit="1" customWidth="1"/>
    <col min="8746" max="8974" width="9" style="76"/>
    <col min="8975" max="8975" width="3.5703125" style="76" customWidth="1"/>
    <col min="8976" max="8976" width="4.85546875" style="76" customWidth="1"/>
    <col min="8977" max="8977" width="5.42578125" style="76" customWidth="1"/>
    <col min="8978" max="8978" width="31.28515625" style="76" customWidth="1"/>
    <col min="8979" max="8979" width="7.5703125" style="76" customWidth="1"/>
    <col min="8980" max="8980" width="2.42578125" style="76" customWidth="1"/>
    <col min="8981" max="8981" width="11.5703125" style="76" customWidth="1"/>
    <col min="8982" max="8982" width="2.42578125" style="76" customWidth="1"/>
    <col min="8983" max="8983" width="11.5703125" style="76" customWidth="1"/>
    <col min="8984" max="8984" width="2.42578125" style="76" customWidth="1"/>
    <col min="8985" max="8985" width="10.85546875" style="76" customWidth="1"/>
    <col min="8986" max="8986" width="2.42578125" style="76" customWidth="1"/>
    <col min="8987" max="8987" width="11.140625" style="76" customWidth="1"/>
    <col min="8988" max="8988" width="1.85546875" style="76" customWidth="1"/>
    <col min="8989" max="8989" width="11" style="76" customWidth="1"/>
    <col min="8990" max="8990" width="0.7109375" style="76" customWidth="1"/>
    <col min="8991" max="8991" width="1.85546875" style="76" customWidth="1"/>
    <col min="8992" max="8992" width="11.85546875" style="76" bestFit="1" customWidth="1"/>
    <col min="8993" max="8993" width="15.28515625" style="76" bestFit="1" customWidth="1"/>
    <col min="8994" max="8994" width="5" style="76" customWidth="1"/>
    <col min="8995" max="8995" width="10.42578125" style="76" bestFit="1" customWidth="1"/>
    <col min="8996" max="8996" width="5" style="76" customWidth="1"/>
    <col min="8997" max="8997" width="10.42578125" style="76" bestFit="1" customWidth="1"/>
    <col min="8998" max="9000" width="9" style="76"/>
    <col min="9001" max="9001" width="10.42578125" style="76" bestFit="1" customWidth="1"/>
    <col min="9002" max="9230" width="9" style="76"/>
    <col min="9231" max="9231" width="3.5703125" style="76" customWidth="1"/>
    <col min="9232" max="9232" width="4.85546875" style="76" customWidth="1"/>
    <col min="9233" max="9233" width="5.42578125" style="76" customWidth="1"/>
    <col min="9234" max="9234" width="31.28515625" style="76" customWidth="1"/>
    <col min="9235" max="9235" width="7.5703125" style="76" customWidth="1"/>
    <col min="9236" max="9236" width="2.42578125" style="76" customWidth="1"/>
    <col min="9237" max="9237" width="11.5703125" style="76" customWidth="1"/>
    <col min="9238" max="9238" width="2.42578125" style="76" customWidth="1"/>
    <col min="9239" max="9239" width="11.5703125" style="76" customWidth="1"/>
    <col min="9240" max="9240" width="2.42578125" style="76" customWidth="1"/>
    <col min="9241" max="9241" width="10.85546875" style="76" customWidth="1"/>
    <col min="9242" max="9242" width="2.42578125" style="76" customWidth="1"/>
    <col min="9243" max="9243" width="11.140625" style="76" customWidth="1"/>
    <col min="9244" max="9244" width="1.85546875" style="76" customWidth="1"/>
    <col min="9245" max="9245" width="11" style="76" customWidth="1"/>
    <col min="9246" max="9246" width="0.7109375" style="76" customWidth="1"/>
    <col min="9247" max="9247" width="1.85546875" style="76" customWidth="1"/>
    <col min="9248" max="9248" width="11.85546875" style="76" bestFit="1" customWidth="1"/>
    <col min="9249" max="9249" width="15.28515625" style="76" bestFit="1" customWidth="1"/>
    <col min="9250" max="9250" width="5" style="76" customWidth="1"/>
    <col min="9251" max="9251" width="10.42578125" style="76" bestFit="1" customWidth="1"/>
    <col min="9252" max="9252" width="5" style="76" customWidth="1"/>
    <col min="9253" max="9253" width="10.42578125" style="76" bestFit="1" customWidth="1"/>
    <col min="9254" max="9256" width="9" style="76"/>
    <col min="9257" max="9257" width="10.42578125" style="76" bestFit="1" customWidth="1"/>
    <col min="9258" max="9486" width="9" style="76"/>
    <col min="9487" max="9487" width="3.5703125" style="76" customWidth="1"/>
    <col min="9488" max="9488" width="4.85546875" style="76" customWidth="1"/>
    <col min="9489" max="9489" width="5.42578125" style="76" customWidth="1"/>
    <col min="9490" max="9490" width="31.28515625" style="76" customWidth="1"/>
    <col min="9491" max="9491" width="7.5703125" style="76" customWidth="1"/>
    <col min="9492" max="9492" width="2.42578125" style="76" customWidth="1"/>
    <col min="9493" max="9493" width="11.5703125" style="76" customWidth="1"/>
    <col min="9494" max="9494" width="2.42578125" style="76" customWidth="1"/>
    <col min="9495" max="9495" width="11.5703125" style="76" customWidth="1"/>
    <col min="9496" max="9496" width="2.42578125" style="76" customWidth="1"/>
    <col min="9497" max="9497" width="10.85546875" style="76" customWidth="1"/>
    <col min="9498" max="9498" width="2.42578125" style="76" customWidth="1"/>
    <col min="9499" max="9499" width="11.140625" style="76" customWidth="1"/>
    <col min="9500" max="9500" width="1.85546875" style="76" customWidth="1"/>
    <col min="9501" max="9501" width="11" style="76" customWidth="1"/>
    <col min="9502" max="9502" width="0.7109375" style="76" customWidth="1"/>
    <col min="9503" max="9503" width="1.85546875" style="76" customWidth="1"/>
    <col min="9504" max="9504" width="11.85546875" style="76" bestFit="1" customWidth="1"/>
    <col min="9505" max="9505" width="15.28515625" style="76" bestFit="1" customWidth="1"/>
    <col min="9506" max="9506" width="5" style="76" customWidth="1"/>
    <col min="9507" max="9507" width="10.42578125" style="76" bestFit="1" customWidth="1"/>
    <col min="9508" max="9508" width="5" style="76" customWidth="1"/>
    <col min="9509" max="9509" width="10.42578125" style="76" bestFit="1" customWidth="1"/>
    <col min="9510" max="9512" width="9" style="76"/>
    <col min="9513" max="9513" width="10.42578125" style="76" bestFit="1" customWidth="1"/>
    <col min="9514" max="9742" width="9" style="76"/>
    <col min="9743" max="9743" width="3.5703125" style="76" customWidth="1"/>
    <col min="9744" max="9744" width="4.85546875" style="76" customWidth="1"/>
    <col min="9745" max="9745" width="5.42578125" style="76" customWidth="1"/>
    <col min="9746" max="9746" width="31.28515625" style="76" customWidth="1"/>
    <col min="9747" max="9747" width="7.5703125" style="76" customWidth="1"/>
    <col min="9748" max="9748" width="2.42578125" style="76" customWidth="1"/>
    <col min="9749" max="9749" width="11.5703125" style="76" customWidth="1"/>
    <col min="9750" max="9750" width="2.42578125" style="76" customWidth="1"/>
    <col min="9751" max="9751" width="11.5703125" style="76" customWidth="1"/>
    <col min="9752" max="9752" width="2.42578125" style="76" customWidth="1"/>
    <col min="9753" max="9753" width="10.85546875" style="76" customWidth="1"/>
    <col min="9754" max="9754" width="2.42578125" style="76" customWidth="1"/>
    <col min="9755" max="9755" width="11.140625" style="76" customWidth="1"/>
    <col min="9756" max="9756" width="1.85546875" style="76" customWidth="1"/>
    <col min="9757" max="9757" width="11" style="76" customWidth="1"/>
    <col min="9758" max="9758" width="0.7109375" style="76" customWidth="1"/>
    <col min="9759" max="9759" width="1.85546875" style="76" customWidth="1"/>
    <col min="9760" max="9760" width="11.85546875" style="76" bestFit="1" customWidth="1"/>
    <col min="9761" max="9761" width="15.28515625" style="76" bestFit="1" customWidth="1"/>
    <col min="9762" max="9762" width="5" style="76" customWidth="1"/>
    <col min="9763" max="9763" width="10.42578125" style="76" bestFit="1" customWidth="1"/>
    <col min="9764" max="9764" width="5" style="76" customWidth="1"/>
    <col min="9765" max="9765" width="10.42578125" style="76" bestFit="1" customWidth="1"/>
    <col min="9766" max="9768" width="9" style="76"/>
    <col min="9769" max="9769" width="10.42578125" style="76" bestFit="1" customWidth="1"/>
    <col min="9770" max="9998" width="9" style="76"/>
    <col min="9999" max="9999" width="3.5703125" style="76" customWidth="1"/>
    <col min="10000" max="10000" width="4.85546875" style="76" customWidth="1"/>
    <col min="10001" max="10001" width="5.42578125" style="76" customWidth="1"/>
    <col min="10002" max="10002" width="31.28515625" style="76" customWidth="1"/>
    <col min="10003" max="10003" width="7.5703125" style="76" customWidth="1"/>
    <col min="10004" max="10004" width="2.42578125" style="76" customWidth="1"/>
    <col min="10005" max="10005" width="11.5703125" style="76" customWidth="1"/>
    <col min="10006" max="10006" width="2.42578125" style="76" customWidth="1"/>
    <col min="10007" max="10007" width="11.5703125" style="76" customWidth="1"/>
    <col min="10008" max="10008" width="2.42578125" style="76" customWidth="1"/>
    <col min="10009" max="10009" width="10.85546875" style="76" customWidth="1"/>
    <col min="10010" max="10010" width="2.42578125" style="76" customWidth="1"/>
    <col min="10011" max="10011" width="11.140625" style="76" customWidth="1"/>
    <col min="10012" max="10012" width="1.85546875" style="76" customWidth="1"/>
    <col min="10013" max="10013" width="11" style="76" customWidth="1"/>
    <col min="10014" max="10014" width="0.7109375" style="76" customWidth="1"/>
    <col min="10015" max="10015" width="1.85546875" style="76" customWidth="1"/>
    <col min="10016" max="10016" width="11.85546875" style="76" bestFit="1" customWidth="1"/>
    <col min="10017" max="10017" width="15.28515625" style="76" bestFit="1" customWidth="1"/>
    <col min="10018" max="10018" width="5" style="76" customWidth="1"/>
    <col min="10019" max="10019" width="10.42578125" style="76" bestFit="1" customWidth="1"/>
    <col min="10020" max="10020" width="5" style="76" customWidth="1"/>
    <col min="10021" max="10021" width="10.42578125" style="76" bestFit="1" customWidth="1"/>
    <col min="10022" max="10024" width="9" style="76"/>
    <col min="10025" max="10025" width="10.42578125" style="76" bestFit="1" customWidth="1"/>
    <col min="10026" max="10254" width="9" style="76"/>
    <col min="10255" max="10255" width="3.5703125" style="76" customWidth="1"/>
    <col min="10256" max="10256" width="4.85546875" style="76" customWidth="1"/>
    <col min="10257" max="10257" width="5.42578125" style="76" customWidth="1"/>
    <col min="10258" max="10258" width="31.28515625" style="76" customWidth="1"/>
    <col min="10259" max="10259" width="7.5703125" style="76" customWidth="1"/>
    <col min="10260" max="10260" width="2.42578125" style="76" customWidth="1"/>
    <col min="10261" max="10261" width="11.5703125" style="76" customWidth="1"/>
    <col min="10262" max="10262" width="2.42578125" style="76" customWidth="1"/>
    <col min="10263" max="10263" width="11.5703125" style="76" customWidth="1"/>
    <col min="10264" max="10264" width="2.42578125" style="76" customWidth="1"/>
    <col min="10265" max="10265" width="10.85546875" style="76" customWidth="1"/>
    <col min="10266" max="10266" width="2.42578125" style="76" customWidth="1"/>
    <col min="10267" max="10267" width="11.140625" style="76" customWidth="1"/>
    <col min="10268" max="10268" width="1.85546875" style="76" customWidth="1"/>
    <col min="10269" max="10269" width="11" style="76" customWidth="1"/>
    <col min="10270" max="10270" width="0.7109375" style="76" customWidth="1"/>
    <col min="10271" max="10271" width="1.85546875" style="76" customWidth="1"/>
    <col min="10272" max="10272" width="11.85546875" style="76" bestFit="1" customWidth="1"/>
    <col min="10273" max="10273" width="15.28515625" style="76" bestFit="1" customWidth="1"/>
    <col min="10274" max="10274" width="5" style="76" customWidth="1"/>
    <col min="10275" max="10275" width="10.42578125" style="76" bestFit="1" customWidth="1"/>
    <col min="10276" max="10276" width="5" style="76" customWidth="1"/>
    <col min="10277" max="10277" width="10.42578125" style="76" bestFit="1" customWidth="1"/>
    <col min="10278" max="10280" width="9" style="76"/>
    <col min="10281" max="10281" width="10.42578125" style="76" bestFit="1" customWidth="1"/>
    <col min="10282" max="10510" width="9" style="76"/>
    <col min="10511" max="10511" width="3.5703125" style="76" customWidth="1"/>
    <col min="10512" max="10512" width="4.85546875" style="76" customWidth="1"/>
    <col min="10513" max="10513" width="5.42578125" style="76" customWidth="1"/>
    <col min="10514" max="10514" width="31.28515625" style="76" customWidth="1"/>
    <col min="10515" max="10515" width="7.5703125" style="76" customWidth="1"/>
    <col min="10516" max="10516" width="2.42578125" style="76" customWidth="1"/>
    <col min="10517" max="10517" width="11.5703125" style="76" customWidth="1"/>
    <col min="10518" max="10518" width="2.42578125" style="76" customWidth="1"/>
    <col min="10519" max="10519" width="11.5703125" style="76" customWidth="1"/>
    <col min="10520" max="10520" width="2.42578125" style="76" customWidth="1"/>
    <col min="10521" max="10521" width="10.85546875" style="76" customWidth="1"/>
    <col min="10522" max="10522" width="2.42578125" style="76" customWidth="1"/>
    <col min="10523" max="10523" width="11.140625" style="76" customWidth="1"/>
    <col min="10524" max="10524" width="1.85546875" style="76" customWidth="1"/>
    <col min="10525" max="10525" width="11" style="76" customWidth="1"/>
    <col min="10526" max="10526" width="0.7109375" style="76" customWidth="1"/>
    <col min="10527" max="10527" width="1.85546875" style="76" customWidth="1"/>
    <col min="10528" max="10528" width="11.85546875" style="76" bestFit="1" customWidth="1"/>
    <col min="10529" max="10529" width="15.28515625" style="76" bestFit="1" customWidth="1"/>
    <col min="10530" max="10530" width="5" style="76" customWidth="1"/>
    <col min="10531" max="10531" width="10.42578125" style="76" bestFit="1" customWidth="1"/>
    <col min="10532" max="10532" width="5" style="76" customWidth="1"/>
    <col min="10533" max="10533" width="10.42578125" style="76" bestFit="1" customWidth="1"/>
    <col min="10534" max="10536" width="9" style="76"/>
    <col min="10537" max="10537" width="10.42578125" style="76" bestFit="1" customWidth="1"/>
    <col min="10538" max="10766" width="9" style="76"/>
    <col min="10767" max="10767" width="3.5703125" style="76" customWidth="1"/>
    <col min="10768" max="10768" width="4.85546875" style="76" customWidth="1"/>
    <col min="10769" max="10769" width="5.42578125" style="76" customWidth="1"/>
    <col min="10770" max="10770" width="31.28515625" style="76" customWidth="1"/>
    <col min="10771" max="10771" width="7.5703125" style="76" customWidth="1"/>
    <col min="10772" max="10772" width="2.42578125" style="76" customWidth="1"/>
    <col min="10773" max="10773" width="11.5703125" style="76" customWidth="1"/>
    <col min="10774" max="10774" width="2.42578125" style="76" customWidth="1"/>
    <col min="10775" max="10775" width="11.5703125" style="76" customWidth="1"/>
    <col min="10776" max="10776" width="2.42578125" style="76" customWidth="1"/>
    <col min="10777" max="10777" width="10.85546875" style="76" customWidth="1"/>
    <col min="10778" max="10778" width="2.42578125" style="76" customWidth="1"/>
    <col min="10779" max="10779" width="11.140625" style="76" customWidth="1"/>
    <col min="10780" max="10780" width="1.85546875" style="76" customWidth="1"/>
    <col min="10781" max="10781" width="11" style="76" customWidth="1"/>
    <col min="10782" max="10782" width="0.7109375" style="76" customWidth="1"/>
    <col min="10783" max="10783" width="1.85546875" style="76" customWidth="1"/>
    <col min="10784" max="10784" width="11.85546875" style="76" bestFit="1" customWidth="1"/>
    <col min="10785" max="10785" width="15.28515625" style="76" bestFit="1" customWidth="1"/>
    <col min="10786" max="10786" width="5" style="76" customWidth="1"/>
    <col min="10787" max="10787" width="10.42578125" style="76" bestFit="1" customWidth="1"/>
    <col min="10788" max="10788" width="5" style="76" customWidth="1"/>
    <col min="10789" max="10789" width="10.42578125" style="76" bestFit="1" customWidth="1"/>
    <col min="10790" max="10792" width="9" style="76"/>
    <col min="10793" max="10793" width="10.42578125" style="76" bestFit="1" customWidth="1"/>
    <col min="10794" max="11022" width="9" style="76"/>
    <col min="11023" max="11023" width="3.5703125" style="76" customWidth="1"/>
    <col min="11024" max="11024" width="4.85546875" style="76" customWidth="1"/>
    <col min="11025" max="11025" width="5.42578125" style="76" customWidth="1"/>
    <col min="11026" max="11026" width="31.28515625" style="76" customWidth="1"/>
    <col min="11027" max="11027" width="7.5703125" style="76" customWidth="1"/>
    <col min="11028" max="11028" width="2.42578125" style="76" customWidth="1"/>
    <col min="11029" max="11029" width="11.5703125" style="76" customWidth="1"/>
    <col min="11030" max="11030" width="2.42578125" style="76" customWidth="1"/>
    <col min="11031" max="11031" width="11.5703125" style="76" customWidth="1"/>
    <col min="11032" max="11032" width="2.42578125" style="76" customWidth="1"/>
    <col min="11033" max="11033" width="10.85546875" style="76" customWidth="1"/>
    <col min="11034" max="11034" width="2.42578125" style="76" customWidth="1"/>
    <col min="11035" max="11035" width="11.140625" style="76" customWidth="1"/>
    <col min="11036" max="11036" width="1.85546875" style="76" customWidth="1"/>
    <col min="11037" max="11037" width="11" style="76" customWidth="1"/>
    <col min="11038" max="11038" width="0.7109375" style="76" customWidth="1"/>
    <col min="11039" max="11039" width="1.85546875" style="76" customWidth="1"/>
    <col min="11040" max="11040" width="11.85546875" style="76" bestFit="1" customWidth="1"/>
    <col min="11041" max="11041" width="15.28515625" style="76" bestFit="1" customWidth="1"/>
    <col min="11042" max="11042" width="5" style="76" customWidth="1"/>
    <col min="11043" max="11043" width="10.42578125" style="76" bestFit="1" customWidth="1"/>
    <col min="11044" max="11044" width="5" style="76" customWidth="1"/>
    <col min="11045" max="11045" width="10.42578125" style="76" bestFit="1" customWidth="1"/>
    <col min="11046" max="11048" width="9" style="76"/>
    <col min="11049" max="11049" width="10.42578125" style="76" bestFit="1" customWidth="1"/>
    <col min="11050" max="11278" width="9" style="76"/>
    <col min="11279" max="11279" width="3.5703125" style="76" customWidth="1"/>
    <col min="11280" max="11280" width="4.85546875" style="76" customWidth="1"/>
    <col min="11281" max="11281" width="5.42578125" style="76" customWidth="1"/>
    <col min="11282" max="11282" width="31.28515625" style="76" customWidth="1"/>
    <col min="11283" max="11283" width="7.5703125" style="76" customWidth="1"/>
    <col min="11284" max="11284" width="2.42578125" style="76" customWidth="1"/>
    <col min="11285" max="11285" width="11.5703125" style="76" customWidth="1"/>
    <col min="11286" max="11286" width="2.42578125" style="76" customWidth="1"/>
    <col min="11287" max="11287" width="11.5703125" style="76" customWidth="1"/>
    <col min="11288" max="11288" width="2.42578125" style="76" customWidth="1"/>
    <col min="11289" max="11289" width="10.85546875" style="76" customWidth="1"/>
    <col min="11290" max="11290" width="2.42578125" style="76" customWidth="1"/>
    <col min="11291" max="11291" width="11.140625" style="76" customWidth="1"/>
    <col min="11292" max="11292" width="1.85546875" style="76" customWidth="1"/>
    <col min="11293" max="11293" width="11" style="76" customWidth="1"/>
    <col min="11294" max="11294" width="0.7109375" style="76" customWidth="1"/>
    <col min="11295" max="11295" width="1.85546875" style="76" customWidth="1"/>
    <col min="11296" max="11296" width="11.85546875" style="76" bestFit="1" customWidth="1"/>
    <col min="11297" max="11297" width="15.28515625" style="76" bestFit="1" customWidth="1"/>
    <col min="11298" max="11298" width="5" style="76" customWidth="1"/>
    <col min="11299" max="11299" width="10.42578125" style="76" bestFit="1" customWidth="1"/>
    <col min="11300" max="11300" width="5" style="76" customWidth="1"/>
    <col min="11301" max="11301" width="10.42578125" style="76" bestFit="1" customWidth="1"/>
    <col min="11302" max="11304" width="9" style="76"/>
    <col min="11305" max="11305" width="10.42578125" style="76" bestFit="1" customWidth="1"/>
    <col min="11306" max="11534" width="9" style="76"/>
    <col min="11535" max="11535" width="3.5703125" style="76" customWidth="1"/>
    <col min="11536" max="11536" width="4.85546875" style="76" customWidth="1"/>
    <col min="11537" max="11537" width="5.42578125" style="76" customWidth="1"/>
    <col min="11538" max="11538" width="31.28515625" style="76" customWidth="1"/>
    <col min="11539" max="11539" width="7.5703125" style="76" customWidth="1"/>
    <col min="11540" max="11540" width="2.42578125" style="76" customWidth="1"/>
    <col min="11541" max="11541" width="11.5703125" style="76" customWidth="1"/>
    <col min="11542" max="11542" width="2.42578125" style="76" customWidth="1"/>
    <col min="11543" max="11543" width="11.5703125" style="76" customWidth="1"/>
    <col min="11544" max="11544" width="2.42578125" style="76" customWidth="1"/>
    <col min="11545" max="11545" width="10.85546875" style="76" customWidth="1"/>
    <col min="11546" max="11546" width="2.42578125" style="76" customWidth="1"/>
    <col min="11547" max="11547" width="11.140625" style="76" customWidth="1"/>
    <col min="11548" max="11548" width="1.85546875" style="76" customWidth="1"/>
    <col min="11549" max="11549" width="11" style="76" customWidth="1"/>
    <col min="11550" max="11550" width="0.7109375" style="76" customWidth="1"/>
    <col min="11551" max="11551" width="1.85546875" style="76" customWidth="1"/>
    <col min="11552" max="11552" width="11.85546875" style="76" bestFit="1" customWidth="1"/>
    <col min="11553" max="11553" width="15.28515625" style="76" bestFit="1" customWidth="1"/>
    <col min="11554" max="11554" width="5" style="76" customWidth="1"/>
    <col min="11555" max="11555" width="10.42578125" style="76" bestFit="1" customWidth="1"/>
    <col min="11556" max="11556" width="5" style="76" customWidth="1"/>
    <col min="11557" max="11557" width="10.42578125" style="76" bestFit="1" customWidth="1"/>
    <col min="11558" max="11560" width="9" style="76"/>
    <col min="11561" max="11561" width="10.42578125" style="76" bestFit="1" customWidth="1"/>
    <col min="11562" max="11790" width="9" style="76"/>
    <col min="11791" max="11791" width="3.5703125" style="76" customWidth="1"/>
    <col min="11792" max="11792" width="4.85546875" style="76" customWidth="1"/>
    <col min="11793" max="11793" width="5.42578125" style="76" customWidth="1"/>
    <col min="11794" max="11794" width="31.28515625" style="76" customWidth="1"/>
    <col min="11795" max="11795" width="7.5703125" style="76" customWidth="1"/>
    <col min="11796" max="11796" width="2.42578125" style="76" customWidth="1"/>
    <col min="11797" max="11797" width="11.5703125" style="76" customWidth="1"/>
    <col min="11798" max="11798" width="2.42578125" style="76" customWidth="1"/>
    <col min="11799" max="11799" width="11.5703125" style="76" customWidth="1"/>
    <col min="11800" max="11800" width="2.42578125" style="76" customWidth="1"/>
    <col min="11801" max="11801" width="10.85546875" style="76" customWidth="1"/>
    <col min="11802" max="11802" width="2.42578125" style="76" customWidth="1"/>
    <col min="11803" max="11803" width="11.140625" style="76" customWidth="1"/>
    <col min="11804" max="11804" width="1.85546875" style="76" customWidth="1"/>
    <col min="11805" max="11805" width="11" style="76" customWidth="1"/>
    <col min="11806" max="11806" width="0.7109375" style="76" customWidth="1"/>
    <col min="11807" max="11807" width="1.85546875" style="76" customWidth="1"/>
    <col min="11808" max="11808" width="11.85546875" style="76" bestFit="1" customWidth="1"/>
    <col min="11809" max="11809" width="15.28515625" style="76" bestFit="1" customWidth="1"/>
    <col min="11810" max="11810" width="5" style="76" customWidth="1"/>
    <col min="11811" max="11811" width="10.42578125" style="76" bestFit="1" customWidth="1"/>
    <col min="11812" max="11812" width="5" style="76" customWidth="1"/>
    <col min="11813" max="11813" width="10.42578125" style="76" bestFit="1" customWidth="1"/>
    <col min="11814" max="11816" width="9" style="76"/>
    <col min="11817" max="11817" width="10.42578125" style="76" bestFit="1" customWidth="1"/>
    <col min="11818" max="12046" width="9" style="76"/>
    <col min="12047" max="12047" width="3.5703125" style="76" customWidth="1"/>
    <col min="12048" max="12048" width="4.85546875" style="76" customWidth="1"/>
    <col min="12049" max="12049" width="5.42578125" style="76" customWidth="1"/>
    <col min="12050" max="12050" width="31.28515625" style="76" customWidth="1"/>
    <col min="12051" max="12051" width="7.5703125" style="76" customWidth="1"/>
    <col min="12052" max="12052" width="2.42578125" style="76" customWidth="1"/>
    <col min="12053" max="12053" width="11.5703125" style="76" customWidth="1"/>
    <col min="12054" max="12054" width="2.42578125" style="76" customWidth="1"/>
    <col min="12055" max="12055" width="11.5703125" style="76" customWidth="1"/>
    <col min="12056" max="12056" width="2.42578125" style="76" customWidth="1"/>
    <col min="12057" max="12057" width="10.85546875" style="76" customWidth="1"/>
    <col min="12058" max="12058" width="2.42578125" style="76" customWidth="1"/>
    <col min="12059" max="12059" width="11.140625" style="76" customWidth="1"/>
    <col min="12060" max="12060" width="1.85546875" style="76" customWidth="1"/>
    <col min="12061" max="12061" width="11" style="76" customWidth="1"/>
    <col min="12062" max="12062" width="0.7109375" style="76" customWidth="1"/>
    <col min="12063" max="12063" width="1.85546875" style="76" customWidth="1"/>
    <col min="12064" max="12064" width="11.85546875" style="76" bestFit="1" customWidth="1"/>
    <col min="12065" max="12065" width="15.28515625" style="76" bestFit="1" customWidth="1"/>
    <col min="12066" max="12066" width="5" style="76" customWidth="1"/>
    <col min="12067" max="12067" width="10.42578125" style="76" bestFit="1" customWidth="1"/>
    <col min="12068" max="12068" width="5" style="76" customWidth="1"/>
    <col min="12069" max="12069" width="10.42578125" style="76" bestFit="1" customWidth="1"/>
    <col min="12070" max="12072" width="9" style="76"/>
    <col min="12073" max="12073" width="10.42578125" style="76" bestFit="1" customWidth="1"/>
    <col min="12074" max="12302" width="9" style="76"/>
    <col min="12303" max="12303" width="3.5703125" style="76" customWidth="1"/>
    <col min="12304" max="12304" width="4.85546875" style="76" customWidth="1"/>
    <col min="12305" max="12305" width="5.42578125" style="76" customWidth="1"/>
    <col min="12306" max="12306" width="31.28515625" style="76" customWidth="1"/>
    <col min="12307" max="12307" width="7.5703125" style="76" customWidth="1"/>
    <col min="12308" max="12308" width="2.42578125" style="76" customWidth="1"/>
    <col min="12309" max="12309" width="11.5703125" style="76" customWidth="1"/>
    <col min="12310" max="12310" width="2.42578125" style="76" customWidth="1"/>
    <col min="12311" max="12311" width="11.5703125" style="76" customWidth="1"/>
    <col min="12312" max="12312" width="2.42578125" style="76" customWidth="1"/>
    <col min="12313" max="12313" width="10.85546875" style="76" customWidth="1"/>
    <col min="12314" max="12314" width="2.42578125" style="76" customWidth="1"/>
    <col min="12315" max="12315" width="11.140625" style="76" customWidth="1"/>
    <col min="12316" max="12316" width="1.85546875" style="76" customWidth="1"/>
    <col min="12317" max="12317" width="11" style="76" customWidth="1"/>
    <col min="12318" max="12318" width="0.7109375" style="76" customWidth="1"/>
    <col min="12319" max="12319" width="1.85546875" style="76" customWidth="1"/>
    <col min="12320" max="12320" width="11.85546875" style="76" bestFit="1" customWidth="1"/>
    <col min="12321" max="12321" width="15.28515625" style="76" bestFit="1" customWidth="1"/>
    <col min="12322" max="12322" width="5" style="76" customWidth="1"/>
    <col min="12323" max="12323" width="10.42578125" style="76" bestFit="1" customWidth="1"/>
    <col min="12324" max="12324" width="5" style="76" customWidth="1"/>
    <col min="12325" max="12325" width="10.42578125" style="76" bestFit="1" customWidth="1"/>
    <col min="12326" max="12328" width="9" style="76"/>
    <col min="12329" max="12329" width="10.42578125" style="76" bestFit="1" customWidth="1"/>
    <col min="12330" max="12558" width="9" style="76"/>
    <col min="12559" max="12559" width="3.5703125" style="76" customWidth="1"/>
    <col min="12560" max="12560" width="4.85546875" style="76" customWidth="1"/>
    <col min="12561" max="12561" width="5.42578125" style="76" customWidth="1"/>
    <col min="12562" max="12562" width="31.28515625" style="76" customWidth="1"/>
    <col min="12563" max="12563" width="7.5703125" style="76" customWidth="1"/>
    <col min="12564" max="12564" width="2.42578125" style="76" customWidth="1"/>
    <col min="12565" max="12565" width="11.5703125" style="76" customWidth="1"/>
    <col min="12566" max="12566" width="2.42578125" style="76" customWidth="1"/>
    <col min="12567" max="12567" width="11.5703125" style="76" customWidth="1"/>
    <col min="12568" max="12568" width="2.42578125" style="76" customWidth="1"/>
    <col min="12569" max="12569" width="10.85546875" style="76" customWidth="1"/>
    <col min="12570" max="12570" width="2.42578125" style="76" customWidth="1"/>
    <col min="12571" max="12571" width="11.140625" style="76" customWidth="1"/>
    <col min="12572" max="12572" width="1.85546875" style="76" customWidth="1"/>
    <col min="12573" max="12573" width="11" style="76" customWidth="1"/>
    <col min="12574" max="12574" width="0.7109375" style="76" customWidth="1"/>
    <col min="12575" max="12575" width="1.85546875" style="76" customWidth="1"/>
    <col min="12576" max="12576" width="11.85546875" style="76" bestFit="1" customWidth="1"/>
    <col min="12577" max="12577" width="15.28515625" style="76" bestFit="1" customWidth="1"/>
    <col min="12578" max="12578" width="5" style="76" customWidth="1"/>
    <col min="12579" max="12579" width="10.42578125" style="76" bestFit="1" customWidth="1"/>
    <col min="12580" max="12580" width="5" style="76" customWidth="1"/>
    <col min="12581" max="12581" width="10.42578125" style="76" bestFit="1" customWidth="1"/>
    <col min="12582" max="12584" width="9" style="76"/>
    <col min="12585" max="12585" width="10.42578125" style="76" bestFit="1" customWidth="1"/>
    <col min="12586" max="12814" width="9" style="76"/>
    <col min="12815" max="12815" width="3.5703125" style="76" customWidth="1"/>
    <col min="12816" max="12816" width="4.85546875" style="76" customWidth="1"/>
    <col min="12817" max="12817" width="5.42578125" style="76" customWidth="1"/>
    <col min="12818" max="12818" width="31.28515625" style="76" customWidth="1"/>
    <col min="12819" max="12819" width="7.5703125" style="76" customWidth="1"/>
    <col min="12820" max="12820" width="2.42578125" style="76" customWidth="1"/>
    <col min="12821" max="12821" width="11.5703125" style="76" customWidth="1"/>
    <col min="12822" max="12822" width="2.42578125" style="76" customWidth="1"/>
    <col min="12823" max="12823" width="11.5703125" style="76" customWidth="1"/>
    <col min="12824" max="12824" width="2.42578125" style="76" customWidth="1"/>
    <col min="12825" max="12825" width="10.85546875" style="76" customWidth="1"/>
    <col min="12826" max="12826" width="2.42578125" style="76" customWidth="1"/>
    <col min="12827" max="12827" width="11.140625" style="76" customWidth="1"/>
    <col min="12828" max="12828" width="1.85546875" style="76" customWidth="1"/>
    <col min="12829" max="12829" width="11" style="76" customWidth="1"/>
    <col min="12830" max="12830" width="0.7109375" style="76" customWidth="1"/>
    <col min="12831" max="12831" width="1.85546875" style="76" customWidth="1"/>
    <col min="12832" max="12832" width="11.85546875" style="76" bestFit="1" customWidth="1"/>
    <col min="12833" max="12833" width="15.28515625" style="76" bestFit="1" customWidth="1"/>
    <col min="12834" max="12834" width="5" style="76" customWidth="1"/>
    <col min="12835" max="12835" width="10.42578125" style="76" bestFit="1" customWidth="1"/>
    <col min="12836" max="12836" width="5" style="76" customWidth="1"/>
    <col min="12837" max="12837" width="10.42578125" style="76" bestFit="1" customWidth="1"/>
    <col min="12838" max="12840" width="9" style="76"/>
    <col min="12841" max="12841" width="10.42578125" style="76" bestFit="1" customWidth="1"/>
    <col min="12842" max="13070" width="9" style="76"/>
    <col min="13071" max="13071" width="3.5703125" style="76" customWidth="1"/>
    <col min="13072" max="13072" width="4.85546875" style="76" customWidth="1"/>
    <col min="13073" max="13073" width="5.42578125" style="76" customWidth="1"/>
    <col min="13074" max="13074" width="31.28515625" style="76" customWidth="1"/>
    <col min="13075" max="13075" width="7.5703125" style="76" customWidth="1"/>
    <col min="13076" max="13076" width="2.42578125" style="76" customWidth="1"/>
    <col min="13077" max="13077" width="11.5703125" style="76" customWidth="1"/>
    <col min="13078" max="13078" width="2.42578125" style="76" customWidth="1"/>
    <col min="13079" max="13079" width="11.5703125" style="76" customWidth="1"/>
    <col min="13080" max="13080" width="2.42578125" style="76" customWidth="1"/>
    <col min="13081" max="13081" width="10.85546875" style="76" customWidth="1"/>
    <col min="13082" max="13082" width="2.42578125" style="76" customWidth="1"/>
    <col min="13083" max="13083" width="11.140625" style="76" customWidth="1"/>
    <col min="13084" max="13084" width="1.85546875" style="76" customWidth="1"/>
    <col min="13085" max="13085" width="11" style="76" customWidth="1"/>
    <col min="13086" max="13086" width="0.7109375" style="76" customWidth="1"/>
    <col min="13087" max="13087" width="1.85546875" style="76" customWidth="1"/>
    <col min="13088" max="13088" width="11.85546875" style="76" bestFit="1" customWidth="1"/>
    <col min="13089" max="13089" width="15.28515625" style="76" bestFit="1" customWidth="1"/>
    <col min="13090" max="13090" width="5" style="76" customWidth="1"/>
    <col min="13091" max="13091" width="10.42578125" style="76" bestFit="1" customWidth="1"/>
    <col min="13092" max="13092" width="5" style="76" customWidth="1"/>
    <col min="13093" max="13093" width="10.42578125" style="76" bestFit="1" customWidth="1"/>
    <col min="13094" max="13096" width="9" style="76"/>
    <col min="13097" max="13097" width="10.42578125" style="76" bestFit="1" customWidth="1"/>
    <col min="13098" max="13326" width="9" style="76"/>
    <col min="13327" max="13327" width="3.5703125" style="76" customWidth="1"/>
    <col min="13328" max="13328" width="4.85546875" style="76" customWidth="1"/>
    <col min="13329" max="13329" width="5.42578125" style="76" customWidth="1"/>
    <col min="13330" max="13330" width="31.28515625" style="76" customWidth="1"/>
    <col min="13331" max="13331" width="7.5703125" style="76" customWidth="1"/>
    <col min="13332" max="13332" width="2.42578125" style="76" customWidth="1"/>
    <col min="13333" max="13333" width="11.5703125" style="76" customWidth="1"/>
    <col min="13334" max="13334" width="2.42578125" style="76" customWidth="1"/>
    <col min="13335" max="13335" width="11.5703125" style="76" customWidth="1"/>
    <col min="13336" max="13336" width="2.42578125" style="76" customWidth="1"/>
    <col min="13337" max="13337" width="10.85546875" style="76" customWidth="1"/>
    <col min="13338" max="13338" width="2.42578125" style="76" customWidth="1"/>
    <col min="13339" max="13339" width="11.140625" style="76" customWidth="1"/>
    <col min="13340" max="13340" width="1.85546875" style="76" customWidth="1"/>
    <col min="13341" max="13341" width="11" style="76" customWidth="1"/>
    <col min="13342" max="13342" width="0.7109375" style="76" customWidth="1"/>
    <col min="13343" max="13343" width="1.85546875" style="76" customWidth="1"/>
    <col min="13344" max="13344" width="11.85546875" style="76" bestFit="1" customWidth="1"/>
    <col min="13345" max="13345" width="15.28515625" style="76" bestFit="1" customWidth="1"/>
    <col min="13346" max="13346" width="5" style="76" customWidth="1"/>
    <col min="13347" max="13347" width="10.42578125" style="76" bestFit="1" customWidth="1"/>
    <col min="13348" max="13348" width="5" style="76" customWidth="1"/>
    <col min="13349" max="13349" width="10.42578125" style="76" bestFit="1" customWidth="1"/>
    <col min="13350" max="13352" width="9" style="76"/>
    <col min="13353" max="13353" width="10.42578125" style="76" bestFit="1" customWidth="1"/>
    <col min="13354" max="13582" width="9" style="76"/>
    <col min="13583" max="13583" width="3.5703125" style="76" customWidth="1"/>
    <col min="13584" max="13584" width="4.85546875" style="76" customWidth="1"/>
    <col min="13585" max="13585" width="5.42578125" style="76" customWidth="1"/>
    <col min="13586" max="13586" width="31.28515625" style="76" customWidth="1"/>
    <col min="13587" max="13587" width="7.5703125" style="76" customWidth="1"/>
    <col min="13588" max="13588" width="2.42578125" style="76" customWidth="1"/>
    <col min="13589" max="13589" width="11.5703125" style="76" customWidth="1"/>
    <col min="13590" max="13590" width="2.42578125" style="76" customWidth="1"/>
    <col min="13591" max="13591" width="11.5703125" style="76" customWidth="1"/>
    <col min="13592" max="13592" width="2.42578125" style="76" customWidth="1"/>
    <col min="13593" max="13593" width="10.85546875" style="76" customWidth="1"/>
    <col min="13594" max="13594" width="2.42578125" style="76" customWidth="1"/>
    <col min="13595" max="13595" width="11.140625" style="76" customWidth="1"/>
    <col min="13596" max="13596" width="1.85546875" style="76" customWidth="1"/>
    <col min="13597" max="13597" width="11" style="76" customWidth="1"/>
    <col min="13598" max="13598" width="0.7109375" style="76" customWidth="1"/>
    <col min="13599" max="13599" width="1.85546875" style="76" customWidth="1"/>
    <col min="13600" max="13600" width="11.85546875" style="76" bestFit="1" customWidth="1"/>
    <col min="13601" max="13601" width="15.28515625" style="76" bestFit="1" customWidth="1"/>
    <col min="13602" max="13602" width="5" style="76" customWidth="1"/>
    <col min="13603" max="13603" width="10.42578125" style="76" bestFit="1" customWidth="1"/>
    <col min="13604" max="13604" width="5" style="76" customWidth="1"/>
    <col min="13605" max="13605" width="10.42578125" style="76" bestFit="1" customWidth="1"/>
    <col min="13606" max="13608" width="9" style="76"/>
    <col min="13609" max="13609" width="10.42578125" style="76" bestFit="1" customWidth="1"/>
    <col min="13610" max="13838" width="9" style="76"/>
    <col min="13839" max="13839" width="3.5703125" style="76" customWidth="1"/>
    <col min="13840" max="13840" width="4.85546875" style="76" customWidth="1"/>
    <col min="13841" max="13841" width="5.42578125" style="76" customWidth="1"/>
    <col min="13842" max="13842" width="31.28515625" style="76" customWidth="1"/>
    <col min="13843" max="13843" width="7.5703125" style="76" customWidth="1"/>
    <col min="13844" max="13844" width="2.42578125" style="76" customWidth="1"/>
    <col min="13845" max="13845" width="11.5703125" style="76" customWidth="1"/>
    <col min="13846" max="13846" width="2.42578125" style="76" customWidth="1"/>
    <col min="13847" max="13847" width="11.5703125" style="76" customWidth="1"/>
    <col min="13848" max="13848" width="2.42578125" style="76" customWidth="1"/>
    <col min="13849" max="13849" width="10.85546875" style="76" customWidth="1"/>
    <col min="13850" max="13850" width="2.42578125" style="76" customWidth="1"/>
    <col min="13851" max="13851" width="11.140625" style="76" customWidth="1"/>
    <col min="13852" max="13852" width="1.85546875" style="76" customWidth="1"/>
    <col min="13853" max="13853" width="11" style="76" customWidth="1"/>
    <col min="13854" max="13854" width="0.7109375" style="76" customWidth="1"/>
    <col min="13855" max="13855" width="1.85546875" style="76" customWidth="1"/>
    <col min="13856" max="13856" width="11.85546875" style="76" bestFit="1" customWidth="1"/>
    <col min="13857" max="13857" width="15.28515625" style="76" bestFit="1" customWidth="1"/>
    <col min="13858" max="13858" width="5" style="76" customWidth="1"/>
    <col min="13859" max="13859" width="10.42578125" style="76" bestFit="1" customWidth="1"/>
    <col min="13860" max="13860" width="5" style="76" customWidth="1"/>
    <col min="13861" max="13861" width="10.42578125" style="76" bestFit="1" customWidth="1"/>
    <col min="13862" max="13864" width="9" style="76"/>
    <col min="13865" max="13865" width="10.42578125" style="76" bestFit="1" customWidth="1"/>
    <col min="13866" max="14094" width="9" style="76"/>
    <col min="14095" max="14095" width="3.5703125" style="76" customWidth="1"/>
    <col min="14096" max="14096" width="4.85546875" style="76" customWidth="1"/>
    <col min="14097" max="14097" width="5.42578125" style="76" customWidth="1"/>
    <col min="14098" max="14098" width="31.28515625" style="76" customWidth="1"/>
    <col min="14099" max="14099" width="7.5703125" style="76" customWidth="1"/>
    <col min="14100" max="14100" width="2.42578125" style="76" customWidth="1"/>
    <col min="14101" max="14101" width="11.5703125" style="76" customWidth="1"/>
    <col min="14102" max="14102" width="2.42578125" style="76" customWidth="1"/>
    <col min="14103" max="14103" width="11.5703125" style="76" customWidth="1"/>
    <col min="14104" max="14104" width="2.42578125" style="76" customWidth="1"/>
    <col min="14105" max="14105" width="10.85546875" style="76" customWidth="1"/>
    <col min="14106" max="14106" width="2.42578125" style="76" customWidth="1"/>
    <col min="14107" max="14107" width="11.140625" style="76" customWidth="1"/>
    <col min="14108" max="14108" width="1.85546875" style="76" customWidth="1"/>
    <col min="14109" max="14109" width="11" style="76" customWidth="1"/>
    <col min="14110" max="14110" width="0.7109375" style="76" customWidth="1"/>
    <col min="14111" max="14111" width="1.85546875" style="76" customWidth="1"/>
    <col min="14112" max="14112" width="11.85546875" style="76" bestFit="1" customWidth="1"/>
    <col min="14113" max="14113" width="15.28515625" style="76" bestFit="1" customWidth="1"/>
    <col min="14114" max="14114" width="5" style="76" customWidth="1"/>
    <col min="14115" max="14115" width="10.42578125" style="76" bestFit="1" customWidth="1"/>
    <col min="14116" max="14116" width="5" style="76" customWidth="1"/>
    <col min="14117" max="14117" width="10.42578125" style="76" bestFit="1" customWidth="1"/>
    <col min="14118" max="14120" width="9" style="76"/>
    <col min="14121" max="14121" width="10.42578125" style="76" bestFit="1" customWidth="1"/>
    <col min="14122" max="14350" width="9" style="76"/>
    <col min="14351" max="14351" width="3.5703125" style="76" customWidth="1"/>
    <col min="14352" max="14352" width="4.85546875" style="76" customWidth="1"/>
    <col min="14353" max="14353" width="5.42578125" style="76" customWidth="1"/>
    <col min="14354" max="14354" width="31.28515625" style="76" customWidth="1"/>
    <col min="14355" max="14355" width="7.5703125" style="76" customWidth="1"/>
    <col min="14356" max="14356" width="2.42578125" style="76" customWidth="1"/>
    <col min="14357" max="14357" width="11.5703125" style="76" customWidth="1"/>
    <col min="14358" max="14358" width="2.42578125" style="76" customWidth="1"/>
    <col min="14359" max="14359" width="11.5703125" style="76" customWidth="1"/>
    <col min="14360" max="14360" width="2.42578125" style="76" customWidth="1"/>
    <col min="14361" max="14361" width="10.85546875" style="76" customWidth="1"/>
    <col min="14362" max="14362" width="2.42578125" style="76" customWidth="1"/>
    <col min="14363" max="14363" width="11.140625" style="76" customWidth="1"/>
    <col min="14364" max="14364" width="1.85546875" style="76" customWidth="1"/>
    <col min="14365" max="14365" width="11" style="76" customWidth="1"/>
    <col min="14366" max="14366" width="0.7109375" style="76" customWidth="1"/>
    <col min="14367" max="14367" width="1.85546875" style="76" customWidth="1"/>
    <col min="14368" max="14368" width="11.85546875" style="76" bestFit="1" customWidth="1"/>
    <col min="14369" max="14369" width="15.28515625" style="76" bestFit="1" customWidth="1"/>
    <col min="14370" max="14370" width="5" style="76" customWidth="1"/>
    <col min="14371" max="14371" width="10.42578125" style="76" bestFit="1" customWidth="1"/>
    <col min="14372" max="14372" width="5" style="76" customWidth="1"/>
    <col min="14373" max="14373" width="10.42578125" style="76" bestFit="1" customWidth="1"/>
    <col min="14374" max="14376" width="9" style="76"/>
    <col min="14377" max="14377" width="10.42578125" style="76" bestFit="1" customWidth="1"/>
    <col min="14378" max="14606" width="9" style="76"/>
    <col min="14607" max="14607" width="3.5703125" style="76" customWidth="1"/>
    <col min="14608" max="14608" width="4.85546875" style="76" customWidth="1"/>
    <col min="14609" max="14609" width="5.42578125" style="76" customWidth="1"/>
    <col min="14610" max="14610" width="31.28515625" style="76" customWidth="1"/>
    <col min="14611" max="14611" width="7.5703125" style="76" customWidth="1"/>
    <col min="14612" max="14612" width="2.42578125" style="76" customWidth="1"/>
    <col min="14613" max="14613" width="11.5703125" style="76" customWidth="1"/>
    <col min="14614" max="14614" width="2.42578125" style="76" customWidth="1"/>
    <col min="14615" max="14615" width="11.5703125" style="76" customWidth="1"/>
    <col min="14616" max="14616" width="2.42578125" style="76" customWidth="1"/>
    <col min="14617" max="14617" width="10.85546875" style="76" customWidth="1"/>
    <col min="14618" max="14618" width="2.42578125" style="76" customWidth="1"/>
    <col min="14619" max="14619" width="11.140625" style="76" customWidth="1"/>
    <col min="14620" max="14620" width="1.85546875" style="76" customWidth="1"/>
    <col min="14621" max="14621" width="11" style="76" customWidth="1"/>
    <col min="14622" max="14622" width="0.7109375" style="76" customWidth="1"/>
    <col min="14623" max="14623" width="1.85546875" style="76" customWidth="1"/>
    <col min="14624" max="14624" width="11.85546875" style="76" bestFit="1" customWidth="1"/>
    <col min="14625" max="14625" width="15.28515625" style="76" bestFit="1" customWidth="1"/>
    <col min="14626" max="14626" width="5" style="76" customWidth="1"/>
    <col min="14627" max="14627" width="10.42578125" style="76" bestFit="1" customWidth="1"/>
    <col min="14628" max="14628" width="5" style="76" customWidth="1"/>
    <col min="14629" max="14629" width="10.42578125" style="76" bestFit="1" customWidth="1"/>
    <col min="14630" max="14632" width="9" style="76"/>
    <col min="14633" max="14633" width="10.42578125" style="76" bestFit="1" customWidth="1"/>
    <col min="14634" max="14862" width="9" style="76"/>
    <col min="14863" max="14863" width="3.5703125" style="76" customWidth="1"/>
    <col min="14864" max="14864" width="4.85546875" style="76" customWidth="1"/>
    <col min="14865" max="14865" width="5.42578125" style="76" customWidth="1"/>
    <col min="14866" max="14866" width="31.28515625" style="76" customWidth="1"/>
    <col min="14867" max="14867" width="7.5703125" style="76" customWidth="1"/>
    <col min="14868" max="14868" width="2.42578125" style="76" customWidth="1"/>
    <col min="14869" max="14869" width="11.5703125" style="76" customWidth="1"/>
    <col min="14870" max="14870" width="2.42578125" style="76" customWidth="1"/>
    <col min="14871" max="14871" width="11.5703125" style="76" customWidth="1"/>
    <col min="14872" max="14872" width="2.42578125" style="76" customWidth="1"/>
    <col min="14873" max="14873" width="10.85546875" style="76" customWidth="1"/>
    <col min="14874" max="14874" width="2.42578125" style="76" customWidth="1"/>
    <col min="14875" max="14875" width="11.140625" style="76" customWidth="1"/>
    <col min="14876" max="14876" width="1.85546875" style="76" customWidth="1"/>
    <col min="14877" max="14877" width="11" style="76" customWidth="1"/>
    <col min="14878" max="14878" width="0.7109375" style="76" customWidth="1"/>
    <col min="14879" max="14879" width="1.85546875" style="76" customWidth="1"/>
    <col min="14880" max="14880" width="11.85546875" style="76" bestFit="1" customWidth="1"/>
    <col min="14881" max="14881" width="15.28515625" style="76" bestFit="1" customWidth="1"/>
    <col min="14882" max="14882" width="5" style="76" customWidth="1"/>
    <col min="14883" max="14883" width="10.42578125" style="76" bestFit="1" customWidth="1"/>
    <col min="14884" max="14884" width="5" style="76" customWidth="1"/>
    <col min="14885" max="14885" width="10.42578125" style="76" bestFit="1" customWidth="1"/>
    <col min="14886" max="14888" width="9" style="76"/>
    <col min="14889" max="14889" width="10.42578125" style="76" bestFit="1" customWidth="1"/>
    <col min="14890" max="15118" width="9" style="76"/>
    <col min="15119" max="15119" width="3.5703125" style="76" customWidth="1"/>
    <col min="15120" max="15120" width="4.85546875" style="76" customWidth="1"/>
    <col min="15121" max="15121" width="5.42578125" style="76" customWidth="1"/>
    <col min="15122" max="15122" width="31.28515625" style="76" customWidth="1"/>
    <col min="15123" max="15123" width="7.5703125" style="76" customWidth="1"/>
    <col min="15124" max="15124" width="2.42578125" style="76" customWidth="1"/>
    <col min="15125" max="15125" width="11.5703125" style="76" customWidth="1"/>
    <col min="15126" max="15126" width="2.42578125" style="76" customWidth="1"/>
    <col min="15127" max="15127" width="11.5703125" style="76" customWidth="1"/>
    <col min="15128" max="15128" width="2.42578125" style="76" customWidth="1"/>
    <col min="15129" max="15129" width="10.85546875" style="76" customWidth="1"/>
    <col min="15130" max="15130" width="2.42578125" style="76" customWidth="1"/>
    <col min="15131" max="15131" width="11.140625" style="76" customWidth="1"/>
    <col min="15132" max="15132" width="1.85546875" style="76" customWidth="1"/>
    <col min="15133" max="15133" width="11" style="76" customWidth="1"/>
    <col min="15134" max="15134" width="0.7109375" style="76" customWidth="1"/>
    <col min="15135" max="15135" width="1.85546875" style="76" customWidth="1"/>
    <col min="15136" max="15136" width="11.85546875" style="76" bestFit="1" customWidth="1"/>
    <col min="15137" max="15137" width="15.28515625" style="76" bestFit="1" customWidth="1"/>
    <col min="15138" max="15138" width="5" style="76" customWidth="1"/>
    <col min="15139" max="15139" width="10.42578125" style="76" bestFit="1" customWidth="1"/>
    <col min="15140" max="15140" width="5" style="76" customWidth="1"/>
    <col min="15141" max="15141" width="10.42578125" style="76" bestFit="1" customWidth="1"/>
    <col min="15142" max="15144" width="9" style="76"/>
    <col min="15145" max="15145" width="10.42578125" style="76" bestFit="1" customWidth="1"/>
    <col min="15146" max="15374" width="9" style="76"/>
    <col min="15375" max="15375" width="3.5703125" style="76" customWidth="1"/>
    <col min="15376" max="15376" width="4.85546875" style="76" customWidth="1"/>
    <col min="15377" max="15377" width="5.42578125" style="76" customWidth="1"/>
    <col min="15378" max="15378" width="31.28515625" style="76" customWidth="1"/>
    <col min="15379" max="15379" width="7.5703125" style="76" customWidth="1"/>
    <col min="15380" max="15380" width="2.42578125" style="76" customWidth="1"/>
    <col min="15381" max="15381" width="11.5703125" style="76" customWidth="1"/>
    <col min="15382" max="15382" width="2.42578125" style="76" customWidth="1"/>
    <col min="15383" max="15383" width="11.5703125" style="76" customWidth="1"/>
    <col min="15384" max="15384" width="2.42578125" style="76" customWidth="1"/>
    <col min="15385" max="15385" width="10.85546875" style="76" customWidth="1"/>
    <col min="15386" max="15386" width="2.42578125" style="76" customWidth="1"/>
    <col min="15387" max="15387" width="11.140625" style="76" customWidth="1"/>
    <col min="15388" max="15388" width="1.85546875" style="76" customWidth="1"/>
    <col min="15389" max="15389" width="11" style="76" customWidth="1"/>
    <col min="15390" max="15390" width="0.7109375" style="76" customWidth="1"/>
    <col min="15391" max="15391" width="1.85546875" style="76" customWidth="1"/>
    <col min="15392" max="15392" width="11.85546875" style="76" bestFit="1" customWidth="1"/>
    <col min="15393" max="15393" width="15.28515625" style="76" bestFit="1" customWidth="1"/>
    <col min="15394" max="15394" width="5" style="76" customWidth="1"/>
    <col min="15395" max="15395" width="10.42578125" style="76" bestFit="1" customWidth="1"/>
    <col min="15396" max="15396" width="5" style="76" customWidth="1"/>
    <col min="15397" max="15397" width="10.42578125" style="76" bestFit="1" customWidth="1"/>
    <col min="15398" max="15400" width="9" style="76"/>
    <col min="15401" max="15401" width="10.42578125" style="76" bestFit="1" customWidth="1"/>
    <col min="15402" max="15630" width="9" style="76"/>
    <col min="15631" max="15631" width="3.5703125" style="76" customWidth="1"/>
    <col min="15632" max="15632" width="4.85546875" style="76" customWidth="1"/>
    <col min="15633" max="15633" width="5.42578125" style="76" customWidth="1"/>
    <col min="15634" max="15634" width="31.28515625" style="76" customWidth="1"/>
    <col min="15635" max="15635" width="7.5703125" style="76" customWidth="1"/>
    <col min="15636" max="15636" width="2.42578125" style="76" customWidth="1"/>
    <col min="15637" max="15637" width="11.5703125" style="76" customWidth="1"/>
    <col min="15638" max="15638" width="2.42578125" style="76" customWidth="1"/>
    <col min="15639" max="15639" width="11.5703125" style="76" customWidth="1"/>
    <col min="15640" max="15640" width="2.42578125" style="76" customWidth="1"/>
    <col min="15641" max="15641" width="10.85546875" style="76" customWidth="1"/>
    <col min="15642" max="15642" width="2.42578125" style="76" customWidth="1"/>
    <col min="15643" max="15643" width="11.140625" style="76" customWidth="1"/>
    <col min="15644" max="15644" width="1.85546875" style="76" customWidth="1"/>
    <col min="15645" max="15645" width="11" style="76" customWidth="1"/>
    <col min="15646" max="15646" width="0.7109375" style="76" customWidth="1"/>
    <col min="15647" max="15647" width="1.85546875" style="76" customWidth="1"/>
    <col min="15648" max="15648" width="11.85546875" style="76" bestFit="1" customWidth="1"/>
    <col min="15649" max="15649" width="15.28515625" style="76" bestFit="1" customWidth="1"/>
    <col min="15650" max="15650" width="5" style="76" customWidth="1"/>
    <col min="15651" max="15651" width="10.42578125" style="76" bestFit="1" customWidth="1"/>
    <col min="15652" max="15652" width="5" style="76" customWidth="1"/>
    <col min="15653" max="15653" width="10.42578125" style="76" bestFit="1" customWidth="1"/>
    <col min="15654" max="15656" width="9" style="76"/>
    <col min="15657" max="15657" width="10.42578125" style="76" bestFit="1" customWidth="1"/>
    <col min="15658" max="15886" width="9" style="76"/>
    <col min="15887" max="15887" width="3.5703125" style="76" customWidth="1"/>
    <col min="15888" max="15888" width="4.85546875" style="76" customWidth="1"/>
    <col min="15889" max="15889" width="5.42578125" style="76" customWidth="1"/>
    <col min="15890" max="15890" width="31.28515625" style="76" customWidth="1"/>
    <col min="15891" max="15891" width="7.5703125" style="76" customWidth="1"/>
    <col min="15892" max="15892" width="2.42578125" style="76" customWidth="1"/>
    <col min="15893" max="15893" width="11.5703125" style="76" customWidth="1"/>
    <col min="15894" max="15894" width="2.42578125" style="76" customWidth="1"/>
    <col min="15895" max="15895" width="11.5703125" style="76" customWidth="1"/>
    <col min="15896" max="15896" width="2.42578125" style="76" customWidth="1"/>
    <col min="15897" max="15897" width="10.85546875" style="76" customWidth="1"/>
    <col min="15898" max="15898" width="2.42578125" style="76" customWidth="1"/>
    <col min="15899" max="15899" width="11.140625" style="76" customWidth="1"/>
    <col min="15900" max="15900" width="1.85546875" style="76" customWidth="1"/>
    <col min="15901" max="15901" width="11" style="76" customWidth="1"/>
    <col min="15902" max="15902" width="0.7109375" style="76" customWidth="1"/>
    <col min="15903" max="15903" width="1.85546875" style="76" customWidth="1"/>
    <col min="15904" max="15904" width="11.85546875" style="76" bestFit="1" customWidth="1"/>
    <col min="15905" max="15905" width="15.28515625" style="76" bestFit="1" customWidth="1"/>
    <col min="15906" max="15906" width="5" style="76" customWidth="1"/>
    <col min="15907" max="15907" width="10.42578125" style="76" bestFit="1" customWidth="1"/>
    <col min="15908" max="15908" width="5" style="76" customWidth="1"/>
    <col min="15909" max="15909" width="10.42578125" style="76" bestFit="1" customWidth="1"/>
    <col min="15910" max="15912" width="9" style="76"/>
    <col min="15913" max="15913" width="10.42578125" style="76" bestFit="1" customWidth="1"/>
    <col min="15914" max="16142" width="9" style="76"/>
    <col min="16143" max="16143" width="3.5703125" style="76" customWidth="1"/>
    <col min="16144" max="16144" width="4.85546875" style="76" customWidth="1"/>
    <col min="16145" max="16145" width="5.42578125" style="76" customWidth="1"/>
    <col min="16146" max="16146" width="31.28515625" style="76" customWidth="1"/>
    <col min="16147" max="16147" width="7.5703125" style="76" customWidth="1"/>
    <col min="16148" max="16148" width="2.42578125" style="76" customWidth="1"/>
    <col min="16149" max="16149" width="11.5703125" style="76" customWidth="1"/>
    <col min="16150" max="16150" width="2.42578125" style="76" customWidth="1"/>
    <col min="16151" max="16151" width="11.5703125" style="76" customWidth="1"/>
    <col min="16152" max="16152" width="2.42578125" style="76" customWidth="1"/>
    <col min="16153" max="16153" width="10.85546875" style="76" customWidth="1"/>
    <col min="16154" max="16154" width="2.42578125" style="76" customWidth="1"/>
    <col min="16155" max="16155" width="11.140625" style="76" customWidth="1"/>
    <col min="16156" max="16156" width="1.85546875" style="76" customWidth="1"/>
    <col min="16157" max="16157" width="11" style="76" customWidth="1"/>
    <col min="16158" max="16158" width="0.7109375" style="76" customWidth="1"/>
    <col min="16159" max="16159" width="1.85546875" style="76" customWidth="1"/>
    <col min="16160" max="16160" width="11.85546875" style="76" bestFit="1" customWidth="1"/>
    <col min="16161" max="16161" width="15.28515625" style="76" bestFit="1" customWidth="1"/>
    <col min="16162" max="16162" width="5" style="76" customWidth="1"/>
    <col min="16163" max="16163" width="10.42578125" style="76" bestFit="1" customWidth="1"/>
    <col min="16164" max="16164" width="5" style="76" customWidth="1"/>
    <col min="16165" max="16165" width="10.42578125" style="76" bestFit="1" customWidth="1"/>
    <col min="16166" max="16168" width="9" style="76"/>
    <col min="16169" max="16169" width="10.42578125" style="76" bestFit="1" customWidth="1"/>
    <col min="16170" max="16384" width="9" style="76"/>
  </cols>
  <sheetData>
    <row r="1" spans="1:35" s="79" customFormat="1" ht="36" x14ac:dyDescent="0.95">
      <c r="B1" s="1465" t="s">
        <v>247</v>
      </c>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c r="AA1" s="1465"/>
      <c r="AB1" s="1465"/>
      <c r="AC1" s="1465"/>
      <c r="AD1" s="1465"/>
      <c r="AE1" s="96"/>
      <c r="AF1" s="96"/>
      <c r="AG1" s="78"/>
      <c r="AH1" s="78"/>
      <c r="AI1" s="78"/>
    </row>
    <row r="2" spans="1:35" s="79" customFormat="1" ht="36" x14ac:dyDescent="0.95">
      <c r="B2" s="1466" t="s">
        <v>225</v>
      </c>
      <c r="C2" s="1466"/>
      <c r="D2" s="1466"/>
      <c r="E2" s="1466"/>
      <c r="F2" s="1466"/>
      <c r="G2" s="1466"/>
      <c r="H2" s="1466"/>
      <c r="I2" s="1466"/>
      <c r="J2" s="1466"/>
      <c r="K2" s="1466"/>
      <c r="L2" s="1466"/>
      <c r="M2" s="1466"/>
      <c r="N2" s="1466"/>
      <c r="O2" s="1466"/>
      <c r="P2" s="1466"/>
      <c r="Q2" s="1466"/>
      <c r="R2" s="1466"/>
      <c r="S2" s="1466"/>
      <c r="T2" s="1466"/>
      <c r="U2" s="1466"/>
      <c r="V2" s="1466"/>
      <c r="W2" s="1466"/>
      <c r="X2" s="1466"/>
      <c r="Y2" s="1466"/>
      <c r="Z2" s="1466"/>
      <c r="AA2" s="1466"/>
      <c r="AB2" s="1466"/>
      <c r="AC2" s="1466"/>
      <c r="AD2" s="1466"/>
      <c r="AE2" s="96"/>
      <c r="AF2" s="96"/>
      <c r="AG2" s="78"/>
      <c r="AH2" s="78"/>
      <c r="AI2" s="78"/>
    </row>
    <row r="3" spans="1:35" s="79" customFormat="1" ht="36" x14ac:dyDescent="0.95">
      <c r="B3" s="1466" t="str">
        <f>سودوزيان!A3</f>
        <v>سال مالی منتهی به 30 اسفند 1403</v>
      </c>
      <c r="C3" s="1466"/>
      <c r="D3" s="1466"/>
      <c r="E3" s="1466"/>
      <c r="F3" s="1466"/>
      <c r="G3" s="1466"/>
      <c r="H3" s="1466"/>
      <c r="I3" s="1466"/>
      <c r="J3" s="1466"/>
      <c r="K3" s="1466"/>
      <c r="L3" s="1466"/>
      <c r="M3" s="1466"/>
      <c r="N3" s="1466"/>
      <c r="O3" s="1466"/>
      <c r="P3" s="1466"/>
      <c r="Q3" s="1466"/>
      <c r="R3" s="1466"/>
      <c r="S3" s="1466"/>
      <c r="T3" s="1466"/>
      <c r="U3" s="1466"/>
      <c r="V3" s="1466"/>
      <c r="W3" s="1466"/>
      <c r="X3" s="1466"/>
      <c r="Y3" s="1466"/>
      <c r="Z3" s="1466"/>
      <c r="AA3" s="1466"/>
      <c r="AB3" s="1466"/>
      <c r="AC3" s="1466"/>
      <c r="AD3" s="1466"/>
      <c r="AE3" s="96"/>
      <c r="AF3" s="96"/>
      <c r="AG3" s="78"/>
      <c r="AH3" s="78"/>
      <c r="AI3" s="78"/>
    </row>
    <row r="4" spans="1:35" s="79" customFormat="1" ht="36" x14ac:dyDescent="0.95">
      <c r="B4" s="97"/>
      <c r="C4" s="110"/>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6"/>
      <c r="AF4" s="96"/>
      <c r="AG4" s="78"/>
      <c r="AH4" s="78"/>
      <c r="AI4" s="78"/>
    </row>
    <row r="5" spans="1:35" s="79" customFormat="1" ht="36" x14ac:dyDescent="0.95">
      <c r="B5" s="97"/>
      <c r="C5" s="110"/>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6"/>
      <c r="AF5" s="96"/>
      <c r="AG5" s="78"/>
      <c r="AH5" s="78"/>
      <c r="AI5" s="78"/>
    </row>
    <row r="6" spans="1:35" s="73" customFormat="1" x14ac:dyDescent="0.75">
      <c r="B6" s="70" t="s">
        <v>472</v>
      </c>
      <c r="C6" s="109" t="s">
        <v>465</v>
      </c>
      <c r="D6" s="82"/>
      <c r="E6" s="83"/>
      <c r="F6" s="83"/>
      <c r="G6" s="83"/>
      <c r="H6" s="83"/>
      <c r="I6" s="1468" t="s">
        <v>750</v>
      </c>
      <c r="J6" s="1468"/>
      <c r="K6" s="1468"/>
      <c r="L6" s="1468"/>
      <c r="M6" s="1468"/>
      <c r="N6" s="1468"/>
      <c r="O6" s="1468"/>
      <c r="P6" s="1468"/>
      <c r="Q6" s="1468"/>
      <c r="R6" s="1468"/>
      <c r="S6" s="1468"/>
      <c r="T6" s="1468"/>
      <c r="U6" s="1468"/>
      <c r="V6" s="1468"/>
      <c r="W6" s="1468"/>
      <c r="X6" s="1468"/>
      <c r="Y6" s="1468"/>
      <c r="Z6" s="1468"/>
      <c r="AA6" s="1468"/>
      <c r="AB6" s="1468"/>
      <c r="AC6" s="1468"/>
      <c r="AD6" s="83"/>
      <c r="AE6" s="84"/>
      <c r="AF6" s="85"/>
      <c r="AG6" s="72"/>
      <c r="AH6" s="71"/>
      <c r="AI6" s="71"/>
    </row>
    <row r="7" spans="1:35" s="86" customFormat="1" ht="69.75" customHeight="1" x14ac:dyDescent="0.25">
      <c r="B7" s="74"/>
      <c r="C7" s="69"/>
      <c r="D7" s="87"/>
      <c r="E7" s="91" t="s">
        <v>101</v>
      </c>
      <c r="F7" s="91"/>
      <c r="G7" s="91" t="s">
        <v>102</v>
      </c>
      <c r="H7" s="104"/>
      <c r="I7" s="88" t="s">
        <v>249</v>
      </c>
      <c r="J7" s="89"/>
      <c r="K7" s="88" t="s">
        <v>103</v>
      </c>
      <c r="L7" s="89"/>
      <c r="M7" s="88" t="s">
        <v>104</v>
      </c>
      <c r="N7" s="89"/>
      <c r="O7" s="88" t="s">
        <v>105</v>
      </c>
      <c r="P7" s="89"/>
      <c r="Q7" s="88" t="s">
        <v>106</v>
      </c>
      <c r="R7" s="89"/>
      <c r="S7" s="88" t="s">
        <v>107</v>
      </c>
      <c r="T7" s="89"/>
      <c r="U7" s="88" t="s">
        <v>72</v>
      </c>
      <c r="V7" s="90"/>
      <c r="W7" s="88" t="s">
        <v>108</v>
      </c>
      <c r="X7" s="89"/>
      <c r="Y7" s="88" t="s">
        <v>109</v>
      </c>
      <c r="Z7" s="89"/>
      <c r="AA7" s="91" t="s">
        <v>496</v>
      </c>
      <c r="AB7" s="89"/>
      <c r="AC7" s="88" t="s">
        <v>72</v>
      </c>
      <c r="AD7" s="92"/>
      <c r="AE7" s="93"/>
      <c r="AF7" s="94"/>
      <c r="AG7" s="95"/>
    </row>
    <row r="8" spans="1:35" ht="100.5" customHeight="1" x14ac:dyDescent="0.25">
      <c r="B8" s="1467" t="s">
        <v>231</v>
      </c>
      <c r="C8" s="1467"/>
      <c r="F8" s="92"/>
      <c r="H8" s="92"/>
      <c r="J8" s="92"/>
      <c r="L8" s="92"/>
      <c r="N8" s="92"/>
      <c r="P8" s="92"/>
      <c r="R8" s="92"/>
      <c r="T8" s="92"/>
      <c r="U8" s="92">
        <f>SUM(E8:S8)</f>
        <v>0</v>
      </c>
      <c r="V8" s="92"/>
      <c r="X8" s="92"/>
      <c r="Z8" s="92"/>
      <c r="AA8" s="92"/>
      <c r="AB8" s="92"/>
      <c r="AC8" s="92">
        <f>SUM(U8:Y8)</f>
        <v>0</v>
      </c>
    </row>
    <row r="9" spans="1:35" ht="100.5" customHeight="1" x14ac:dyDescent="0.75">
      <c r="B9" s="1464" t="s">
        <v>515</v>
      </c>
      <c r="C9" s="1464"/>
      <c r="D9" s="101"/>
      <c r="E9" s="154">
        <v>3370015495</v>
      </c>
      <c r="F9" s="154"/>
      <c r="G9" s="154">
        <v>84952600561</v>
      </c>
      <c r="H9" s="154"/>
      <c r="I9" s="154">
        <v>12033313081</v>
      </c>
      <c r="J9" s="154"/>
      <c r="K9" s="154">
        <v>43836485039</v>
      </c>
      <c r="L9" s="154"/>
      <c r="M9" s="154">
        <v>195941849441</v>
      </c>
      <c r="N9" s="154"/>
      <c r="O9" s="154">
        <v>13661344455</v>
      </c>
      <c r="P9" s="154"/>
      <c r="Q9" s="154">
        <v>55766662551</v>
      </c>
      <c r="R9" s="154"/>
      <c r="S9" s="154">
        <v>9517820170</v>
      </c>
      <c r="T9" s="154"/>
      <c r="U9" s="154">
        <f>SUM(E9:S9)</f>
        <v>419080090793</v>
      </c>
      <c r="V9" s="154"/>
      <c r="W9" s="154">
        <v>54464918803</v>
      </c>
      <c r="X9" s="154"/>
      <c r="Y9" s="154">
        <v>19255023670</v>
      </c>
      <c r="Z9" s="154"/>
      <c r="AA9" s="154">
        <v>1120359836</v>
      </c>
      <c r="AB9" s="154"/>
      <c r="AC9" s="154">
        <f>SUM(U9:AA9)</f>
        <v>493920393102</v>
      </c>
      <c r="AF9" s="81"/>
    </row>
    <row r="10" spans="1:35" ht="100.5" customHeight="1" x14ac:dyDescent="0.75">
      <c r="A10" s="76" t="s">
        <v>490</v>
      </c>
      <c r="B10" s="1464" t="s">
        <v>110</v>
      </c>
      <c r="C10" s="1464" t="s">
        <v>110</v>
      </c>
      <c r="D10" s="101"/>
      <c r="E10" s="154">
        <v>0</v>
      </c>
      <c r="F10" s="154"/>
      <c r="G10" s="154">
        <v>0</v>
      </c>
      <c r="H10" s="154"/>
      <c r="I10" s="154">
        <v>0</v>
      </c>
      <c r="J10" s="154"/>
      <c r="K10" s="154">
        <v>0</v>
      </c>
      <c r="L10" s="154"/>
      <c r="M10" s="154">
        <v>0</v>
      </c>
      <c r="N10" s="154"/>
      <c r="O10" s="154">
        <v>0</v>
      </c>
      <c r="P10" s="154"/>
      <c r="Q10" s="154">
        <v>0</v>
      </c>
      <c r="R10" s="154"/>
      <c r="S10" s="154">
        <v>0</v>
      </c>
      <c r="T10" s="154"/>
      <c r="U10" s="154">
        <v>0</v>
      </c>
      <c r="V10" s="154"/>
      <c r="W10" s="154">
        <v>25695473261</v>
      </c>
      <c r="X10" s="154"/>
      <c r="Y10" s="154">
        <v>129762465126</v>
      </c>
      <c r="Z10" s="154"/>
      <c r="AA10" s="154">
        <v>309339266</v>
      </c>
      <c r="AB10" s="154"/>
      <c r="AC10" s="154">
        <f>SUM(U10:AA10)</f>
        <v>155767277653</v>
      </c>
    </row>
    <row r="11" spans="1:35" ht="100.5" customHeight="1" x14ac:dyDescent="0.75">
      <c r="B11" s="1464" t="s">
        <v>111</v>
      </c>
      <c r="C11" s="1464" t="s">
        <v>111</v>
      </c>
      <c r="D11" s="101"/>
      <c r="E11" s="154">
        <v>0</v>
      </c>
      <c r="F11" s="154"/>
      <c r="G11" s="154">
        <v>0</v>
      </c>
      <c r="H11" s="154"/>
      <c r="I11" s="155">
        <v>-166600000</v>
      </c>
      <c r="J11" s="154"/>
      <c r="K11" s="154">
        <v>0</v>
      </c>
      <c r="L11" s="154"/>
      <c r="M11" s="155">
        <v>0</v>
      </c>
      <c r="N11" s="154"/>
      <c r="O11" s="155">
        <v>-239570000</v>
      </c>
      <c r="P11" s="154"/>
      <c r="Q11" s="156">
        <v>0</v>
      </c>
      <c r="R11" s="154"/>
      <c r="S11" s="154">
        <v>0</v>
      </c>
      <c r="T11" s="154"/>
      <c r="U11" s="155">
        <f>SUM(E11:S11)</f>
        <v>-406170000</v>
      </c>
      <c r="V11" s="154"/>
      <c r="W11" s="155">
        <v>-69233366</v>
      </c>
      <c r="X11" s="154"/>
      <c r="Y11" s="154">
        <v>0</v>
      </c>
      <c r="Z11" s="154"/>
      <c r="AA11" s="154">
        <v>0</v>
      </c>
      <c r="AB11" s="154"/>
      <c r="AC11" s="155">
        <f>SUM(U11:AA11)</f>
        <v>-475403366</v>
      </c>
    </row>
    <row r="12" spans="1:35" ht="100.5" customHeight="1" x14ac:dyDescent="0.75">
      <c r="B12" s="1464" t="s">
        <v>112</v>
      </c>
      <c r="C12" s="1464" t="s">
        <v>112</v>
      </c>
      <c r="D12" s="101"/>
      <c r="E12" s="154">
        <v>0</v>
      </c>
      <c r="F12" s="154"/>
      <c r="G12" s="154">
        <v>0</v>
      </c>
      <c r="H12" s="154"/>
      <c r="I12" s="154">
        <v>39758170033</v>
      </c>
      <c r="J12" s="154"/>
      <c r="K12" s="154">
        <v>7007816863</v>
      </c>
      <c r="L12" s="154"/>
      <c r="M12" s="154">
        <v>8352600000</v>
      </c>
      <c r="N12" s="154"/>
      <c r="O12" s="154">
        <v>0</v>
      </c>
      <c r="P12" s="154"/>
      <c r="Q12" s="154">
        <v>19263131502</v>
      </c>
      <c r="R12" s="154"/>
      <c r="S12" s="154">
        <v>9478677332</v>
      </c>
      <c r="T12" s="154"/>
      <c r="U12" s="155">
        <f>SUM(E12:S12)</f>
        <v>83860395730</v>
      </c>
      <c r="V12" s="154"/>
      <c r="W12" s="156">
        <v>0</v>
      </c>
      <c r="X12" s="154"/>
      <c r="Y12" s="155">
        <v>-103429335173</v>
      </c>
      <c r="Z12" s="154"/>
      <c r="AA12" s="157">
        <v>19568939443</v>
      </c>
      <c r="AB12" s="154"/>
      <c r="AC12" s="154">
        <f>SUM(U12:AA12)</f>
        <v>0</v>
      </c>
    </row>
    <row r="13" spans="1:35" ht="100.5" customHeight="1" x14ac:dyDescent="0.75">
      <c r="B13" s="1464" t="s">
        <v>493</v>
      </c>
      <c r="C13" s="1464" t="e">
        <f>CONCATENATE("مانده در پایان سال"," ",#REF!)</f>
        <v>#REF!</v>
      </c>
      <c r="D13" s="101"/>
      <c r="E13" s="158">
        <f>SUM(E9:E12)</f>
        <v>3370015495</v>
      </c>
      <c r="F13" s="158">
        <f t="shared" ref="F13:AB13" si="0">SUM(F9:F12)</f>
        <v>0</v>
      </c>
      <c r="G13" s="158">
        <f t="shared" si="0"/>
        <v>84952600561</v>
      </c>
      <c r="H13" s="158">
        <f t="shared" si="0"/>
        <v>0</v>
      </c>
      <c r="I13" s="158">
        <f t="shared" si="0"/>
        <v>51624883114</v>
      </c>
      <c r="J13" s="158">
        <f t="shared" si="0"/>
        <v>0</v>
      </c>
      <c r="K13" s="158">
        <f t="shared" si="0"/>
        <v>50844301902</v>
      </c>
      <c r="L13" s="158">
        <f t="shared" si="0"/>
        <v>0</v>
      </c>
      <c r="M13" s="158">
        <f t="shared" si="0"/>
        <v>204294449441</v>
      </c>
      <c r="N13" s="158">
        <f t="shared" si="0"/>
        <v>0</v>
      </c>
      <c r="O13" s="158">
        <f t="shared" si="0"/>
        <v>13421774455</v>
      </c>
      <c r="P13" s="158">
        <f t="shared" si="0"/>
        <v>0</v>
      </c>
      <c r="Q13" s="158">
        <f t="shared" si="0"/>
        <v>75029794053</v>
      </c>
      <c r="R13" s="158">
        <f t="shared" si="0"/>
        <v>0</v>
      </c>
      <c r="S13" s="158">
        <f t="shared" si="0"/>
        <v>18996497502</v>
      </c>
      <c r="T13" s="158">
        <f t="shared" si="0"/>
        <v>0</v>
      </c>
      <c r="U13" s="158">
        <f t="shared" si="0"/>
        <v>502534316523</v>
      </c>
      <c r="V13" s="158">
        <f t="shared" si="0"/>
        <v>0</v>
      </c>
      <c r="W13" s="158">
        <f t="shared" si="0"/>
        <v>80091158698</v>
      </c>
      <c r="X13" s="158">
        <f t="shared" si="0"/>
        <v>0</v>
      </c>
      <c r="Y13" s="158">
        <f t="shared" si="0"/>
        <v>45588153623</v>
      </c>
      <c r="Z13" s="158">
        <f t="shared" si="0"/>
        <v>0</v>
      </c>
      <c r="AA13" s="158">
        <f>SUM(AA9:AA12)</f>
        <v>20998638545</v>
      </c>
      <c r="AB13" s="158">
        <f t="shared" si="0"/>
        <v>0</v>
      </c>
      <c r="AC13" s="158">
        <f>SUM(AC9:AC12)</f>
        <v>649212267389</v>
      </c>
      <c r="AH13" s="81"/>
    </row>
    <row r="14" spans="1:35" ht="100.5" customHeight="1" x14ac:dyDescent="0.75">
      <c r="B14" s="108"/>
      <c r="C14" s="75" t="s">
        <v>744</v>
      </c>
      <c r="D14" s="101"/>
      <c r="E14" s="154">
        <v>0</v>
      </c>
      <c r="F14" s="154">
        <v>0</v>
      </c>
      <c r="G14" s="154">
        <v>0</v>
      </c>
      <c r="H14" s="154">
        <v>0</v>
      </c>
      <c r="I14" s="154">
        <v>0</v>
      </c>
      <c r="J14" s="154">
        <v>0</v>
      </c>
      <c r="K14" s="154">
        <v>0</v>
      </c>
      <c r="L14" s="154">
        <v>0</v>
      </c>
      <c r="M14" s="154">
        <v>0</v>
      </c>
      <c r="N14" s="154">
        <v>0</v>
      </c>
      <c r="O14" s="154">
        <v>0</v>
      </c>
      <c r="P14" s="154">
        <v>0</v>
      </c>
      <c r="Q14" s="154">
        <v>0</v>
      </c>
      <c r="R14" s="154">
        <v>0</v>
      </c>
      <c r="S14" s="154">
        <v>0</v>
      </c>
      <c r="T14" s="154">
        <v>0</v>
      </c>
      <c r="U14" s="154">
        <v>0</v>
      </c>
      <c r="V14" s="154">
        <v>0</v>
      </c>
      <c r="W14" s="154">
        <v>0</v>
      </c>
      <c r="X14" s="154"/>
      <c r="Y14" s="155">
        <v>-11031978053</v>
      </c>
      <c r="Z14" s="154"/>
      <c r="AA14" s="154">
        <v>0</v>
      </c>
      <c r="AB14" s="154">
        <v>0</v>
      </c>
      <c r="AC14" s="154">
        <v>0</v>
      </c>
      <c r="AH14" s="81"/>
    </row>
    <row r="15" spans="1:35" ht="100.5" customHeight="1" x14ac:dyDescent="0.75">
      <c r="B15" s="1464" t="s">
        <v>110</v>
      </c>
      <c r="C15" s="1464" t="s">
        <v>110</v>
      </c>
      <c r="D15" s="101"/>
      <c r="E15" s="154">
        <v>0</v>
      </c>
      <c r="F15" s="154"/>
      <c r="G15" s="154">
        <v>0</v>
      </c>
      <c r="H15" s="154"/>
      <c r="I15" s="154">
        <v>3021218572</v>
      </c>
      <c r="J15" s="154"/>
      <c r="K15" s="154">
        <v>773200000</v>
      </c>
      <c r="L15" s="154"/>
      <c r="M15" s="154">
        <v>51434571849</v>
      </c>
      <c r="N15" s="154"/>
      <c r="O15" s="159">
        <v>0</v>
      </c>
      <c r="P15" s="154"/>
      <c r="Q15" s="154">
        <v>53862573127</v>
      </c>
      <c r="R15" s="154"/>
      <c r="S15" s="154">
        <v>18781679820</v>
      </c>
      <c r="T15" s="154"/>
      <c r="U15" s="154">
        <f>SUM(E15:T15)</f>
        <v>127873243368</v>
      </c>
      <c r="V15" s="154"/>
      <c r="W15" s="160">
        <f>43759347036+669128102</f>
        <v>44428475138</v>
      </c>
      <c r="X15" s="154"/>
      <c r="Y15" s="155">
        <v>-11233132580</v>
      </c>
      <c r="Z15" s="154"/>
      <c r="AA15" s="154">
        <v>28076533810</v>
      </c>
      <c r="AB15" s="154"/>
      <c r="AC15" s="154">
        <f>AA15+Y14+W15+U15+Y15</f>
        <v>178113141683</v>
      </c>
    </row>
    <row r="16" spans="1:35" ht="100.5" customHeight="1" x14ac:dyDescent="0.75">
      <c r="B16" s="1464" t="s">
        <v>112</v>
      </c>
      <c r="C16" s="1464" t="s">
        <v>112</v>
      </c>
      <c r="D16" s="101"/>
      <c r="E16" s="154">
        <v>0</v>
      </c>
      <c r="F16" s="154"/>
      <c r="G16" s="154">
        <v>0</v>
      </c>
      <c r="H16" s="154"/>
      <c r="I16" s="154">
        <v>0</v>
      </c>
      <c r="J16" s="154"/>
      <c r="K16" s="154">
        <v>0</v>
      </c>
      <c r="L16" s="154"/>
      <c r="M16" s="154">
        <v>0</v>
      </c>
      <c r="N16" s="154"/>
      <c r="O16" s="154">
        <v>0</v>
      </c>
      <c r="P16" s="154"/>
      <c r="Q16" s="154">
        <v>0</v>
      </c>
      <c r="R16" s="154"/>
      <c r="S16" s="154">
        <v>0</v>
      </c>
      <c r="T16" s="154"/>
      <c r="U16" s="154">
        <f>SUM(E16:T16)</f>
        <v>0</v>
      </c>
      <c r="V16" s="154"/>
      <c r="W16" s="154">
        <v>0</v>
      </c>
      <c r="X16" s="154"/>
      <c r="Z16" s="154"/>
      <c r="AA16" s="155">
        <v>0</v>
      </c>
      <c r="AB16" s="154"/>
      <c r="AC16" s="155">
        <v>0</v>
      </c>
    </row>
    <row r="17" spans="1:32" ht="100.5" customHeight="1" thickBot="1" x14ac:dyDescent="0.8">
      <c r="B17" s="1464" t="s">
        <v>518</v>
      </c>
      <c r="C17" s="1464" t="e">
        <f>CONCATENATE("مانده در پایان سال"," ",#REF!)</f>
        <v>#REF!</v>
      </c>
      <c r="D17" s="101"/>
      <c r="E17" s="161">
        <f>SUM(E13:E16)</f>
        <v>3370015495</v>
      </c>
      <c r="F17" s="154"/>
      <c r="G17" s="161">
        <f>SUM(G13:G16)</f>
        <v>84952600561</v>
      </c>
      <c r="H17" s="154"/>
      <c r="I17" s="161">
        <f>SUM(I13:I16)</f>
        <v>54646101686</v>
      </c>
      <c r="J17" s="154"/>
      <c r="K17" s="161">
        <f>SUM(K13:K16)</f>
        <v>51617501902</v>
      </c>
      <c r="L17" s="154"/>
      <c r="M17" s="161">
        <f>SUM(M13:M16)</f>
        <v>255729021290</v>
      </c>
      <c r="N17" s="154"/>
      <c r="O17" s="161">
        <f>SUM(O13:O16)</f>
        <v>13421774455</v>
      </c>
      <c r="P17" s="154"/>
      <c r="Q17" s="161">
        <f>SUM(Q13:Q16)</f>
        <v>128892367180</v>
      </c>
      <c r="R17" s="154"/>
      <c r="S17" s="161">
        <f>SUM(S13:S16)</f>
        <v>37778177322</v>
      </c>
      <c r="T17" s="154"/>
      <c r="U17" s="161">
        <f>SUM(U13:U16)</f>
        <v>630407559891</v>
      </c>
      <c r="V17" s="154"/>
      <c r="W17" s="161">
        <f>SUM(W13:W16)</f>
        <v>124519633836</v>
      </c>
      <c r="X17" s="154"/>
      <c r="Y17" s="161">
        <f>SUM(Y13:Y15)</f>
        <v>23323042990</v>
      </c>
      <c r="Z17" s="154"/>
      <c r="AA17" s="161">
        <f>AA13+AA15+AA16</f>
        <v>49075172355</v>
      </c>
      <c r="AB17" s="154"/>
      <c r="AC17" s="162">
        <f>SUM(AC13:AC16)</f>
        <v>827325409072</v>
      </c>
      <c r="AF17" s="100">
        <f>SUM(AA15:AA16)</f>
        <v>28076533810</v>
      </c>
    </row>
    <row r="18" spans="1:32" ht="100.5" customHeight="1" thickTop="1" x14ac:dyDescent="0.75">
      <c r="B18" s="108"/>
      <c r="C18" s="108"/>
      <c r="D18" s="101"/>
      <c r="F18" s="92"/>
      <c r="H18" s="92"/>
      <c r="J18" s="92"/>
      <c r="L18" s="92"/>
      <c r="N18" s="92"/>
      <c r="P18" s="92"/>
      <c r="R18" s="92"/>
      <c r="T18" s="92"/>
      <c r="U18" s="92"/>
      <c r="V18" s="92"/>
      <c r="X18" s="92"/>
      <c r="Z18" s="92"/>
      <c r="AA18" s="92"/>
      <c r="AB18" s="92"/>
      <c r="AC18" s="111"/>
    </row>
    <row r="19" spans="1:32" ht="100.5" customHeight="1" x14ac:dyDescent="0.75">
      <c r="B19" s="108"/>
      <c r="C19" s="108"/>
      <c r="D19" s="101"/>
      <c r="F19" s="92"/>
      <c r="H19" s="92"/>
      <c r="J19" s="92"/>
      <c r="L19" s="92"/>
      <c r="N19" s="92"/>
      <c r="P19" s="92"/>
      <c r="R19" s="92"/>
      <c r="T19" s="92"/>
      <c r="U19" s="92"/>
      <c r="V19" s="92"/>
      <c r="X19" s="92"/>
      <c r="Z19" s="92"/>
      <c r="AA19" s="92"/>
      <c r="AB19" s="92"/>
      <c r="AC19" s="111"/>
    </row>
    <row r="20" spans="1:32" ht="32.25" customHeight="1" x14ac:dyDescent="0.25"/>
    <row r="21" spans="1:32" ht="69.75" customHeight="1" x14ac:dyDescent="0.25">
      <c r="F21" s="92"/>
      <c r="H21" s="92"/>
      <c r="J21" s="92"/>
      <c r="L21" s="92"/>
      <c r="N21" s="92"/>
      <c r="P21" s="92"/>
      <c r="R21" s="92"/>
      <c r="T21" s="92"/>
      <c r="U21" s="92"/>
      <c r="V21" s="92"/>
      <c r="X21" s="92"/>
      <c r="Z21" s="92"/>
      <c r="AA21" s="92"/>
      <c r="AB21" s="92"/>
    </row>
    <row r="22" spans="1:32" ht="69.75" customHeight="1" x14ac:dyDescent="0.25">
      <c r="F22" s="92"/>
      <c r="H22" s="92"/>
      <c r="J22" s="92"/>
      <c r="L22" s="92"/>
      <c r="N22" s="92"/>
      <c r="P22" s="92"/>
      <c r="R22" s="92"/>
      <c r="T22" s="92"/>
      <c r="U22" s="92"/>
      <c r="V22" s="92"/>
      <c r="X22" s="92"/>
      <c r="Z22" s="92"/>
      <c r="AA22" s="92"/>
      <c r="AB22" s="92"/>
    </row>
    <row r="23" spans="1:32" x14ac:dyDescent="0.25">
      <c r="A23" s="1464">
        <v>15</v>
      </c>
      <c r="B23" s="1464"/>
      <c r="C23" s="1464"/>
      <c r="D23" s="1464"/>
      <c r="E23" s="1464"/>
      <c r="F23" s="1464"/>
      <c r="G23" s="1464"/>
      <c r="H23" s="1464"/>
      <c r="I23" s="1464"/>
      <c r="J23" s="1464"/>
      <c r="K23" s="1464"/>
      <c r="L23" s="1464"/>
      <c r="M23" s="1464"/>
      <c r="N23" s="1464"/>
      <c r="O23" s="1464"/>
      <c r="P23" s="1464"/>
      <c r="Q23" s="1464"/>
      <c r="R23" s="1464"/>
      <c r="S23" s="1464"/>
      <c r="T23" s="1464"/>
      <c r="U23" s="1464"/>
      <c r="V23" s="1464"/>
      <c r="W23" s="1464"/>
      <c r="X23" s="1464"/>
      <c r="Y23" s="1464"/>
      <c r="Z23" s="1464"/>
      <c r="AA23" s="1464"/>
      <c r="AB23" s="1464"/>
      <c r="AC23" s="1464"/>
      <c r="AD23" s="1464"/>
    </row>
    <row r="24" spans="1:32" x14ac:dyDescent="0.75">
      <c r="AA24" s="103"/>
    </row>
  </sheetData>
  <customSheetViews>
    <customSheetView guid="{39716EAB-185B-4ADF-90CF-1B1041867F58}" scale="40" showPageBreaks="1" printArea="1" view="pageBreakPreview" topLeftCell="I1">
      <selection activeCell="O11" sqref="O11"/>
      <colBreaks count="1" manualBreakCount="1">
        <brk id="29" max="22" man="1"/>
      </colBreaks>
      <pageMargins left="0" right="0" top="0" bottom="0" header="0.31496062992125984" footer="0.31496062992125984"/>
      <printOptions horizontalCentered="1"/>
      <pageSetup paperSize="9" scale="27" orientation="landscape" r:id="rId1"/>
    </customSheetView>
    <customSheetView guid="{5CB8382F-C212-4512-9396-17792C62978E}" scale="40" showPageBreaks="1" printArea="1" view="pageBreakPreview" topLeftCell="I1">
      <selection activeCell="O11" sqref="O11"/>
      <colBreaks count="1" manualBreakCount="1">
        <brk id="29" max="22" man="1"/>
      </colBreaks>
      <pageMargins left="0" right="0" top="0" bottom="0" header="0.31496062992125984" footer="0.31496062992125984"/>
      <printOptions horizontalCentered="1"/>
      <pageSetup paperSize="9" scale="27" orientation="landscape" r:id="rId2"/>
    </customSheetView>
    <customSheetView guid="{184BCED3-EADB-44CF-BFDA-DA8D3E7206C0}" scale="40" showPageBreaks="1" printArea="1" view="pageBreakPreview">
      <selection activeCell="B8" sqref="B8:C8"/>
      <colBreaks count="1" manualBreakCount="1">
        <brk id="29" max="22" man="1"/>
      </colBreaks>
      <pageMargins left="0" right="0" top="0" bottom="0" header="0.31496062992125984" footer="0.31496062992125984"/>
      <printOptions horizontalCentered="1"/>
      <pageSetup paperSize="9" scale="27" orientation="landscape" r:id="rId3"/>
    </customSheetView>
  </customSheetViews>
  <mergeCells count="14">
    <mergeCell ref="A23:AD23"/>
    <mergeCell ref="B1:AD1"/>
    <mergeCell ref="B2:AD2"/>
    <mergeCell ref="B3:AD3"/>
    <mergeCell ref="B8:C8"/>
    <mergeCell ref="B9:C9"/>
    <mergeCell ref="B10:C10"/>
    <mergeCell ref="B11:C11"/>
    <mergeCell ref="B12:C12"/>
    <mergeCell ref="B13:C13"/>
    <mergeCell ref="B15:C15"/>
    <mergeCell ref="I6:AC6"/>
    <mergeCell ref="B17:C17"/>
    <mergeCell ref="B16:C16"/>
  </mergeCells>
  <printOptions horizontalCentered="1"/>
  <pageMargins left="0" right="0" top="0" bottom="0" header="0.31496062992125984" footer="0.31496062992125984"/>
  <pageSetup paperSize="9" scale="27" orientation="landscape" r:id="rId4"/>
  <colBreaks count="1" manualBreakCount="1">
    <brk id="29" max="22" man="1"/>
  </colBreaks>
  <legacyDrawing r:id="rId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P50"/>
  <sheetViews>
    <sheetView rightToLeft="1" view="pageBreakPreview" topLeftCell="A18" zoomScale="85" zoomScaleNormal="100" zoomScaleSheetLayoutView="85" workbookViewId="0">
      <selection activeCell="G39" sqref="G39:G42"/>
    </sheetView>
  </sheetViews>
  <sheetFormatPr defaultRowHeight="18" x14ac:dyDescent="0.25"/>
  <cols>
    <col min="1" max="1" width="6.85546875" style="361" customWidth="1"/>
    <col min="2" max="2" width="41.85546875" style="344" customWidth="1"/>
    <col min="3" max="3" width="0.7109375" style="344" customWidth="1"/>
    <col min="4" max="4" width="25.85546875" style="344" hidden="1" customWidth="1"/>
    <col min="5" max="5" width="9.42578125" style="344" customWidth="1"/>
    <col min="6" max="6" width="1.85546875" style="344" customWidth="1"/>
    <col min="7" max="7" width="24.85546875" style="344" bestFit="1" customWidth="1"/>
    <col min="8" max="8" width="1.85546875" style="344" customWidth="1"/>
    <col min="9" max="9" width="28.140625" style="344" customWidth="1"/>
    <col min="10" max="10" width="1.85546875" style="344" customWidth="1"/>
    <col min="11" max="11" width="1.42578125" style="344" customWidth="1"/>
    <col min="12" max="12" width="5" style="344" customWidth="1"/>
    <col min="13" max="13" width="19" style="344" bestFit="1" customWidth="1"/>
    <col min="14" max="14" width="5" style="344" customWidth="1"/>
    <col min="15" max="15" width="15" style="344" bestFit="1" customWidth="1"/>
    <col min="16" max="18" width="9" style="344"/>
    <col min="19" max="19" width="10.42578125" style="344" bestFit="1" customWidth="1"/>
    <col min="20" max="248" width="9" style="344"/>
    <col min="249" max="249" width="3.5703125" style="344" customWidth="1"/>
    <col min="250" max="250" width="4.85546875" style="344" customWidth="1"/>
    <col min="251" max="251" width="5.42578125" style="344" customWidth="1"/>
    <col min="252" max="252" width="31.28515625" style="344" customWidth="1"/>
    <col min="253" max="253" width="7.5703125" style="344" customWidth="1"/>
    <col min="254" max="254" width="2.42578125" style="344" customWidth="1"/>
    <col min="255" max="255" width="11.5703125" style="344" customWidth="1"/>
    <col min="256" max="256" width="2.42578125" style="344" customWidth="1"/>
    <col min="257" max="257" width="11.5703125" style="344" customWidth="1"/>
    <col min="258" max="258" width="2.42578125" style="344" customWidth="1"/>
    <col min="259" max="259" width="10.85546875" style="344" customWidth="1"/>
    <col min="260" max="260" width="2.42578125" style="344" customWidth="1"/>
    <col min="261" max="261" width="11.140625" style="344" customWidth="1"/>
    <col min="262" max="262" width="1.85546875" style="344" customWidth="1"/>
    <col min="263" max="263" width="11" style="344" customWidth="1"/>
    <col min="264" max="264" width="0.7109375" style="344" customWidth="1"/>
    <col min="265" max="265" width="1.85546875" style="344" customWidth="1"/>
    <col min="266" max="266" width="11.85546875" style="344" bestFit="1" customWidth="1"/>
    <col min="267" max="267" width="15.28515625" style="344" bestFit="1" customWidth="1"/>
    <col min="268" max="268" width="5" style="344" customWidth="1"/>
    <col min="269" max="269" width="10.42578125" style="344" bestFit="1" customWidth="1"/>
    <col min="270" max="270" width="5" style="344" customWidth="1"/>
    <col min="271" max="271" width="10.42578125" style="344" bestFit="1" customWidth="1"/>
    <col min="272" max="274" width="9" style="344"/>
    <col min="275" max="275" width="10.42578125" style="344" bestFit="1" customWidth="1"/>
    <col min="276" max="504" width="9" style="344"/>
    <col min="505" max="505" width="3.5703125" style="344" customWidth="1"/>
    <col min="506" max="506" width="4.85546875" style="344" customWidth="1"/>
    <col min="507" max="507" width="5.42578125" style="344" customWidth="1"/>
    <col min="508" max="508" width="31.28515625" style="344" customWidth="1"/>
    <col min="509" max="509" width="7.5703125" style="344" customWidth="1"/>
    <col min="510" max="510" width="2.42578125" style="344" customWidth="1"/>
    <col min="511" max="511" width="11.5703125" style="344" customWidth="1"/>
    <col min="512" max="512" width="2.42578125" style="344" customWidth="1"/>
    <col min="513" max="513" width="11.5703125" style="344" customWidth="1"/>
    <col min="514" max="514" width="2.42578125" style="344" customWidth="1"/>
    <col min="515" max="515" width="10.85546875" style="344" customWidth="1"/>
    <col min="516" max="516" width="2.42578125" style="344" customWidth="1"/>
    <col min="517" max="517" width="11.140625" style="344" customWidth="1"/>
    <col min="518" max="518" width="1.85546875" style="344" customWidth="1"/>
    <col min="519" max="519" width="11" style="344" customWidth="1"/>
    <col min="520" max="520" width="0.7109375" style="344" customWidth="1"/>
    <col min="521" max="521" width="1.85546875" style="344" customWidth="1"/>
    <col min="522" max="522" width="11.85546875" style="344" bestFit="1" customWidth="1"/>
    <col min="523" max="523" width="15.28515625" style="344" bestFit="1" customWidth="1"/>
    <col min="524" max="524" width="5" style="344" customWidth="1"/>
    <col min="525" max="525" width="10.42578125" style="344" bestFit="1" customWidth="1"/>
    <col min="526" max="526" width="5" style="344" customWidth="1"/>
    <col min="527" max="527" width="10.42578125" style="344" bestFit="1" customWidth="1"/>
    <col min="528" max="530" width="9" style="344"/>
    <col min="531" max="531" width="10.42578125" style="344" bestFit="1" customWidth="1"/>
    <col min="532" max="760" width="9" style="344"/>
    <col min="761" max="761" width="3.5703125" style="344" customWidth="1"/>
    <col min="762" max="762" width="4.85546875" style="344" customWidth="1"/>
    <col min="763" max="763" width="5.42578125" style="344" customWidth="1"/>
    <col min="764" max="764" width="31.28515625" style="344" customWidth="1"/>
    <col min="765" max="765" width="7.5703125" style="344" customWidth="1"/>
    <col min="766" max="766" width="2.42578125" style="344" customWidth="1"/>
    <col min="767" max="767" width="11.5703125" style="344" customWidth="1"/>
    <col min="768" max="768" width="2.42578125" style="344" customWidth="1"/>
    <col min="769" max="769" width="11.5703125" style="344" customWidth="1"/>
    <col min="770" max="770" width="2.42578125" style="344" customWidth="1"/>
    <col min="771" max="771" width="10.85546875" style="344" customWidth="1"/>
    <col min="772" max="772" width="2.42578125" style="344" customWidth="1"/>
    <col min="773" max="773" width="11.140625" style="344" customWidth="1"/>
    <col min="774" max="774" width="1.85546875" style="344" customWidth="1"/>
    <col min="775" max="775" width="11" style="344" customWidth="1"/>
    <col min="776" max="776" width="0.7109375" style="344" customWidth="1"/>
    <col min="777" max="777" width="1.85546875" style="344" customWidth="1"/>
    <col min="778" max="778" width="11.85546875" style="344" bestFit="1" customWidth="1"/>
    <col min="779" max="779" width="15.28515625" style="344" bestFit="1" customWidth="1"/>
    <col min="780" max="780" width="5" style="344" customWidth="1"/>
    <col min="781" max="781" width="10.42578125" style="344" bestFit="1" customWidth="1"/>
    <col min="782" max="782" width="5" style="344" customWidth="1"/>
    <col min="783" max="783" width="10.42578125" style="344" bestFit="1" customWidth="1"/>
    <col min="784" max="786" width="9" style="344"/>
    <col min="787" max="787" width="10.42578125" style="344" bestFit="1" customWidth="1"/>
    <col min="788" max="1016" width="9" style="344"/>
    <col min="1017" max="1017" width="3.5703125" style="344" customWidth="1"/>
    <col min="1018" max="1018" width="4.85546875" style="344" customWidth="1"/>
    <col min="1019" max="1019" width="5.42578125" style="344" customWidth="1"/>
    <col min="1020" max="1020" width="31.28515625" style="344" customWidth="1"/>
    <col min="1021" max="1021" width="7.5703125" style="344" customWidth="1"/>
    <col min="1022" max="1022" width="2.42578125" style="344" customWidth="1"/>
    <col min="1023" max="1023" width="11.5703125" style="344" customWidth="1"/>
    <col min="1024" max="1024" width="2.42578125" style="344" customWidth="1"/>
    <col min="1025" max="1025" width="11.5703125" style="344" customWidth="1"/>
    <col min="1026" max="1026" width="2.42578125" style="344" customWidth="1"/>
    <col min="1027" max="1027" width="10.85546875" style="344" customWidth="1"/>
    <col min="1028" max="1028" width="2.42578125" style="344" customWidth="1"/>
    <col min="1029" max="1029" width="11.140625" style="344" customWidth="1"/>
    <col min="1030" max="1030" width="1.85546875" style="344" customWidth="1"/>
    <col min="1031" max="1031" width="11" style="344" customWidth="1"/>
    <col min="1032" max="1032" width="0.7109375" style="344" customWidth="1"/>
    <col min="1033" max="1033" width="1.85546875" style="344" customWidth="1"/>
    <col min="1034" max="1034" width="11.85546875" style="344" bestFit="1" customWidth="1"/>
    <col min="1035" max="1035" width="15.28515625" style="344" bestFit="1" customWidth="1"/>
    <col min="1036" max="1036" width="5" style="344" customWidth="1"/>
    <col min="1037" max="1037" width="10.42578125" style="344" bestFit="1" customWidth="1"/>
    <col min="1038" max="1038" width="5" style="344" customWidth="1"/>
    <col min="1039" max="1039" width="10.42578125" style="344" bestFit="1" customWidth="1"/>
    <col min="1040" max="1042" width="9" style="344"/>
    <col min="1043" max="1043" width="10.42578125" style="344" bestFit="1" customWidth="1"/>
    <col min="1044" max="1272" width="9" style="344"/>
    <col min="1273" max="1273" width="3.5703125" style="344" customWidth="1"/>
    <col min="1274" max="1274" width="4.85546875" style="344" customWidth="1"/>
    <col min="1275" max="1275" width="5.42578125" style="344" customWidth="1"/>
    <col min="1276" max="1276" width="31.28515625" style="344" customWidth="1"/>
    <col min="1277" max="1277" width="7.5703125" style="344" customWidth="1"/>
    <col min="1278" max="1278" width="2.42578125" style="344" customWidth="1"/>
    <col min="1279" max="1279" width="11.5703125" style="344" customWidth="1"/>
    <col min="1280" max="1280" width="2.42578125" style="344" customWidth="1"/>
    <col min="1281" max="1281" width="11.5703125" style="344" customWidth="1"/>
    <col min="1282" max="1282" width="2.42578125" style="344" customWidth="1"/>
    <col min="1283" max="1283" width="10.85546875" style="344" customWidth="1"/>
    <col min="1284" max="1284" width="2.42578125" style="344" customWidth="1"/>
    <col min="1285" max="1285" width="11.140625" style="344" customWidth="1"/>
    <col min="1286" max="1286" width="1.85546875" style="344" customWidth="1"/>
    <col min="1287" max="1287" width="11" style="344" customWidth="1"/>
    <col min="1288" max="1288" width="0.7109375" style="344" customWidth="1"/>
    <col min="1289" max="1289" width="1.85546875" style="344" customWidth="1"/>
    <col min="1290" max="1290" width="11.85546875" style="344" bestFit="1" customWidth="1"/>
    <col min="1291" max="1291" width="15.28515625" style="344" bestFit="1" customWidth="1"/>
    <col min="1292" max="1292" width="5" style="344" customWidth="1"/>
    <col min="1293" max="1293" width="10.42578125" style="344" bestFit="1" customWidth="1"/>
    <col min="1294" max="1294" width="5" style="344" customWidth="1"/>
    <col min="1295" max="1295" width="10.42578125" style="344" bestFit="1" customWidth="1"/>
    <col min="1296" max="1298" width="9" style="344"/>
    <col min="1299" max="1299" width="10.42578125" style="344" bestFit="1" customWidth="1"/>
    <col min="1300" max="1528" width="9" style="344"/>
    <col min="1529" max="1529" width="3.5703125" style="344" customWidth="1"/>
    <col min="1530" max="1530" width="4.85546875" style="344" customWidth="1"/>
    <col min="1531" max="1531" width="5.42578125" style="344" customWidth="1"/>
    <col min="1532" max="1532" width="31.28515625" style="344" customWidth="1"/>
    <col min="1533" max="1533" width="7.5703125" style="344" customWidth="1"/>
    <col min="1534" max="1534" width="2.42578125" style="344" customWidth="1"/>
    <col min="1535" max="1535" width="11.5703125" style="344" customWidth="1"/>
    <col min="1536" max="1536" width="2.42578125" style="344" customWidth="1"/>
    <col min="1537" max="1537" width="11.5703125" style="344" customWidth="1"/>
    <col min="1538" max="1538" width="2.42578125" style="344" customWidth="1"/>
    <col min="1539" max="1539" width="10.85546875" style="344" customWidth="1"/>
    <col min="1540" max="1540" width="2.42578125" style="344" customWidth="1"/>
    <col min="1541" max="1541" width="11.140625" style="344" customWidth="1"/>
    <col min="1542" max="1542" width="1.85546875" style="344" customWidth="1"/>
    <col min="1543" max="1543" width="11" style="344" customWidth="1"/>
    <col min="1544" max="1544" width="0.7109375" style="344" customWidth="1"/>
    <col min="1545" max="1545" width="1.85546875" style="344" customWidth="1"/>
    <col min="1546" max="1546" width="11.85546875" style="344" bestFit="1" customWidth="1"/>
    <col min="1547" max="1547" width="15.28515625" style="344" bestFit="1" customWidth="1"/>
    <col min="1548" max="1548" width="5" style="344" customWidth="1"/>
    <col min="1549" max="1549" width="10.42578125" style="344" bestFit="1" customWidth="1"/>
    <col min="1550" max="1550" width="5" style="344" customWidth="1"/>
    <col min="1551" max="1551" width="10.42578125" style="344" bestFit="1" customWidth="1"/>
    <col min="1552" max="1554" width="9" style="344"/>
    <col min="1555" max="1555" width="10.42578125" style="344" bestFit="1" customWidth="1"/>
    <col min="1556" max="1784" width="9" style="344"/>
    <col min="1785" max="1785" width="3.5703125" style="344" customWidth="1"/>
    <col min="1786" max="1786" width="4.85546875" style="344" customWidth="1"/>
    <col min="1787" max="1787" width="5.42578125" style="344" customWidth="1"/>
    <col min="1788" max="1788" width="31.28515625" style="344" customWidth="1"/>
    <col min="1789" max="1789" width="7.5703125" style="344" customWidth="1"/>
    <col min="1790" max="1790" width="2.42578125" style="344" customWidth="1"/>
    <col min="1791" max="1791" width="11.5703125" style="344" customWidth="1"/>
    <col min="1792" max="1792" width="2.42578125" style="344" customWidth="1"/>
    <col min="1793" max="1793" width="11.5703125" style="344" customWidth="1"/>
    <col min="1794" max="1794" width="2.42578125" style="344" customWidth="1"/>
    <col min="1795" max="1795" width="10.85546875" style="344" customWidth="1"/>
    <col min="1796" max="1796" width="2.42578125" style="344" customWidth="1"/>
    <col min="1797" max="1797" width="11.140625" style="344" customWidth="1"/>
    <col min="1798" max="1798" width="1.85546875" style="344" customWidth="1"/>
    <col min="1799" max="1799" width="11" style="344" customWidth="1"/>
    <col min="1800" max="1800" width="0.7109375" style="344" customWidth="1"/>
    <col min="1801" max="1801" width="1.85546875" style="344" customWidth="1"/>
    <col min="1802" max="1802" width="11.85546875" style="344" bestFit="1" customWidth="1"/>
    <col min="1803" max="1803" width="15.28515625" style="344" bestFit="1" customWidth="1"/>
    <col min="1804" max="1804" width="5" style="344" customWidth="1"/>
    <col min="1805" max="1805" width="10.42578125" style="344" bestFit="1" customWidth="1"/>
    <col min="1806" max="1806" width="5" style="344" customWidth="1"/>
    <col min="1807" max="1807" width="10.42578125" style="344" bestFit="1" customWidth="1"/>
    <col min="1808" max="1810" width="9" style="344"/>
    <col min="1811" max="1811" width="10.42578125" style="344" bestFit="1" customWidth="1"/>
    <col min="1812" max="2040" width="9" style="344"/>
    <col min="2041" max="2041" width="3.5703125" style="344" customWidth="1"/>
    <col min="2042" max="2042" width="4.85546875" style="344" customWidth="1"/>
    <col min="2043" max="2043" width="5.42578125" style="344" customWidth="1"/>
    <col min="2044" max="2044" width="31.28515625" style="344" customWidth="1"/>
    <col min="2045" max="2045" width="7.5703125" style="344" customWidth="1"/>
    <col min="2046" max="2046" width="2.42578125" style="344" customWidth="1"/>
    <col min="2047" max="2047" width="11.5703125" style="344" customWidth="1"/>
    <col min="2048" max="2048" width="2.42578125" style="344" customWidth="1"/>
    <col min="2049" max="2049" width="11.5703125" style="344" customWidth="1"/>
    <col min="2050" max="2050" width="2.42578125" style="344" customWidth="1"/>
    <col min="2051" max="2051" width="10.85546875" style="344" customWidth="1"/>
    <col min="2052" max="2052" width="2.42578125" style="344" customWidth="1"/>
    <col min="2053" max="2053" width="11.140625" style="344" customWidth="1"/>
    <col min="2054" max="2054" width="1.85546875" style="344" customWidth="1"/>
    <col min="2055" max="2055" width="11" style="344" customWidth="1"/>
    <col min="2056" max="2056" width="0.7109375" style="344" customWidth="1"/>
    <col min="2057" max="2057" width="1.85546875" style="344" customWidth="1"/>
    <col min="2058" max="2058" width="11.85546875" style="344" bestFit="1" customWidth="1"/>
    <col min="2059" max="2059" width="15.28515625" style="344" bestFit="1" customWidth="1"/>
    <col min="2060" max="2060" width="5" style="344" customWidth="1"/>
    <col min="2061" max="2061" width="10.42578125" style="344" bestFit="1" customWidth="1"/>
    <col min="2062" max="2062" width="5" style="344" customWidth="1"/>
    <col min="2063" max="2063" width="10.42578125" style="344" bestFit="1" customWidth="1"/>
    <col min="2064" max="2066" width="9" style="344"/>
    <col min="2067" max="2067" width="10.42578125" style="344" bestFit="1" customWidth="1"/>
    <col min="2068" max="2296" width="9" style="344"/>
    <col min="2297" max="2297" width="3.5703125" style="344" customWidth="1"/>
    <col min="2298" max="2298" width="4.85546875" style="344" customWidth="1"/>
    <col min="2299" max="2299" width="5.42578125" style="344" customWidth="1"/>
    <col min="2300" max="2300" width="31.28515625" style="344" customWidth="1"/>
    <col min="2301" max="2301" width="7.5703125" style="344" customWidth="1"/>
    <col min="2302" max="2302" width="2.42578125" style="344" customWidth="1"/>
    <col min="2303" max="2303" width="11.5703125" style="344" customWidth="1"/>
    <col min="2304" max="2304" width="2.42578125" style="344" customWidth="1"/>
    <col min="2305" max="2305" width="11.5703125" style="344" customWidth="1"/>
    <col min="2306" max="2306" width="2.42578125" style="344" customWidth="1"/>
    <col min="2307" max="2307" width="10.85546875" style="344" customWidth="1"/>
    <col min="2308" max="2308" width="2.42578125" style="344" customWidth="1"/>
    <col min="2309" max="2309" width="11.140625" style="344" customWidth="1"/>
    <col min="2310" max="2310" width="1.85546875" style="344" customWidth="1"/>
    <col min="2311" max="2311" width="11" style="344" customWidth="1"/>
    <col min="2312" max="2312" width="0.7109375" style="344" customWidth="1"/>
    <col min="2313" max="2313" width="1.85546875" style="344" customWidth="1"/>
    <col min="2314" max="2314" width="11.85546875" style="344" bestFit="1" customWidth="1"/>
    <col min="2315" max="2315" width="15.28515625" style="344" bestFit="1" customWidth="1"/>
    <col min="2316" max="2316" width="5" style="344" customWidth="1"/>
    <col min="2317" max="2317" width="10.42578125" style="344" bestFit="1" customWidth="1"/>
    <col min="2318" max="2318" width="5" style="344" customWidth="1"/>
    <col min="2319" max="2319" width="10.42578125" style="344" bestFit="1" customWidth="1"/>
    <col min="2320" max="2322" width="9" style="344"/>
    <col min="2323" max="2323" width="10.42578125" style="344" bestFit="1" customWidth="1"/>
    <col min="2324" max="2552" width="9" style="344"/>
    <col min="2553" max="2553" width="3.5703125" style="344" customWidth="1"/>
    <col min="2554" max="2554" width="4.85546875" style="344" customWidth="1"/>
    <col min="2555" max="2555" width="5.42578125" style="344" customWidth="1"/>
    <col min="2556" max="2556" width="31.28515625" style="344" customWidth="1"/>
    <col min="2557" max="2557" width="7.5703125" style="344" customWidth="1"/>
    <col min="2558" max="2558" width="2.42578125" style="344" customWidth="1"/>
    <col min="2559" max="2559" width="11.5703125" style="344" customWidth="1"/>
    <col min="2560" max="2560" width="2.42578125" style="344" customWidth="1"/>
    <col min="2561" max="2561" width="11.5703125" style="344" customWidth="1"/>
    <col min="2562" max="2562" width="2.42578125" style="344" customWidth="1"/>
    <col min="2563" max="2563" width="10.85546875" style="344" customWidth="1"/>
    <col min="2564" max="2564" width="2.42578125" style="344" customWidth="1"/>
    <col min="2565" max="2565" width="11.140625" style="344" customWidth="1"/>
    <col min="2566" max="2566" width="1.85546875" style="344" customWidth="1"/>
    <col min="2567" max="2567" width="11" style="344" customWidth="1"/>
    <col min="2568" max="2568" width="0.7109375" style="344" customWidth="1"/>
    <col min="2569" max="2569" width="1.85546875" style="344" customWidth="1"/>
    <col min="2570" max="2570" width="11.85546875" style="344" bestFit="1" customWidth="1"/>
    <col min="2571" max="2571" width="15.28515625" style="344" bestFit="1" customWidth="1"/>
    <col min="2572" max="2572" width="5" style="344" customWidth="1"/>
    <col min="2573" max="2573" width="10.42578125" style="344" bestFit="1" customWidth="1"/>
    <col min="2574" max="2574" width="5" style="344" customWidth="1"/>
    <col min="2575" max="2575" width="10.42578125" style="344" bestFit="1" customWidth="1"/>
    <col min="2576" max="2578" width="9" style="344"/>
    <col min="2579" max="2579" width="10.42578125" style="344" bestFit="1" customWidth="1"/>
    <col min="2580" max="2808" width="9" style="344"/>
    <col min="2809" max="2809" width="3.5703125" style="344" customWidth="1"/>
    <col min="2810" max="2810" width="4.85546875" style="344" customWidth="1"/>
    <col min="2811" max="2811" width="5.42578125" style="344" customWidth="1"/>
    <col min="2812" max="2812" width="31.28515625" style="344" customWidth="1"/>
    <col min="2813" max="2813" width="7.5703125" style="344" customWidth="1"/>
    <col min="2814" max="2814" width="2.42578125" style="344" customWidth="1"/>
    <col min="2815" max="2815" width="11.5703125" style="344" customWidth="1"/>
    <col min="2816" max="2816" width="2.42578125" style="344" customWidth="1"/>
    <col min="2817" max="2817" width="11.5703125" style="344" customWidth="1"/>
    <col min="2818" max="2818" width="2.42578125" style="344" customWidth="1"/>
    <col min="2819" max="2819" width="10.85546875" style="344" customWidth="1"/>
    <col min="2820" max="2820" width="2.42578125" style="344" customWidth="1"/>
    <col min="2821" max="2821" width="11.140625" style="344" customWidth="1"/>
    <col min="2822" max="2822" width="1.85546875" style="344" customWidth="1"/>
    <col min="2823" max="2823" width="11" style="344" customWidth="1"/>
    <col min="2824" max="2824" width="0.7109375" style="344" customWidth="1"/>
    <col min="2825" max="2825" width="1.85546875" style="344" customWidth="1"/>
    <col min="2826" max="2826" width="11.85546875" style="344" bestFit="1" customWidth="1"/>
    <col min="2827" max="2827" width="15.28515625" style="344" bestFit="1" customWidth="1"/>
    <col min="2828" max="2828" width="5" style="344" customWidth="1"/>
    <col min="2829" max="2829" width="10.42578125" style="344" bestFit="1" customWidth="1"/>
    <col min="2830" max="2830" width="5" style="344" customWidth="1"/>
    <col min="2831" max="2831" width="10.42578125" style="344" bestFit="1" customWidth="1"/>
    <col min="2832" max="2834" width="9" style="344"/>
    <col min="2835" max="2835" width="10.42578125" style="344" bestFit="1" customWidth="1"/>
    <col min="2836" max="3064" width="9" style="344"/>
    <col min="3065" max="3065" width="3.5703125" style="344" customWidth="1"/>
    <col min="3066" max="3066" width="4.85546875" style="344" customWidth="1"/>
    <col min="3067" max="3067" width="5.42578125" style="344" customWidth="1"/>
    <col min="3068" max="3068" width="31.28515625" style="344" customWidth="1"/>
    <col min="3069" max="3069" width="7.5703125" style="344" customWidth="1"/>
    <col min="3070" max="3070" width="2.42578125" style="344" customWidth="1"/>
    <col min="3071" max="3071" width="11.5703125" style="344" customWidth="1"/>
    <col min="3072" max="3072" width="2.42578125" style="344" customWidth="1"/>
    <col min="3073" max="3073" width="11.5703125" style="344" customWidth="1"/>
    <col min="3074" max="3074" width="2.42578125" style="344" customWidth="1"/>
    <col min="3075" max="3075" width="10.85546875" style="344" customWidth="1"/>
    <col min="3076" max="3076" width="2.42578125" style="344" customWidth="1"/>
    <col min="3077" max="3077" width="11.140625" style="344" customWidth="1"/>
    <col min="3078" max="3078" width="1.85546875" style="344" customWidth="1"/>
    <col min="3079" max="3079" width="11" style="344" customWidth="1"/>
    <col min="3080" max="3080" width="0.7109375" style="344" customWidth="1"/>
    <col min="3081" max="3081" width="1.85546875" style="344" customWidth="1"/>
    <col min="3082" max="3082" width="11.85546875" style="344" bestFit="1" customWidth="1"/>
    <col min="3083" max="3083" width="15.28515625" style="344" bestFit="1" customWidth="1"/>
    <col min="3084" max="3084" width="5" style="344" customWidth="1"/>
    <col min="3085" max="3085" width="10.42578125" style="344" bestFit="1" customWidth="1"/>
    <col min="3086" max="3086" width="5" style="344" customWidth="1"/>
    <col min="3087" max="3087" width="10.42578125" style="344" bestFit="1" customWidth="1"/>
    <col min="3088" max="3090" width="9" style="344"/>
    <col min="3091" max="3091" width="10.42578125" style="344" bestFit="1" customWidth="1"/>
    <col min="3092" max="3320" width="9" style="344"/>
    <col min="3321" max="3321" width="3.5703125" style="344" customWidth="1"/>
    <col min="3322" max="3322" width="4.85546875" style="344" customWidth="1"/>
    <col min="3323" max="3323" width="5.42578125" style="344" customWidth="1"/>
    <col min="3324" max="3324" width="31.28515625" style="344" customWidth="1"/>
    <col min="3325" max="3325" width="7.5703125" style="344" customWidth="1"/>
    <col min="3326" max="3326" width="2.42578125" style="344" customWidth="1"/>
    <col min="3327" max="3327" width="11.5703125" style="344" customWidth="1"/>
    <col min="3328" max="3328" width="2.42578125" style="344" customWidth="1"/>
    <col min="3329" max="3329" width="11.5703125" style="344" customWidth="1"/>
    <col min="3330" max="3330" width="2.42578125" style="344" customWidth="1"/>
    <col min="3331" max="3331" width="10.85546875" style="344" customWidth="1"/>
    <col min="3332" max="3332" width="2.42578125" style="344" customWidth="1"/>
    <col min="3333" max="3333" width="11.140625" style="344" customWidth="1"/>
    <col min="3334" max="3334" width="1.85546875" style="344" customWidth="1"/>
    <col min="3335" max="3335" width="11" style="344" customWidth="1"/>
    <col min="3336" max="3336" width="0.7109375" style="344" customWidth="1"/>
    <col min="3337" max="3337" width="1.85546875" style="344" customWidth="1"/>
    <col min="3338" max="3338" width="11.85546875" style="344" bestFit="1" customWidth="1"/>
    <col min="3339" max="3339" width="15.28515625" style="344" bestFit="1" customWidth="1"/>
    <col min="3340" max="3340" width="5" style="344" customWidth="1"/>
    <col min="3341" max="3341" width="10.42578125" style="344" bestFit="1" customWidth="1"/>
    <col min="3342" max="3342" width="5" style="344" customWidth="1"/>
    <col min="3343" max="3343" width="10.42578125" style="344" bestFit="1" customWidth="1"/>
    <col min="3344" max="3346" width="9" style="344"/>
    <col min="3347" max="3347" width="10.42578125" style="344" bestFit="1" customWidth="1"/>
    <col min="3348" max="3576" width="9" style="344"/>
    <col min="3577" max="3577" width="3.5703125" style="344" customWidth="1"/>
    <col min="3578" max="3578" width="4.85546875" style="344" customWidth="1"/>
    <col min="3579" max="3579" width="5.42578125" style="344" customWidth="1"/>
    <col min="3580" max="3580" width="31.28515625" style="344" customWidth="1"/>
    <col min="3581" max="3581" width="7.5703125" style="344" customWidth="1"/>
    <col min="3582" max="3582" width="2.42578125" style="344" customWidth="1"/>
    <col min="3583" max="3583" width="11.5703125" style="344" customWidth="1"/>
    <col min="3584" max="3584" width="2.42578125" style="344" customWidth="1"/>
    <col min="3585" max="3585" width="11.5703125" style="344" customWidth="1"/>
    <col min="3586" max="3586" width="2.42578125" style="344" customWidth="1"/>
    <col min="3587" max="3587" width="10.85546875" style="344" customWidth="1"/>
    <col min="3588" max="3588" width="2.42578125" style="344" customWidth="1"/>
    <col min="3589" max="3589" width="11.140625" style="344" customWidth="1"/>
    <col min="3590" max="3590" width="1.85546875" style="344" customWidth="1"/>
    <col min="3591" max="3591" width="11" style="344" customWidth="1"/>
    <col min="3592" max="3592" width="0.7109375" style="344" customWidth="1"/>
    <col min="3593" max="3593" width="1.85546875" style="344" customWidth="1"/>
    <col min="3594" max="3594" width="11.85546875" style="344" bestFit="1" customWidth="1"/>
    <col min="3595" max="3595" width="15.28515625" style="344" bestFit="1" customWidth="1"/>
    <col min="3596" max="3596" width="5" style="344" customWidth="1"/>
    <col min="3597" max="3597" width="10.42578125" style="344" bestFit="1" customWidth="1"/>
    <col min="3598" max="3598" width="5" style="344" customWidth="1"/>
    <col min="3599" max="3599" width="10.42578125" style="344" bestFit="1" customWidth="1"/>
    <col min="3600" max="3602" width="9" style="344"/>
    <col min="3603" max="3603" width="10.42578125" style="344" bestFit="1" customWidth="1"/>
    <col min="3604" max="3832" width="9" style="344"/>
    <col min="3833" max="3833" width="3.5703125" style="344" customWidth="1"/>
    <col min="3834" max="3834" width="4.85546875" style="344" customWidth="1"/>
    <col min="3835" max="3835" width="5.42578125" style="344" customWidth="1"/>
    <col min="3836" max="3836" width="31.28515625" style="344" customWidth="1"/>
    <col min="3837" max="3837" width="7.5703125" style="344" customWidth="1"/>
    <col min="3838" max="3838" width="2.42578125" style="344" customWidth="1"/>
    <col min="3839" max="3839" width="11.5703125" style="344" customWidth="1"/>
    <col min="3840" max="3840" width="2.42578125" style="344" customWidth="1"/>
    <col min="3841" max="3841" width="11.5703125" style="344" customWidth="1"/>
    <col min="3842" max="3842" width="2.42578125" style="344" customWidth="1"/>
    <col min="3843" max="3843" width="10.85546875" style="344" customWidth="1"/>
    <col min="3844" max="3844" width="2.42578125" style="344" customWidth="1"/>
    <col min="3845" max="3845" width="11.140625" style="344" customWidth="1"/>
    <col min="3846" max="3846" width="1.85546875" style="344" customWidth="1"/>
    <col min="3847" max="3847" width="11" style="344" customWidth="1"/>
    <col min="3848" max="3848" width="0.7109375" style="344" customWidth="1"/>
    <col min="3849" max="3849" width="1.85546875" style="344" customWidth="1"/>
    <col min="3850" max="3850" width="11.85546875" style="344" bestFit="1" customWidth="1"/>
    <col min="3851" max="3851" width="15.28515625" style="344" bestFit="1" customWidth="1"/>
    <col min="3852" max="3852" width="5" style="344" customWidth="1"/>
    <col min="3853" max="3853" width="10.42578125" style="344" bestFit="1" customWidth="1"/>
    <col min="3854" max="3854" width="5" style="344" customWidth="1"/>
    <col min="3855" max="3855" width="10.42578125" style="344" bestFit="1" customWidth="1"/>
    <col min="3856" max="3858" width="9" style="344"/>
    <col min="3859" max="3859" width="10.42578125" style="344" bestFit="1" customWidth="1"/>
    <col min="3860" max="4088" width="9" style="344"/>
    <col min="4089" max="4089" width="3.5703125" style="344" customWidth="1"/>
    <col min="4090" max="4090" width="4.85546875" style="344" customWidth="1"/>
    <col min="4091" max="4091" width="5.42578125" style="344" customWidth="1"/>
    <col min="4092" max="4092" width="31.28515625" style="344" customWidth="1"/>
    <col min="4093" max="4093" width="7.5703125" style="344" customWidth="1"/>
    <col min="4094" max="4094" width="2.42578125" style="344" customWidth="1"/>
    <col min="4095" max="4095" width="11.5703125" style="344" customWidth="1"/>
    <col min="4096" max="4096" width="2.42578125" style="344" customWidth="1"/>
    <col min="4097" max="4097" width="11.5703125" style="344" customWidth="1"/>
    <col min="4098" max="4098" width="2.42578125" style="344" customWidth="1"/>
    <col min="4099" max="4099" width="10.85546875" style="344" customWidth="1"/>
    <col min="4100" max="4100" width="2.42578125" style="344" customWidth="1"/>
    <col min="4101" max="4101" width="11.140625" style="344" customWidth="1"/>
    <col min="4102" max="4102" width="1.85546875" style="344" customWidth="1"/>
    <col min="4103" max="4103" width="11" style="344" customWidth="1"/>
    <col min="4104" max="4104" width="0.7109375" style="344" customWidth="1"/>
    <col min="4105" max="4105" width="1.85546875" style="344" customWidth="1"/>
    <col min="4106" max="4106" width="11.85546875" style="344" bestFit="1" customWidth="1"/>
    <col min="4107" max="4107" width="15.28515625" style="344" bestFit="1" customWidth="1"/>
    <col min="4108" max="4108" width="5" style="344" customWidth="1"/>
    <col min="4109" max="4109" width="10.42578125" style="344" bestFit="1" customWidth="1"/>
    <col min="4110" max="4110" width="5" style="344" customWidth="1"/>
    <col min="4111" max="4111" width="10.42578125" style="344" bestFit="1" customWidth="1"/>
    <col min="4112" max="4114" width="9" style="344"/>
    <col min="4115" max="4115" width="10.42578125" style="344" bestFit="1" customWidth="1"/>
    <col min="4116" max="4344" width="9" style="344"/>
    <col min="4345" max="4345" width="3.5703125" style="344" customWidth="1"/>
    <col min="4346" max="4346" width="4.85546875" style="344" customWidth="1"/>
    <col min="4347" max="4347" width="5.42578125" style="344" customWidth="1"/>
    <col min="4348" max="4348" width="31.28515625" style="344" customWidth="1"/>
    <col min="4349" max="4349" width="7.5703125" style="344" customWidth="1"/>
    <col min="4350" max="4350" width="2.42578125" style="344" customWidth="1"/>
    <col min="4351" max="4351" width="11.5703125" style="344" customWidth="1"/>
    <col min="4352" max="4352" width="2.42578125" style="344" customWidth="1"/>
    <col min="4353" max="4353" width="11.5703125" style="344" customWidth="1"/>
    <col min="4354" max="4354" width="2.42578125" style="344" customWidth="1"/>
    <col min="4355" max="4355" width="10.85546875" style="344" customWidth="1"/>
    <col min="4356" max="4356" width="2.42578125" style="344" customWidth="1"/>
    <col min="4357" max="4357" width="11.140625" style="344" customWidth="1"/>
    <col min="4358" max="4358" width="1.85546875" style="344" customWidth="1"/>
    <col min="4359" max="4359" width="11" style="344" customWidth="1"/>
    <col min="4360" max="4360" width="0.7109375" style="344" customWidth="1"/>
    <col min="4361" max="4361" width="1.85546875" style="344" customWidth="1"/>
    <col min="4362" max="4362" width="11.85546875" style="344" bestFit="1" customWidth="1"/>
    <col min="4363" max="4363" width="15.28515625" style="344" bestFit="1" customWidth="1"/>
    <col min="4364" max="4364" width="5" style="344" customWidth="1"/>
    <col min="4365" max="4365" width="10.42578125" style="344" bestFit="1" customWidth="1"/>
    <col min="4366" max="4366" width="5" style="344" customWidth="1"/>
    <col min="4367" max="4367" width="10.42578125" style="344" bestFit="1" customWidth="1"/>
    <col min="4368" max="4370" width="9" style="344"/>
    <col min="4371" max="4371" width="10.42578125" style="344" bestFit="1" customWidth="1"/>
    <col min="4372" max="4600" width="9" style="344"/>
    <col min="4601" max="4601" width="3.5703125" style="344" customWidth="1"/>
    <col min="4602" max="4602" width="4.85546875" style="344" customWidth="1"/>
    <col min="4603" max="4603" width="5.42578125" style="344" customWidth="1"/>
    <col min="4604" max="4604" width="31.28515625" style="344" customWidth="1"/>
    <col min="4605" max="4605" width="7.5703125" style="344" customWidth="1"/>
    <col min="4606" max="4606" width="2.42578125" style="344" customWidth="1"/>
    <col min="4607" max="4607" width="11.5703125" style="344" customWidth="1"/>
    <col min="4608" max="4608" width="2.42578125" style="344" customWidth="1"/>
    <col min="4609" max="4609" width="11.5703125" style="344" customWidth="1"/>
    <col min="4610" max="4610" width="2.42578125" style="344" customWidth="1"/>
    <col min="4611" max="4611" width="10.85546875" style="344" customWidth="1"/>
    <col min="4612" max="4612" width="2.42578125" style="344" customWidth="1"/>
    <col min="4613" max="4613" width="11.140625" style="344" customWidth="1"/>
    <col min="4614" max="4614" width="1.85546875" style="344" customWidth="1"/>
    <col min="4615" max="4615" width="11" style="344" customWidth="1"/>
    <col min="4616" max="4616" width="0.7109375" style="344" customWidth="1"/>
    <col min="4617" max="4617" width="1.85546875" style="344" customWidth="1"/>
    <col min="4618" max="4618" width="11.85546875" style="344" bestFit="1" customWidth="1"/>
    <col min="4619" max="4619" width="15.28515625" style="344" bestFit="1" customWidth="1"/>
    <col min="4620" max="4620" width="5" style="344" customWidth="1"/>
    <col min="4621" max="4621" width="10.42578125" style="344" bestFit="1" customWidth="1"/>
    <col min="4622" max="4622" width="5" style="344" customWidth="1"/>
    <col min="4623" max="4623" width="10.42578125" style="344" bestFit="1" customWidth="1"/>
    <col min="4624" max="4626" width="9" style="344"/>
    <col min="4627" max="4627" width="10.42578125" style="344" bestFit="1" customWidth="1"/>
    <col min="4628" max="4856" width="9" style="344"/>
    <col min="4857" max="4857" width="3.5703125" style="344" customWidth="1"/>
    <col min="4858" max="4858" width="4.85546875" style="344" customWidth="1"/>
    <col min="4859" max="4859" width="5.42578125" style="344" customWidth="1"/>
    <col min="4860" max="4860" width="31.28515625" style="344" customWidth="1"/>
    <col min="4861" max="4861" width="7.5703125" style="344" customWidth="1"/>
    <col min="4862" max="4862" width="2.42578125" style="344" customWidth="1"/>
    <col min="4863" max="4863" width="11.5703125" style="344" customWidth="1"/>
    <col min="4864" max="4864" width="2.42578125" style="344" customWidth="1"/>
    <col min="4865" max="4865" width="11.5703125" style="344" customWidth="1"/>
    <col min="4866" max="4866" width="2.42578125" style="344" customWidth="1"/>
    <col min="4867" max="4867" width="10.85546875" style="344" customWidth="1"/>
    <col min="4868" max="4868" width="2.42578125" style="344" customWidth="1"/>
    <col min="4869" max="4869" width="11.140625" style="344" customWidth="1"/>
    <col min="4870" max="4870" width="1.85546875" style="344" customWidth="1"/>
    <col min="4871" max="4871" width="11" style="344" customWidth="1"/>
    <col min="4872" max="4872" width="0.7109375" style="344" customWidth="1"/>
    <col min="4873" max="4873" width="1.85546875" style="344" customWidth="1"/>
    <col min="4874" max="4874" width="11.85546875" style="344" bestFit="1" customWidth="1"/>
    <col min="4875" max="4875" width="15.28515625" style="344" bestFit="1" customWidth="1"/>
    <col min="4876" max="4876" width="5" style="344" customWidth="1"/>
    <col min="4877" max="4877" width="10.42578125" style="344" bestFit="1" customWidth="1"/>
    <col min="4878" max="4878" width="5" style="344" customWidth="1"/>
    <col min="4879" max="4879" width="10.42578125" style="344" bestFit="1" customWidth="1"/>
    <col min="4880" max="4882" width="9" style="344"/>
    <col min="4883" max="4883" width="10.42578125" style="344" bestFit="1" customWidth="1"/>
    <col min="4884" max="5112" width="9" style="344"/>
    <col min="5113" max="5113" width="3.5703125" style="344" customWidth="1"/>
    <col min="5114" max="5114" width="4.85546875" style="344" customWidth="1"/>
    <col min="5115" max="5115" width="5.42578125" style="344" customWidth="1"/>
    <col min="5116" max="5116" width="31.28515625" style="344" customWidth="1"/>
    <col min="5117" max="5117" width="7.5703125" style="344" customWidth="1"/>
    <col min="5118" max="5118" width="2.42578125" style="344" customWidth="1"/>
    <col min="5119" max="5119" width="11.5703125" style="344" customWidth="1"/>
    <col min="5120" max="5120" width="2.42578125" style="344" customWidth="1"/>
    <col min="5121" max="5121" width="11.5703125" style="344" customWidth="1"/>
    <col min="5122" max="5122" width="2.42578125" style="344" customWidth="1"/>
    <col min="5123" max="5123" width="10.85546875" style="344" customWidth="1"/>
    <col min="5124" max="5124" width="2.42578125" style="344" customWidth="1"/>
    <col min="5125" max="5125" width="11.140625" style="344" customWidth="1"/>
    <col min="5126" max="5126" width="1.85546875" style="344" customWidth="1"/>
    <col min="5127" max="5127" width="11" style="344" customWidth="1"/>
    <col min="5128" max="5128" width="0.7109375" style="344" customWidth="1"/>
    <col min="5129" max="5129" width="1.85546875" style="344" customWidth="1"/>
    <col min="5130" max="5130" width="11.85546875" style="344" bestFit="1" customWidth="1"/>
    <col min="5131" max="5131" width="15.28515625" style="344" bestFit="1" customWidth="1"/>
    <col min="5132" max="5132" width="5" style="344" customWidth="1"/>
    <col min="5133" max="5133" width="10.42578125" style="344" bestFit="1" customWidth="1"/>
    <col min="5134" max="5134" width="5" style="344" customWidth="1"/>
    <col min="5135" max="5135" width="10.42578125" style="344" bestFit="1" customWidth="1"/>
    <col min="5136" max="5138" width="9" style="344"/>
    <col min="5139" max="5139" width="10.42578125" style="344" bestFit="1" customWidth="1"/>
    <col min="5140" max="5368" width="9" style="344"/>
    <col min="5369" max="5369" width="3.5703125" style="344" customWidth="1"/>
    <col min="5370" max="5370" width="4.85546875" style="344" customWidth="1"/>
    <col min="5371" max="5371" width="5.42578125" style="344" customWidth="1"/>
    <col min="5372" max="5372" width="31.28515625" style="344" customWidth="1"/>
    <col min="5373" max="5373" width="7.5703125" style="344" customWidth="1"/>
    <col min="5374" max="5374" width="2.42578125" style="344" customWidth="1"/>
    <col min="5375" max="5375" width="11.5703125" style="344" customWidth="1"/>
    <col min="5376" max="5376" width="2.42578125" style="344" customWidth="1"/>
    <col min="5377" max="5377" width="11.5703125" style="344" customWidth="1"/>
    <col min="5378" max="5378" width="2.42578125" style="344" customWidth="1"/>
    <col min="5379" max="5379" width="10.85546875" style="344" customWidth="1"/>
    <col min="5380" max="5380" width="2.42578125" style="344" customWidth="1"/>
    <col min="5381" max="5381" width="11.140625" style="344" customWidth="1"/>
    <col min="5382" max="5382" width="1.85546875" style="344" customWidth="1"/>
    <col min="5383" max="5383" width="11" style="344" customWidth="1"/>
    <col min="5384" max="5384" width="0.7109375" style="344" customWidth="1"/>
    <col min="5385" max="5385" width="1.85546875" style="344" customWidth="1"/>
    <col min="5386" max="5386" width="11.85546875" style="344" bestFit="1" customWidth="1"/>
    <col min="5387" max="5387" width="15.28515625" style="344" bestFit="1" customWidth="1"/>
    <col min="5388" max="5388" width="5" style="344" customWidth="1"/>
    <col min="5389" max="5389" width="10.42578125" style="344" bestFit="1" customWidth="1"/>
    <col min="5390" max="5390" width="5" style="344" customWidth="1"/>
    <col min="5391" max="5391" width="10.42578125" style="344" bestFit="1" customWidth="1"/>
    <col min="5392" max="5394" width="9" style="344"/>
    <col min="5395" max="5395" width="10.42578125" style="344" bestFit="1" customWidth="1"/>
    <col min="5396" max="5624" width="9" style="344"/>
    <col min="5625" max="5625" width="3.5703125" style="344" customWidth="1"/>
    <col min="5626" max="5626" width="4.85546875" style="344" customWidth="1"/>
    <col min="5627" max="5627" width="5.42578125" style="344" customWidth="1"/>
    <col min="5628" max="5628" width="31.28515625" style="344" customWidth="1"/>
    <col min="5629" max="5629" width="7.5703125" style="344" customWidth="1"/>
    <col min="5630" max="5630" width="2.42578125" style="344" customWidth="1"/>
    <col min="5631" max="5631" width="11.5703125" style="344" customWidth="1"/>
    <col min="5632" max="5632" width="2.42578125" style="344" customWidth="1"/>
    <col min="5633" max="5633" width="11.5703125" style="344" customWidth="1"/>
    <col min="5634" max="5634" width="2.42578125" style="344" customWidth="1"/>
    <col min="5635" max="5635" width="10.85546875" style="344" customWidth="1"/>
    <col min="5636" max="5636" width="2.42578125" style="344" customWidth="1"/>
    <col min="5637" max="5637" width="11.140625" style="344" customWidth="1"/>
    <col min="5638" max="5638" width="1.85546875" style="344" customWidth="1"/>
    <col min="5639" max="5639" width="11" style="344" customWidth="1"/>
    <col min="5640" max="5640" width="0.7109375" style="344" customWidth="1"/>
    <col min="5641" max="5641" width="1.85546875" style="344" customWidth="1"/>
    <col min="5642" max="5642" width="11.85546875" style="344" bestFit="1" customWidth="1"/>
    <col min="5643" max="5643" width="15.28515625" style="344" bestFit="1" customWidth="1"/>
    <col min="5644" max="5644" width="5" style="344" customWidth="1"/>
    <col min="5645" max="5645" width="10.42578125" style="344" bestFit="1" customWidth="1"/>
    <col min="5646" max="5646" width="5" style="344" customWidth="1"/>
    <col min="5647" max="5647" width="10.42578125" style="344" bestFit="1" customWidth="1"/>
    <col min="5648" max="5650" width="9" style="344"/>
    <col min="5651" max="5651" width="10.42578125" style="344" bestFit="1" customWidth="1"/>
    <col min="5652" max="5880" width="9" style="344"/>
    <col min="5881" max="5881" width="3.5703125" style="344" customWidth="1"/>
    <col min="5882" max="5882" width="4.85546875" style="344" customWidth="1"/>
    <col min="5883" max="5883" width="5.42578125" style="344" customWidth="1"/>
    <col min="5884" max="5884" width="31.28515625" style="344" customWidth="1"/>
    <col min="5885" max="5885" width="7.5703125" style="344" customWidth="1"/>
    <col min="5886" max="5886" width="2.42578125" style="344" customWidth="1"/>
    <col min="5887" max="5887" width="11.5703125" style="344" customWidth="1"/>
    <col min="5888" max="5888" width="2.42578125" style="344" customWidth="1"/>
    <col min="5889" max="5889" width="11.5703125" style="344" customWidth="1"/>
    <col min="5890" max="5890" width="2.42578125" style="344" customWidth="1"/>
    <col min="5891" max="5891" width="10.85546875" style="344" customWidth="1"/>
    <col min="5892" max="5892" width="2.42578125" style="344" customWidth="1"/>
    <col min="5893" max="5893" width="11.140625" style="344" customWidth="1"/>
    <col min="5894" max="5894" width="1.85546875" style="344" customWidth="1"/>
    <col min="5895" max="5895" width="11" style="344" customWidth="1"/>
    <col min="5896" max="5896" width="0.7109375" style="344" customWidth="1"/>
    <col min="5897" max="5897" width="1.85546875" style="344" customWidth="1"/>
    <col min="5898" max="5898" width="11.85546875" style="344" bestFit="1" customWidth="1"/>
    <col min="5899" max="5899" width="15.28515625" style="344" bestFit="1" customWidth="1"/>
    <col min="5900" max="5900" width="5" style="344" customWidth="1"/>
    <col min="5901" max="5901" width="10.42578125" style="344" bestFit="1" customWidth="1"/>
    <col min="5902" max="5902" width="5" style="344" customWidth="1"/>
    <col min="5903" max="5903" width="10.42578125" style="344" bestFit="1" customWidth="1"/>
    <col min="5904" max="5906" width="9" style="344"/>
    <col min="5907" max="5907" width="10.42578125" style="344" bestFit="1" customWidth="1"/>
    <col min="5908" max="6136" width="9" style="344"/>
    <col min="6137" max="6137" width="3.5703125" style="344" customWidth="1"/>
    <col min="6138" max="6138" width="4.85546875" style="344" customWidth="1"/>
    <col min="6139" max="6139" width="5.42578125" style="344" customWidth="1"/>
    <col min="6140" max="6140" width="31.28515625" style="344" customWidth="1"/>
    <col min="6141" max="6141" width="7.5703125" style="344" customWidth="1"/>
    <col min="6142" max="6142" width="2.42578125" style="344" customWidth="1"/>
    <col min="6143" max="6143" width="11.5703125" style="344" customWidth="1"/>
    <col min="6144" max="6144" width="2.42578125" style="344" customWidth="1"/>
    <col min="6145" max="6145" width="11.5703125" style="344" customWidth="1"/>
    <col min="6146" max="6146" width="2.42578125" style="344" customWidth="1"/>
    <col min="6147" max="6147" width="10.85546875" style="344" customWidth="1"/>
    <col min="6148" max="6148" width="2.42578125" style="344" customWidth="1"/>
    <col min="6149" max="6149" width="11.140625" style="344" customWidth="1"/>
    <col min="6150" max="6150" width="1.85546875" style="344" customWidth="1"/>
    <col min="6151" max="6151" width="11" style="344" customWidth="1"/>
    <col min="6152" max="6152" width="0.7109375" style="344" customWidth="1"/>
    <col min="6153" max="6153" width="1.85546875" style="344" customWidth="1"/>
    <col min="6154" max="6154" width="11.85546875" style="344" bestFit="1" customWidth="1"/>
    <col min="6155" max="6155" width="15.28515625" style="344" bestFit="1" customWidth="1"/>
    <col min="6156" max="6156" width="5" style="344" customWidth="1"/>
    <col min="6157" max="6157" width="10.42578125" style="344" bestFit="1" customWidth="1"/>
    <col min="6158" max="6158" width="5" style="344" customWidth="1"/>
    <col min="6159" max="6159" width="10.42578125" style="344" bestFit="1" customWidth="1"/>
    <col min="6160" max="6162" width="9" style="344"/>
    <col min="6163" max="6163" width="10.42578125" style="344" bestFit="1" customWidth="1"/>
    <col min="6164" max="6392" width="9" style="344"/>
    <col min="6393" max="6393" width="3.5703125" style="344" customWidth="1"/>
    <col min="6394" max="6394" width="4.85546875" style="344" customWidth="1"/>
    <col min="6395" max="6395" width="5.42578125" style="344" customWidth="1"/>
    <col min="6396" max="6396" width="31.28515625" style="344" customWidth="1"/>
    <col min="6397" max="6397" width="7.5703125" style="344" customWidth="1"/>
    <col min="6398" max="6398" width="2.42578125" style="344" customWidth="1"/>
    <col min="6399" max="6399" width="11.5703125" style="344" customWidth="1"/>
    <col min="6400" max="6400" width="2.42578125" style="344" customWidth="1"/>
    <col min="6401" max="6401" width="11.5703125" style="344" customWidth="1"/>
    <col min="6402" max="6402" width="2.42578125" style="344" customWidth="1"/>
    <col min="6403" max="6403" width="10.85546875" style="344" customWidth="1"/>
    <col min="6404" max="6404" width="2.42578125" style="344" customWidth="1"/>
    <col min="6405" max="6405" width="11.140625" style="344" customWidth="1"/>
    <col min="6406" max="6406" width="1.85546875" style="344" customWidth="1"/>
    <col min="6407" max="6407" width="11" style="344" customWidth="1"/>
    <col min="6408" max="6408" width="0.7109375" style="344" customWidth="1"/>
    <col min="6409" max="6409" width="1.85546875" style="344" customWidth="1"/>
    <col min="6410" max="6410" width="11.85546875" style="344" bestFit="1" customWidth="1"/>
    <col min="6411" max="6411" width="15.28515625" style="344" bestFit="1" customWidth="1"/>
    <col min="6412" max="6412" width="5" style="344" customWidth="1"/>
    <col min="6413" max="6413" width="10.42578125" style="344" bestFit="1" customWidth="1"/>
    <col min="6414" max="6414" width="5" style="344" customWidth="1"/>
    <col min="6415" max="6415" width="10.42578125" style="344" bestFit="1" customWidth="1"/>
    <col min="6416" max="6418" width="9" style="344"/>
    <col min="6419" max="6419" width="10.42578125" style="344" bestFit="1" customWidth="1"/>
    <col min="6420" max="6648" width="9" style="344"/>
    <col min="6649" max="6649" width="3.5703125" style="344" customWidth="1"/>
    <col min="6650" max="6650" width="4.85546875" style="344" customWidth="1"/>
    <col min="6651" max="6651" width="5.42578125" style="344" customWidth="1"/>
    <col min="6652" max="6652" width="31.28515625" style="344" customWidth="1"/>
    <col min="6653" max="6653" width="7.5703125" style="344" customWidth="1"/>
    <col min="6654" max="6654" width="2.42578125" style="344" customWidth="1"/>
    <col min="6655" max="6655" width="11.5703125" style="344" customWidth="1"/>
    <col min="6656" max="6656" width="2.42578125" style="344" customWidth="1"/>
    <col min="6657" max="6657" width="11.5703125" style="344" customWidth="1"/>
    <col min="6658" max="6658" width="2.42578125" style="344" customWidth="1"/>
    <col min="6659" max="6659" width="10.85546875" style="344" customWidth="1"/>
    <col min="6660" max="6660" width="2.42578125" style="344" customWidth="1"/>
    <col min="6661" max="6661" width="11.140625" style="344" customWidth="1"/>
    <col min="6662" max="6662" width="1.85546875" style="344" customWidth="1"/>
    <col min="6663" max="6663" width="11" style="344" customWidth="1"/>
    <col min="6664" max="6664" width="0.7109375" style="344" customWidth="1"/>
    <col min="6665" max="6665" width="1.85546875" style="344" customWidth="1"/>
    <col min="6666" max="6666" width="11.85546875" style="344" bestFit="1" customWidth="1"/>
    <col min="6667" max="6667" width="15.28515625" style="344" bestFit="1" customWidth="1"/>
    <col min="6668" max="6668" width="5" style="344" customWidth="1"/>
    <col min="6669" max="6669" width="10.42578125" style="344" bestFit="1" customWidth="1"/>
    <col min="6670" max="6670" width="5" style="344" customWidth="1"/>
    <col min="6671" max="6671" width="10.42578125" style="344" bestFit="1" customWidth="1"/>
    <col min="6672" max="6674" width="9" style="344"/>
    <col min="6675" max="6675" width="10.42578125" style="344" bestFit="1" customWidth="1"/>
    <col min="6676" max="6904" width="9" style="344"/>
    <col min="6905" max="6905" width="3.5703125" style="344" customWidth="1"/>
    <col min="6906" max="6906" width="4.85546875" style="344" customWidth="1"/>
    <col min="6907" max="6907" width="5.42578125" style="344" customWidth="1"/>
    <col min="6908" max="6908" width="31.28515625" style="344" customWidth="1"/>
    <col min="6909" max="6909" width="7.5703125" style="344" customWidth="1"/>
    <col min="6910" max="6910" width="2.42578125" style="344" customWidth="1"/>
    <col min="6911" max="6911" width="11.5703125" style="344" customWidth="1"/>
    <col min="6912" max="6912" width="2.42578125" style="344" customWidth="1"/>
    <col min="6913" max="6913" width="11.5703125" style="344" customWidth="1"/>
    <col min="6914" max="6914" width="2.42578125" style="344" customWidth="1"/>
    <col min="6915" max="6915" width="10.85546875" style="344" customWidth="1"/>
    <col min="6916" max="6916" width="2.42578125" style="344" customWidth="1"/>
    <col min="6917" max="6917" width="11.140625" style="344" customWidth="1"/>
    <col min="6918" max="6918" width="1.85546875" style="344" customWidth="1"/>
    <col min="6919" max="6919" width="11" style="344" customWidth="1"/>
    <col min="6920" max="6920" width="0.7109375" style="344" customWidth="1"/>
    <col min="6921" max="6921" width="1.85546875" style="344" customWidth="1"/>
    <col min="6922" max="6922" width="11.85546875" style="344" bestFit="1" customWidth="1"/>
    <col min="6923" max="6923" width="15.28515625" style="344" bestFit="1" customWidth="1"/>
    <col min="6924" max="6924" width="5" style="344" customWidth="1"/>
    <col min="6925" max="6925" width="10.42578125" style="344" bestFit="1" customWidth="1"/>
    <col min="6926" max="6926" width="5" style="344" customWidth="1"/>
    <col min="6927" max="6927" width="10.42578125" style="344" bestFit="1" customWidth="1"/>
    <col min="6928" max="6930" width="9" style="344"/>
    <col min="6931" max="6931" width="10.42578125" style="344" bestFit="1" customWidth="1"/>
    <col min="6932" max="7160" width="9" style="344"/>
    <col min="7161" max="7161" width="3.5703125" style="344" customWidth="1"/>
    <col min="7162" max="7162" width="4.85546875" style="344" customWidth="1"/>
    <col min="7163" max="7163" width="5.42578125" style="344" customWidth="1"/>
    <col min="7164" max="7164" width="31.28515625" style="344" customWidth="1"/>
    <col min="7165" max="7165" width="7.5703125" style="344" customWidth="1"/>
    <col min="7166" max="7166" width="2.42578125" style="344" customWidth="1"/>
    <col min="7167" max="7167" width="11.5703125" style="344" customWidth="1"/>
    <col min="7168" max="7168" width="2.42578125" style="344" customWidth="1"/>
    <col min="7169" max="7169" width="11.5703125" style="344" customWidth="1"/>
    <col min="7170" max="7170" width="2.42578125" style="344" customWidth="1"/>
    <col min="7171" max="7171" width="10.85546875" style="344" customWidth="1"/>
    <col min="7172" max="7172" width="2.42578125" style="344" customWidth="1"/>
    <col min="7173" max="7173" width="11.140625" style="344" customWidth="1"/>
    <col min="7174" max="7174" width="1.85546875" style="344" customWidth="1"/>
    <col min="7175" max="7175" width="11" style="344" customWidth="1"/>
    <col min="7176" max="7176" width="0.7109375" style="344" customWidth="1"/>
    <col min="7177" max="7177" width="1.85546875" style="344" customWidth="1"/>
    <col min="7178" max="7178" width="11.85546875" style="344" bestFit="1" customWidth="1"/>
    <col min="7179" max="7179" width="15.28515625" style="344" bestFit="1" customWidth="1"/>
    <col min="7180" max="7180" width="5" style="344" customWidth="1"/>
    <col min="7181" max="7181" width="10.42578125" style="344" bestFit="1" customWidth="1"/>
    <col min="7182" max="7182" width="5" style="344" customWidth="1"/>
    <col min="7183" max="7183" width="10.42578125" style="344" bestFit="1" customWidth="1"/>
    <col min="7184" max="7186" width="9" style="344"/>
    <col min="7187" max="7187" width="10.42578125" style="344" bestFit="1" customWidth="1"/>
    <col min="7188" max="7416" width="9" style="344"/>
    <col min="7417" max="7417" width="3.5703125" style="344" customWidth="1"/>
    <col min="7418" max="7418" width="4.85546875" style="344" customWidth="1"/>
    <col min="7419" max="7419" width="5.42578125" style="344" customWidth="1"/>
    <col min="7420" max="7420" width="31.28515625" style="344" customWidth="1"/>
    <col min="7421" max="7421" width="7.5703125" style="344" customWidth="1"/>
    <col min="7422" max="7422" width="2.42578125" style="344" customWidth="1"/>
    <col min="7423" max="7423" width="11.5703125" style="344" customWidth="1"/>
    <col min="7424" max="7424" width="2.42578125" style="344" customWidth="1"/>
    <col min="7425" max="7425" width="11.5703125" style="344" customWidth="1"/>
    <col min="7426" max="7426" width="2.42578125" style="344" customWidth="1"/>
    <col min="7427" max="7427" width="10.85546875" style="344" customWidth="1"/>
    <col min="7428" max="7428" width="2.42578125" style="344" customWidth="1"/>
    <col min="7429" max="7429" width="11.140625" style="344" customWidth="1"/>
    <col min="7430" max="7430" width="1.85546875" style="344" customWidth="1"/>
    <col min="7431" max="7431" width="11" style="344" customWidth="1"/>
    <col min="7432" max="7432" width="0.7109375" style="344" customWidth="1"/>
    <col min="7433" max="7433" width="1.85546875" style="344" customWidth="1"/>
    <col min="7434" max="7434" width="11.85546875" style="344" bestFit="1" customWidth="1"/>
    <col min="7435" max="7435" width="15.28515625" style="344" bestFit="1" customWidth="1"/>
    <col min="7436" max="7436" width="5" style="344" customWidth="1"/>
    <col min="7437" max="7437" width="10.42578125" style="344" bestFit="1" customWidth="1"/>
    <col min="7438" max="7438" width="5" style="344" customWidth="1"/>
    <col min="7439" max="7439" width="10.42578125" style="344" bestFit="1" customWidth="1"/>
    <col min="7440" max="7442" width="9" style="344"/>
    <col min="7443" max="7443" width="10.42578125" style="344" bestFit="1" customWidth="1"/>
    <col min="7444" max="7672" width="9" style="344"/>
    <col min="7673" max="7673" width="3.5703125" style="344" customWidth="1"/>
    <col min="7674" max="7674" width="4.85546875" style="344" customWidth="1"/>
    <col min="7675" max="7675" width="5.42578125" style="344" customWidth="1"/>
    <col min="7676" max="7676" width="31.28515625" style="344" customWidth="1"/>
    <col min="7677" max="7677" width="7.5703125" style="344" customWidth="1"/>
    <col min="7678" max="7678" width="2.42578125" style="344" customWidth="1"/>
    <col min="7679" max="7679" width="11.5703125" style="344" customWidth="1"/>
    <col min="7680" max="7680" width="2.42578125" style="344" customWidth="1"/>
    <col min="7681" max="7681" width="11.5703125" style="344" customWidth="1"/>
    <col min="7682" max="7682" width="2.42578125" style="344" customWidth="1"/>
    <col min="7683" max="7683" width="10.85546875" style="344" customWidth="1"/>
    <col min="7684" max="7684" width="2.42578125" style="344" customWidth="1"/>
    <col min="7685" max="7685" width="11.140625" style="344" customWidth="1"/>
    <col min="7686" max="7686" width="1.85546875" style="344" customWidth="1"/>
    <col min="7687" max="7687" width="11" style="344" customWidth="1"/>
    <col min="7688" max="7688" width="0.7109375" style="344" customWidth="1"/>
    <col min="7689" max="7689" width="1.85546875" style="344" customWidth="1"/>
    <col min="7690" max="7690" width="11.85546875" style="344" bestFit="1" customWidth="1"/>
    <col min="7691" max="7691" width="15.28515625" style="344" bestFit="1" customWidth="1"/>
    <col min="7692" max="7692" width="5" style="344" customWidth="1"/>
    <col min="7693" max="7693" width="10.42578125" style="344" bestFit="1" customWidth="1"/>
    <col min="7694" max="7694" width="5" style="344" customWidth="1"/>
    <col min="7695" max="7695" width="10.42578125" style="344" bestFit="1" customWidth="1"/>
    <col min="7696" max="7698" width="9" style="344"/>
    <col min="7699" max="7699" width="10.42578125" style="344" bestFit="1" customWidth="1"/>
    <col min="7700" max="7928" width="9" style="344"/>
    <col min="7929" max="7929" width="3.5703125" style="344" customWidth="1"/>
    <col min="7930" max="7930" width="4.85546875" style="344" customWidth="1"/>
    <col min="7931" max="7931" width="5.42578125" style="344" customWidth="1"/>
    <col min="7932" max="7932" width="31.28515625" style="344" customWidth="1"/>
    <col min="7933" max="7933" width="7.5703125" style="344" customWidth="1"/>
    <col min="7934" max="7934" width="2.42578125" style="344" customWidth="1"/>
    <col min="7935" max="7935" width="11.5703125" style="344" customWidth="1"/>
    <col min="7936" max="7936" width="2.42578125" style="344" customWidth="1"/>
    <col min="7937" max="7937" width="11.5703125" style="344" customWidth="1"/>
    <col min="7938" max="7938" width="2.42578125" style="344" customWidth="1"/>
    <col min="7939" max="7939" width="10.85546875" style="344" customWidth="1"/>
    <col min="7940" max="7940" width="2.42578125" style="344" customWidth="1"/>
    <col min="7941" max="7941" width="11.140625" style="344" customWidth="1"/>
    <col min="7942" max="7942" width="1.85546875" style="344" customWidth="1"/>
    <col min="7943" max="7943" width="11" style="344" customWidth="1"/>
    <col min="7944" max="7944" width="0.7109375" style="344" customWidth="1"/>
    <col min="7945" max="7945" width="1.85546875" style="344" customWidth="1"/>
    <col min="7946" max="7946" width="11.85546875" style="344" bestFit="1" customWidth="1"/>
    <col min="7947" max="7947" width="15.28515625" style="344" bestFit="1" customWidth="1"/>
    <col min="7948" max="7948" width="5" style="344" customWidth="1"/>
    <col min="7949" max="7949" width="10.42578125" style="344" bestFit="1" customWidth="1"/>
    <col min="7950" max="7950" width="5" style="344" customWidth="1"/>
    <col min="7951" max="7951" width="10.42578125" style="344" bestFit="1" customWidth="1"/>
    <col min="7952" max="7954" width="9" style="344"/>
    <col min="7955" max="7955" width="10.42578125" style="344" bestFit="1" customWidth="1"/>
    <col min="7956" max="8184" width="9" style="344"/>
    <col min="8185" max="8185" width="3.5703125" style="344" customWidth="1"/>
    <col min="8186" max="8186" width="4.85546875" style="344" customWidth="1"/>
    <col min="8187" max="8187" width="5.42578125" style="344" customWidth="1"/>
    <col min="8188" max="8188" width="31.28515625" style="344" customWidth="1"/>
    <col min="8189" max="8189" width="7.5703125" style="344" customWidth="1"/>
    <col min="8190" max="8190" width="2.42578125" style="344" customWidth="1"/>
    <col min="8191" max="8191" width="11.5703125" style="344" customWidth="1"/>
    <col min="8192" max="8192" width="2.42578125" style="344" customWidth="1"/>
    <col min="8193" max="8193" width="11.5703125" style="344" customWidth="1"/>
    <col min="8194" max="8194" width="2.42578125" style="344" customWidth="1"/>
    <col min="8195" max="8195" width="10.85546875" style="344" customWidth="1"/>
    <col min="8196" max="8196" width="2.42578125" style="344" customWidth="1"/>
    <col min="8197" max="8197" width="11.140625" style="344" customWidth="1"/>
    <col min="8198" max="8198" width="1.85546875" style="344" customWidth="1"/>
    <col min="8199" max="8199" width="11" style="344" customWidth="1"/>
    <col min="8200" max="8200" width="0.7109375" style="344" customWidth="1"/>
    <col min="8201" max="8201" width="1.85546875" style="344" customWidth="1"/>
    <col min="8202" max="8202" width="11.85546875" style="344" bestFit="1" customWidth="1"/>
    <col min="8203" max="8203" width="15.28515625" style="344" bestFit="1" customWidth="1"/>
    <col min="8204" max="8204" width="5" style="344" customWidth="1"/>
    <col min="8205" max="8205" width="10.42578125" style="344" bestFit="1" customWidth="1"/>
    <col min="8206" max="8206" width="5" style="344" customWidth="1"/>
    <col min="8207" max="8207" width="10.42578125" style="344" bestFit="1" customWidth="1"/>
    <col min="8208" max="8210" width="9" style="344"/>
    <col min="8211" max="8211" width="10.42578125" style="344" bestFit="1" customWidth="1"/>
    <col min="8212" max="8440" width="9" style="344"/>
    <col min="8441" max="8441" width="3.5703125" style="344" customWidth="1"/>
    <col min="8442" max="8442" width="4.85546875" style="344" customWidth="1"/>
    <col min="8443" max="8443" width="5.42578125" style="344" customWidth="1"/>
    <col min="8444" max="8444" width="31.28515625" style="344" customWidth="1"/>
    <col min="8445" max="8445" width="7.5703125" style="344" customWidth="1"/>
    <col min="8446" max="8446" width="2.42578125" style="344" customWidth="1"/>
    <col min="8447" max="8447" width="11.5703125" style="344" customWidth="1"/>
    <col min="8448" max="8448" width="2.42578125" style="344" customWidth="1"/>
    <col min="8449" max="8449" width="11.5703125" style="344" customWidth="1"/>
    <col min="8450" max="8450" width="2.42578125" style="344" customWidth="1"/>
    <col min="8451" max="8451" width="10.85546875" style="344" customWidth="1"/>
    <col min="8452" max="8452" width="2.42578125" style="344" customWidth="1"/>
    <col min="8453" max="8453" width="11.140625" style="344" customWidth="1"/>
    <col min="8454" max="8454" width="1.85546875" style="344" customWidth="1"/>
    <col min="8455" max="8455" width="11" style="344" customWidth="1"/>
    <col min="8456" max="8456" width="0.7109375" style="344" customWidth="1"/>
    <col min="8457" max="8457" width="1.85546875" style="344" customWidth="1"/>
    <col min="8458" max="8458" width="11.85546875" style="344" bestFit="1" customWidth="1"/>
    <col min="8459" max="8459" width="15.28515625" style="344" bestFit="1" customWidth="1"/>
    <col min="8460" max="8460" width="5" style="344" customWidth="1"/>
    <col min="8461" max="8461" width="10.42578125" style="344" bestFit="1" customWidth="1"/>
    <col min="8462" max="8462" width="5" style="344" customWidth="1"/>
    <col min="8463" max="8463" width="10.42578125" style="344" bestFit="1" customWidth="1"/>
    <col min="8464" max="8466" width="9" style="344"/>
    <col min="8467" max="8467" width="10.42578125" style="344" bestFit="1" customWidth="1"/>
    <col min="8468" max="8696" width="9" style="344"/>
    <col min="8697" max="8697" width="3.5703125" style="344" customWidth="1"/>
    <col min="8698" max="8698" width="4.85546875" style="344" customWidth="1"/>
    <col min="8699" max="8699" width="5.42578125" style="344" customWidth="1"/>
    <col min="8700" max="8700" width="31.28515625" style="344" customWidth="1"/>
    <col min="8701" max="8701" width="7.5703125" style="344" customWidth="1"/>
    <col min="8702" max="8702" width="2.42578125" style="344" customWidth="1"/>
    <col min="8703" max="8703" width="11.5703125" style="344" customWidth="1"/>
    <col min="8704" max="8704" width="2.42578125" style="344" customWidth="1"/>
    <col min="8705" max="8705" width="11.5703125" style="344" customWidth="1"/>
    <col min="8706" max="8706" width="2.42578125" style="344" customWidth="1"/>
    <col min="8707" max="8707" width="10.85546875" style="344" customWidth="1"/>
    <col min="8708" max="8708" width="2.42578125" style="344" customWidth="1"/>
    <col min="8709" max="8709" width="11.140625" style="344" customWidth="1"/>
    <col min="8710" max="8710" width="1.85546875" style="344" customWidth="1"/>
    <col min="8711" max="8711" width="11" style="344" customWidth="1"/>
    <col min="8712" max="8712" width="0.7109375" style="344" customWidth="1"/>
    <col min="8713" max="8713" width="1.85546875" style="344" customWidth="1"/>
    <col min="8714" max="8714" width="11.85546875" style="344" bestFit="1" customWidth="1"/>
    <col min="8715" max="8715" width="15.28515625" style="344" bestFit="1" customWidth="1"/>
    <col min="8716" max="8716" width="5" style="344" customWidth="1"/>
    <col min="8717" max="8717" width="10.42578125" style="344" bestFit="1" customWidth="1"/>
    <col min="8718" max="8718" width="5" style="344" customWidth="1"/>
    <col min="8719" max="8719" width="10.42578125" style="344" bestFit="1" customWidth="1"/>
    <col min="8720" max="8722" width="9" style="344"/>
    <col min="8723" max="8723" width="10.42578125" style="344" bestFit="1" customWidth="1"/>
    <col min="8724" max="8952" width="9" style="344"/>
    <col min="8953" max="8953" width="3.5703125" style="344" customWidth="1"/>
    <col min="8954" max="8954" width="4.85546875" style="344" customWidth="1"/>
    <col min="8955" max="8955" width="5.42578125" style="344" customWidth="1"/>
    <col min="8956" max="8956" width="31.28515625" style="344" customWidth="1"/>
    <col min="8957" max="8957" width="7.5703125" style="344" customWidth="1"/>
    <col min="8958" max="8958" width="2.42578125" style="344" customWidth="1"/>
    <col min="8959" max="8959" width="11.5703125" style="344" customWidth="1"/>
    <col min="8960" max="8960" width="2.42578125" style="344" customWidth="1"/>
    <col min="8961" max="8961" width="11.5703125" style="344" customWidth="1"/>
    <col min="8962" max="8962" width="2.42578125" style="344" customWidth="1"/>
    <col min="8963" max="8963" width="10.85546875" style="344" customWidth="1"/>
    <col min="8964" max="8964" width="2.42578125" style="344" customWidth="1"/>
    <col min="8965" max="8965" width="11.140625" style="344" customWidth="1"/>
    <col min="8966" max="8966" width="1.85546875" style="344" customWidth="1"/>
    <col min="8967" max="8967" width="11" style="344" customWidth="1"/>
    <col min="8968" max="8968" width="0.7109375" style="344" customWidth="1"/>
    <col min="8969" max="8969" width="1.85546875" style="344" customWidth="1"/>
    <col min="8970" max="8970" width="11.85546875" style="344" bestFit="1" customWidth="1"/>
    <col min="8971" max="8971" width="15.28515625" style="344" bestFit="1" customWidth="1"/>
    <col min="8972" max="8972" width="5" style="344" customWidth="1"/>
    <col min="8973" max="8973" width="10.42578125" style="344" bestFit="1" customWidth="1"/>
    <col min="8974" max="8974" width="5" style="344" customWidth="1"/>
    <col min="8975" max="8975" width="10.42578125" style="344" bestFit="1" customWidth="1"/>
    <col min="8976" max="8978" width="9" style="344"/>
    <col min="8979" max="8979" width="10.42578125" style="344" bestFit="1" customWidth="1"/>
    <col min="8980" max="9208" width="9" style="344"/>
    <col min="9209" max="9209" width="3.5703125" style="344" customWidth="1"/>
    <col min="9210" max="9210" width="4.85546875" style="344" customWidth="1"/>
    <col min="9211" max="9211" width="5.42578125" style="344" customWidth="1"/>
    <col min="9212" max="9212" width="31.28515625" style="344" customWidth="1"/>
    <col min="9213" max="9213" width="7.5703125" style="344" customWidth="1"/>
    <col min="9214" max="9214" width="2.42578125" style="344" customWidth="1"/>
    <col min="9215" max="9215" width="11.5703125" style="344" customWidth="1"/>
    <col min="9216" max="9216" width="2.42578125" style="344" customWidth="1"/>
    <col min="9217" max="9217" width="11.5703125" style="344" customWidth="1"/>
    <col min="9218" max="9218" width="2.42578125" style="344" customWidth="1"/>
    <col min="9219" max="9219" width="10.85546875" style="344" customWidth="1"/>
    <col min="9220" max="9220" width="2.42578125" style="344" customWidth="1"/>
    <col min="9221" max="9221" width="11.140625" style="344" customWidth="1"/>
    <col min="9222" max="9222" width="1.85546875" style="344" customWidth="1"/>
    <col min="9223" max="9223" width="11" style="344" customWidth="1"/>
    <col min="9224" max="9224" width="0.7109375" style="344" customWidth="1"/>
    <col min="9225" max="9225" width="1.85546875" style="344" customWidth="1"/>
    <col min="9226" max="9226" width="11.85546875" style="344" bestFit="1" customWidth="1"/>
    <col min="9227" max="9227" width="15.28515625" style="344" bestFit="1" customWidth="1"/>
    <col min="9228" max="9228" width="5" style="344" customWidth="1"/>
    <col min="9229" max="9229" width="10.42578125" style="344" bestFit="1" customWidth="1"/>
    <col min="9230" max="9230" width="5" style="344" customWidth="1"/>
    <col min="9231" max="9231" width="10.42578125" style="344" bestFit="1" customWidth="1"/>
    <col min="9232" max="9234" width="9" style="344"/>
    <col min="9235" max="9235" width="10.42578125" style="344" bestFit="1" customWidth="1"/>
    <col min="9236" max="9464" width="9" style="344"/>
    <col min="9465" max="9465" width="3.5703125" style="344" customWidth="1"/>
    <col min="9466" max="9466" width="4.85546875" style="344" customWidth="1"/>
    <col min="9467" max="9467" width="5.42578125" style="344" customWidth="1"/>
    <col min="9468" max="9468" width="31.28515625" style="344" customWidth="1"/>
    <col min="9469" max="9469" width="7.5703125" style="344" customWidth="1"/>
    <col min="9470" max="9470" width="2.42578125" style="344" customWidth="1"/>
    <col min="9471" max="9471" width="11.5703125" style="344" customWidth="1"/>
    <col min="9472" max="9472" width="2.42578125" style="344" customWidth="1"/>
    <col min="9473" max="9473" width="11.5703125" style="344" customWidth="1"/>
    <col min="9474" max="9474" width="2.42578125" style="344" customWidth="1"/>
    <col min="9475" max="9475" width="10.85546875" style="344" customWidth="1"/>
    <col min="9476" max="9476" width="2.42578125" style="344" customWidth="1"/>
    <col min="9477" max="9477" width="11.140625" style="344" customWidth="1"/>
    <col min="9478" max="9478" width="1.85546875" style="344" customWidth="1"/>
    <col min="9479" max="9479" width="11" style="344" customWidth="1"/>
    <col min="9480" max="9480" width="0.7109375" style="344" customWidth="1"/>
    <col min="9481" max="9481" width="1.85546875" style="344" customWidth="1"/>
    <col min="9482" max="9482" width="11.85546875" style="344" bestFit="1" customWidth="1"/>
    <col min="9483" max="9483" width="15.28515625" style="344" bestFit="1" customWidth="1"/>
    <col min="9484" max="9484" width="5" style="344" customWidth="1"/>
    <col min="9485" max="9485" width="10.42578125" style="344" bestFit="1" customWidth="1"/>
    <col min="9486" max="9486" width="5" style="344" customWidth="1"/>
    <col min="9487" max="9487" width="10.42578125" style="344" bestFit="1" customWidth="1"/>
    <col min="9488" max="9490" width="9" style="344"/>
    <col min="9491" max="9491" width="10.42578125" style="344" bestFit="1" customWidth="1"/>
    <col min="9492" max="9720" width="9" style="344"/>
    <col min="9721" max="9721" width="3.5703125" style="344" customWidth="1"/>
    <col min="9722" max="9722" width="4.85546875" style="344" customWidth="1"/>
    <col min="9723" max="9723" width="5.42578125" style="344" customWidth="1"/>
    <col min="9724" max="9724" width="31.28515625" style="344" customWidth="1"/>
    <col min="9725" max="9725" width="7.5703125" style="344" customWidth="1"/>
    <col min="9726" max="9726" width="2.42578125" style="344" customWidth="1"/>
    <col min="9727" max="9727" width="11.5703125" style="344" customWidth="1"/>
    <col min="9728" max="9728" width="2.42578125" style="344" customWidth="1"/>
    <col min="9729" max="9729" width="11.5703125" style="344" customWidth="1"/>
    <col min="9730" max="9730" width="2.42578125" style="344" customWidth="1"/>
    <col min="9731" max="9731" width="10.85546875" style="344" customWidth="1"/>
    <col min="9732" max="9732" width="2.42578125" style="344" customWidth="1"/>
    <col min="9733" max="9733" width="11.140625" style="344" customWidth="1"/>
    <col min="9734" max="9734" width="1.85546875" style="344" customWidth="1"/>
    <col min="9735" max="9735" width="11" style="344" customWidth="1"/>
    <col min="9736" max="9736" width="0.7109375" style="344" customWidth="1"/>
    <col min="9737" max="9737" width="1.85546875" style="344" customWidth="1"/>
    <col min="9738" max="9738" width="11.85546875" style="344" bestFit="1" customWidth="1"/>
    <col min="9739" max="9739" width="15.28515625" style="344" bestFit="1" customWidth="1"/>
    <col min="9740" max="9740" width="5" style="344" customWidth="1"/>
    <col min="9741" max="9741" width="10.42578125" style="344" bestFit="1" customWidth="1"/>
    <col min="9742" max="9742" width="5" style="344" customWidth="1"/>
    <col min="9743" max="9743" width="10.42578125" style="344" bestFit="1" customWidth="1"/>
    <col min="9744" max="9746" width="9" style="344"/>
    <col min="9747" max="9747" width="10.42578125" style="344" bestFit="1" customWidth="1"/>
    <col min="9748" max="9976" width="9" style="344"/>
    <col min="9977" max="9977" width="3.5703125" style="344" customWidth="1"/>
    <col min="9978" max="9978" width="4.85546875" style="344" customWidth="1"/>
    <col min="9979" max="9979" width="5.42578125" style="344" customWidth="1"/>
    <col min="9980" max="9980" width="31.28515625" style="344" customWidth="1"/>
    <col min="9981" max="9981" width="7.5703125" style="344" customWidth="1"/>
    <col min="9982" max="9982" width="2.42578125" style="344" customWidth="1"/>
    <col min="9983" max="9983" width="11.5703125" style="344" customWidth="1"/>
    <col min="9984" max="9984" width="2.42578125" style="344" customWidth="1"/>
    <col min="9985" max="9985" width="11.5703125" style="344" customWidth="1"/>
    <col min="9986" max="9986" width="2.42578125" style="344" customWidth="1"/>
    <col min="9987" max="9987" width="10.85546875" style="344" customWidth="1"/>
    <col min="9988" max="9988" width="2.42578125" style="344" customWidth="1"/>
    <col min="9989" max="9989" width="11.140625" style="344" customWidth="1"/>
    <col min="9990" max="9990" width="1.85546875" style="344" customWidth="1"/>
    <col min="9991" max="9991" width="11" style="344" customWidth="1"/>
    <col min="9992" max="9992" width="0.7109375" style="344" customWidth="1"/>
    <col min="9993" max="9993" width="1.85546875" style="344" customWidth="1"/>
    <col min="9994" max="9994" width="11.85546875" style="344" bestFit="1" customWidth="1"/>
    <col min="9995" max="9995" width="15.28515625" style="344" bestFit="1" customWidth="1"/>
    <col min="9996" max="9996" width="5" style="344" customWidth="1"/>
    <col min="9997" max="9997" width="10.42578125" style="344" bestFit="1" customWidth="1"/>
    <col min="9998" max="9998" width="5" style="344" customWidth="1"/>
    <col min="9999" max="9999" width="10.42578125" style="344" bestFit="1" customWidth="1"/>
    <col min="10000" max="10002" width="9" style="344"/>
    <col min="10003" max="10003" width="10.42578125" style="344" bestFit="1" customWidth="1"/>
    <col min="10004" max="10232" width="9" style="344"/>
    <col min="10233" max="10233" width="3.5703125" style="344" customWidth="1"/>
    <col min="10234" max="10234" width="4.85546875" style="344" customWidth="1"/>
    <col min="10235" max="10235" width="5.42578125" style="344" customWidth="1"/>
    <col min="10236" max="10236" width="31.28515625" style="344" customWidth="1"/>
    <col min="10237" max="10237" width="7.5703125" style="344" customWidth="1"/>
    <col min="10238" max="10238" width="2.42578125" style="344" customWidth="1"/>
    <col min="10239" max="10239" width="11.5703125" style="344" customWidth="1"/>
    <col min="10240" max="10240" width="2.42578125" style="344" customWidth="1"/>
    <col min="10241" max="10241" width="11.5703125" style="344" customWidth="1"/>
    <col min="10242" max="10242" width="2.42578125" style="344" customWidth="1"/>
    <col min="10243" max="10243" width="10.85546875" style="344" customWidth="1"/>
    <col min="10244" max="10244" width="2.42578125" style="344" customWidth="1"/>
    <col min="10245" max="10245" width="11.140625" style="344" customWidth="1"/>
    <col min="10246" max="10246" width="1.85546875" style="344" customWidth="1"/>
    <col min="10247" max="10247" width="11" style="344" customWidth="1"/>
    <col min="10248" max="10248" width="0.7109375" style="344" customWidth="1"/>
    <col min="10249" max="10249" width="1.85546875" style="344" customWidth="1"/>
    <col min="10250" max="10250" width="11.85546875" style="344" bestFit="1" customWidth="1"/>
    <col min="10251" max="10251" width="15.28515625" style="344" bestFit="1" customWidth="1"/>
    <col min="10252" max="10252" width="5" style="344" customWidth="1"/>
    <col min="10253" max="10253" width="10.42578125" style="344" bestFit="1" customWidth="1"/>
    <col min="10254" max="10254" width="5" style="344" customWidth="1"/>
    <col min="10255" max="10255" width="10.42578125" style="344" bestFit="1" customWidth="1"/>
    <col min="10256" max="10258" width="9" style="344"/>
    <col min="10259" max="10259" width="10.42578125" style="344" bestFit="1" customWidth="1"/>
    <col min="10260" max="10488" width="9" style="344"/>
    <col min="10489" max="10489" width="3.5703125" style="344" customWidth="1"/>
    <col min="10490" max="10490" width="4.85546875" style="344" customWidth="1"/>
    <col min="10491" max="10491" width="5.42578125" style="344" customWidth="1"/>
    <col min="10492" max="10492" width="31.28515625" style="344" customWidth="1"/>
    <col min="10493" max="10493" width="7.5703125" style="344" customWidth="1"/>
    <col min="10494" max="10494" width="2.42578125" style="344" customWidth="1"/>
    <col min="10495" max="10495" width="11.5703125" style="344" customWidth="1"/>
    <col min="10496" max="10496" width="2.42578125" style="344" customWidth="1"/>
    <col min="10497" max="10497" width="11.5703125" style="344" customWidth="1"/>
    <col min="10498" max="10498" width="2.42578125" style="344" customWidth="1"/>
    <col min="10499" max="10499" width="10.85546875" style="344" customWidth="1"/>
    <col min="10500" max="10500" width="2.42578125" style="344" customWidth="1"/>
    <col min="10501" max="10501" width="11.140625" style="344" customWidth="1"/>
    <col min="10502" max="10502" width="1.85546875" style="344" customWidth="1"/>
    <col min="10503" max="10503" width="11" style="344" customWidth="1"/>
    <col min="10504" max="10504" width="0.7109375" style="344" customWidth="1"/>
    <col min="10505" max="10505" width="1.85546875" style="344" customWidth="1"/>
    <col min="10506" max="10506" width="11.85546875" style="344" bestFit="1" customWidth="1"/>
    <col min="10507" max="10507" width="15.28515625" style="344" bestFit="1" customWidth="1"/>
    <col min="10508" max="10508" width="5" style="344" customWidth="1"/>
    <col min="10509" max="10509" width="10.42578125" style="344" bestFit="1" customWidth="1"/>
    <col min="10510" max="10510" width="5" style="344" customWidth="1"/>
    <col min="10511" max="10511" width="10.42578125" style="344" bestFit="1" customWidth="1"/>
    <col min="10512" max="10514" width="9" style="344"/>
    <col min="10515" max="10515" width="10.42578125" style="344" bestFit="1" customWidth="1"/>
    <col min="10516" max="10744" width="9" style="344"/>
    <col min="10745" max="10745" width="3.5703125" style="344" customWidth="1"/>
    <col min="10746" max="10746" width="4.85546875" style="344" customWidth="1"/>
    <col min="10747" max="10747" width="5.42578125" style="344" customWidth="1"/>
    <col min="10748" max="10748" width="31.28515625" style="344" customWidth="1"/>
    <col min="10749" max="10749" width="7.5703125" style="344" customWidth="1"/>
    <col min="10750" max="10750" width="2.42578125" style="344" customWidth="1"/>
    <col min="10751" max="10751" width="11.5703125" style="344" customWidth="1"/>
    <col min="10752" max="10752" width="2.42578125" style="344" customWidth="1"/>
    <col min="10753" max="10753" width="11.5703125" style="344" customWidth="1"/>
    <col min="10754" max="10754" width="2.42578125" style="344" customWidth="1"/>
    <col min="10755" max="10755" width="10.85546875" style="344" customWidth="1"/>
    <col min="10756" max="10756" width="2.42578125" style="344" customWidth="1"/>
    <col min="10757" max="10757" width="11.140625" style="344" customWidth="1"/>
    <col min="10758" max="10758" width="1.85546875" style="344" customWidth="1"/>
    <col min="10759" max="10759" width="11" style="344" customWidth="1"/>
    <col min="10760" max="10760" width="0.7109375" style="344" customWidth="1"/>
    <col min="10761" max="10761" width="1.85546875" style="344" customWidth="1"/>
    <col min="10762" max="10762" width="11.85546875" style="344" bestFit="1" customWidth="1"/>
    <col min="10763" max="10763" width="15.28515625" style="344" bestFit="1" customWidth="1"/>
    <col min="10764" max="10764" width="5" style="344" customWidth="1"/>
    <col min="10765" max="10765" width="10.42578125" style="344" bestFit="1" customWidth="1"/>
    <col min="10766" max="10766" width="5" style="344" customWidth="1"/>
    <col min="10767" max="10767" width="10.42578125" style="344" bestFit="1" customWidth="1"/>
    <col min="10768" max="10770" width="9" style="344"/>
    <col min="10771" max="10771" width="10.42578125" style="344" bestFit="1" customWidth="1"/>
    <col min="10772" max="11000" width="9" style="344"/>
    <col min="11001" max="11001" width="3.5703125" style="344" customWidth="1"/>
    <col min="11002" max="11002" width="4.85546875" style="344" customWidth="1"/>
    <col min="11003" max="11003" width="5.42578125" style="344" customWidth="1"/>
    <col min="11004" max="11004" width="31.28515625" style="344" customWidth="1"/>
    <col min="11005" max="11005" width="7.5703125" style="344" customWidth="1"/>
    <col min="11006" max="11006" width="2.42578125" style="344" customWidth="1"/>
    <col min="11007" max="11007" width="11.5703125" style="344" customWidth="1"/>
    <col min="11008" max="11008" width="2.42578125" style="344" customWidth="1"/>
    <col min="11009" max="11009" width="11.5703125" style="344" customWidth="1"/>
    <col min="11010" max="11010" width="2.42578125" style="344" customWidth="1"/>
    <col min="11011" max="11011" width="10.85546875" style="344" customWidth="1"/>
    <col min="11012" max="11012" width="2.42578125" style="344" customWidth="1"/>
    <col min="11013" max="11013" width="11.140625" style="344" customWidth="1"/>
    <col min="11014" max="11014" width="1.85546875" style="344" customWidth="1"/>
    <col min="11015" max="11015" width="11" style="344" customWidth="1"/>
    <col min="11016" max="11016" width="0.7109375" style="344" customWidth="1"/>
    <col min="11017" max="11017" width="1.85546875" style="344" customWidth="1"/>
    <col min="11018" max="11018" width="11.85546875" style="344" bestFit="1" customWidth="1"/>
    <col min="11019" max="11019" width="15.28515625" style="344" bestFit="1" customWidth="1"/>
    <col min="11020" max="11020" width="5" style="344" customWidth="1"/>
    <col min="11021" max="11021" width="10.42578125" style="344" bestFit="1" customWidth="1"/>
    <col min="11022" max="11022" width="5" style="344" customWidth="1"/>
    <col min="11023" max="11023" width="10.42578125" style="344" bestFit="1" customWidth="1"/>
    <col min="11024" max="11026" width="9" style="344"/>
    <col min="11027" max="11027" width="10.42578125" style="344" bestFit="1" customWidth="1"/>
    <col min="11028" max="11256" width="9" style="344"/>
    <col min="11257" max="11257" width="3.5703125" style="344" customWidth="1"/>
    <col min="11258" max="11258" width="4.85546875" style="344" customWidth="1"/>
    <col min="11259" max="11259" width="5.42578125" style="344" customWidth="1"/>
    <col min="11260" max="11260" width="31.28515625" style="344" customWidth="1"/>
    <col min="11261" max="11261" width="7.5703125" style="344" customWidth="1"/>
    <col min="11262" max="11262" width="2.42578125" style="344" customWidth="1"/>
    <col min="11263" max="11263" width="11.5703125" style="344" customWidth="1"/>
    <col min="11264" max="11264" width="2.42578125" style="344" customWidth="1"/>
    <col min="11265" max="11265" width="11.5703125" style="344" customWidth="1"/>
    <col min="11266" max="11266" width="2.42578125" style="344" customWidth="1"/>
    <col min="11267" max="11267" width="10.85546875" style="344" customWidth="1"/>
    <col min="11268" max="11268" width="2.42578125" style="344" customWidth="1"/>
    <col min="11269" max="11269" width="11.140625" style="344" customWidth="1"/>
    <col min="11270" max="11270" width="1.85546875" style="344" customWidth="1"/>
    <col min="11271" max="11271" width="11" style="344" customWidth="1"/>
    <col min="11272" max="11272" width="0.7109375" style="344" customWidth="1"/>
    <col min="11273" max="11273" width="1.85546875" style="344" customWidth="1"/>
    <col min="11274" max="11274" width="11.85546875" style="344" bestFit="1" customWidth="1"/>
    <col min="11275" max="11275" width="15.28515625" style="344" bestFit="1" customWidth="1"/>
    <col min="11276" max="11276" width="5" style="344" customWidth="1"/>
    <col min="11277" max="11277" width="10.42578125" style="344" bestFit="1" customWidth="1"/>
    <col min="11278" max="11278" width="5" style="344" customWidth="1"/>
    <col min="11279" max="11279" width="10.42578125" style="344" bestFit="1" customWidth="1"/>
    <col min="11280" max="11282" width="9" style="344"/>
    <col min="11283" max="11283" width="10.42578125" style="344" bestFit="1" customWidth="1"/>
    <col min="11284" max="11512" width="9" style="344"/>
    <col min="11513" max="11513" width="3.5703125" style="344" customWidth="1"/>
    <col min="11514" max="11514" width="4.85546875" style="344" customWidth="1"/>
    <col min="11515" max="11515" width="5.42578125" style="344" customWidth="1"/>
    <col min="11516" max="11516" width="31.28515625" style="344" customWidth="1"/>
    <col min="11517" max="11517" width="7.5703125" style="344" customWidth="1"/>
    <col min="11518" max="11518" width="2.42578125" style="344" customWidth="1"/>
    <col min="11519" max="11519" width="11.5703125" style="344" customWidth="1"/>
    <col min="11520" max="11520" width="2.42578125" style="344" customWidth="1"/>
    <col min="11521" max="11521" width="11.5703125" style="344" customWidth="1"/>
    <col min="11522" max="11522" width="2.42578125" style="344" customWidth="1"/>
    <col min="11523" max="11523" width="10.85546875" style="344" customWidth="1"/>
    <col min="11524" max="11524" width="2.42578125" style="344" customWidth="1"/>
    <col min="11525" max="11525" width="11.140625" style="344" customWidth="1"/>
    <col min="11526" max="11526" width="1.85546875" style="344" customWidth="1"/>
    <col min="11527" max="11527" width="11" style="344" customWidth="1"/>
    <col min="11528" max="11528" width="0.7109375" style="344" customWidth="1"/>
    <col min="11529" max="11529" width="1.85546875" style="344" customWidth="1"/>
    <col min="11530" max="11530" width="11.85546875" style="344" bestFit="1" customWidth="1"/>
    <col min="11531" max="11531" width="15.28515625" style="344" bestFit="1" customWidth="1"/>
    <col min="11532" max="11532" width="5" style="344" customWidth="1"/>
    <col min="11533" max="11533" width="10.42578125" style="344" bestFit="1" customWidth="1"/>
    <col min="11534" max="11534" width="5" style="344" customWidth="1"/>
    <col min="11535" max="11535" width="10.42578125" style="344" bestFit="1" customWidth="1"/>
    <col min="11536" max="11538" width="9" style="344"/>
    <col min="11539" max="11539" width="10.42578125" style="344" bestFit="1" customWidth="1"/>
    <col min="11540" max="11768" width="9" style="344"/>
    <col min="11769" max="11769" width="3.5703125" style="344" customWidth="1"/>
    <col min="11770" max="11770" width="4.85546875" style="344" customWidth="1"/>
    <col min="11771" max="11771" width="5.42578125" style="344" customWidth="1"/>
    <col min="11772" max="11772" width="31.28515625" style="344" customWidth="1"/>
    <col min="11773" max="11773" width="7.5703125" style="344" customWidth="1"/>
    <col min="11774" max="11774" width="2.42578125" style="344" customWidth="1"/>
    <col min="11775" max="11775" width="11.5703125" style="344" customWidth="1"/>
    <col min="11776" max="11776" width="2.42578125" style="344" customWidth="1"/>
    <col min="11777" max="11777" width="11.5703125" style="344" customWidth="1"/>
    <col min="11778" max="11778" width="2.42578125" style="344" customWidth="1"/>
    <col min="11779" max="11779" width="10.85546875" style="344" customWidth="1"/>
    <col min="11780" max="11780" width="2.42578125" style="344" customWidth="1"/>
    <col min="11781" max="11781" width="11.140625" style="344" customWidth="1"/>
    <col min="11782" max="11782" width="1.85546875" style="344" customWidth="1"/>
    <col min="11783" max="11783" width="11" style="344" customWidth="1"/>
    <col min="11784" max="11784" width="0.7109375" style="344" customWidth="1"/>
    <col min="11785" max="11785" width="1.85546875" style="344" customWidth="1"/>
    <col min="11786" max="11786" width="11.85546875" style="344" bestFit="1" customWidth="1"/>
    <col min="11787" max="11787" width="15.28515625" style="344" bestFit="1" customWidth="1"/>
    <col min="11788" max="11788" width="5" style="344" customWidth="1"/>
    <col min="11789" max="11789" width="10.42578125" style="344" bestFit="1" customWidth="1"/>
    <col min="11790" max="11790" width="5" style="344" customWidth="1"/>
    <col min="11791" max="11791" width="10.42578125" style="344" bestFit="1" customWidth="1"/>
    <col min="11792" max="11794" width="9" style="344"/>
    <col min="11795" max="11795" width="10.42578125" style="344" bestFit="1" customWidth="1"/>
    <col min="11796" max="12024" width="9" style="344"/>
    <col min="12025" max="12025" width="3.5703125" style="344" customWidth="1"/>
    <col min="12026" max="12026" width="4.85546875" style="344" customWidth="1"/>
    <col min="12027" max="12027" width="5.42578125" style="344" customWidth="1"/>
    <col min="12028" max="12028" width="31.28515625" style="344" customWidth="1"/>
    <col min="12029" max="12029" width="7.5703125" style="344" customWidth="1"/>
    <col min="12030" max="12030" width="2.42578125" style="344" customWidth="1"/>
    <col min="12031" max="12031" width="11.5703125" style="344" customWidth="1"/>
    <col min="12032" max="12032" width="2.42578125" style="344" customWidth="1"/>
    <col min="12033" max="12033" width="11.5703125" style="344" customWidth="1"/>
    <col min="12034" max="12034" width="2.42578125" style="344" customWidth="1"/>
    <col min="12035" max="12035" width="10.85546875" style="344" customWidth="1"/>
    <col min="12036" max="12036" width="2.42578125" style="344" customWidth="1"/>
    <col min="12037" max="12037" width="11.140625" style="344" customWidth="1"/>
    <col min="12038" max="12038" width="1.85546875" style="344" customWidth="1"/>
    <col min="12039" max="12039" width="11" style="344" customWidth="1"/>
    <col min="12040" max="12040" width="0.7109375" style="344" customWidth="1"/>
    <col min="12041" max="12041" width="1.85546875" style="344" customWidth="1"/>
    <col min="12042" max="12042" width="11.85546875" style="344" bestFit="1" customWidth="1"/>
    <col min="12043" max="12043" width="15.28515625" style="344" bestFit="1" customWidth="1"/>
    <col min="12044" max="12044" width="5" style="344" customWidth="1"/>
    <col min="12045" max="12045" width="10.42578125" style="344" bestFit="1" customWidth="1"/>
    <col min="12046" max="12046" width="5" style="344" customWidth="1"/>
    <col min="12047" max="12047" width="10.42578125" style="344" bestFit="1" customWidth="1"/>
    <col min="12048" max="12050" width="9" style="344"/>
    <col min="12051" max="12051" width="10.42578125" style="344" bestFit="1" customWidth="1"/>
    <col min="12052" max="12280" width="9" style="344"/>
    <col min="12281" max="12281" width="3.5703125" style="344" customWidth="1"/>
    <col min="12282" max="12282" width="4.85546875" style="344" customWidth="1"/>
    <col min="12283" max="12283" width="5.42578125" style="344" customWidth="1"/>
    <col min="12284" max="12284" width="31.28515625" style="344" customWidth="1"/>
    <col min="12285" max="12285" width="7.5703125" style="344" customWidth="1"/>
    <col min="12286" max="12286" width="2.42578125" style="344" customWidth="1"/>
    <col min="12287" max="12287" width="11.5703125" style="344" customWidth="1"/>
    <col min="12288" max="12288" width="2.42578125" style="344" customWidth="1"/>
    <col min="12289" max="12289" width="11.5703125" style="344" customWidth="1"/>
    <col min="12290" max="12290" width="2.42578125" style="344" customWidth="1"/>
    <col min="12291" max="12291" width="10.85546875" style="344" customWidth="1"/>
    <col min="12292" max="12292" width="2.42578125" style="344" customWidth="1"/>
    <col min="12293" max="12293" width="11.140625" style="344" customWidth="1"/>
    <col min="12294" max="12294" width="1.85546875" style="344" customWidth="1"/>
    <col min="12295" max="12295" width="11" style="344" customWidth="1"/>
    <col min="12296" max="12296" width="0.7109375" style="344" customWidth="1"/>
    <col min="12297" max="12297" width="1.85546875" style="344" customWidth="1"/>
    <col min="12298" max="12298" width="11.85546875" style="344" bestFit="1" customWidth="1"/>
    <col min="12299" max="12299" width="15.28515625" style="344" bestFit="1" customWidth="1"/>
    <col min="12300" max="12300" width="5" style="344" customWidth="1"/>
    <col min="12301" max="12301" width="10.42578125" style="344" bestFit="1" customWidth="1"/>
    <col min="12302" max="12302" width="5" style="344" customWidth="1"/>
    <col min="12303" max="12303" width="10.42578125" style="344" bestFit="1" customWidth="1"/>
    <col min="12304" max="12306" width="9" style="344"/>
    <col min="12307" max="12307" width="10.42578125" style="344" bestFit="1" customWidth="1"/>
    <col min="12308" max="12536" width="9" style="344"/>
    <col min="12537" max="12537" width="3.5703125" style="344" customWidth="1"/>
    <col min="12538" max="12538" width="4.85546875" style="344" customWidth="1"/>
    <col min="12539" max="12539" width="5.42578125" style="344" customWidth="1"/>
    <col min="12540" max="12540" width="31.28515625" style="344" customWidth="1"/>
    <col min="12541" max="12541" width="7.5703125" style="344" customWidth="1"/>
    <col min="12542" max="12542" width="2.42578125" style="344" customWidth="1"/>
    <col min="12543" max="12543" width="11.5703125" style="344" customWidth="1"/>
    <col min="12544" max="12544" width="2.42578125" style="344" customWidth="1"/>
    <col min="12545" max="12545" width="11.5703125" style="344" customWidth="1"/>
    <col min="12546" max="12546" width="2.42578125" style="344" customWidth="1"/>
    <col min="12547" max="12547" width="10.85546875" style="344" customWidth="1"/>
    <col min="12548" max="12548" width="2.42578125" style="344" customWidth="1"/>
    <col min="12549" max="12549" width="11.140625" style="344" customWidth="1"/>
    <col min="12550" max="12550" width="1.85546875" style="344" customWidth="1"/>
    <col min="12551" max="12551" width="11" style="344" customWidth="1"/>
    <col min="12552" max="12552" width="0.7109375" style="344" customWidth="1"/>
    <col min="12553" max="12553" width="1.85546875" style="344" customWidth="1"/>
    <col min="12554" max="12554" width="11.85546875" style="344" bestFit="1" customWidth="1"/>
    <col min="12555" max="12555" width="15.28515625" style="344" bestFit="1" customWidth="1"/>
    <col min="12556" max="12556" width="5" style="344" customWidth="1"/>
    <col min="12557" max="12557" width="10.42578125" style="344" bestFit="1" customWidth="1"/>
    <col min="12558" max="12558" width="5" style="344" customWidth="1"/>
    <col min="12559" max="12559" width="10.42578125" style="344" bestFit="1" customWidth="1"/>
    <col min="12560" max="12562" width="9" style="344"/>
    <col min="12563" max="12563" width="10.42578125" style="344" bestFit="1" customWidth="1"/>
    <col min="12564" max="12792" width="9" style="344"/>
    <col min="12793" max="12793" width="3.5703125" style="344" customWidth="1"/>
    <col min="12794" max="12794" width="4.85546875" style="344" customWidth="1"/>
    <col min="12795" max="12795" width="5.42578125" style="344" customWidth="1"/>
    <col min="12796" max="12796" width="31.28515625" style="344" customWidth="1"/>
    <col min="12797" max="12797" width="7.5703125" style="344" customWidth="1"/>
    <col min="12798" max="12798" width="2.42578125" style="344" customWidth="1"/>
    <col min="12799" max="12799" width="11.5703125" style="344" customWidth="1"/>
    <col min="12800" max="12800" width="2.42578125" style="344" customWidth="1"/>
    <col min="12801" max="12801" width="11.5703125" style="344" customWidth="1"/>
    <col min="12802" max="12802" width="2.42578125" style="344" customWidth="1"/>
    <col min="12803" max="12803" width="10.85546875" style="344" customWidth="1"/>
    <col min="12804" max="12804" width="2.42578125" style="344" customWidth="1"/>
    <col min="12805" max="12805" width="11.140625" style="344" customWidth="1"/>
    <col min="12806" max="12806" width="1.85546875" style="344" customWidth="1"/>
    <col min="12807" max="12807" width="11" style="344" customWidth="1"/>
    <col min="12808" max="12808" width="0.7109375" style="344" customWidth="1"/>
    <col min="12809" max="12809" width="1.85546875" style="344" customWidth="1"/>
    <col min="12810" max="12810" width="11.85546875" style="344" bestFit="1" customWidth="1"/>
    <col min="12811" max="12811" width="15.28515625" style="344" bestFit="1" customWidth="1"/>
    <col min="12812" max="12812" width="5" style="344" customWidth="1"/>
    <col min="12813" max="12813" width="10.42578125" style="344" bestFit="1" customWidth="1"/>
    <col min="12814" max="12814" width="5" style="344" customWidth="1"/>
    <col min="12815" max="12815" width="10.42578125" style="344" bestFit="1" customWidth="1"/>
    <col min="12816" max="12818" width="9" style="344"/>
    <col min="12819" max="12819" width="10.42578125" style="344" bestFit="1" customWidth="1"/>
    <col min="12820" max="13048" width="9" style="344"/>
    <col min="13049" max="13049" width="3.5703125" style="344" customWidth="1"/>
    <col min="13050" max="13050" width="4.85546875" style="344" customWidth="1"/>
    <col min="13051" max="13051" width="5.42578125" style="344" customWidth="1"/>
    <col min="13052" max="13052" width="31.28515625" style="344" customWidth="1"/>
    <col min="13053" max="13053" width="7.5703125" style="344" customWidth="1"/>
    <col min="13054" max="13054" width="2.42578125" style="344" customWidth="1"/>
    <col min="13055" max="13055" width="11.5703125" style="344" customWidth="1"/>
    <col min="13056" max="13056" width="2.42578125" style="344" customWidth="1"/>
    <col min="13057" max="13057" width="11.5703125" style="344" customWidth="1"/>
    <col min="13058" max="13058" width="2.42578125" style="344" customWidth="1"/>
    <col min="13059" max="13059" width="10.85546875" style="344" customWidth="1"/>
    <col min="13060" max="13060" width="2.42578125" style="344" customWidth="1"/>
    <col min="13061" max="13061" width="11.140625" style="344" customWidth="1"/>
    <col min="13062" max="13062" width="1.85546875" style="344" customWidth="1"/>
    <col min="13063" max="13063" width="11" style="344" customWidth="1"/>
    <col min="13064" max="13064" width="0.7109375" style="344" customWidth="1"/>
    <col min="13065" max="13065" width="1.85546875" style="344" customWidth="1"/>
    <col min="13066" max="13066" width="11.85546875" style="344" bestFit="1" customWidth="1"/>
    <col min="13067" max="13067" width="15.28515625" style="344" bestFit="1" customWidth="1"/>
    <col min="13068" max="13068" width="5" style="344" customWidth="1"/>
    <col min="13069" max="13069" width="10.42578125" style="344" bestFit="1" customWidth="1"/>
    <col min="13070" max="13070" width="5" style="344" customWidth="1"/>
    <col min="13071" max="13071" width="10.42578125" style="344" bestFit="1" customWidth="1"/>
    <col min="13072" max="13074" width="9" style="344"/>
    <col min="13075" max="13075" width="10.42578125" style="344" bestFit="1" customWidth="1"/>
    <col min="13076" max="13304" width="9" style="344"/>
    <col min="13305" max="13305" width="3.5703125" style="344" customWidth="1"/>
    <col min="13306" max="13306" width="4.85546875" style="344" customWidth="1"/>
    <col min="13307" max="13307" width="5.42578125" style="344" customWidth="1"/>
    <col min="13308" max="13308" width="31.28515625" style="344" customWidth="1"/>
    <col min="13309" max="13309" width="7.5703125" style="344" customWidth="1"/>
    <col min="13310" max="13310" width="2.42578125" style="344" customWidth="1"/>
    <col min="13311" max="13311" width="11.5703125" style="344" customWidth="1"/>
    <col min="13312" max="13312" width="2.42578125" style="344" customWidth="1"/>
    <col min="13313" max="13313" width="11.5703125" style="344" customWidth="1"/>
    <col min="13314" max="13314" width="2.42578125" style="344" customWidth="1"/>
    <col min="13315" max="13315" width="10.85546875" style="344" customWidth="1"/>
    <col min="13316" max="13316" width="2.42578125" style="344" customWidth="1"/>
    <col min="13317" max="13317" width="11.140625" style="344" customWidth="1"/>
    <col min="13318" max="13318" width="1.85546875" style="344" customWidth="1"/>
    <col min="13319" max="13319" width="11" style="344" customWidth="1"/>
    <col min="13320" max="13320" width="0.7109375" style="344" customWidth="1"/>
    <col min="13321" max="13321" width="1.85546875" style="344" customWidth="1"/>
    <col min="13322" max="13322" width="11.85546875" style="344" bestFit="1" customWidth="1"/>
    <col min="13323" max="13323" width="15.28515625" style="344" bestFit="1" customWidth="1"/>
    <col min="13324" max="13324" width="5" style="344" customWidth="1"/>
    <col min="13325" max="13325" width="10.42578125" style="344" bestFit="1" customWidth="1"/>
    <col min="13326" max="13326" width="5" style="344" customWidth="1"/>
    <col min="13327" max="13327" width="10.42578125" style="344" bestFit="1" customWidth="1"/>
    <col min="13328" max="13330" width="9" style="344"/>
    <col min="13331" max="13331" width="10.42578125" style="344" bestFit="1" customWidth="1"/>
    <col min="13332" max="13560" width="9" style="344"/>
    <col min="13561" max="13561" width="3.5703125" style="344" customWidth="1"/>
    <col min="13562" max="13562" width="4.85546875" style="344" customWidth="1"/>
    <col min="13563" max="13563" width="5.42578125" style="344" customWidth="1"/>
    <col min="13564" max="13564" width="31.28515625" style="344" customWidth="1"/>
    <col min="13565" max="13565" width="7.5703125" style="344" customWidth="1"/>
    <col min="13566" max="13566" width="2.42578125" style="344" customWidth="1"/>
    <col min="13567" max="13567" width="11.5703125" style="344" customWidth="1"/>
    <col min="13568" max="13568" width="2.42578125" style="344" customWidth="1"/>
    <col min="13569" max="13569" width="11.5703125" style="344" customWidth="1"/>
    <col min="13570" max="13570" width="2.42578125" style="344" customWidth="1"/>
    <col min="13571" max="13571" width="10.85546875" style="344" customWidth="1"/>
    <col min="13572" max="13572" width="2.42578125" style="344" customWidth="1"/>
    <col min="13573" max="13573" width="11.140625" style="344" customWidth="1"/>
    <col min="13574" max="13574" width="1.85546875" style="344" customWidth="1"/>
    <col min="13575" max="13575" width="11" style="344" customWidth="1"/>
    <col min="13576" max="13576" width="0.7109375" style="344" customWidth="1"/>
    <col min="13577" max="13577" width="1.85546875" style="344" customWidth="1"/>
    <col min="13578" max="13578" width="11.85546875" style="344" bestFit="1" customWidth="1"/>
    <col min="13579" max="13579" width="15.28515625" style="344" bestFit="1" customWidth="1"/>
    <col min="13580" max="13580" width="5" style="344" customWidth="1"/>
    <col min="13581" max="13581" width="10.42578125" style="344" bestFit="1" customWidth="1"/>
    <col min="13582" max="13582" width="5" style="344" customWidth="1"/>
    <col min="13583" max="13583" width="10.42578125" style="344" bestFit="1" customWidth="1"/>
    <col min="13584" max="13586" width="9" style="344"/>
    <col min="13587" max="13587" width="10.42578125" style="344" bestFit="1" customWidth="1"/>
    <col min="13588" max="13816" width="9" style="344"/>
    <col min="13817" max="13817" width="3.5703125" style="344" customWidth="1"/>
    <col min="13818" max="13818" width="4.85546875" style="344" customWidth="1"/>
    <col min="13819" max="13819" width="5.42578125" style="344" customWidth="1"/>
    <col min="13820" max="13820" width="31.28515625" style="344" customWidth="1"/>
    <col min="13821" max="13821" width="7.5703125" style="344" customWidth="1"/>
    <col min="13822" max="13822" width="2.42578125" style="344" customWidth="1"/>
    <col min="13823" max="13823" width="11.5703125" style="344" customWidth="1"/>
    <col min="13824" max="13824" width="2.42578125" style="344" customWidth="1"/>
    <col min="13825" max="13825" width="11.5703125" style="344" customWidth="1"/>
    <col min="13826" max="13826" width="2.42578125" style="344" customWidth="1"/>
    <col min="13827" max="13827" width="10.85546875" style="344" customWidth="1"/>
    <col min="13828" max="13828" width="2.42578125" style="344" customWidth="1"/>
    <col min="13829" max="13829" width="11.140625" style="344" customWidth="1"/>
    <col min="13830" max="13830" width="1.85546875" style="344" customWidth="1"/>
    <col min="13831" max="13831" width="11" style="344" customWidth="1"/>
    <col min="13832" max="13832" width="0.7109375" style="344" customWidth="1"/>
    <col min="13833" max="13833" width="1.85546875" style="344" customWidth="1"/>
    <col min="13834" max="13834" width="11.85546875" style="344" bestFit="1" customWidth="1"/>
    <col min="13835" max="13835" width="15.28515625" style="344" bestFit="1" customWidth="1"/>
    <col min="13836" max="13836" width="5" style="344" customWidth="1"/>
    <col min="13837" max="13837" width="10.42578125" style="344" bestFit="1" customWidth="1"/>
    <col min="13838" max="13838" width="5" style="344" customWidth="1"/>
    <col min="13839" max="13839" width="10.42578125" style="344" bestFit="1" customWidth="1"/>
    <col min="13840" max="13842" width="9" style="344"/>
    <col min="13843" max="13843" width="10.42578125" style="344" bestFit="1" customWidth="1"/>
    <col min="13844" max="14072" width="9" style="344"/>
    <col min="14073" max="14073" width="3.5703125" style="344" customWidth="1"/>
    <col min="14074" max="14074" width="4.85546875" style="344" customWidth="1"/>
    <col min="14075" max="14075" width="5.42578125" style="344" customWidth="1"/>
    <col min="14076" max="14076" width="31.28515625" style="344" customWidth="1"/>
    <col min="14077" max="14077" width="7.5703125" style="344" customWidth="1"/>
    <col min="14078" max="14078" width="2.42578125" style="344" customWidth="1"/>
    <col min="14079" max="14079" width="11.5703125" style="344" customWidth="1"/>
    <col min="14080" max="14080" width="2.42578125" style="344" customWidth="1"/>
    <col min="14081" max="14081" width="11.5703125" style="344" customWidth="1"/>
    <col min="14082" max="14082" width="2.42578125" style="344" customWidth="1"/>
    <col min="14083" max="14083" width="10.85546875" style="344" customWidth="1"/>
    <col min="14084" max="14084" width="2.42578125" style="344" customWidth="1"/>
    <col min="14085" max="14085" width="11.140625" style="344" customWidth="1"/>
    <col min="14086" max="14086" width="1.85546875" style="344" customWidth="1"/>
    <col min="14087" max="14087" width="11" style="344" customWidth="1"/>
    <col min="14088" max="14088" width="0.7109375" style="344" customWidth="1"/>
    <col min="14089" max="14089" width="1.85546875" style="344" customWidth="1"/>
    <col min="14090" max="14090" width="11.85546875" style="344" bestFit="1" customWidth="1"/>
    <col min="14091" max="14091" width="15.28515625" style="344" bestFit="1" customWidth="1"/>
    <col min="14092" max="14092" width="5" style="344" customWidth="1"/>
    <col min="14093" max="14093" width="10.42578125" style="344" bestFit="1" customWidth="1"/>
    <col min="14094" max="14094" width="5" style="344" customWidth="1"/>
    <col min="14095" max="14095" width="10.42578125" style="344" bestFit="1" customWidth="1"/>
    <col min="14096" max="14098" width="9" style="344"/>
    <col min="14099" max="14099" width="10.42578125" style="344" bestFit="1" customWidth="1"/>
    <col min="14100" max="14328" width="9" style="344"/>
    <col min="14329" max="14329" width="3.5703125" style="344" customWidth="1"/>
    <col min="14330" max="14330" width="4.85546875" style="344" customWidth="1"/>
    <col min="14331" max="14331" width="5.42578125" style="344" customWidth="1"/>
    <col min="14332" max="14332" width="31.28515625" style="344" customWidth="1"/>
    <col min="14333" max="14333" width="7.5703125" style="344" customWidth="1"/>
    <col min="14334" max="14334" width="2.42578125" style="344" customWidth="1"/>
    <col min="14335" max="14335" width="11.5703125" style="344" customWidth="1"/>
    <col min="14336" max="14336" width="2.42578125" style="344" customWidth="1"/>
    <col min="14337" max="14337" width="11.5703125" style="344" customWidth="1"/>
    <col min="14338" max="14338" width="2.42578125" style="344" customWidth="1"/>
    <col min="14339" max="14339" width="10.85546875" style="344" customWidth="1"/>
    <col min="14340" max="14340" width="2.42578125" style="344" customWidth="1"/>
    <col min="14341" max="14341" width="11.140625" style="344" customWidth="1"/>
    <col min="14342" max="14342" width="1.85546875" style="344" customWidth="1"/>
    <col min="14343" max="14343" width="11" style="344" customWidth="1"/>
    <col min="14344" max="14344" width="0.7109375" style="344" customWidth="1"/>
    <col min="14345" max="14345" width="1.85546875" style="344" customWidth="1"/>
    <col min="14346" max="14346" width="11.85546875" style="344" bestFit="1" customWidth="1"/>
    <col min="14347" max="14347" width="15.28515625" style="344" bestFit="1" customWidth="1"/>
    <col min="14348" max="14348" width="5" style="344" customWidth="1"/>
    <col min="14349" max="14349" width="10.42578125" style="344" bestFit="1" customWidth="1"/>
    <col min="14350" max="14350" width="5" style="344" customWidth="1"/>
    <col min="14351" max="14351" width="10.42578125" style="344" bestFit="1" customWidth="1"/>
    <col min="14352" max="14354" width="9" style="344"/>
    <col min="14355" max="14355" width="10.42578125" style="344" bestFit="1" customWidth="1"/>
    <col min="14356" max="14584" width="9" style="344"/>
    <col min="14585" max="14585" width="3.5703125" style="344" customWidth="1"/>
    <col min="14586" max="14586" width="4.85546875" style="344" customWidth="1"/>
    <col min="14587" max="14587" width="5.42578125" style="344" customWidth="1"/>
    <col min="14588" max="14588" width="31.28515625" style="344" customWidth="1"/>
    <col min="14589" max="14589" width="7.5703125" style="344" customWidth="1"/>
    <col min="14590" max="14590" width="2.42578125" style="344" customWidth="1"/>
    <col min="14591" max="14591" width="11.5703125" style="344" customWidth="1"/>
    <col min="14592" max="14592" width="2.42578125" style="344" customWidth="1"/>
    <col min="14593" max="14593" width="11.5703125" style="344" customWidth="1"/>
    <col min="14594" max="14594" width="2.42578125" style="344" customWidth="1"/>
    <col min="14595" max="14595" width="10.85546875" style="344" customWidth="1"/>
    <col min="14596" max="14596" width="2.42578125" style="344" customWidth="1"/>
    <col min="14597" max="14597" width="11.140625" style="344" customWidth="1"/>
    <col min="14598" max="14598" width="1.85546875" style="344" customWidth="1"/>
    <col min="14599" max="14599" width="11" style="344" customWidth="1"/>
    <col min="14600" max="14600" width="0.7109375" style="344" customWidth="1"/>
    <col min="14601" max="14601" width="1.85546875" style="344" customWidth="1"/>
    <col min="14602" max="14602" width="11.85546875" style="344" bestFit="1" customWidth="1"/>
    <col min="14603" max="14603" width="15.28515625" style="344" bestFit="1" customWidth="1"/>
    <col min="14604" max="14604" width="5" style="344" customWidth="1"/>
    <col min="14605" max="14605" width="10.42578125" style="344" bestFit="1" customWidth="1"/>
    <col min="14606" max="14606" width="5" style="344" customWidth="1"/>
    <col min="14607" max="14607" width="10.42578125" style="344" bestFit="1" customWidth="1"/>
    <col min="14608" max="14610" width="9" style="344"/>
    <col min="14611" max="14611" width="10.42578125" style="344" bestFit="1" customWidth="1"/>
    <col min="14612" max="14840" width="9" style="344"/>
    <col min="14841" max="14841" width="3.5703125" style="344" customWidth="1"/>
    <col min="14842" max="14842" width="4.85546875" style="344" customWidth="1"/>
    <col min="14843" max="14843" width="5.42578125" style="344" customWidth="1"/>
    <col min="14844" max="14844" width="31.28515625" style="344" customWidth="1"/>
    <col min="14845" max="14845" width="7.5703125" style="344" customWidth="1"/>
    <col min="14846" max="14846" width="2.42578125" style="344" customWidth="1"/>
    <col min="14847" max="14847" width="11.5703125" style="344" customWidth="1"/>
    <col min="14848" max="14848" width="2.42578125" style="344" customWidth="1"/>
    <col min="14849" max="14849" width="11.5703125" style="344" customWidth="1"/>
    <col min="14850" max="14850" width="2.42578125" style="344" customWidth="1"/>
    <col min="14851" max="14851" width="10.85546875" style="344" customWidth="1"/>
    <col min="14852" max="14852" width="2.42578125" style="344" customWidth="1"/>
    <col min="14853" max="14853" width="11.140625" style="344" customWidth="1"/>
    <col min="14854" max="14854" width="1.85546875" style="344" customWidth="1"/>
    <col min="14855" max="14855" width="11" style="344" customWidth="1"/>
    <col min="14856" max="14856" width="0.7109375" style="344" customWidth="1"/>
    <col min="14857" max="14857" width="1.85546875" style="344" customWidth="1"/>
    <col min="14858" max="14858" width="11.85546875" style="344" bestFit="1" customWidth="1"/>
    <col min="14859" max="14859" width="15.28515625" style="344" bestFit="1" customWidth="1"/>
    <col min="14860" max="14860" width="5" style="344" customWidth="1"/>
    <col min="14861" max="14861" width="10.42578125" style="344" bestFit="1" customWidth="1"/>
    <col min="14862" max="14862" width="5" style="344" customWidth="1"/>
    <col min="14863" max="14863" width="10.42578125" style="344" bestFit="1" customWidth="1"/>
    <col min="14864" max="14866" width="9" style="344"/>
    <col min="14867" max="14867" width="10.42578125" style="344" bestFit="1" customWidth="1"/>
    <col min="14868" max="15096" width="9" style="344"/>
    <col min="15097" max="15097" width="3.5703125" style="344" customWidth="1"/>
    <col min="15098" max="15098" width="4.85546875" style="344" customWidth="1"/>
    <col min="15099" max="15099" width="5.42578125" style="344" customWidth="1"/>
    <col min="15100" max="15100" width="31.28515625" style="344" customWidth="1"/>
    <col min="15101" max="15101" width="7.5703125" style="344" customWidth="1"/>
    <col min="15102" max="15102" width="2.42578125" style="344" customWidth="1"/>
    <col min="15103" max="15103" width="11.5703125" style="344" customWidth="1"/>
    <col min="15104" max="15104" width="2.42578125" style="344" customWidth="1"/>
    <col min="15105" max="15105" width="11.5703125" style="344" customWidth="1"/>
    <col min="15106" max="15106" width="2.42578125" style="344" customWidth="1"/>
    <col min="15107" max="15107" width="10.85546875" style="344" customWidth="1"/>
    <col min="15108" max="15108" width="2.42578125" style="344" customWidth="1"/>
    <col min="15109" max="15109" width="11.140625" style="344" customWidth="1"/>
    <col min="15110" max="15110" width="1.85546875" style="344" customWidth="1"/>
    <col min="15111" max="15111" width="11" style="344" customWidth="1"/>
    <col min="15112" max="15112" width="0.7109375" style="344" customWidth="1"/>
    <col min="15113" max="15113" width="1.85546875" style="344" customWidth="1"/>
    <col min="15114" max="15114" width="11.85546875" style="344" bestFit="1" customWidth="1"/>
    <col min="15115" max="15115" width="15.28515625" style="344" bestFit="1" customWidth="1"/>
    <col min="15116" max="15116" width="5" style="344" customWidth="1"/>
    <col min="15117" max="15117" width="10.42578125" style="344" bestFit="1" customWidth="1"/>
    <col min="15118" max="15118" width="5" style="344" customWidth="1"/>
    <col min="15119" max="15119" width="10.42578125" style="344" bestFit="1" customWidth="1"/>
    <col min="15120" max="15122" width="9" style="344"/>
    <col min="15123" max="15123" width="10.42578125" style="344" bestFit="1" customWidth="1"/>
    <col min="15124" max="15352" width="9" style="344"/>
    <col min="15353" max="15353" width="3.5703125" style="344" customWidth="1"/>
    <col min="15354" max="15354" width="4.85546875" style="344" customWidth="1"/>
    <col min="15355" max="15355" width="5.42578125" style="344" customWidth="1"/>
    <col min="15356" max="15356" width="31.28515625" style="344" customWidth="1"/>
    <col min="15357" max="15357" width="7.5703125" style="344" customWidth="1"/>
    <col min="15358" max="15358" width="2.42578125" style="344" customWidth="1"/>
    <col min="15359" max="15359" width="11.5703125" style="344" customWidth="1"/>
    <col min="15360" max="15360" width="2.42578125" style="344" customWidth="1"/>
    <col min="15361" max="15361" width="11.5703125" style="344" customWidth="1"/>
    <col min="15362" max="15362" width="2.42578125" style="344" customWidth="1"/>
    <col min="15363" max="15363" width="10.85546875" style="344" customWidth="1"/>
    <col min="15364" max="15364" width="2.42578125" style="344" customWidth="1"/>
    <col min="15365" max="15365" width="11.140625" style="344" customWidth="1"/>
    <col min="15366" max="15366" width="1.85546875" style="344" customWidth="1"/>
    <col min="15367" max="15367" width="11" style="344" customWidth="1"/>
    <col min="15368" max="15368" width="0.7109375" style="344" customWidth="1"/>
    <col min="15369" max="15369" width="1.85546875" style="344" customWidth="1"/>
    <col min="15370" max="15370" width="11.85546875" style="344" bestFit="1" customWidth="1"/>
    <col min="15371" max="15371" width="15.28515625" style="344" bestFit="1" customWidth="1"/>
    <col min="15372" max="15372" width="5" style="344" customWidth="1"/>
    <col min="15373" max="15373" width="10.42578125" style="344" bestFit="1" customWidth="1"/>
    <col min="15374" max="15374" width="5" style="344" customWidth="1"/>
    <col min="15375" max="15375" width="10.42578125" style="344" bestFit="1" customWidth="1"/>
    <col min="15376" max="15378" width="9" style="344"/>
    <col min="15379" max="15379" width="10.42578125" style="344" bestFit="1" customWidth="1"/>
    <col min="15380" max="15608" width="9" style="344"/>
    <col min="15609" max="15609" width="3.5703125" style="344" customWidth="1"/>
    <col min="15610" max="15610" width="4.85546875" style="344" customWidth="1"/>
    <col min="15611" max="15611" width="5.42578125" style="344" customWidth="1"/>
    <col min="15612" max="15612" width="31.28515625" style="344" customWidth="1"/>
    <col min="15613" max="15613" width="7.5703125" style="344" customWidth="1"/>
    <col min="15614" max="15614" width="2.42578125" style="344" customWidth="1"/>
    <col min="15615" max="15615" width="11.5703125" style="344" customWidth="1"/>
    <col min="15616" max="15616" width="2.42578125" style="344" customWidth="1"/>
    <col min="15617" max="15617" width="11.5703125" style="344" customWidth="1"/>
    <col min="15618" max="15618" width="2.42578125" style="344" customWidth="1"/>
    <col min="15619" max="15619" width="10.85546875" style="344" customWidth="1"/>
    <col min="15620" max="15620" width="2.42578125" style="344" customWidth="1"/>
    <col min="15621" max="15621" width="11.140625" style="344" customWidth="1"/>
    <col min="15622" max="15622" width="1.85546875" style="344" customWidth="1"/>
    <col min="15623" max="15623" width="11" style="344" customWidth="1"/>
    <col min="15624" max="15624" width="0.7109375" style="344" customWidth="1"/>
    <col min="15625" max="15625" width="1.85546875" style="344" customWidth="1"/>
    <col min="15626" max="15626" width="11.85546875" style="344" bestFit="1" customWidth="1"/>
    <col min="15627" max="15627" width="15.28515625" style="344" bestFit="1" customWidth="1"/>
    <col min="15628" max="15628" width="5" style="344" customWidth="1"/>
    <col min="15629" max="15629" width="10.42578125" style="344" bestFit="1" customWidth="1"/>
    <col min="15630" max="15630" width="5" style="344" customWidth="1"/>
    <col min="15631" max="15631" width="10.42578125" style="344" bestFit="1" customWidth="1"/>
    <col min="15632" max="15634" width="9" style="344"/>
    <col min="15635" max="15635" width="10.42578125" style="344" bestFit="1" customWidth="1"/>
    <col min="15636" max="15864" width="9" style="344"/>
    <col min="15865" max="15865" width="3.5703125" style="344" customWidth="1"/>
    <col min="15866" max="15866" width="4.85546875" style="344" customWidth="1"/>
    <col min="15867" max="15867" width="5.42578125" style="344" customWidth="1"/>
    <col min="15868" max="15868" width="31.28515625" style="344" customWidth="1"/>
    <col min="15869" max="15869" width="7.5703125" style="344" customWidth="1"/>
    <col min="15870" max="15870" width="2.42578125" style="344" customWidth="1"/>
    <col min="15871" max="15871" width="11.5703125" style="344" customWidth="1"/>
    <col min="15872" max="15872" width="2.42578125" style="344" customWidth="1"/>
    <col min="15873" max="15873" width="11.5703125" style="344" customWidth="1"/>
    <col min="15874" max="15874" width="2.42578125" style="344" customWidth="1"/>
    <col min="15875" max="15875" width="10.85546875" style="344" customWidth="1"/>
    <col min="15876" max="15876" width="2.42578125" style="344" customWidth="1"/>
    <col min="15877" max="15877" width="11.140625" style="344" customWidth="1"/>
    <col min="15878" max="15878" width="1.85546875" style="344" customWidth="1"/>
    <col min="15879" max="15879" width="11" style="344" customWidth="1"/>
    <col min="15880" max="15880" width="0.7109375" style="344" customWidth="1"/>
    <col min="15881" max="15881" width="1.85546875" style="344" customWidth="1"/>
    <col min="15882" max="15882" width="11.85546875" style="344" bestFit="1" customWidth="1"/>
    <col min="15883" max="15883" width="15.28515625" style="344" bestFit="1" customWidth="1"/>
    <col min="15884" max="15884" width="5" style="344" customWidth="1"/>
    <col min="15885" max="15885" width="10.42578125" style="344" bestFit="1" customWidth="1"/>
    <col min="15886" max="15886" width="5" style="344" customWidth="1"/>
    <col min="15887" max="15887" width="10.42578125" style="344" bestFit="1" customWidth="1"/>
    <col min="15888" max="15890" width="9" style="344"/>
    <col min="15891" max="15891" width="10.42578125" style="344" bestFit="1" customWidth="1"/>
    <col min="15892" max="16120" width="9" style="344"/>
    <col min="16121" max="16121" width="3.5703125" style="344" customWidth="1"/>
    <col min="16122" max="16122" width="4.85546875" style="344" customWidth="1"/>
    <col min="16123" max="16123" width="5.42578125" style="344" customWidth="1"/>
    <col min="16124" max="16124" width="31.28515625" style="344" customWidth="1"/>
    <col min="16125" max="16125" width="7.5703125" style="344" customWidth="1"/>
    <col min="16126" max="16126" width="2.42578125" style="344" customWidth="1"/>
    <col min="16127" max="16127" width="11.5703125" style="344" customWidth="1"/>
    <col min="16128" max="16128" width="2.42578125" style="344" customWidth="1"/>
    <col min="16129" max="16129" width="11.5703125" style="344" customWidth="1"/>
    <col min="16130" max="16130" width="2.42578125" style="344" customWidth="1"/>
    <col min="16131" max="16131" width="10.85546875" style="344" customWidth="1"/>
    <col min="16132" max="16132" width="2.42578125" style="344" customWidth="1"/>
    <col min="16133" max="16133" width="11.140625" style="344" customWidth="1"/>
    <col min="16134" max="16134" width="1.85546875" style="344" customWidth="1"/>
    <col min="16135" max="16135" width="11" style="344" customWidth="1"/>
    <col min="16136" max="16136" width="0.7109375" style="344" customWidth="1"/>
    <col min="16137" max="16137" width="1.85546875" style="344" customWidth="1"/>
    <col min="16138" max="16138" width="11.85546875" style="344" bestFit="1" customWidth="1"/>
    <col min="16139" max="16139" width="15.28515625" style="344" bestFit="1" customWidth="1"/>
    <col min="16140" max="16140" width="5" style="344" customWidth="1"/>
    <col min="16141" max="16141" width="10.42578125" style="344" bestFit="1" customWidth="1"/>
    <col min="16142" max="16142" width="5" style="344" customWidth="1"/>
    <col min="16143" max="16143" width="10.42578125" style="344" bestFit="1" customWidth="1"/>
    <col min="16144" max="16146" width="9" style="344"/>
    <col min="16147" max="16147" width="10.42578125" style="344" bestFit="1" customWidth="1"/>
    <col min="16148" max="16381" width="9" style="344"/>
    <col min="16382" max="16382" width="9" style="344" customWidth="1"/>
    <col min="16383" max="16384" width="9" style="344"/>
  </cols>
  <sheetData>
    <row r="1" spans="1:16" s="348" customFormat="1" ht="18.75" x14ac:dyDescent="0.45">
      <c r="A1" s="1476" t="s">
        <v>244</v>
      </c>
      <c r="B1" s="1476"/>
      <c r="C1" s="1476"/>
      <c r="D1" s="1476"/>
      <c r="E1" s="1476"/>
      <c r="F1" s="1476"/>
      <c r="G1" s="1476"/>
      <c r="H1" s="1476"/>
      <c r="I1" s="1476"/>
      <c r="J1" s="1476"/>
      <c r="K1" s="1476"/>
      <c r="L1" s="347"/>
      <c r="M1" s="347"/>
    </row>
    <row r="2" spans="1:16" s="348" customFormat="1" ht="18.75" x14ac:dyDescent="0.45">
      <c r="A2" s="1477" t="str">
        <f>تاريخچه!A2</f>
        <v>يادداشتهاي توضيحي صورتهاي مالي</v>
      </c>
      <c r="B2" s="1477"/>
      <c r="C2" s="1477"/>
      <c r="D2" s="1477"/>
      <c r="E2" s="1477"/>
      <c r="F2" s="1477"/>
      <c r="G2" s="1477"/>
      <c r="H2" s="1477"/>
      <c r="I2" s="1477"/>
      <c r="J2" s="1477"/>
      <c r="K2" s="1477"/>
      <c r="L2" s="347"/>
      <c r="M2" s="347"/>
    </row>
    <row r="3" spans="1:16" s="348" customFormat="1" ht="18.75" x14ac:dyDescent="0.45">
      <c r="A3" s="1477" t="str">
        <f>سودوزيان!A3</f>
        <v>سال مالی منتهی به 30 اسفند 1403</v>
      </c>
      <c r="B3" s="1477"/>
      <c r="C3" s="1477"/>
      <c r="D3" s="1477"/>
      <c r="E3" s="1477"/>
      <c r="F3" s="1477"/>
      <c r="G3" s="1477"/>
      <c r="H3" s="1477"/>
      <c r="I3" s="1477"/>
      <c r="J3" s="1477"/>
      <c r="K3" s="1477"/>
      <c r="L3" s="347"/>
      <c r="M3" s="347"/>
    </row>
    <row r="4" spans="1:16" s="348" customFormat="1" ht="18.75" x14ac:dyDescent="0.45">
      <c r="A4" s="349"/>
      <c r="B4" s="349"/>
      <c r="C4" s="349"/>
      <c r="D4" s="349"/>
      <c r="E4" s="349"/>
      <c r="F4" s="349"/>
      <c r="G4" s="349"/>
      <c r="H4" s="349"/>
      <c r="I4" s="349"/>
      <c r="J4" s="349"/>
      <c r="K4" s="349"/>
      <c r="L4" s="347"/>
      <c r="M4" s="347"/>
    </row>
    <row r="5" spans="1:16" s="348" customFormat="1" ht="18.75" x14ac:dyDescent="0.45">
      <c r="A5" s="349"/>
      <c r="B5" s="349"/>
      <c r="C5" s="349"/>
      <c r="D5" s="349"/>
      <c r="E5" s="349"/>
      <c r="F5" s="349"/>
      <c r="G5" s="349"/>
      <c r="H5" s="349"/>
      <c r="I5" s="349"/>
      <c r="J5" s="349"/>
      <c r="K5" s="349"/>
      <c r="L5" s="347"/>
      <c r="M5" s="347"/>
    </row>
    <row r="6" spans="1:16" s="354" customFormat="1" ht="19.5" customHeight="1" x14ac:dyDescent="0.5">
      <c r="A6" s="350" t="s">
        <v>84</v>
      </c>
      <c r="B6" s="351" t="s">
        <v>90</v>
      </c>
      <c r="C6" s="352"/>
      <c r="D6" s="352"/>
      <c r="E6" s="352"/>
      <c r="F6" s="352"/>
      <c r="G6" s="352"/>
      <c r="H6" s="352"/>
      <c r="I6" s="352"/>
      <c r="J6" s="352"/>
      <c r="K6" s="352"/>
      <c r="L6" s="353"/>
      <c r="M6" s="353"/>
    </row>
    <row r="7" spans="1:16" s="360" customFormat="1" ht="15.75" customHeight="1" x14ac:dyDescent="0.25">
      <c r="A7" s="355"/>
      <c r="B7" s="356"/>
      <c r="C7" s="357"/>
      <c r="D7" s="358"/>
      <c r="E7" s="359" t="s">
        <v>438</v>
      </c>
      <c r="F7" s="357"/>
      <c r="G7" s="359">
        <v>1403</v>
      </c>
      <c r="H7" s="358"/>
      <c r="I7" s="359">
        <v>1402</v>
      </c>
      <c r="K7" s="357"/>
    </row>
    <row r="8" spans="1:16" ht="15.75" customHeight="1" x14ac:dyDescent="0.25">
      <c r="B8" s="362"/>
      <c r="G8" s="363" t="s">
        <v>591</v>
      </c>
      <c r="H8" s="363"/>
      <c r="I8" s="363" t="s">
        <v>591</v>
      </c>
    </row>
    <row r="9" spans="1:16" ht="27" customHeight="1" x14ac:dyDescent="0.25">
      <c r="B9" s="1479" t="s">
        <v>1294</v>
      </c>
      <c r="C9" s="1471"/>
      <c r="D9" s="1471"/>
      <c r="E9" s="365"/>
      <c r="F9" s="365"/>
      <c r="G9" s="195">
        <v>22837331920</v>
      </c>
      <c r="H9" s="345"/>
      <c r="I9" s="195">
        <v>22563104580</v>
      </c>
    </row>
    <row r="10" spans="1:16" ht="21.75" customHeight="1" x14ac:dyDescent="0.25">
      <c r="A10" s="361" t="s">
        <v>490</v>
      </c>
      <c r="B10" s="1471" t="s">
        <v>803</v>
      </c>
      <c r="C10" s="1471"/>
      <c r="D10" s="1471"/>
      <c r="G10" s="195">
        <v>1231277584</v>
      </c>
      <c r="H10" s="345"/>
      <c r="I10" s="195">
        <v>46540077</v>
      </c>
    </row>
    <row r="11" spans="1:16" ht="21" customHeight="1" x14ac:dyDescent="0.25">
      <c r="B11" s="1472" t="s">
        <v>130</v>
      </c>
      <c r="C11" s="1472"/>
      <c r="D11" s="1472"/>
      <c r="G11" s="195">
        <v>34230807</v>
      </c>
      <c r="H11" s="345"/>
      <c r="I11" s="195">
        <v>17687916350</v>
      </c>
    </row>
    <row r="12" spans="1:16" ht="24" customHeight="1" thickBot="1" x14ac:dyDescent="0.3">
      <c r="A12" s="350"/>
      <c r="B12" s="362"/>
      <c r="D12" s="366"/>
      <c r="G12" s="953">
        <f>SUM(G9:G11)</f>
        <v>24102840311</v>
      </c>
      <c r="H12" s="345"/>
      <c r="I12" s="204">
        <f>SUM(I9:I11)</f>
        <v>40297561007</v>
      </c>
      <c r="M12" s="344">
        <f>G12-سودوزيان!F13</f>
        <v>0</v>
      </c>
      <c r="O12" s="344" t="b">
        <f>G12=سودوزيان!F13</f>
        <v>1</v>
      </c>
      <c r="P12" s="344" t="b">
        <f>I12=سودوزيان!H13</f>
        <v>1</v>
      </c>
    </row>
    <row r="13" spans="1:16" ht="11.25" customHeight="1" thickTop="1" x14ac:dyDescent="0.25">
      <c r="A13" s="350"/>
      <c r="B13" s="362"/>
      <c r="D13" s="366"/>
      <c r="G13" s="367"/>
      <c r="H13" s="345"/>
      <c r="I13" s="368"/>
    </row>
    <row r="16" spans="1:16" ht="11.25" customHeight="1" x14ac:dyDescent="0.25">
      <c r="A16" s="350"/>
      <c r="B16" s="362"/>
      <c r="D16" s="362"/>
      <c r="G16" s="345"/>
      <c r="H16" s="345"/>
      <c r="I16" s="345"/>
    </row>
    <row r="17" spans="1:15" ht="19.5" customHeight="1" x14ac:dyDescent="0.25">
      <c r="A17" s="350" t="s">
        <v>88</v>
      </c>
      <c r="B17" s="362" t="s">
        <v>92</v>
      </c>
      <c r="G17" s="345"/>
      <c r="H17" s="345"/>
      <c r="I17" s="345"/>
    </row>
    <row r="18" spans="1:15" s="345" customFormat="1" ht="15.75" customHeight="1" x14ac:dyDescent="0.25">
      <c r="A18" s="369"/>
      <c r="B18" s="370"/>
      <c r="C18" s="371"/>
      <c r="E18" s="359" t="s">
        <v>438</v>
      </c>
      <c r="F18" s="358"/>
      <c r="G18" s="359">
        <v>1403</v>
      </c>
      <c r="H18" s="358"/>
      <c r="I18" s="359">
        <v>1402</v>
      </c>
      <c r="J18" s="358"/>
      <c r="K18" s="358"/>
    </row>
    <row r="19" spans="1:15" s="345" customFormat="1" ht="15.75" customHeight="1" x14ac:dyDescent="0.25">
      <c r="A19" s="364"/>
      <c r="G19" s="363" t="s">
        <v>591</v>
      </c>
      <c r="H19" s="363"/>
      <c r="I19" s="363" t="s">
        <v>591</v>
      </c>
    </row>
    <row r="20" spans="1:15" s="345" customFormat="1" ht="24.75" customHeight="1" x14ac:dyDescent="0.25">
      <c r="A20" s="364"/>
      <c r="B20" s="730" t="s">
        <v>1221</v>
      </c>
      <c r="C20" s="365"/>
      <c r="E20" s="1322" t="s">
        <v>1295</v>
      </c>
      <c r="G20" s="195">
        <v>2286738763</v>
      </c>
      <c r="H20" s="1095"/>
      <c r="I20" s="1094">
        <v>0</v>
      </c>
    </row>
    <row r="21" spans="1:15" ht="21.75" customHeight="1" x14ac:dyDescent="0.25">
      <c r="B21" s="731" t="s">
        <v>1222</v>
      </c>
      <c r="C21" s="372"/>
      <c r="E21" s="373"/>
      <c r="G21" s="195">
        <v>2789773140</v>
      </c>
      <c r="H21" s="1096"/>
      <c r="I21" s="1094">
        <v>0</v>
      </c>
    </row>
    <row r="22" spans="1:15" ht="21.75" customHeight="1" x14ac:dyDescent="0.25">
      <c r="B22" s="1261" t="s">
        <v>1258</v>
      </c>
      <c r="C22" s="343"/>
      <c r="E22" s="373"/>
      <c r="G22" s="195">
        <v>27740120222</v>
      </c>
      <c r="H22" s="1096"/>
      <c r="I22" s="1094">
        <v>0</v>
      </c>
    </row>
    <row r="23" spans="1:15" ht="23.25" customHeight="1" x14ac:dyDescent="0.25">
      <c r="B23" s="580" t="s">
        <v>130</v>
      </c>
      <c r="C23" s="343"/>
      <c r="D23" s="343"/>
      <c r="E23" s="1152"/>
      <c r="G23" s="1139">
        <f>1406364+189549923</f>
        <v>190956287</v>
      </c>
      <c r="H23" s="345"/>
      <c r="I23" s="1094">
        <v>0</v>
      </c>
    </row>
    <row r="24" spans="1:15" ht="22.5" customHeight="1" thickBot="1" x14ac:dyDescent="0.3">
      <c r="G24" s="204">
        <f>SUM(G20:G23)</f>
        <v>33007588412</v>
      </c>
      <c r="H24" s="345"/>
      <c r="I24" s="204">
        <f>SUM(I20:I23)</f>
        <v>0</v>
      </c>
      <c r="M24" s="344">
        <f>G24+سودوزيان!F14</f>
        <v>0</v>
      </c>
      <c r="O24" s="344">
        <f>I24+سودوزيان!H14</f>
        <v>0</v>
      </c>
    </row>
    <row r="25" spans="1:15" ht="20.45" customHeight="1" thickTop="1" x14ac:dyDescent="0.25">
      <c r="G25" s="368"/>
      <c r="H25" s="345"/>
      <c r="I25" s="368"/>
    </row>
    <row r="26" spans="1:15" ht="20.45" customHeight="1" x14ac:dyDescent="0.25">
      <c r="A26" s="1045" t="s">
        <v>1058</v>
      </c>
      <c r="B26" s="1480" t="s">
        <v>1303</v>
      </c>
      <c r="C26" s="1480"/>
      <c r="D26" s="1480"/>
      <c r="E26" s="1480"/>
      <c r="F26" s="1480"/>
      <c r="G26" s="1480"/>
      <c r="H26" s="1480"/>
      <c r="I26" s="1480"/>
    </row>
    <row r="27" spans="1:15" ht="20.45" customHeight="1" x14ac:dyDescent="0.25">
      <c r="A27" s="1156"/>
      <c r="B27" s="1480"/>
      <c r="C27" s="1480"/>
      <c r="D27" s="1480"/>
      <c r="E27" s="1480"/>
      <c r="F27" s="1480"/>
      <c r="G27" s="1480"/>
      <c r="H27" s="1480"/>
      <c r="I27" s="1480"/>
    </row>
    <row r="28" spans="1:15" ht="19.5" customHeight="1" x14ac:dyDescent="0.25">
      <c r="A28" s="350" t="s">
        <v>89</v>
      </c>
      <c r="B28" s="362" t="s">
        <v>93</v>
      </c>
      <c r="G28" s="345"/>
      <c r="H28" s="345"/>
      <c r="I28" s="345"/>
    </row>
    <row r="29" spans="1:15" ht="15.75" customHeight="1" x14ac:dyDescent="0.25">
      <c r="B29" s="374"/>
      <c r="G29" s="359">
        <v>1403</v>
      </c>
      <c r="H29" s="358"/>
      <c r="I29" s="359">
        <v>1402</v>
      </c>
    </row>
    <row r="30" spans="1:15" ht="15.75" customHeight="1" x14ac:dyDescent="0.25">
      <c r="B30" s="374"/>
      <c r="G30" s="363" t="s">
        <v>591</v>
      </c>
      <c r="H30" s="363"/>
      <c r="I30" s="1066" t="s">
        <v>591</v>
      </c>
    </row>
    <row r="31" spans="1:15" ht="24.75" customHeight="1" x14ac:dyDescent="0.25">
      <c r="B31" s="1474" t="s">
        <v>281</v>
      </c>
      <c r="C31" s="1474"/>
      <c r="D31" s="1474"/>
      <c r="G31" s="195">
        <v>176333487657</v>
      </c>
      <c r="H31" s="345"/>
      <c r="I31" s="195">
        <v>270926966935</v>
      </c>
    </row>
    <row r="32" spans="1:15" ht="21.75" customHeight="1" x14ac:dyDescent="0.25">
      <c r="B32" s="1474" t="s">
        <v>282</v>
      </c>
      <c r="C32" s="1474"/>
      <c r="D32" s="1474"/>
      <c r="G32" s="195">
        <v>174122614405</v>
      </c>
      <c r="H32" s="345"/>
      <c r="I32" s="195">
        <v>97301782293</v>
      </c>
    </row>
    <row r="33" spans="1:15" ht="27" customHeight="1" thickBot="1" x14ac:dyDescent="0.3">
      <c r="G33" s="1125">
        <f>SUM(G31:G32)</f>
        <v>350456102062</v>
      </c>
      <c r="H33" s="371"/>
      <c r="I33" s="204">
        <f>SUM(I31:I32)</f>
        <v>368228749228</v>
      </c>
      <c r="M33" s="344">
        <f>G33+سودوزيان!F16</f>
        <v>0</v>
      </c>
      <c r="O33" s="344">
        <f>I33+سودوزيان!H16</f>
        <v>0</v>
      </c>
    </row>
    <row r="34" spans="1:15" ht="18" customHeight="1" thickTop="1" x14ac:dyDescent="0.25">
      <c r="G34" s="345"/>
      <c r="H34" s="345"/>
      <c r="I34" s="345"/>
    </row>
    <row r="35" spans="1:15" ht="19.5" customHeight="1" x14ac:dyDescent="0.25">
      <c r="A35" s="350" t="s">
        <v>91</v>
      </c>
      <c r="B35" s="1475" t="s">
        <v>96</v>
      </c>
      <c r="C35" s="1475"/>
      <c r="D35" s="1475"/>
      <c r="E35" s="1475"/>
      <c r="F35" s="1475"/>
      <c r="G35" s="1475"/>
      <c r="H35" s="1475"/>
      <c r="I35" s="1475"/>
      <c r="J35" s="1475"/>
      <c r="K35" s="1475"/>
    </row>
    <row r="36" spans="1:15" ht="15.75" customHeight="1" x14ac:dyDescent="0.25">
      <c r="A36" s="375"/>
      <c r="B36" s="356"/>
      <c r="C36" s="376"/>
      <c r="D36" s="358"/>
      <c r="E36" s="358"/>
      <c r="F36" s="358"/>
      <c r="G36" s="359">
        <v>1403</v>
      </c>
      <c r="H36" s="358"/>
      <c r="I36" s="359">
        <v>1402</v>
      </c>
      <c r="J36" s="358"/>
      <c r="K36" s="358"/>
    </row>
    <row r="37" spans="1:15" ht="15.75" customHeight="1" x14ac:dyDescent="0.25">
      <c r="A37" s="377"/>
      <c r="B37" s="378"/>
      <c r="C37" s="379"/>
      <c r="D37" s="379"/>
      <c r="E37" s="379"/>
      <c r="F37" s="379"/>
      <c r="G37" s="363" t="s">
        <v>591</v>
      </c>
      <c r="H37" s="363"/>
      <c r="I37" s="1066" t="s">
        <v>591</v>
      </c>
      <c r="J37" s="380"/>
      <c r="K37" s="380"/>
    </row>
    <row r="38" spans="1:15" ht="24.75" customHeight="1" x14ac:dyDescent="0.25">
      <c r="A38" s="377"/>
      <c r="B38" s="379" t="s">
        <v>1001</v>
      </c>
      <c r="C38" s="379"/>
      <c r="D38" s="379"/>
      <c r="E38" s="379"/>
      <c r="F38" s="379"/>
      <c r="G38" s="222">
        <v>23353106087</v>
      </c>
      <c r="H38" s="379"/>
      <c r="I38" s="1062">
        <v>5455478663</v>
      </c>
      <c r="J38" s="363"/>
      <c r="K38" s="379"/>
    </row>
    <row r="39" spans="1:15" ht="22.5" customHeight="1" x14ac:dyDescent="0.25">
      <c r="B39" s="1478" t="s">
        <v>1248</v>
      </c>
      <c r="C39" s="1472"/>
      <c r="D39" s="1472"/>
      <c r="E39" s="1285" t="s">
        <v>1277</v>
      </c>
      <c r="G39" s="1139">
        <f>39355153766-22297152857</f>
        <v>17058000909</v>
      </c>
      <c r="H39" s="345"/>
      <c r="I39" s="195">
        <v>6475931469</v>
      </c>
    </row>
    <row r="40" spans="1:15" ht="22.5" customHeight="1" x14ac:dyDescent="0.25">
      <c r="B40" s="1472" t="s">
        <v>860</v>
      </c>
      <c r="C40" s="1472"/>
      <c r="D40" s="1472"/>
      <c r="G40" s="195">
        <v>0</v>
      </c>
      <c r="H40" s="345"/>
      <c r="I40" s="195">
        <v>459411877</v>
      </c>
    </row>
    <row r="41" spans="1:15" ht="22.5" customHeight="1" x14ac:dyDescent="0.25">
      <c r="A41" s="377"/>
      <c r="B41" s="379" t="s">
        <v>97</v>
      </c>
      <c r="C41" s="379"/>
      <c r="D41" s="379"/>
      <c r="E41" s="379"/>
      <c r="F41" s="379"/>
      <c r="G41" s="222">
        <v>0</v>
      </c>
      <c r="H41" s="379"/>
      <c r="I41" s="1062">
        <v>912240000</v>
      </c>
      <c r="J41" s="363"/>
      <c r="K41" s="379"/>
    </row>
    <row r="42" spans="1:15" ht="24" customHeight="1" x14ac:dyDescent="0.25">
      <c r="A42" s="377"/>
      <c r="B42" s="379" t="s">
        <v>130</v>
      </c>
      <c r="C42" s="379"/>
      <c r="D42" s="379"/>
      <c r="E42" s="1473"/>
      <c r="F42" s="1473"/>
      <c r="G42" s="222">
        <v>3075039006</v>
      </c>
      <c r="H42" s="379"/>
      <c r="I42" s="1062">
        <v>616534115</v>
      </c>
      <c r="J42" s="363"/>
      <c r="K42" s="379"/>
    </row>
    <row r="43" spans="1:15" ht="26.25" customHeight="1" thickBot="1" x14ac:dyDescent="0.3">
      <c r="A43" s="377"/>
      <c r="B43" s="379"/>
      <c r="C43" s="379"/>
      <c r="D43" s="379"/>
      <c r="E43" s="379"/>
      <c r="F43" s="379"/>
      <c r="G43" s="202">
        <f>SUM(G38:G42)</f>
        <v>43486146002</v>
      </c>
      <c r="H43" s="363"/>
      <c r="I43" s="438">
        <f>SUM(I38:I42)</f>
        <v>13919596124</v>
      </c>
      <c r="J43" s="363"/>
      <c r="K43" s="363"/>
      <c r="M43" s="344">
        <f>G43-سودوزيان!F17</f>
        <v>0</v>
      </c>
      <c r="O43" s="344">
        <f>I43-سودوزيان!H17</f>
        <v>0</v>
      </c>
    </row>
    <row r="44" spans="1:15" ht="15.75" customHeight="1" thickTop="1" x14ac:dyDescent="0.25"/>
    <row r="45" spans="1:15" ht="24" customHeight="1" x14ac:dyDescent="0.25">
      <c r="A45" s="10" t="s">
        <v>1278</v>
      </c>
      <c r="B45" s="1470" t="s">
        <v>1279</v>
      </c>
      <c r="C45" s="1470"/>
      <c r="D45" s="1470"/>
      <c r="E45" s="1470"/>
      <c r="F45" s="1470"/>
      <c r="G45" s="1470"/>
      <c r="H45" s="1470"/>
      <c r="I45" s="1470"/>
    </row>
    <row r="46" spans="1:15" ht="15.75" customHeight="1" x14ac:dyDescent="0.25">
      <c r="A46" s="350"/>
      <c r="B46" s="1470"/>
      <c r="C46" s="1470"/>
      <c r="D46" s="1470"/>
      <c r="E46" s="1470"/>
      <c r="F46" s="1470"/>
      <c r="G46" s="1470"/>
      <c r="H46" s="1470"/>
      <c r="I46" s="1470"/>
    </row>
    <row r="47" spans="1:15" ht="15.75" customHeight="1" x14ac:dyDescent="0.25">
      <c r="A47" s="381"/>
      <c r="B47" s="381"/>
      <c r="C47" s="381"/>
      <c r="D47" s="381"/>
      <c r="E47" s="381"/>
      <c r="F47" s="381"/>
      <c r="G47" s="381"/>
      <c r="H47" s="381"/>
      <c r="I47" s="381"/>
    </row>
    <row r="48" spans="1:15" ht="15.75" customHeight="1" x14ac:dyDescent="0.25">
      <c r="A48" s="381"/>
      <c r="B48" s="381"/>
      <c r="C48" s="381"/>
      <c r="D48" s="381"/>
      <c r="E48" s="381"/>
      <c r="F48" s="381"/>
      <c r="G48" s="381"/>
      <c r="H48" s="381"/>
      <c r="I48" s="381"/>
    </row>
    <row r="49" spans="1:10" ht="15.75" customHeight="1" x14ac:dyDescent="0.25">
      <c r="A49" s="381"/>
      <c r="B49" s="381"/>
      <c r="C49" s="381"/>
      <c r="D49" s="381"/>
      <c r="E49" s="381"/>
      <c r="F49" s="381"/>
      <c r="G49" s="381"/>
      <c r="H49" s="381"/>
      <c r="I49" s="381"/>
    </row>
    <row r="50" spans="1:10" ht="15.75" customHeight="1" x14ac:dyDescent="0.25">
      <c r="A50" s="1469" t="s">
        <v>1004</v>
      </c>
      <c r="B50" s="1469"/>
      <c r="C50" s="1469"/>
      <c r="D50" s="1469"/>
      <c r="E50" s="1469"/>
      <c r="F50" s="1469"/>
      <c r="G50" s="1469"/>
      <c r="H50" s="1469"/>
      <c r="I50" s="1469"/>
      <c r="J50" s="1469"/>
    </row>
  </sheetData>
  <customSheetViews>
    <customSheetView guid="{39716EAB-185B-4ADF-90CF-1B1041867F58}" showPageBreaks="1" printArea="1">
      <selection activeCell="G10" sqref="G10"/>
      <pageMargins left="0.39370078740157483" right="0.39370078740157483" top="0.39370078740157483" bottom="0.39370078740157483" header="0.31496062992125984" footer="0.31496062992125984"/>
      <pageSetup paperSize="9" scale="79" orientation="portrait" r:id="rId1"/>
    </customSheetView>
    <customSheetView guid="{5CB8382F-C212-4512-9396-17792C62978E}" showPageBreaks="1" printArea="1" hiddenRows="1" topLeftCell="A10">
      <selection activeCell="G42" sqref="G42"/>
      <pageMargins left="0.39370078740157483" right="0.39370078740157483" top="0.39370078740157483" bottom="0.39370078740157483" header="0.31496062992125984" footer="0.31496062992125984"/>
      <pageSetup paperSize="9" scale="79" orientation="portrait" r:id="rId2"/>
    </customSheetView>
    <customSheetView guid="{184BCED3-EADB-44CF-BFDA-DA8D3E7206C0}" showPageBreaks="1" printArea="1" topLeftCell="A40">
      <selection activeCell="G13" sqref="G13"/>
      <pageMargins left="0.39370078740157483" right="0.39370078740157483" top="0.39370078740157483" bottom="0.39370078740157483" header="0.31496062992125984" footer="0.31496062992125984"/>
      <pageSetup paperSize="9" scale="79" orientation="portrait" r:id="rId3"/>
    </customSheetView>
  </customSheetViews>
  <mergeCells count="15">
    <mergeCell ref="A1:K1"/>
    <mergeCell ref="A2:K2"/>
    <mergeCell ref="A3:K3"/>
    <mergeCell ref="B39:D39"/>
    <mergeCell ref="B9:D9"/>
    <mergeCell ref="B26:I27"/>
    <mergeCell ref="A50:J50"/>
    <mergeCell ref="B45:I46"/>
    <mergeCell ref="B10:D10"/>
    <mergeCell ref="B11:D11"/>
    <mergeCell ref="E42:F42"/>
    <mergeCell ref="B31:D31"/>
    <mergeCell ref="B32:D32"/>
    <mergeCell ref="B35:K35"/>
    <mergeCell ref="B40:D40"/>
  </mergeCells>
  <conditionalFormatting sqref="G9:G11 I9:I13 G39:G40 I39:I40">
    <cfRule type="cellIs" dxfId="97" priority="5" stopIfTrue="1" operator="lessThan">
      <formula>0</formula>
    </cfRule>
  </conditionalFormatting>
  <conditionalFormatting sqref="G20:G25">
    <cfRule type="cellIs" dxfId="96" priority="1" stopIfTrue="1" operator="lessThan">
      <formula>0</formula>
    </cfRule>
  </conditionalFormatting>
  <conditionalFormatting sqref="G31:G33">
    <cfRule type="cellIs" dxfId="95" priority="12" stopIfTrue="1" operator="lessThan">
      <formula>0</formula>
    </cfRule>
  </conditionalFormatting>
  <conditionalFormatting sqref="I20:I25">
    <cfRule type="cellIs" dxfId="94" priority="3" stopIfTrue="1" operator="lessThan">
      <formula>0</formula>
    </cfRule>
  </conditionalFormatting>
  <conditionalFormatting sqref="I31:I33">
    <cfRule type="cellIs" dxfId="93" priority="2" stopIfTrue="1" operator="lessThan">
      <formula>0</formula>
    </cfRule>
  </conditionalFormatting>
  <printOptions horizontalCentered="1"/>
  <pageMargins left="0.39370078740157499" right="0.39370078740157499" top="0.39370078740157499" bottom="0.39370078740157499" header="0.31496062992126" footer="0.31496062992126"/>
  <pageSetup paperSize="9" scale="75" orientation="portrait" r:id="rId4"/>
  <legacy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pageSetUpPr autoPageBreaks="0"/>
  </sheetPr>
  <dimension ref="A1:AI23"/>
  <sheetViews>
    <sheetView rightToLeft="1" view="pageBreakPreview" zoomScale="37" zoomScaleNormal="55" zoomScaleSheetLayoutView="37" workbookViewId="0">
      <pane xSplit="4" ySplit="7" topLeftCell="E8" activePane="bottomRight" state="frozen"/>
      <selection activeCell="H21" sqref="H21"/>
      <selection pane="topRight" activeCell="H21" sqref="H21"/>
      <selection pane="bottomLeft" activeCell="H21" sqref="H21"/>
      <selection pane="bottomRight" activeCell="B1" sqref="B1:AD1"/>
    </sheetView>
  </sheetViews>
  <sheetFormatPr defaultRowHeight="30" x14ac:dyDescent="0.25"/>
  <cols>
    <col min="1" max="1" width="1.28515625" style="1220" customWidth="1"/>
    <col min="2" max="2" width="6.7109375" style="1220" bestFit="1" customWidth="1"/>
    <col min="3" max="3" width="31.42578125" style="1238" customWidth="1"/>
    <col min="4" max="4" width="0.7109375" style="1221" customWidth="1"/>
    <col min="5" max="5" width="30.140625" style="1216" bestFit="1" customWidth="1"/>
    <col min="6" max="6" width="4.7109375" style="1222" bestFit="1" customWidth="1"/>
    <col min="7" max="7" width="33.5703125" style="1216" bestFit="1" customWidth="1"/>
    <col min="8" max="8" width="4.7109375" style="1222" bestFit="1" customWidth="1"/>
    <col min="9" max="9" width="33.140625" style="1216" customWidth="1"/>
    <col min="10" max="10" width="4.7109375" style="1222" bestFit="1" customWidth="1"/>
    <col min="11" max="11" width="34.42578125" style="1216" customWidth="1"/>
    <col min="12" max="12" width="4.7109375" style="1222" bestFit="1" customWidth="1"/>
    <col min="13" max="13" width="35.140625" style="1216" customWidth="1"/>
    <col min="14" max="14" width="4" style="1222" bestFit="1" customWidth="1"/>
    <col min="15" max="15" width="32.7109375" style="1216" bestFit="1" customWidth="1"/>
    <col min="16" max="16" width="4" style="1222" bestFit="1" customWidth="1"/>
    <col min="17" max="17" width="36.85546875" style="1216" bestFit="1" customWidth="1"/>
    <col min="18" max="18" width="4.85546875" style="1222" bestFit="1" customWidth="1"/>
    <col min="19" max="19" width="38.85546875" style="1216" customWidth="1"/>
    <col min="20" max="20" width="4" style="1222" bestFit="1" customWidth="1"/>
    <col min="21" max="21" width="39.7109375" style="1222" bestFit="1" customWidth="1"/>
    <col min="22" max="22" width="4" style="1222" bestFit="1" customWidth="1"/>
    <col min="23" max="23" width="37.5703125" style="1216" hidden="1" customWidth="1"/>
    <col min="24" max="24" width="4" style="1222" bestFit="1" customWidth="1"/>
    <col min="25" max="25" width="38.28515625" style="1216" customWidth="1"/>
    <col min="26" max="26" width="4" style="1222" bestFit="1" customWidth="1"/>
    <col min="27" max="27" width="37.28515625" style="1222" hidden="1" customWidth="1"/>
    <col min="28" max="28" width="4" style="1222" bestFit="1" customWidth="1"/>
    <col min="29" max="29" width="33.85546875" style="1222" bestFit="1" customWidth="1"/>
    <col min="30" max="30" width="0.7109375" style="1222" customWidth="1"/>
    <col min="31" max="31" width="1.85546875" style="1221" customWidth="1"/>
    <col min="32" max="32" width="29.42578125" style="1223" bestFit="1" customWidth="1"/>
    <col min="33" max="33" width="15.28515625" style="1224" bestFit="1" customWidth="1"/>
    <col min="34" max="34" width="9.140625" style="1220" bestFit="1" customWidth="1"/>
    <col min="35" max="35" width="10.42578125" style="1220" bestFit="1" customWidth="1"/>
    <col min="36" max="36" width="5" style="1220" customWidth="1"/>
    <col min="37" max="37" width="10.42578125" style="1220" bestFit="1" customWidth="1"/>
    <col min="38" max="40" width="9.140625" style="1220"/>
    <col min="41" max="41" width="10.42578125" style="1220" bestFit="1" customWidth="1"/>
    <col min="42" max="270" width="9.140625" style="1220"/>
    <col min="271" max="271" width="3.5703125" style="1220" customWidth="1"/>
    <col min="272" max="272" width="4.85546875" style="1220" customWidth="1"/>
    <col min="273" max="273" width="5.42578125" style="1220" customWidth="1"/>
    <col min="274" max="274" width="31.28515625" style="1220" customWidth="1"/>
    <col min="275" max="275" width="7.5703125" style="1220" customWidth="1"/>
    <col min="276" max="276" width="2.42578125" style="1220" customWidth="1"/>
    <col min="277" max="277" width="11.5703125" style="1220" customWidth="1"/>
    <col min="278" max="278" width="2.42578125" style="1220" customWidth="1"/>
    <col min="279" max="279" width="11.5703125" style="1220" customWidth="1"/>
    <col min="280" max="280" width="2.42578125" style="1220" customWidth="1"/>
    <col min="281" max="281" width="10.85546875" style="1220" customWidth="1"/>
    <col min="282" max="282" width="2.42578125" style="1220" customWidth="1"/>
    <col min="283" max="283" width="11.140625" style="1220" customWidth="1"/>
    <col min="284" max="284" width="1.85546875" style="1220" customWidth="1"/>
    <col min="285" max="285" width="11" style="1220" customWidth="1"/>
    <col min="286" max="286" width="0.7109375" style="1220" customWidth="1"/>
    <col min="287" max="287" width="1.85546875" style="1220" customWidth="1"/>
    <col min="288" max="288" width="11.85546875" style="1220" bestFit="1" customWidth="1"/>
    <col min="289" max="289" width="15.28515625" style="1220" bestFit="1" customWidth="1"/>
    <col min="290" max="290" width="5" style="1220" customWidth="1"/>
    <col min="291" max="291" width="10.42578125" style="1220" bestFit="1" customWidth="1"/>
    <col min="292" max="292" width="5" style="1220" customWidth="1"/>
    <col min="293" max="293" width="10.42578125" style="1220" bestFit="1" customWidth="1"/>
    <col min="294" max="296" width="9.140625" style="1220"/>
    <col min="297" max="297" width="10.42578125" style="1220" bestFit="1" customWidth="1"/>
    <col min="298" max="526" width="9.140625" style="1220"/>
    <col min="527" max="527" width="3.5703125" style="1220" customWidth="1"/>
    <col min="528" max="528" width="4.85546875" style="1220" customWidth="1"/>
    <col min="529" max="529" width="5.42578125" style="1220" customWidth="1"/>
    <col min="530" max="530" width="31.28515625" style="1220" customWidth="1"/>
    <col min="531" max="531" width="7.5703125" style="1220" customWidth="1"/>
    <col min="532" max="532" width="2.42578125" style="1220" customWidth="1"/>
    <col min="533" max="533" width="11.5703125" style="1220" customWidth="1"/>
    <col min="534" max="534" width="2.42578125" style="1220" customWidth="1"/>
    <col min="535" max="535" width="11.5703125" style="1220" customWidth="1"/>
    <col min="536" max="536" width="2.42578125" style="1220" customWidth="1"/>
    <col min="537" max="537" width="10.85546875" style="1220" customWidth="1"/>
    <col min="538" max="538" width="2.42578125" style="1220" customWidth="1"/>
    <col min="539" max="539" width="11.140625" style="1220" customWidth="1"/>
    <col min="540" max="540" width="1.85546875" style="1220" customWidth="1"/>
    <col min="541" max="541" width="11" style="1220" customWidth="1"/>
    <col min="542" max="542" width="0.7109375" style="1220" customWidth="1"/>
    <col min="543" max="543" width="1.85546875" style="1220" customWidth="1"/>
    <col min="544" max="544" width="11.85546875" style="1220" bestFit="1" customWidth="1"/>
    <col min="545" max="545" width="15.28515625" style="1220" bestFit="1" customWidth="1"/>
    <col min="546" max="546" width="5" style="1220" customWidth="1"/>
    <col min="547" max="547" width="10.42578125" style="1220" bestFit="1" customWidth="1"/>
    <col min="548" max="548" width="5" style="1220" customWidth="1"/>
    <col min="549" max="549" width="10.42578125" style="1220" bestFit="1" customWidth="1"/>
    <col min="550" max="552" width="9.140625" style="1220"/>
    <col min="553" max="553" width="10.42578125" style="1220" bestFit="1" customWidth="1"/>
    <col min="554" max="782" width="9.140625" style="1220"/>
    <col min="783" max="783" width="3.5703125" style="1220" customWidth="1"/>
    <col min="784" max="784" width="4.85546875" style="1220" customWidth="1"/>
    <col min="785" max="785" width="5.42578125" style="1220" customWidth="1"/>
    <col min="786" max="786" width="31.28515625" style="1220" customWidth="1"/>
    <col min="787" max="787" width="7.5703125" style="1220" customWidth="1"/>
    <col min="788" max="788" width="2.42578125" style="1220" customWidth="1"/>
    <col min="789" max="789" width="11.5703125" style="1220" customWidth="1"/>
    <col min="790" max="790" width="2.42578125" style="1220" customWidth="1"/>
    <col min="791" max="791" width="11.5703125" style="1220" customWidth="1"/>
    <col min="792" max="792" width="2.42578125" style="1220" customWidth="1"/>
    <col min="793" max="793" width="10.85546875" style="1220" customWidth="1"/>
    <col min="794" max="794" width="2.42578125" style="1220" customWidth="1"/>
    <col min="795" max="795" width="11.140625" style="1220" customWidth="1"/>
    <col min="796" max="796" width="1.85546875" style="1220" customWidth="1"/>
    <col min="797" max="797" width="11" style="1220" customWidth="1"/>
    <col min="798" max="798" width="0.7109375" style="1220" customWidth="1"/>
    <col min="799" max="799" width="1.85546875" style="1220" customWidth="1"/>
    <col min="800" max="800" width="11.85546875" style="1220" bestFit="1" customWidth="1"/>
    <col min="801" max="801" width="15.28515625" style="1220" bestFit="1" customWidth="1"/>
    <col min="802" max="802" width="5" style="1220" customWidth="1"/>
    <col min="803" max="803" width="10.42578125" style="1220" bestFit="1" customWidth="1"/>
    <col min="804" max="804" width="5" style="1220" customWidth="1"/>
    <col min="805" max="805" width="10.42578125" style="1220" bestFit="1" customWidth="1"/>
    <col min="806" max="808" width="9.140625" style="1220"/>
    <col min="809" max="809" width="10.42578125" style="1220" bestFit="1" customWidth="1"/>
    <col min="810" max="1038" width="9.140625" style="1220"/>
    <col min="1039" max="1039" width="3.5703125" style="1220" customWidth="1"/>
    <col min="1040" max="1040" width="4.85546875" style="1220" customWidth="1"/>
    <col min="1041" max="1041" width="5.42578125" style="1220" customWidth="1"/>
    <col min="1042" max="1042" width="31.28515625" style="1220" customWidth="1"/>
    <col min="1043" max="1043" width="7.5703125" style="1220" customWidth="1"/>
    <col min="1044" max="1044" width="2.42578125" style="1220" customWidth="1"/>
    <col min="1045" max="1045" width="11.5703125" style="1220" customWidth="1"/>
    <col min="1046" max="1046" width="2.42578125" style="1220" customWidth="1"/>
    <col min="1047" max="1047" width="11.5703125" style="1220" customWidth="1"/>
    <col min="1048" max="1048" width="2.42578125" style="1220" customWidth="1"/>
    <col min="1049" max="1049" width="10.85546875" style="1220" customWidth="1"/>
    <col min="1050" max="1050" width="2.42578125" style="1220" customWidth="1"/>
    <col min="1051" max="1051" width="11.140625" style="1220" customWidth="1"/>
    <col min="1052" max="1052" width="1.85546875" style="1220" customWidth="1"/>
    <col min="1053" max="1053" width="11" style="1220" customWidth="1"/>
    <col min="1054" max="1054" width="0.7109375" style="1220" customWidth="1"/>
    <col min="1055" max="1055" width="1.85546875" style="1220" customWidth="1"/>
    <col min="1056" max="1056" width="11.85546875" style="1220" bestFit="1" customWidth="1"/>
    <col min="1057" max="1057" width="15.28515625" style="1220" bestFit="1" customWidth="1"/>
    <col min="1058" max="1058" width="5" style="1220" customWidth="1"/>
    <col min="1059" max="1059" width="10.42578125" style="1220" bestFit="1" customWidth="1"/>
    <col min="1060" max="1060" width="5" style="1220" customWidth="1"/>
    <col min="1061" max="1061" width="10.42578125" style="1220" bestFit="1" customWidth="1"/>
    <col min="1062" max="1064" width="9.140625" style="1220"/>
    <col min="1065" max="1065" width="10.42578125" style="1220" bestFit="1" customWidth="1"/>
    <col min="1066" max="1294" width="9.140625" style="1220"/>
    <col min="1295" max="1295" width="3.5703125" style="1220" customWidth="1"/>
    <col min="1296" max="1296" width="4.85546875" style="1220" customWidth="1"/>
    <col min="1297" max="1297" width="5.42578125" style="1220" customWidth="1"/>
    <col min="1298" max="1298" width="31.28515625" style="1220" customWidth="1"/>
    <col min="1299" max="1299" width="7.5703125" style="1220" customWidth="1"/>
    <col min="1300" max="1300" width="2.42578125" style="1220" customWidth="1"/>
    <col min="1301" max="1301" width="11.5703125" style="1220" customWidth="1"/>
    <col min="1302" max="1302" width="2.42578125" style="1220" customWidth="1"/>
    <col min="1303" max="1303" width="11.5703125" style="1220" customWidth="1"/>
    <col min="1304" max="1304" width="2.42578125" style="1220" customWidth="1"/>
    <col min="1305" max="1305" width="10.85546875" style="1220" customWidth="1"/>
    <col min="1306" max="1306" width="2.42578125" style="1220" customWidth="1"/>
    <col min="1307" max="1307" width="11.140625" style="1220" customWidth="1"/>
    <col min="1308" max="1308" width="1.85546875" style="1220" customWidth="1"/>
    <col min="1309" max="1309" width="11" style="1220" customWidth="1"/>
    <col min="1310" max="1310" width="0.7109375" style="1220" customWidth="1"/>
    <col min="1311" max="1311" width="1.85546875" style="1220" customWidth="1"/>
    <col min="1312" max="1312" width="11.85546875" style="1220" bestFit="1" customWidth="1"/>
    <col min="1313" max="1313" width="15.28515625" style="1220" bestFit="1" customWidth="1"/>
    <col min="1314" max="1314" width="5" style="1220" customWidth="1"/>
    <col min="1315" max="1315" width="10.42578125" style="1220" bestFit="1" customWidth="1"/>
    <col min="1316" max="1316" width="5" style="1220" customWidth="1"/>
    <col min="1317" max="1317" width="10.42578125" style="1220" bestFit="1" customWidth="1"/>
    <col min="1318" max="1320" width="9.140625" style="1220"/>
    <col min="1321" max="1321" width="10.42578125" style="1220" bestFit="1" customWidth="1"/>
    <col min="1322" max="1550" width="9.140625" style="1220"/>
    <col min="1551" max="1551" width="3.5703125" style="1220" customWidth="1"/>
    <col min="1552" max="1552" width="4.85546875" style="1220" customWidth="1"/>
    <col min="1553" max="1553" width="5.42578125" style="1220" customWidth="1"/>
    <col min="1554" max="1554" width="31.28515625" style="1220" customWidth="1"/>
    <col min="1555" max="1555" width="7.5703125" style="1220" customWidth="1"/>
    <col min="1556" max="1556" width="2.42578125" style="1220" customWidth="1"/>
    <col min="1557" max="1557" width="11.5703125" style="1220" customWidth="1"/>
    <col min="1558" max="1558" width="2.42578125" style="1220" customWidth="1"/>
    <col min="1559" max="1559" width="11.5703125" style="1220" customWidth="1"/>
    <col min="1560" max="1560" width="2.42578125" style="1220" customWidth="1"/>
    <col min="1561" max="1561" width="10.85546875" style="1220" customWidth="1"/>
    <col min="1562" max="1562" width="2.42578125" style="1220" customWidth="1"/>
    <col min="1563" max="1563" width="11.140625" style="1220" customWidth="1"/>
    <col min="1564" max="1564" width="1.85546875" style="1220" customWidth="1"/>
    <col min="1565" max="1565" width="11" style="1220" customWidth="1"/>
    <col min="1566" max="1566" width="0.7109375" style="1220" customWidth="1"/>
    <col min="1567" max="1567" width="1.85546875" style="1220" customWidth="1"/>
    <col min="1568" max="1568" width="11.85546875" style="1220" bestFit="1" customWidth="1"/>
    <col min="1569" max="1569" width="15.28515625" style="1220" bestFit="1" customWidth="1"/>
    <col min="1570" max="1570" width="5" style="1220" customWidth="1"/>
    <col min="1571" max="1571" width="10.42578125" style="1220" bestFit="1" customWidth="1"/>
    <col min="1572" max="1572" width="5" style="1220" customWidth="1"/>
    <col min="1573" max="1573" width="10.42578125" style="1220" bestFit="1" customWidth="1"/>
    <col min="1574" max="1576" width="9.140625" style="1220"/>
    <col min="1577" max="1577" width="10.42578125" style="1220" bestFit="1" customWidth="1"/>
    <col min="1578" max="1806" width="9.140625" style="1220"/>
    <col min="1807" max="1807" width="3.5703125" style="1220" customWidth="1"/>
    <col min="1808" max="1808" width="4.85546875" style="1220" customWidth="1"/>
    <col min="1809" max="1809" width="5.42578125" style="1220" customWidth="1"/>
    <col min="1810" max="1810" width="31.28515625" style="1220" customWidth="1"/>
    <col min="1811" max="1811" width="7.5703125" style="1220" customWidth="1"/>
    <col min="1812" max="1812" width="2.42578125" style="1220" customWidth="1"/>
    <col min="1813" max="1813" width="11.5703125" style="1220" customWidth="1"/>
    <col min="1814" max="1814" width="2.42578125" style="1220" customWidth="1"/>
    <col min="1815" max="1815" width="11.5703125" style="1220" customWidth="1"/>
    <col min="1816" max="1816" width="2.42578125" style="1220" customWidth="1"/>
    <col min="1817" max="1817" width="10.85546875" style="1220" customWidth="1"/>
    <col min="1818" max="1818" width="2.42578125" style="1220" customWidth="1"/>
    <col min="1819" max="1819" width="11.140625" style="1220" customWidth="1"/>
    <col min="1820" max="1820" width="1.85546875" style="1220" customWidth="1"/>
    <col min="1821" max="1821" width="11" style="1220" customWidth="1"/>
    <col min="1822" max="1822" width="0.7109375" style="1220" customWidth="1"/>
    <col min="1823" max="1823" width="1.85546875" style="1220" customWidth="1"/>
    <col min="1824" max="1824" width="11.85546875" style="1220" bestFit="1" customWidth="1"/>
    <col min="1825" max="1825" width="15.28515625" style="1220" bestFit="1" customWidth="1"/>
    <col min="1826" max="1826" width="5" style="1220" customWidth="1"/>
    <col min="1827" max="1827" width="10.42578125" style="1220" bestFit="1" customWidth="1"/>
    <col min="1828" max="1828" width="5" style="1220" customWidth="1"/>
    <col min="1829" max="1829" width="10.42578125" style="1220" bestFit="1" customWidth="1"/>
    <col min="1830" max="1832" width="9.140625" style="1220"/>
    <col min="1833" max="1833" width="10.42578125" style="1220" bestFit="1" customWidth="1"/>
    <col min="1834" max="2062" width="9.140625" style="1220"/>
    <col min="2063" max="2063" width="3.5703125" style="1220" customWidth="1"/>
    <col min="2064" max="2064" width="4.85546875" style="1220" customWidth="1"/>
    <col min="2065" max="2065" width="5.42578125" style="1220" customWidth="1"/>
    <col min="2066" max="2066" width="31.28515625" style="1220" customWidth="1"/>
    <col min="2067" max="2067" width="7.5703125" style="1220" customWidth="1"/>
    <col min="2068" max="2068" width="2.42578125" style="1220" customWidth="1"/>
    <col min="2069" max="2069" width="11.5703125" style="1220" customWidth="1"/>
    <col min="2070" max="2070" width="2.42578125" style="1220" customWidth="1"/>
    <col min="2071" max="2071" width="11.5703125" style="1220" customWidth="1"/>
    <col min="2072" max="2072" width="2.42578125" style="1220" customWidth="1"/>
    <col min="2073" max="2073" width="10.85546875" style="1220" customWidth="1"/>
    <col min="2074" max="2074" width="2.42578125" style="1220" customWidth="1"/>
    <col min="2075" max="2075" width="11.140625" style="1220" customWidth="1"/>
    <col min="2076" max="2076" width="1.85546875" style="1220" customWidth="1"/>
    <col min="2077" max="2077" width="11" style="1220" customWidth="1"/>
    <col min="2078" max="2078" width="0.7109375" style="1220" customWidth="1"/>
    <col min="2079" max="2079" width="1.85546875" style="1220" customWidth="1"/>
    <col min="2080" max="2080" width="11.85546875" style="1220" bestFit="1" customWidth="1"/>
    <col min="2081" max="2081" width="15.28515625" style="1220" bestFit="1" customWidth="1"/>
    <col min="2082" max="2082" width="5" style="1220" customWidth="1"/>
    <col min="2083" max="2083" width="10.42578125" style="1220" bestFit="1" customWidth="1"/>
    <col min="2084" max="2084" width="5" style="1220" customWidth="1"/>
    <col min="2085" max="2085" width="10.42578125" style="1220" bestFit="1" customWidth="1"/>
    <col min="2086" max="2088" width="9.140625" style="1220"/>
    <col min="2089" max="2089" width="10.42578125" style="1220" bestFit="1" customWidth="1"/>
    <col min="2090" max="2318" width="9.140625" style="1220"/>
    <col min="2319" max="2319" width="3.5703125" style="1220" customWidth="1"/>
    <col min="2320" max="2320" width="4.85546875" style="1220" customWidth="1"/>
    <col min="2321" max="2321" width="5.42578125" style="1220" customWidth="1"/>
    <col min="2322" max="2322" width="31.28515625" style="1220" customWidth="1"/>
    <col min="2323" max="2323" width="7.5703125" style="1220" customWidth="1"/>
    <col min="2324" max="2324" width="2.42578125" style="1220" customWidth="1"/>
    <col min="2325" max="2325" width="11.5703125" style="1220" customWidth="1"/>
    <col min="2326" max="2326" width="2.42578125" style="1220" customWidth="1"/>
    <col min="2327" max="2327" width="11.5703125" style="1220" customWidth="1"/>
    <col min="2328" max="2328" width="2.42578125" style="1220" customWidth="1"/>
    <col min="2329" max="2329" width="10.85546875" style="1220" customWidth="1"/>
    <col min="2330" max="2330" width="2.42578125" style="1220" customWidth="1"/>
    <col min="2331" max="2331" width="11.140625" style="1220" customWidth="1"/>
    <col min="2332" max="2332" width="1.85546875" style="1220" customWidth="1"/>
    <col min="2333" max="2333" width="11" style="1220" customWidth="1"/>
    <col min="2334" max="2334" width="0.7109375" style="1220" customWidth="1"/>
    <col min="2335" max="2335" width="1.85546875" style="1220" customWidth="1"/>
    <col min="2336" max="2336" width="11.85546875" style="1220" bestFit="1" customWidth="1"/>
    <col min="2337" max="2337" width="15.28515625" style="1220" bestFit="1" customWidth="1"/>
    <col min="2338" max="2338" width="5" style="1220" customWidth="1"/>
    <col min="2339" max="2339" width="10.42578125" style="1220" bestFit="1" customWidth="1"/>
    <col min="2340" max="2340" width="5" style="1220" customWidth="1"/>
    <col min="2341" max="2341" width="10.42578125" style="1220" bestFit="1" customWidth="1"/>
    <col min="2342" max="2344" width="9.140625" style="1220"/>
    <col min="2345" max="2345" width="10.42578125" style="1220" bestFit="1" customWidth="1"/>
    <col min="2346" max="2574" width="9.140625" style="1220"/>
    <col min="2575" max="2575" width="3.5703125" style="1220" customWidth="1"/>
    <col min="2576" max="2576" width="4.85546875" style="1220" customWidth="1"/>
    <col min="2577" max="2577" width="5.42578125" style="1220" customWidth="1"/>
    <col min="2578" max="2578" width="31.28515625" style="1220" customWidth="1"/>
    <col min="2579" max="2579" width="7.5703125" style="1220" customWidth="1"/>
    <col min="2580" max="2580" width="2.42578125" style="1220" customWidth="1"/>
    <col min="2581" max="2581" width="11.5703125" style="1220" customWidth="1"/>
    <col min="2582" max="2582" width="2.42578125" style="1220" customWidth="1"/>
    <col min="2583" max="2583" width="11.5703125" style="1220" customWidth="1"/>
    <col min="2584" max="2584" width="2.42578125" style="1220" customWidth="1"/>
    <col min="2585" max="2585" width="10.85546875" style="1220" customWidth="1"/>
    <col min="2586" max="2586" width="2.42578125" style="1220" customWidth="1"/>
    <col min="2587" max="2587" width="11.140625" style="1220" customWidth="1"/>
    <col min="2588" max="2588" width="1.85546875" style="1220" customWidth="1"/>
    <col min="2589" max="2589" width="11" style="1220" customWidth="1"/>
    <col min="2590" max="2590" width="0.7109375" style="1220" customWidth="1"/>
    <col min="2591" max="2591" width="1.85546875" style="1220" customWidth="1"/>
    <col min="2592" max="2592" width="11.85546875" style="1220" bestFit="1" customWidth="1"/>
    <col min="2593" max="2593" width="15.28515625" style="1220" bestFit="1" customWidth="1"/>
    <col min="2594" max="2594" width="5" style="1220" customWidth="1"/>
    <col min="2595" max="2595" width="10.42578125" style="1220" bestFit="1" customWidth="1"/>
    <col min="2596" max="2596" width="5" style="1220" customWidth="1"/>
    <col min="2597" max="2597" width="10.42578125" style="1220" bestFit="1" customWidth="1"/>
    <col min="2598" max="2600" width="9.140625" style="1220"/>
    <col min="2601" max="2601" width="10.42578125" style="1220" bestFit="1" customWidth="1"/>
    <col min="2602" max="2830" width="9.140625" style="1220"/>
    <col min="2831" max="2831" width="3.5703125" style="1220" customWidth="1"/>
    <col min="2832" max="2832" width="4.85546875" style="1220" customWidth="1"/>
    <col min="2833" max="2833" width="5.42578125" style="1220" customWidth="1"/>
    <col min="2834" max="2834" width="31.28515625" style="1220" customWidth="1"/>
    <col min="2835" max="2835" width="7.5703125" style="1220" customWidth="1"/>
    <col min="2836" max="2836" width="2.42578125" style="1220" customWidth="1"/>
    <col min="2837" max="2837" width="11.5703125" style="1220" customWidth="1"/>
    <col min="2838" max="2838" width="2.42578125" style="1220" customWidth="1"/>
    <col min="2839" max="2839" width="11.5703125" style="1220" customWidth="1"/>
    <col min="2840" max="2840" width="2.42578125" style="1220" customWidth="1"/>
    <col min="2841" max="2841" width="10.85546875" style="1220" customWidth="1"/>
    <col min="2842" max="2842" width="2.42578125" style="1220" customWidth="1"/>
    <col min="2843" max="2843" width="11.140625" style="1220" customWidth="1"/>
    <col min="2844" max="2844" width="1.85546875" style="1220" customWidth="1"/>
    <col min="2845" max="2845" width="11" style="1220" customWidth="1"/>
    <col min="2846" max="2846" width="0.7109375" style="1220" customWidth="1"/>
    <col min="2847" max="2847" width="1.85546875" style="1220" customWidth="1"/>
    <col min="2848" max="2848" width="11.85546875" style="1220" bestFit="1" customWidth="1"/>
    <col min="2849" max="2849" width="15.28515625" style="1220" bestFit="1" customWidth="1"/>
    <col min="2850" max="2850" width="5" style="1220" customWidth="1"/>
    <col min="2851" max="2851" width="10.42578125" style="1220" bestFit="1" customWidth="1"/>
    <col min="2852" max="2852" width="5" style="1220" customWidth="1"/>
    <col min="2853" max="2853" width="10.42578125" style="1220" bestFit="1" customWidth="1"/>
    <col min="2854" max="2856" width="9.140625" style="1220"/>
    <col min="2857" max="2857" width="10.42578125" style="1220" bestFit="1" customWidth="1"/>
    <col min="2858" max="3086" width="9.140625" style="1220"/>
    <col min="3087" max="3087" width="3.5703125" style="1220" customWidth="1"/>
    <col min="3088" max="3088" width="4.85546875" style="1220" customWidth="1"/>
    <col min="3089" max="3089" width="5.42578125" style="1220" customWidth="1"/>
    <col min="3090" max="3090" width="31.28515625" style="1220" customWidth="1"/>
    <col min="3091" max="3091" width="7.5703125" style="1220" customWidth="1"/>
    <col min="3092" max="3092" width="2.42578125" style="1220" customWidth="1"/>
    <col min="3093" max="3093" width="11.5703125" style="1220" customWidth="1"/>
    <col min="3094" max="3094" width="2.42578125" style="1220" customWidth="1"/>
    <col min="3095" max="3095" width="11.5703125" style="1220" customWidth="1"/>
    <col min="3096" max="3096" width="2.42578125" style="1220" customWidth="1"/>
    <col min="3097" max="3097" width="10.85546875" style="1220" customWidth="1"/>
    <col min="3098" max="3098" width="2.42578125" style="1220" customWidth="1"/>
    <col min="3099" max="3099" width="11.140625" style="1220" customWidth="1"/>
    <col min="3100" max="3100" width="1.85546875" style="1220" customWidth="1"/>
    <col min="3101" max="3101" width="11" style="1220" customWidth="1"/>
    <col min="3102" max="3102" width="0.7109375" style="1220" customWidth="1"/>
    <col min="3103" max="3103" width="1.85546875" style="1220" customWidth="1"/>
    <col min="3104" max="3104" width="11.85546875" style="1220" bestFit="1" customWidth="1"/>
    <col min="3105" max="3105" width="15.28515625" style="1220" bestFit="1" customWidth="1"/>
    <col min="3106" max="3106" width="5" style="1220" customWidth="1"/>
    <col min="3107" max="3107" width="10.42578125" style="1220" bestFit="1" customWidth="1"/>
    <col min="3108" max="3108" width="5" style="1220" customWidth="1"/>
    <col min="3109" max="3109" width="10.42578125" style="1220" bestFit="1" customWidth="1"/>
    <col min="3110" max="3112" width="9.140625" style="1220"/>
    <col min="3113" max="3113" width="10.42578125" style="1220" bestFit="1" customWidth="1"/>
    <col min="3114" max="3342" width="9.140625" style="1220"/>
    <col min="3343" max="3343" width="3.5703125" style="1220" customWidth="1"/>
    <col min="3344" max="3344" width="4.85546875" style="1220" customWidth="1"/>
    <col min="3345" max="3345" width="5.42578125" style="1220" customWidth="1"/>
    <col min="3346" max="3346" width="31.28515625" style="1220" customWidth="1"/>
    <col min="3347" max="3347" width="7.5703125" style="1220" customWidth="1"/>
    <col min="3348" max="3348" width="2.42578125" style="1220" customWidth="1"/>
    <col min="3349" max="3349" width="11.5703125" style="1220" customWidth="1"/>
    <col min="3350" max="3350" width="2.42578125" style="1220" customWidth="1"/>
    <col min="3351" max="3351" width="11.5703125" style="1220" customWidth="1"/>
    <col min="3352" max="3352" width="2.42578125" style="1220" customWidth="1"/>
    <col min="3353" max="3353" width="10.85546875" style="1220" customWidth="1"/>
    <col min="3354" max="3354" width="2.42578125" style="1220" customWidth="1"/>
    <col min="3355" max="3355" width="11.140625" style="1220" customWidth="1"/>
    <col min="3356" max="3356" width="1.85546875" style="1220" customWidth="1"/>
    <col min="3357" max="3357" width="11" style="1220" customWidth="1"/>
    <col min="3358" max="3358" width="0.7109375" style="1220" customWidth="1"/>
    <col min="3359" max="3359" width="1.85546875" style="1220" customWidth="1"/>
    <col min="3360" max="3360" width="11.85546875" style="1220" bestFit="1" customWidth="1"/>
    <col min="3361" max="3361" width="15.28515625" style="1220" bestFit="1" customWidth="1"/>
    <col min="3362" max="3362" width="5" style="1220" customWidth="1"/>
    <col min="3363" max="3363" width="10.42578125" style="1220" bestFit="1" customWidth="1"/>
    <col min="3364" max="3364" width="5" style="1220" customWidth="1"/>
    <col min="3365" max="3365" width="10.42578125" style="1220" bestFit="1" customWidth="1"/>
    <col min="3366" max="3368" width="9.140625" style="1220"/>
    <col min="3369" max="3369" width="10.42578125" style="1220" bestFit="1" customWidth="1"/>
    <col min="3370" max="3598" width="9.140625" style="1220"/>
    <col min="3599" max="3599" width="3.5703125" style="1220" customWidth="1"/>
    <col min="3600" max="3600" width="4.85546875" style="1220" customWidth="1"/>
    <col min="3601" max="3601" width="5.42578125" style="1220" customWidth="1"/>
    <col min="3602" max="3602" width="31.28515625" style="1220" customWidth="1"/>
    <col min="3603" max="3603" width="7.5703125" style="1220" customWidth="1"/>
    <col min="3604" max="3604" width="2.42578125" style="1220" customWidth="1"/>
    <col min="3605" max="3605" width="11.5703125" style="1220" customWidth="1"/>
    <col min="3606" max="3606" width="2.42578125" style="1220" customWidth="1"/>
    <col min="3607" max="3607" width="11.5703125" style="1220" customWidth="1"/>
    <col min="3608" max="3608" width="2.42578125" style="1220" customWidth="1"/>
    <col min="3609" max="3609" width="10.85546875" style="1220" customWidth="1"/>
    <col min="3610" max="3610" width="2.42578125" style="1220" customWidth="1"/>
    <col min="3611" max="3611" width="11.140625" style="1220" customWidth="1"/>
    <col min="3612" max="3612" width="1.85546875" style="1220" customWidth="1"/>
    <col min="3613" max="3613" width="11" style="1220" customWidth="1"/>
    <col min="3614" max="3614" width="0.7109375" style="1220" customWidth="1"/>
    <col min="3615" max="3615" width="1.85546875" style="1220" customWidth="1"/>
    <col min="3616" max="3616" width="11.85546875" style="1220" bestFit="1" customWidth="1"/>
    <col min="3617" max="3617" width="15.28515625" style="1220" bestFit="1" customWidth="1"/>
    <col min="3618" max="3618" width="5" style="1220" customWidth="1"/>
    <col min="3619" max="3619" width="10.42578125" style="1220" bestFit="1" customWidth="1"/>
    <col min="3620" max="3620" width="5" style="1220" customWidth="1"/>
    <col min="3621" max="3621" width="10.42578125" style="1220" bestFit="1" customWidth="1"/>
    <col min="3622" max="3624" width="9.140625" style="1220"/>
    <col min="3625" max="3625" width="10.42578125" style="1220" bestFit="1" customWidth="1"/>
    <col min="3626" max="3854" width="9.140625" style="1220"/>
    <col min="3855" max="3855" width="3.5703125" style="1220" customWidth="1"/>
    <col min="3856" max="3856" width="4.85546875" style="1220" customWidth="1"/>
    <col min="3857" max="3857" width="5.42578125" style="1220" customWidth="1"/>
    <col min="3858" max="3858" width="31.28515625" style="1220" customWidth="1"/>
    <col min="3859" max="3859" width="7.5703125" style="1220" customWidth="1"/>
    <col min="3860" max="3860" width="2.42578125" style="1220" customWidth="1"/>
    <col min="3861" max="3861" width="11.5703125" style="1220" customWidth="1"/>
    <col min="3862" max="3862" width="2.42578125" style="1220" customWidth="1"/>
    <col min="3863" max="3863" width="11.5703125" style="1220" customWidth="1"/>
    <col min="3864" max="3864" width="2.42578125" style="1220" customWidth="1"/>
    <col min="3865" max="3865" width="10.85546875" style="1220" customWidth="1"/>
    <col min="3866" max="3866" width="2.42578125" style="1220" customWidth="1"/>
    <col min="3867" max="3867" width="11.140625" style="1220" customWidth="1"/>
    <col min="3868" max="3868" width="1.85546875" style="1220" customWidth="1"/>
    <col min="3869" max="3869" width="11" style="1220" customWidth="1"/>
    <col min="3870" max="3870" width="0.7109375" style="1220" customWidth="1"/>
    <col min="3871" max="3871" width="1.85546875" style="1220" customWidth="1"/>
    <col min="3872" max="3872" width="11.85546875" style="1220" bestFit="1" customWidth="1"/>
    <col min="3873" max="3873" width="15.28515625" style="1220" bestFit="1" customWidth="1"/>
    <col min="3874" max="3874" width="5" style="1220" customWidth="1"/>
    <col min="3875" max="3875" width="10.42578125" style="1220" bestFit="1" customWidth="1"/>
    <col min="3876" max="3876" width="5" style="1220" customWidth="1"/>
    <col min="3877" max="3877" width="10.42578125" style="1220" bestFit="1" customWidth="1"/>
    <col min="3878" max="3880" width="9.140625" style="1220"/>
    <col min="3881" max="3881" width="10.42578125" style="1220" bestFit="1" customWidth="1"/>
    <col min="3882" max="4110" width="9.140625" style="1220"/>
    <col min="4111" max="4111" width="3.5703125" style="1220" customWidth="1"/>
    <col min="4112" max="4112" width="4.85546875" style="1220" customWidth="1"/>
    <col min="4113" max="4113" width="5.42578125" style="1220" customWidth="1"/>
    <col min="4114" max="4114" width="31.28515625" style="1220" customWidth="1"/>
    <col min="4115" max="4115" width="7.5703125" style="1220" customWidth="1"/>
    <col min="4116" max="4116" width="2.42578125" style="1220" customWidth="1"/>
    <col min="4117" max="4117" width="11.5703125" style="1220" customWidth="1"/>
    <col min="4118" max="4118" width="2.42578125" style="1220" customWidth="1"/>
    <col min="4119" max="4119" width="11.5703125" style="1220" customWidth="1"/>
    <col min="4120" max="4120" width="2.42578125" style="1220" customWidth="1"/>
    <col min="4121" max="4121" width="10.85546875" style="1220" customWidth="1"/>
    <col min="4122" max="4122" width="2.42578125" style="1220" customWidth="1"/>
    <col min="4123" max="4123" width="11.140625" style="1220" customWidth="1"/>
    <col min="4124" max="4124" width="1.85546875" style="1220" customWidth="1"/>
    <col min="4125" max="4125" width="11" style="1220" customWidth="1"/>
    <col min="4126" max="4126" width="0.7109375" style="1220" customWidth="1"/>
    <col min="4127" max="4127" width="1.85546875" style="1220" customWidth="1"/>
    <col min="4128" max="4128" width="11.85546875" style="1220" bestFit="1" customWidth="1"/>
    <col min="4129" max="4129" width="15.28515625" style="1220" bestFit="1" customWidth="1"/>
    <col min="4130" max="4130" width="5" style="1220" customWidth="1"/>
    <col min="4131" max="4131" width="10.42578125" style="1220" bestFit="1" customWidth="1"/>
    <col min="4132" max="4132" width="5" style="1220" customWidth="1"/>
    <col min="4133" max="4133" width="10.42578125" style="1220" bestFit="1" customWidth="1"/>
    <col min="4134" max="4136" width="9.140625" style="1220"/>
    <col min="4137" max="4137" width="10.42578125" style="1220" bestFit="1" customWidth="1"/>
    <col min="4138" max="4366" width="9.140625" style="1220"/>
    <col min="4367" max="4367" width="3.5703125" style="1220" customWidth="1"/>
    <col min="4368" max="4368" width="4.85546875" style="1220" customWidth="1"/>
    <col min="4369" max="4369" width="5.42578125" style="1220" customWidth="1"/>
    <col min="4370" max="4370" width="31.28515625" style="1220" customWidth="1"/>
    <col min="4371" max="4371" width="7.5703125" style="1220" customWidth="1"/>
    <col min="4372" max="4372" width="2.42578125" style="1220" customWidth="1"/>
    <col min="4373" max="4373" width="11.5703125" style="1220" customWidth="1"/>
    <col min="4374" max="4374" width="2.42578125" style="1220" customWidth="1"/>
    <col min="4375" max="4375" width="11.5703125" style="1220" customWidth="1"/>
    <col min="4376" max="4376" width="2.42578125" style="1220" customWidth="1"/>
    <col min="4377" max="4377" width="10.85546875" style="1220" customWidth="1"/>
    <col min="4378" max="4378" width="2.42578125" style="1220" customWidth="1"/>
    <col min="4379" max="4379" width="11.140625" style="1220" customWidth="1"/>
    <col min="4380" max="4380" width="1.85546875" style="1220" customWidth="1"/>
    <col min="4381" max="4381" width="11" style="1220" customWidth="1"/>
    <col min="4382" max="4382" width="0.7109375" style="1220" customWidth="1"/>
    <col min="4383" max="4383" width="1.85546875" style="1220" customWidth="1"/>
    <col min="4384" max="4384" width="11.85546875" style="1220" bestFit="1" customWidth="1"/>
    <col min="4385" max="4385" width="15.28515625" style="1220" bestFit="1" customWidth="1"/>
    <col min="4386" max="4386" width="5" style="1220" customWidth="1"/>
    <col min="4387" max="4387" width="10.42578125" style="1220" bestFit="1" customWidth="1"/>
    <col min="4388" max="4388" width="5" style="1220" customWidth="1"/>
    <col min="4389" max="4389" width="10.42578125" style="1220" bestFit="1" customWidth="1"/>
    <col min="4390" max="4392" width="9.140625" style="1220"/>
    <col min="4393" max="4393" width="10.42578125" style="1220" bestFit="1" customWidth="1"/>
    <col min="4394" max="4622" width="9.140625" style="1220"/>
    <col min="4623" max="4623" width="3.5703125" style="1220" customWidth="1"/>
    <col min="4624" max="4624" width="4.85546875" style="1220" customWidth="1"/>
    <col min="4625" max="4625" width="5.42578125" style="1220" customWidth="1"/>
    <col min="4626" max="4626" width="31.28515625" style="1220" customWidth="1"/>
    <col min="4627" max="4627" width="7.5703125" style="1220" customWidth="1"/>
    <col min="4628" max="4628" width="2.42578125" style="1220" customWidth="1"/>
    <col min="4629" max="4629" width="11.5703125" style="1220" customWidth="1"/>
    <col min="4630" max="4630" width="2.42578125" style="1220" customWidth="1"/>
    <col min="4631" max="4631" width="11.5703125" style="1220" customWidth="1"/>
    <col min="4632" max="4632" width="2.42578125" style="1220" customWidth="1"/>
    <col min="4633" max="4633" width="10.85546875" style="1220" customWidth="1"/>
    <col min="4634" max="4634" width="2.42578125" style="1220" customWidth="1"/>
    <col min="4635" max="4635" width="11.140625" style="1220" customWidth="1"/>
    <col min="4636" max="4636" width="1.85546875" style="1220" customWidth="1"/>
    <col min="4637" max="4637" width="11" style="1220" customWidth="1"/>
    <col min="4638" max="4638" width="0.7109375" style="1220" customWidth="1"/>
    <col min="4639" max="4639" width="1.85546875" style="1220" customWidth="1"/>
    <col min="4640" max="4640" width="11.85546875" style="1220" bestFit="1" customWidth="1"/>
    <col min="4641" max="4641" width="15.28515625" style="1220" bestFit="1" customWidth="1"/>
    <col min="4642" max="4642" width="5" style="1220" customWidth="1"/>
    <col min="4643" max="4643" width="10.42578125" style="1220" bestFit="1" customWidth="1"/>
    <col min="4644" max="4644" width="5" style="1220" customWidth="1"/>
    <col min="4645" max="4645" width="10.42578125" style="1220" bestFit="1" customWidth="1"/>
    <col min="4646" max="4648" width="9.140625" style="1220"/>
    <col min="4649" max="4649" width="10.42578125" style="1220" bestFit="1" customWidth="1"/>
    <col min="4650" max="4878" width="9.140625" style="1220"/>
    <col min="4879" max="4879" width="3.5703125" style="1220" customWidth="1"/>
    <col min="4880" max="4880" width="4.85546875" style="1220" customWidth="1"/>
    <col min="4881" max="4881" width="5.42578125" style="1220" customWidth="1"/>
    <col min="4882" max="4882" width="31.28515625" style="1220" customWidth="1"/>
    <col min="4883" max="4883" width="7.5703125" style="1220" customWidth="1"/>
    <col min="4884" max="4884" width="2.42578125" style="1220" customWidth="1"/>
    <col min="4885" max="4885" width="11.5703125" style="1220" customWidth="1"/>
    <col min="4886" max="4886" width="2.42578125" style="1220" customWidth="1"/>
    <col min="4887" max="4887" width="11.5703125" style="1220" customWidth="1"/>
    <col min="4888" max="4888" width="2.42578125" style="1220" customWidth="1"/>
    <col min="4889" max="4889" width="10.85546875" style="1220" customWidth="1"/>
    <col min="4890" max="4890" width="2.42578125" style="1220" customWidth="1"/>
    <col min="4891" max="4891" width="11.140625" style="1220" customWidth="1"/>
    <col min="4892" max="4892" width="1.85546875" style="1220" customWidth="1"/>
    <col min="4893" max="4893" width="11" style="1220" customWidth="1"/>
    <col min="4894" max="4894" width="0.7109375" style="1220" customWidth="1"/>
    <col min="4895" max="4895" width="1.85546875" style="1220" customWidth="1"/>
    <col min="4896" max="4896" width="11.85546875" style="1220" bestFit="1" customWidth="1"/>
    <col min="4897" max="4897" width="15.28515625" style="1220" bestFit="1" customWidth="1"/>
    <col min="4898" max="4898" width="5" style="1220" customWidth="1"/>
    <col min="4899" max="4899" width="10.42578125" style="1220" bestFit="1" customWidth="1"/>
    <col min="4900" max="4900" width="5" style="1220" customWidth="1"/>
    <col min="4901" max="4901" width="10.42578125" style="1220" bestFit="1" customWidth="1"/>
    <col min="4902" max="4904" width="9.140625" style="1220"/>
    <col min="4905" max="4905" width="10.42578125" style="1220" bestFit="1" customWidth="1"/>
    <col min="4906" max="5134" width="9.140625" style="1220"/>
    <col min="5135" max="5135" width="3.5703125" style="1220" customWidth="1"/>
    <col min="5136" max="5136" width="4.85546875" style="1220" customWidth="1"/>
    <col min="5137" max="5137" width="5.42578125" style="1220" customWidth="1"/>
    <col min="5138" max="5138" width="31.28515625" style="1220" customWidth="1"/>
    <col min="5139" max="5139" width="7.5703125" style="1220" customWidth="1"/>
    <col min="5140" max="5140" width="2.42578125" style="1220" customWidth="1"/>
    <col min="5141" max="5141" width="11.5703125" style="1220" customWidth="1"/>
    <col min="5142" max="5142" width="2.42578125" style="1220" customWidth="1"/>
    <col min="5143" max="5143" width="11.5703125" style="1220" customWidth="1"/>
    <col min="5144" max="5144" width="2.42578125" style="1220" customWidth="1"/>
    <col min="5145" max="5145" width="10.85546875" style="1220" customWidth="1"/>
    <col min="5146" max="5146" width="2.42578125" style="1220" customWidth="1"/>
    <col min="5147" max="5147" width="11.140625" style="1220" customWidth="1"/>
    <col min="5148" max="5148" width="1.85546875" style="1220" customWidth="1"/>
    <col min="5149" max="5149" width="11" style="1220" customWidth="1"/>
    <col min="5150" max="5150" width="0.7109375" style="1220" customWidth="1"/>
    <col min="5151" max="5151" width="1.85546875" style="1220" customWidth="1"/>
    <col min="5152" max="5152" width="11.85546875" style="1220" bestFit="1" customWidth="1"/>
    <col min="5153" max="5153" width="15.28515625" style="1220" bestFit="1" customWidth="1"/>
    <col min="5154" max="5154" width="5" style="1220" customWidth="1"/>
    <col min="5155" max="5155" width="10.42578125" style="1220" bestFit="1" customWidth="1"/>
    <col min="5156" max="5156" width="5" style="1220" customWidth="1"/>
    <col min="5157" max="5157" width="10.42578125" style="1220" bestFit="1" customWidth="1"/>
    <col min="5158" max="5160" width="9.140625" style="1220"/>
    <col min="5161" max="5161" width="10.42578125" style="1220" bestFit="1" customWidth="1"/>
    <col min="5162" max="5390" width="9.140625" style="1220"/>
    <col min="5391" max="5391" width="3.5703125" style="1220" customWidth="1"/>
    <col min="5392" max="5392" width="4.85546875" style="1220" customWidth="1"/>
    <col min="5393" max="5393" width="5.42578125" style="1220" customWidth="1"/>
    <col min="5394" max="5394" width="31.28515625" style="1220" customWidth="1"/>
    <col min="5395" max="5395" width="7.5703125" style="1220" customWidth="1"/>
    <col min="5396" max="5396" width="2.42578125" style="1220" customWidth="1"/>
    <col min="5397" max="5397" width="11.5703125" style="1220" customWidth="1"/>
    <col min="5398" max="5398" width="2.42578125" style="1220" customWidth="1"/>
    <col min="5399" max="5399" width="11.5703125" style="1220" customWidth="1"/>
    <col min="5400" max="5400" width="2.42578125" style="1220" customWidth="1"/>
    <col min="5401" max="5401" width="10.85546875" style="1220" customWidth="1"/>
    <col min="5402" max="5402" width="2.42578125" style="1220" customWidth="1"/>
    <col min="5403" max="5403" width="11.140625" style="1220" customWidth="1"/>
    <col min="5404" max="5404" width="1.85546875" style="1220" customWidth="1"/>
    <col min="5405" max="5405" width="11" style="1220" customWidth="1"/>
    <col min="5406" max="5406" width="0.7109375" style="1220" customWidth="1"/>
    <col min="5407" max="5407" width="1.85546875" style="1220" customWidth="1"/>
    <col min="5408" max="5408" width="11.85546875" style="1220" bestFit="1" customWidth="1"/>
    <col min="5409" max="5409" width="15.28515625" style="1220" bestFit="1" customWidth="1"/>
    <col min="5410" max="5410" width="5" style="1220" customWidth="1"/>
    <col min="5411" max="5411" width="10.42578125" style="1220" bestFit="1" customWidth="1"/>
    <col min="5412" max="5412" width="5" style="1220" customWidth="1"/>
    <col min="5413" max="5413" width="10.42578125" style="1220" bestFit="1" customWidth="1"/>
    <col min="5414" max="5416" width="9.140625" style="1220"/>
    <col min="5417" max="5417" width="10.42578125" style="1220" bestFit="1" customWidth="1"/>
    <col min="5418" max="5646" width="9.140625" style="1220"/>
    <col min="5647" max="5647" width="3.5703125" style="1220" customWidth="1"/>
    <col min="5648" max="5648" width="4.85546875" style="1220" customWidth="1"/>
    <col min="5649" max="5649" width="5.42578125" style="1220" customWidth="1"/>
    <col min="5650" max="5650" width="31.28515625" style="1220" customWidth="1"/>
    <col min="5651" max="5651" width="7.5703125" style="1220" customWidth="1"/>
    <col min="5652" max="5652" width="2.42578125" style="1220" customWidth="1"/>
    <col min="5653" max="5653" width="11.5703125" style="1220" customWidth="1"/>
    <col min="5654" max="5654" width="2.42578125" style="1220" customWidth="1"/>
    <col min="5655" max="5655" width="11.5703125" style="1220" customWidth="1"/>
    <col min="5656" max="5656" width="2.42578125" style="1220" customWidth="1"/>
    <col min="5657" max="5657" width="10.85546875" style="1220" customWidth="1"/>
    <col min="5658" max="5658" width="2.42578125" style="1220" customWidth="1"/>
    <col min="5659" max="5659" width="11.140625" style="1220" customWidth="1"/>
    <col min="5660" max="5660" width="1.85546875" style="1220" customWidth="1"/>
    <col min="5661" max="5661" width="11" style="1220" customWidth="1"/>
    <col min="5662" max="5662" width="0.7109375" style="1220" customWidth="1"/>
    <col min="5663" max="5663" width="1.85546875" style="1220" customWidth="1"/>
    <col min="5664" max="5664" width="11.85546875" style="1220" bestFit="1" customWidth="1"/>
    <col min="5665" max="5665" width="15.28515625" style="1220" bestFit="1" customWidth="1"/>
    <col min="5666" max="5666" width="5" style="1220" customWidth="1"/>
    <col min="5667" max="5667" width="10.42578125" style="1220" bestFit="1" customWidth="1"/>
    <col min="5668" max="5668" width="5" style="1220" customWidth="1"/>
    <col min="5669" max="5669" width="10.42578125" style="1220" bestFit="1" customWidth="1"/>
    <col min="5670" max="5672" width="9.140625" style="1220"/>
    <col min="5673" max="5673" width="10.42578125" style="1220" bestFit="1" customWidth="1"/>
    <col min="5674" max="5902" width="9.140625" style="1220"/>
    <col min="5903" max="5903" width="3.5703125" style="1220" customWidth="1"/>
    <col min="5904" max="5904" width="4.85546875" style="1220" customWidth="1"/>
    <col min="5905" max="5905" width="5.42578125" style="1220" customWidth="1"/>
    <col min="5906" max="5906" width="31.28515625" style="1220" customWidth="1"/>
    <col min="5907" max="5907" width="7.5703125" style="1220" customWidth="1"/>
    <col min="5908" max="5908" width="2.42578125" style="1220" customWidth="1"/>
    <col min="5909" max="5909" width="11.5703125" style="1220" customWidth="1"/>
    <col min="5910" max="5910" width="2.42578125" style="1220" customWidth="1"/>
    <col min="5911" max="5911" width="11.5703125" style="1220" customWidth="1"/>
    <col min="5912" max="5912" width="2.42578125" style="1220" customWidth="1"/>
    <col min="5913" max="5913" width="10.85546875" style="1220" customWidth="1"/>
    <col min="5914" max="5914" width="2.42578125" style="1220" customWidth="1"/>
    <col min="5915" max="5915" width="11.140625" style="1220" customWidth="1"/>
    <col min="5916" max="5916" width="1.85546875" style="1220" customWidth="1"/>
    <col min="5917" max="5917" width="11" style="1220" customWidth="1"/>
    <col min="5918" max="5918" width="0.7109375" style="1220" customWidth="1"/>
    <col min="5919" max="5919" width="1.85546875" style="1220" customWidth="1"/>
    <col min="5920" max="5920" width="11.85546875" style="1220" bestFit="1" customWidth="1"/>
    <col min="5921" max="5921" width="15.28515625" style="1220" bestFit="1" customWidth="1"/>
    <col min="5922" max="5922" width="5" style="1220" customWidth="1"/>
    <col min="5923" max="5923" width="10.42578125" style="1220" bestFit="1" customWidth="1"/>
    <col min="5924" max="5924" width="5" style="1220" customWidth="1"/>
    <col min="5925" max="5925" width="10.42578125" style="1220" bestFit="1" customWidth="1"/>
    <col min="5926" max="5928" width="9.140625" style="1220"/>
    <col min="5929" max="5929" width="10.42578125" style="1220" bestFit="1" customWidth="1"/>
    <col min="5930" max="6158" width="9.140625" style="1220"/>
    <col min="6159" max="6159" width="3.5703125" style="1220" customWidth="1"/>
    <col min="6160" max="6160" width="4.85546875" style="1220" customWidth="1"/>
    <col min="6161" max="6161" width="5.42578125" style="1220" customWidth="1"/>
    <col min="6162" max="6162" width="31.28515625" style="1220" customWidth="1"/>
    <col min="6163" max="6163" width="7.5703125" style="1220" customWidth="1"/>
    <col min="6164" max="6164" width="2.42578125" style="1220" customWidth="1"/>
    <col min="6165" max="6165" width="11.5703125" style="1220" customWidth="1"/>
    <col min="6166" max="6166" width="2.42578125" style="1220" customWidth="1"/>
    <col min="6167" max="6167" width="11.5703125" style="1220" customWidth="1"/>
    <col min="6168" max="6168" width="2.42578125" style="1220" customWidth="1"/>
    <col min="6169" max="6169" width="10.85546875" style="1220" customWidth="1"/>
    <col min="6170" max="6170" width="2.42578125" style="1220" customWidth="1"/>
    <col min="6171" max="6171" width="11.140625" style="1220" customWidth="1"/>
    <col min="6172" max="6172" width="1.85546875" style="1220" customWidth="1"/>
    <col min="6173" max="6173" width="11" style="1220" customWidth="1"/>
    <col min="6174" max="6174" width="0.7109375" style="1220" customWidth="1"/>
    <col min="6175" max="6175" width="1.85546875" style="1220" customWidth="1"/>
    <col min="6176" max="6176" width="11.85546875" style="1220" bestFit="1" customWidth="1"/>
    <col min="6177" max="6177" width="15.28515625" style="1220" bestFit="1" customWidth="1"/>
    <col min="6178" max="6178" width="5" style="1220" customWidth="1"/>
    <col min="6179" max="6179" width="10.42578125" style="1220" bestFit="1" customWidth="1"/>
    <col min="6180" max="6180" width="5" style="1220" customWidth="1"/>
    <col min="6181" max="6181" width="10.42578125" style="1220" bestFit="1" customWidth="1"/>
    <col min="6182" max="6184" width="9.140625" style="1220"/>
    <col min="6185" max="6185" width="10.42578125" style="1220" bestFit="1" customWidth="1"/>
    <col min="6186" max="6414" width="9.140625" style="1220"/>
    <col min="6415" max="6415" width="3.5703125" style="1220" customWidth="1"/>
    <col min="6416" max="6416" width="4.85546875" style="1220" customWidth="1"/>
    <col min="6417" max="6417" width="5.42578125" style="1220" customWidth="1"/>
    <col min="6418" max="6418" width="31.28515625" style="1220" customWidth="1"/>
    <col min="6419" max="6419" width="7.5703125" style="1220" customWidth="1"/>
    <col min="6420" max="6420" width="2.42578125" style="1220" customWidth="1"/>
    <col min="6421" max="6421" width="11.5703125" style="1220" customWidth="1"/>
    <col min="6422" max="6422" width="2.42578125" style="1220" customWidth="1"/>
    <col min="6423" max="6423" width="11.5703125" style="1220" customWidth="1"/>
    <col min="6424" max="6424" width="2.42578125" style="1220" customWidth="1"/>
    <col min="6425" max="6425" width="10.85546875" style="1220" customWidth="1"/>
    <col min="6426" max="6426" width="2.42578125" style="1220" customWidth="1"/>
    <col min="6427" max="6427" width="11.140625" style="1220" customWidth="1"/>
    <col min="6428" max="6428" width="1.85546875" style="1220" customWidth="1"/>
    <col min="6429" max="6429" width="11" style="1220" customWidth="1"/>
    <col min="6430" max="6430" width="0.7109375" style="1220" customWidth="1"/>
    <col min="6431" max="6431" width="1.85546875" style="1220" customWidth="1"/>
    <col min="6432" max="6432" width="11.85546875" style="1220" bestFit="1" customWidth="1"/>
    <col min="6433" max="6433" width="15.28515625" style="1220" bestFit="1" customWidth="1"/>
    <col min="6434" max="6434" width="5" style="1220" customWidth="1"/>
    <col min="6435" max="6435" width="10.42578125" style="1220" bestFit="1" customWidth="1"/>
    <col min="6436" max="6436" width="5" style="1220" customWidth="1"/>
    <col min="6437" max="6437" width="10.42578125" style="1220" bestFit="1" customWidth="1"/>
    <col min="6438" max="6440" width="9.140625" style="1220"/>
    <col min="6441" max="6441" width="10.42578125" style="1220" bestFit="1" customWidth="1"/>
    <col min="6442" max="6670" width="9.140625" style="1220"/>
    <col min="6671" max="6671" width="3.5703125" style="1220" customWidth="1"/>
    <col min="6672" max="6672" width="4.85546875" style="1220" customWidth="1"/>
    <col min="6673" max="6673" width="5.42578125" style="1220" customWidth="1"/>
    <col min="6674" max="6674" width="31.28515625" style="1220" customWidth="1"/>
    <col min="6675" max="6675" width="7.5703125" style="1220" customWidth="1"/>
    <col min="6676" max="6676" width="2.42578125" style="1220" customWidth="1"/>
    <col min="6677" max="6677" width="11.5703125" style="1220" customWidth="1"/>
    <col min="6678" max="6678" width="2.42578125" style="1220" customWidth="1"/>
    <col min="6679" max="6679" width="11.5703125" style="1220" customWidth="1"/>
    <col min="6680" max="6680" width="2.42578125" style="1220" customWidth="1"/>
    <col min="6681" max="6681" width="10.85546875" style="1220" customWidth="1"/>
    <col min="6682" max="6682" width="2.42578125" style="1220" customWidth="1"/>
    <col min="6683" max="6683" width="11.140625" style="1220" customWidth="1"/>
    <col min="6684" max="6684" width="1.85546875" style="1220" customWidth="1"/>
    <col min="6685" max="6685" width="11" style="1220" customWidth="1"/>
    <col min="6686" max="6686" width="0.7109375" style="1220" customWidth="1"/>
    <col min="6687" max="6687" width="1.85546875" style="1220" customWidth="1"/>
    <col min="6688" max="6688" width="11.85546875" style="1220" bestFit="1" customWidth="1"/>
    <col min="6689" max="6689" width="15.28515625" style="1220" bestFit="1" customWidth="1"/>
    <col min="6690" max="6690" width="5" style="1220" customWidth="1"/>
    <col min="6691" max="6691" width="10.42578125" style="1220" bestFit="1" customWidth="1"/>
    <col min="6692" max="6692" width="5" style="1220" customWidth="1"/>
    <col min="6693" max="6693" width="10.42578125" style="1220" bestFit="1" customWidth="1"/>
    <col min="6694" max="6696" width="9.140625" style="1220"/>
    <col min="6697" max="6697" width="10.42578125" style="1220" bestFit="1" customWidth="1"/>
    <col min="6698" max="6926" width="9.140625" style="1220"/>
    <col min="6927" max="6927" width="3.5703125" style="1220" customWidth="1"/>
    <col min="6928" max="6928" width="4.85546875" style="1220" customWidth="1"/>
    <col min="6929" max="6929" width="5.42578125" style="1220" customWidth="1"/>
    <col min="6930" max="6930" width="31.28515625" style="1220" customWidth="1"/>
    <col min="6931" max="6931" width="7.5703125" style="1220" customWidth="1"/>
    <col min="6932" max="6932" width="2.42578125" style="1220" customWidth="1"/>
    <col min="6933" max="6933" width="11.5703125" style="1220" customWidth="1"/>
    <col min="6934" max="6934" width="2.42578125" style="1220" customWidth="1"/>
    <col min="6935" max="6935" width="11.5703125" style="1220" customWidth="1"/>
    <col min="6936" max="6936" width="2.42578125" style="1220" customWidth="1"/>
    <col min="6937" max="6937" width="10.85546875" style="1220" customWidth="1"/>
    <col min="6938" max="6938" width="2.42578125" style="1220" customWidth="1"/>
    <col min="6939" max="6939" width="11.140625" style="1220" customWidth="1"/>
    <col min="6940" max="6940" width="1.85546875" style="1220" customWidth="1"/>
    <col min="6941" max="6941" width="11" style="1220" customWidth="1"/>
    <col min="6942" max="6942" width="0.7109375" style="1220" customWidth="1"/>
    <col min="6943" max="6943" width="1.85546875" style="1220" customWidth="1"/>
    <col min="6944" max="6944" width="11.85546875" style="1220" bestFit="1" customWidth="1"/>
    <col min="6945" max="6945" width="15.28515625" style="1220" bestFit="1" customWidth="1"/>
    <col min="6946" max="6946" width="5" style="1220" customWidth="1"/>
    <col min="6947" max="6947" width="10.42578125" style="1220" bestFit="1" customWidth="1"/>
    <col min="6948" max="6948" width="5" style="1220" customWidth="1"/>
    <col min="6949" max="6949" width="10.42578125" style="1220" bestFit="1" customWidth="1"/>
    <col min="6950" max="6952" width="9.140625" style="1220"/>
    <col min="6953" max="6953" width="10.42578125" style="1220" bestFit="1" customWidth="1"/>
    <col min="6954" max="7182" width="9.140625" style="1220"/>
    <col min="7183" max="7183" width="3.5703125" style="1220" customWidth="1"/>
    <col min="7184" max="7184" width="4.85546875" style="1220" customWidth="1"/>
    <col min="7185" max="7185" width="5.42578125" style="1220" customWidth="1"/>
    <col min="7186" max="7186" width="31.28515625" style="1220" customWidth="1"/>
    <col min="7187" max="7187" width="7.5703125" style="1220" customWidth="1"/>
    <col min="7188" max="7188" width="2.42578125" style="1220" customWidth="1"/>
    <col min="7189" max="7189" width="11.5703125" style="1220" customWidth="1"/>
    <col min="7190" max="7190" width="2.42578125" style="1220" customWidth="1"/>
    <col min="7191" max="7191" width="11.5703125" style="1220" customWidth="1"/>
    <col min="7192" max="7192" width="2.42578125" style="1220" customWidth="1"/>
    <col min="7193" max="7193" width="10.85546875" style="1220" customWidth="1"/>
    <col min="7194" max="7194" width="2.42578125" style="1220" customWidth="1"/>
    <col min="7195" max="7195" width="11.140625" style="1220" customWidth="1"/>
    <col min="7196" max="7196" width="1.85546875" style="1220" customWidth="1"/>
    <col min="7197" max="7197" width="11" style="1220" customWidth="1"/>
    <col min="7198" max="7198" width="0.7109375" style="1220" customWidth="1"/>
    <col min="7199" max="7199" width="1.85546875" style="1220" customWidth="1"/>
    <col min="7200" max="7200" width="11.85546875" style="1220" bestFit="1" customWidth="1"/>
    <col min="7201" max="7201" width="15.28515625" style="1220" bestFit="1" customWidth="1"/>
    <col min="7202" max="7202" width="5" style="1220" customWidth="1"/>
    <col min="7203" max="7203" width="10.42578125" style="1220" bestFit="1" customWidth="1"/>
    <col min="7204" max="7204" width="5" style="1220" customWidth="1"/>
    <col min="7205" max="7205" width="10.42578125" style="1220" bestFit="1" customWidth="1"/>
    <col min="7206" max="7208" width="9.140625" style="1220"/>
    <col min="7209" max="7209" width="10.42578125" style="1220" bestFit="1" customWidth="1"/>
    <col min="7210" max="7438" width="9.140625" style="1220"/>
    <col min="7439" max="7439" width="3.5703125" style="1220" customWidth="1"/>
    <col min="7440" max="7440" width="4.85546875" style="1220" customWidth="1"/>
    <col min="7441" max="7441" width="5.42578125" style="1220" customWidth="1"/>
    <col min="7442" max="7442" width="31.28515625" style="1220" customWidth="1"/>
    <col min="7443" max="7443" width="7.5703125" style="1220" customWidth="1"/>
    <col min="7444" max="7444" width="2.42578125" style="1220" customWidth="1"/>
    <col min="7445" max="7445" width="11.5703125" style="1220" customWidth="1"/>
    <col min="7446" max="7446" width="2.42578125" style="1220" customWidth="1"/>
    <col min="7447" max="7447" width="11.5703125" style="1220" customWidth="1"/>
    <col min="7448" max="7448" width="2.42578125" style="1220" customWidth="1"/>
    <col min="7449" max="7449" width="10.85546875" style="1220" customWidth="1"/>
    <col min="7450" max="7450" width="2.42578125" style="1220" customWidth="1"/>
    <col min="7451" max="7451" width="11.140625" style="1220" customWidth="1"/>
    <col min="7452" max="7452" width="1.85546875" style="1220" customWidth="1"/>
    <col min="7453" max="7453" width="11" style="1220" customWidth="1"/>
    <col min="7454" max="7454" width="0.7109375" style="1220" customWidth="1"/>
    <col min="7455" max="7455" width="1.85546875" style="1220" customWidth="1"/>
    <col min="7456" max="7456" width="11.85546875" style="1220" bestFit="1" customWidth="1"/>
    <col min="7457" max="7457" width="15.28515625" style="1220" bestFit="1" customWidth="1"/>
    <col min="7458" max="7458" width="5" style="1220" customWidth="1"/>
    <col min="7459" max="7459" width="10.42578125" style="1220" bestFit="1" customWidth="1"/>
    <col min="7460" max="7460" width="5" style="1220" customWidth="1"/>
    <col min="7461" max="7461" width="10.42578125" style="1220" bestFit="1" customWidth="1"/>
    <col min="7462" max="7464" width="9.140625" style="1220"/>
    <col min="7465" max="7465" width="10.42578125" style="1220" bestFit="1" customWidth="1"/>
    <col min="7466" max="7694" width="9.140625" style="1220"/>
    <col min="7695" max="7695" width="3.5703125" style="1220" customWidth="1"/>
    <col min="7696" max="7696" width="4.85546875" style="1220" customWidth="1"/>
    <col min="7697" max="7697" width="5.42578125" style="1220" customWidth="1"/>
    <col min="7698" max="7698" width="31.28515625" style="1220" customWidth="1"/>
    <col min="7699" max="7699" width="7.5703125" style="1220" customWidth="1"/>
    <col min="7700" max="7700" width="2.42578125" style="1220" customWidth="1"/>
    <col min="7701" max="7701" width="11.5703125" style="1220" customWidth="1"/>
    <col min="7702" max="7702" width="2.42578125" style="1220" customWidth="1"/>
    <col min="7703" max="7703" width="11.5703125" style="1220" customWidth="1"/>
    <col min="7704" max="7704" width="2.42578125" style="1220" customWidth="1"/>
    <col min="7705" max="7705" width="10.85546875" style="1220" customWidth="1"/>
    <col min="7706" max="7706" width="2.42578125" style="1220" customWidth="1"/>
    <col min="7707" max="7707" width="11.140625" style="1220" customWidth="1"/>
    <col min="7708" max="7708" width="1.85546875" style="1220" customWidth="1"/>
    <col min="7709" max="7709" width="11" style="1220" customWidth="1"/>
    <col min="7710" max="7710" width="0.7109375" style="1220" customWidth="1"/>
    <col min="7711" max="7711" width="1.85546875" style="1220" customWidth="1"/>
    <col min="7712" max="7712" width="11.85546875" style="1220" bestFit="1" customWidth="1"/>
    <col min="7713" max="7713" width="15.28515625" style="1220" bestFit="1" customWidth="1"/>
    <col min="7714" max="7714" width="5" style="1220" customWidth="1"/>
    <col min="7715" max="7715" width="10.42578125" style="1220" bestFit="1" customWidth="1"/>
    <col min="7716" max="7716" width="5" style="1220" customWidth="1"/>
    <col min="7717" max="7717" width="10.42578125" style="1220" bestFit="1" customWidth="1"/>
    <col min="7718" max="7720" width="9.140625" style="1220"/>
    <col min="7721" max="7721" width="10.42578125" style="1220" bestFit="1" customWidth="1"/>
    <col min="7722" max="7950" width="9.140625" style="1220"/>
    <col min="7951" max="7951" width="3.5703125" style="1220" customWidth="1"/>
    <col min="7952" max="7952" width="4.85546875" style="1220" customWidth="1"/>
    <col min="7953" max="7953" width="5.42578125" style="1220" customWidth="1"/>
    <col min="7954" max="7954" width="31.28515625" style="1220" customWidth="1"/>
    <col min="7955" max="7955" width="7.5703125" style="1220" customWidth="1"/>
    <col min="7956" max="7956" width="2.42578125" style="1220" customWidth="1"/>
    <col min="7957" max="7957" width="11.5703125" style="1220" customWidth="1"/>
    <col min="7958" max="7958" width="2.42578125" style="1220" customWidth="1"/>
    <col min="7959" max="7959" width="11.5703125" style="1220" customWidth="1"/>
    <col min="7960" max="7960" width="2.42578125" style="1220" customWidth="1"/>
    <col min="7961" max="7961" width="10.85546875" style="1220" customWidth="1"/>
    <col min="7962" max="7962" width="2.42578125" style="1220" customWidth="1"/>
    <col min="7963" max="7963" width="11.140625" style="1220" customWidth="1"/>
    <col min="7964" max="7964" width="1.85546875" style="1220" customWidth="1"/>
    <col min="7965" max="7965" width="11" style="1220" customWidth="1"/>
    <col min="7966" max="7966" width="0.7109375" style="1220" customWidth="1"/>
    <col min="7967" max="7967" width="1.85546875" style="1220" customWidth="1"/>
    <col min="7968" max="7968" width="11.85546875" style="1220" bestFit="1" customWidth="1"/>
    <col min="7969" max="7969" width="15.28515625" style="1220" bestFit="1" customWidth="1"/>
    <col min="7970" max="7970" width="5" style="1220" customWidth="1"/>
    <col min="7971" max="7971" width="10.42578125" style="1220" bestFit="1" customWidth="1"/>
    <col min="7972" max="7972" width="5" style="1220" customWidth="1"/>
    <col min="7973" max="7973" width="10.42578125" style="1220" bestFit="1" customWidth="1"/>
    <col min="7974" max="7976" width="9.140625" style="1220"/>
    <col min="7977" max="7977" width="10.42578125" style="1220" bestFit="1" customWidth="1"/>
    <col min="7978" max="8206" width="9.140625" style="1220"/>
    <col min="8207" max="8207" width="3.5703125" style="1220" customWidth="1"/>
    <col min="8208" max="8208" width="4.85546875" style="1220" customWidth="1"/>
    <col min="8209" max="8209" width="5.42578125" style="1220" customWidth="1"/>
    <col min="8210" max="8210" width="31.28515625" style="1220" customWidth="1"/>
    <col min="8211" max="8211" width="7.5703125" style="1220" customWidth="1"/>
    <col min="8212" max="8212" width="2.42578125" style="1220" customWidth="1"/>
    <col min="8213" max="8213" width="11.5703125" style="1220" customWidth="1"/>
    <col min="8214" max="8214" width="2.42578125" style="1220" customWidth="1"/>
    <col min="8215" max="8215" width="11.5703125" style="1220" customWidth="1"/>
    <col min="8216" max="8216" width="2.42578125" style="1220" customWidth="1"/>
    <col min="8217" max="8217" width="10.85546875" style="1220" customWidth="1"/>
    <col min="8218" max="8218" width="2.42578125" style="1220" customWidth="1"/>
    <col min="8219" max="8219" width="11.140625" style="1220" customWidth="1"/>
    <col min="8220" max="8220" width="1.85546875" style="1220" customWidth="1"/>
    <col min="8221" max="8221" width="11" style="1220" customWidth="1"/>
    <col min="8222" max="8222" width="0.7109375" style="1220" customWidth="1"/>
    <col min="8223" max="8223" width="1.85546875" style="1220" customWidth="1"/>
    <col min="8224" max="8224" width="11.85546875" style="1220" bestFit="1" customWidth="1"/>
    <col min="8225" max="8225" width="15.28515625" style="1220" bestFit="1" customWidth="1"/>
    <col min="8226" max="8226" width="5" style="1220" customWidth="1"/>
    <col min="8227" max="8227" width="10.42578125" style="1220" bestFit="1" customWidth="1"/>
    <col min="8228" max="8228" width="5" style="1220" customWidth="1"/>
    <col min="8229" max="8229" width="10.42578125" style="1220" bestFit="1" customWidth="1"/>
    <col min="8230" max="8232" width="9.140625" style="1220"/>
    <col min="8233" max="8233" width="10.42578125" style="1220" bestFit="1" customWidth="1"/>
    <col min="8234" max="8462" width="9.140625" style="1220"/>
    <col min="8463" max="8463" width="3.5703125" style="1220" customWidth="1"/>
    <col min="8464" max="8464" width="4.85546875" style="1220" customWidth="1"/>
    <col min="8465" max="8465" width="5.42578125" style="1220" customWidth="1"/>
    <col min="8466" max="8466" width="31.28515625" style="1220" customWidth="1"/>
    <col min="8467" max="8467" width="7.5703125" style="1220" customWidth="1"/>
    <col min="8468" max="8468" width="2.42578125" style="1220" customWidth="1"/>
    <col min="8469" max="8469" width="11.5703125" style="1220" customWidth="1"/>
    <col min="8470" max="8470" width="2.42578125" style="1220" customWidth="1"/>
    <col min="8471" max="8471" width="11.5703125" style="1220" customWidth="1"/>
    <col min="8472" max="8472" width="2.42578125" style="1220" customWidth="1"/>
    <col min="8473" max="8473" width="10.85546875" style="1220" customWidth="1"/>
    <col min="8474" max="8474" width="2.42578125" style="1220" customWidth="1"/>
    <col min="8475" max="8475" width="11.140625" style="1220" customWidth="1"/>
    <col min="8476" max="8476" width="1.85546875" style="1220" customWidth="1"/>
    <col min="8477" max="8477" width="11" style="1220" customWidth="1"/>
    <col min="8478" max="8478" width="0.7109375" style="1220" customWidth="1"/>
    <col min="8479" max="8479" width="1.85546875" style="1220" customWidth="1"/>
    <col min="8480" max="8480" width="11.85546875" style="1220" bestFit="1" customWidth="1"/>
    <col min="8481" max="8481" width="15.28515625" style="1220" bestFit="1" customWidth="1"/>
    <col min="8482" max="8482" width="5" style="1220" customWidth="1"/>
    <col min="8483" max="8483" width="10.42578125" style="1220" bestFit="1" customWidth="1"/>
    <col min="8484" max="8484" width="5" style="1220" customWidth="1"/>
    <col min="8485" max="8485" width="10.42578125" style="1220" bestFit="1" customWidth="1"/>
    <col min="8486" max="8488" width="9.140625" style="1220"/>
    <col min="8489" max="8489" width="10.42578125" style="1220" bestFit="1" customWidth="1"/>
    <col min="8490" max="8718" width="9.140625" style="1220"/>
    <col min="8719" max="8719" width="3.5703125" style="1220" customWidth="1"/>
    <col min="8720" max="8720" width="4.85546875" style="1220" customWidth="1"/>
    <col min="8721" max="8721" width="5.42578125" style="1220" customWidth="1"/>
    <col min="8722" max="8722" width="31.28515625" style="1220" customWidth="1"/>
    <col min="8723" max="8723" width="7.5703125" style="1220" customWidth="1"/>
    <col min="8724" max="8724" width="2.42578125" style="1220" customWidth="1"/>
    <col min="8725" max="8725" width="11.5703125" style="1220" customWidth="1"/>
    <col min="8726" max="8726" width="2.42578125" style="1220" customWidth="1"/>
    <col min="8727" max="8727" width="11.5703125" style="1220" customWidth="1"/>
    <col min="8728" max="8728" width="2.42578125" style="1220" customWidth="1"/>
    <col min="8729" max="8729" width="10.85546875" style="1220" customWidth="1"/>
    <col min="8730" max="8730" width="2.42578125" style="1220" customWidth="1"/>
    <col min="8731" max="8731" width="11.140625" style="1220" customWidth="1"/>
    <col min="8732" max="8732" width="1.85546875" style="1220" customWidth="1"/>
    <col min="8733" max="8733" width="11" style="1220" customWidth="1"/>
    <col min="8734" max="8734" width="0.7109375" style="1220" customWidth="1"/>
    <col min="8735" max="8735" width="1.85546875" style="1220" customWidth="1"/>
    <col min="8736" max="8736" width="11.85546875" style="1220" bestFit="1" customWidth="1"/>
    <col min="8737" max="8737" width="15.28515625" style="1220" bestFit="1" customWidth="1"/>
    <col min="8738" max="8738" width="5" style="1220" customWidth="1"/>
    <col min="8739" max="8739" width="10.42578125" style="1220" bestFit="1" customWidth="1"/>
    <col min="8740" max="8740" width="5" style="1220" customWidth="1"/>
    <col min="8741" max="8741" width="10.42578125" style="1220" bestFit="1" customWidth="1"/>
    <col min="8742" max="8744" width="9.140625" style="1220"/>
    <col min="8745" max="8745" width="10.42578125" style="1220" bestFit="1" customWidth="1"/>
    <col min="8746" max="8974" width="9.140625" style="1220"/>
    <col min="8975" max="8975" width="3.5703125" style="1220" customWidth="1"/>
    <col min="8976" max="8976" width="4.85546875" style="1220" customWidth="1"/>
    <col min="8977" max="8977" width="5.42578125" style="1220" customWidth="1"/>
    <col min="8978" max="8978" width="31.28515625" style="1220" customWidth="1"/>
    <col min="8979" max="8979" width="7.5703125" style="1220" customWidth="1"/>
    <col min="8980" max="8980" width="2.42578125" style="1220" customWidth="1"/>
    <col min="8981" max="8981" width="11.5703125" style="1220" customWidth="1"/>
    <col min="8982" max="8982" width="2.42578125" style="1220" customWidth="1"/>
    <col min="8983" max="8983" width="11.5703125" style="1220" customWidth="1"/>
    <col min="8984" max="8984" width="2.42578125" style="1220" customWidth="1"/>
    <col min="8985" max="8985" width="10.85546875" style="1220" customWidth="1"/>
    <col min="8986" max="8986" width="2.42578125" style="1220" customWidth="1"/>
    <col min="8987" max="8987" width="11.140625" style="1220" customWidth="1"/>
    <col min="8988" max="8988" width="1.85546875" style="1220" customWidth="1"/>
    <col min="8989" max="8989" width="11" style="1220" customWidth="1"/>
    <col min="8990" max="8990" width="0.7109375" style="1220" customWidth="1"/>
    <col min="8991" max="8991" width="1.85546875" style="1220" customWidth="1"/>
    <col min="8992" max="8992" width="11.85546875" style="1220" bestFit="1" customWidth="1"/>
    <col min="8993" max="8993" width="15.28515625" style="1220" bestFit="1" customWidth="1"/>
    <col min="8994" max="8994" width="5" style="1220" customWidth="1"/>
    <col min="8995" max="8995" width="10.42578125" style="1220" bestFit="1" customWidth="1"/>
    <col min="8996" max="8996" width="5" style="1220" customWidth="1"/>
    <col min="8997" max="8997" width="10.42578125" style="1220" bestFit="1" customWidth="1"/>
    <col min="8998" max="9000" width="9.140625" style="1220"/>
    <col min="9001" max="9001" width="10.42578125" style="1220" bestFit="1" customWidth="1"/>
    <col min="9002" max="9230" width="9.140625" style="1220"/>
    <col min="9231" max="9231" width="3.5703125" style="1220" customWidth="1"/>
    <col min="9232" max="9232" width="4.85546875" style="1220" customWidth="1"/>
    <col min="9233" max="9233" width="5.42578125" style="1220" customWidth="1"/>
    <col min="9234" max="9234" width="31.28515625" style="1220" customWidth="1"/>
    <col min="9235" max="9235" width="7.5703125" style="1220" customWidth="1"/>
    <col min="9236" max="9236" width="2.42578125" style="1220" customWidth="1"/>
    <col min="9237" max="9237" width="11.5703125" style="1220" customWidth="1"/>
    <col min="9238" max="9238" width="2.42578125" style="1220" customWidth="1"/>
    <col min="9239" max="9239" width="11.5703125" style="1220" customWidth="1"/>
    <col min="9240" max="9240" width="2.42578125" style="1220" customWidth="1"/>
    <col min="9241" max="9241" width="10.85546875" style="1220" customWidth="1"/>
    <col min="9242" max="9242" width="2.42578125" style="1220" customWidth="1"/>
    <col min="9243" max="9243" width="11.140625" style="1220" customWidth="1"/>
    <col min="9244" max="9244" width="1.85546875" style="1220" customWidth="1"/>
    <col min="9245" max="9245" width="11" style="1220" customWidth="1"/>
    <col min="9246" max="9246" width="0.7109375" style="1220" customWidth="1"/>
    <col min="9247" max="9247" width="1.85546875" style="1220" customWidth="1"/>
    <col min="9248" max="9248" width="11.85546875" style="1220" bestFit="1" customWidth="1"/>
    <col min="9249" max="9249" width="15.28515625" style="1220" bestFit="1" customWidth="1"/>
    <col min="9250" max="9250" width="5" style="1220" customWidth="1"/>
    <col min="9251" max="9251" width="10.42578125" style="1220" bestFit="1" customWidth="1"/>
    <col min="9252" max="9252" width="5" style="1220" customWidth="1"/>
    <col min="9253" max="9253" width="10.42578125" style="1220" bestFit="1" customWidth="1"/>
    <col min="9254" max="9256" width="9.140625" style="1220"/>
    <col min="9257" max="9257" width="10.42578125" style="1220" bestFit="1" customWidth="1"/>
    <col min="9258" max="9486" width="9.140625" style="1220"/>
    <col min="9487" max="9487" width="3.5703125" style="1220" customWidth="1"/>
    <col min="9488" max="9488" width="4.85546875" style="1220" customWidth="1"/>
    <col min="9489" max="9489" width="5.42578125" style="1220" customWidth="1"/>
    <col min="9490" max="9490" width="31.28515625" style="1220" customWidth="1"/>
    <col min="9491" max="9491" width="7.5703125" style="1220" customWidth="1"/>
    <col min="9492" max="9492" width="2.42578125" style="1220" customWidth="1"/>
    <col min="9493" max="9493" width="11.5703125" style="1220" customWidth="1"/>
    <col min="9494" max="9494" width="2.42578125" style="1220" customWidth="1"/>
    <col min="9495" max="9495" width="11.5703125" style="1220" customWidth="1"/>
    <col min="9496" max="9496" width="2.42578125" style="1220" customWidth="1"/>
    <col min="9497" max="9497" width="10.85546875" style="1220" customWidth="1"/>
    <col min="9498" max="9498" width="2.42578125" style="1220" customWidth="1"/>
    <col min="9499" max="9499" width="11.140625" style="1220" customWidth="1"/>
    <col min="9500" max="9500" width="1.85546875" style="1220" customWidth="1"/>
    <col min="9501" max="9501" width="11" style="1220" customWidth="1"/>
    <col min="9502" max="9502" width="0.7109375" style="1220" customWidth="1"/>
    <col min="9503" max="9503" width="1.85546875" style="1220" customWidth="1"/>
    <col min="9504" max="9504" width="11.85546875" style="1220" bestFit="1" customWidth="1"/>
    <col min="9505" max="9505" width="15.28515625" style="1220" bestFit="1" customWidth="1"/>
    <col min="9506" max="9506" width="5" style="1220" customWidth="1"/>
    <col min="9507" max="9507" width="10.42578125" style="1220" bestFit="1" customWidth="1"/>
    <col min="9508" max="9508" width="5" style="1220" customWidth="1"/>
    <col min="9509" max="9509" width="10.42578125" style="1220" bestFit="1" customWidth="1"/>
    <col min="9510" max="9512" width="9.140625" style="1220"/>
    <col min="9513" max="9513" width="10.42578125" style="1220" bestFit="1" customWidth="1"/>
    <col min="9514" max="9742" width="9.140625" style="1220"/>
    <col min="9743" max="9743" width="3.5703125" style="1220" customWidth="1"/>
    <col min="9744" max="9744" width="4.85546875" style="1220" customWidth="1"/>
    <col min="9745" max="9745" width="5.42578125" style="1220" customWidth="1"/>
    <col min="9746" max="9746" width="31.28515625" style="1220" customWidth="1"/>
    <col min="9747" max="9747" width="7.5703125" style="1220" customWidth="1"/>
    <col min="9748" max="9748" width="2.42578125" style="1220" customWidth="1"/>
    <col min="9749" max="9749" width="11.5703125" style="1220" customWidth="1"/>
    <col min="9750" max="9750" width="2.42578125" style="1220" customWidth="1"/>
    <col min="9751" max="9751" width="11.5703125" style="1220" customWidth="1"/>
    <col min="9752" max="9752" width="2.42578125" style="1220" customWidth="1"/>
    <col min="9753" max="9753" width="10.85546875" style="1220" customWidth="1"/>
    <col min="9754" max="9754" width="2.42578125" style="1220" customWidth="1"/>
    <col min="9755" max="9755" width="11.140625" style="1220" customWidth="1"/>
    <col min="9756" max="9756" width="1.85546875" style="1220" customWidth="1"/>
    <col min="9757" max="9757" width="11" style="1220" customWidth="1"/>
    <col min="9758" max="9758" width="0.7109375" style="1220" customWidth="1"/>
    <col min="9759" max="9759" width="1.85546875" style="1220" customWidth="1"/>
    <col min="9760" max="9760" width="11.85546875" style="1220" bestFit="1" customWidth="1"/>
    <col min="9761" max="9761" width="15.28515625" style="1220" bestFit="1" customWidth="1"/>
    <col min="9762" max="9762" width="5" style="1220" customWidth="1"/>
    <col min="9763" max="9763" width="10.42578125" style="1220" bestFit="1" customWidth="1"/>
    <col min="9764" max="9764" width="5" style="1220" customWidth="1"/>
    <col min="9765" max="9765" width="10.42578125" style="1220" bestFit="1" customWidth="1"/>
    <col min="9766" max="9768" width="9.140625" style="1220"/>
    <col min="9769" max="9769" width="10.42578125" style="1220" bestFit="1" customWidth="1"/>
    <col min="9770" max="9998" width="9.140625" style="1220"/>
    <col min="9999" max="9999" width="3.5703125" style="1220" customWidth="1"/>
    <col min="10000" max="10000" width="4.85546875" style="1220" customWidth="1"/>
    <col min="10001" max="10001" width="5.42578125" style="1220" customWidth="1"/>
    <col min="10002" max="10002" width="31.28515625" style="1220" customWidth="1"/>
    <col min="10003" max="10003" width="7.5703125" style="1220" customWidth="1"/>
    <col min="10004" max="10004" width="2.42578125" style="1220" customWidth="1"/>
    <col min="10005" max="10005" width="11.5703125" style="1220" customWidth="1"/>
    <col min="10006" max="10006" width="2.42578125" style="1220" customWidth="1"/>
    <col min="10007" max="10007" width="11.5703125" style="1220" customWidth="1"/>
    <col min="10008" max="10008" width="2.42578125" style="1220" customWidth="1"/>
    <col min="10009" max="10009" width="10.85546875" style="1220" customWidth="1"/>
    <col min="10010" max="10010" width="2.42578125" style="1220" customWidth="1"/>
    <col min="10011" max="10011" width="11.140625" style="1220" customWidth="1"/>
    <col min="10012" max="10012" width="1.85546875" style="1220" customWidth="1"/>
    <col min="10013" max="10013" width="11" style="1220" customWidth="1"/>
    <col min="10014" max="10014" width="0.7109375" style="1220" customWidth="1"/>
    <col min="10015" max="10015" width="1.85546875" style="1220" customWidth="1"/>
    <col min="10016" max="10016" width="11.85546875" style="1220" bestFit="1" customWidth="1"/>
    <col min="10017" max="10017" width="15.28515625" style="1220" bestFit="1" customWidth="1"/>
    <col min="10018" max="10018" width="5" style="1220" customWidth="1"/>
    <col min="10019" max="10019" width="10.42578125" style="1220" bestFit="1" customWidth="1"/>
    <col min="10020" max="10020" width="5" style="1220" customWidth="1"/>
    <col min="10021" max="10021" width="10.42578125" style="1220" bestFit="1" customWidth="1"/>
    <col min="10022" max="10024" width="9.140625" style="1220"/>
    <col min="10025" max="10025" width="10.42578125" style="1220" bestFit="1" customWidth="1"/>
    <col min="10026" max="10254" width="9.140625" style="1220"/>
    <col min="10255" max="10255" width="3.5703125" style="1220" customWidth="1"/>
    <col min="10256" max="10256" width="4.85546875" style="1220" customWidth="1"/>
    <col min="10257" max="10257" width="5.42578125" style="1220" customWidth="1"/>
    <col min="10258" max="10258" width="31.28515625" style="1220" customWidth="1"/>
    <col min="10259" max="10259" width="7.5703125" style="1220" customWidth="1"/>
    <col min="10260" max="10260" width="2.42578125" style="1220" customWidth="1"/>
    <col min="10261" max="10261" width="11.5703125" style="1220" customWidth="1"/>
    <col min="10262" max="10262" width="2.42578125" style="1220" customWidth="1"/>
    <col min="10263" max="10263" width="11.5703125" style="1220" customWidth="1"/>
    <col min="10264" max="10264" width="2.42578125" style="1220" customWidth="1"/>
    <col min="10265" max="10265" width="10.85546875" style="1220" customWidth="1"/>
    <col min="10266" max="10266" width="2.42578125" style="1220" customWidth="1"/>
    <col min="10267" max="10267" width="11.140625" style="1220" customWidth="1"/>
    <col min="10268" max="10268" width="1.85546875" style="1220" customWidth="1"/>
    <col min="10269" max="10269" width="11" style="1220" customWidth="1"/>
    <col min="10270" max="10270" width="0.7109375" style="1220" customWidth="1"/>
    <col min="10271" max="10271" width="1.85546875" style="1220" customWidth="1"/>
    <col min="10272" max="10272" width="11.85546875" style="1220" bestFit="1" customWidth="1"/>
    <col min="10273" max="10273" width="15.28515625" style="1220" bestFit="1" customWidth="1"/>
    <col min="10274" max="10274" width="5" style="1220" customWidth="1"/>
    <col min="10275" max="10275" width="10.42578125" style="1220" bestFit="1" customWidth="1"/>
    <col min="10276" max="10276" width="5" style="1220" customWidth="1"/>
    <col min="10277" max="10277" width="10.42578125" style="1220" bestFit="1" customWidth="1"/>
    <col min="10278" max="10280" width="9.140625" style="1220"/>
    <col min="10281" max="10281" width="10.42578125" style="1220" bestFit="1" customWidth="1"/>
    <col min="10282" max="10510" width="9.140625" style="1220"/>
    <col min="10511" max="10511" width="3.5703125" style="1220" customWidth="1"/>
    <col min="10512" max="10512" width="4.85546875" style="1220" customWidth="1"/>
    <col min="10513" max="10513" width="5.42578125" style="1220" customWidth="1"/>
    <col min="10514" max="10514" width="31.28515625" style="1220" customWidth="1"/>
    <col min="10515" max="10515" width="7.5703125" style="1220" customWidth="1"/>
    <col min="10516" max="10516" width="2.42578125" style="1220" customWidth="1"/>
    <col min="10517" max="10517" width="11.5703125" style="1220" customWidth="1"/>
    <col min="10518" max="10518" width="2.42578125" style="1220" customWidth="1"/>
    <col min="10519" max="10519" width="11.5703125" style="1220" customWidth="1"/>
    <col min="10520" max="10520" width="2.42578125" style="1220" customWidth="1"/>
    <col min="10521" max="10521" width="10.85546875" style="1220" customWidth="1"/>
    <col min="10522" max="10522" width="2.42578125" style="1220" customWidth="1"/>
    <col min="10523" max="10523" width="11.140625" style="1220" customWidth="1"/>
    <col min="10524" max="10524" width="1.85546875" style="1220" customWidth="1"/>
    <col min="10525" max="10525" width="11" style="1220" customWidth="1"/>
    <col min="10526" max="10526" width="0.7109375" style="1220" customWidth="1"/>
    <col min="10527" max="10527" width="1.85546875" style="1220" customWidth="1"/>
    <col min="10528" max="10528" width="11.85546875" style="1220" bestFit="1" customWidth="1"/>
    <col min="10529" max="10529" width="15.28515625" style="1220" bestFit="1" customWidth="1"/>
    <col min="10530" max="10530" width="5" style="1220" customWidth="1"/>
    <col min="10531" max="10531" width="10.42578125" style="1220" bestFit="1" customWidth="1"/>
    <col min="10532" max="10532" width="5" style="1220" customWidth="1"/>
    <col min="10533" max="10533" width="10.42578125" style="1220" bestFit="1" customWidth="1"/>
    <col min="10534" max="10536" width="9.140625" style="1220"/>
    <col min="10537" max="10537" width="10.42578125" style="1220" bestFit="1" customWidth="1"/>
    <col min="10538" max="10766" width="9.140625" style="1220"/>
    <col min="10767" max="10767" width="3.5703125" style="1220" customWidth="1"/>
    <col min="10768" max="10768" width="4.85546875" style="1220" customWidth="1"/>
    <col min="10769" max="10769" width="5.42578125" style="1220" customWidth="1"/>
    <col min="10770" max="10770" width="31.28515625" style="1220" customWidth="1"/>
    <col min="10771" max="10771" width="7.5703125" style="1220" customWidth="1"/>
    <col min="10772" max="10772" width="2.42578125" style="1220" customWidth="1"/>
    <col min="10773" max="10773" width="11.5703125" style="1220" customWidth="1"/>
    <col min="10774" max="10774" width="2.42578125" style="1220" customWidth="1"/>
    <col min="10775" max="10775" width="11.5703125" style="1220" customWidth="1"/>
    <col min="10776" max="10776" width="2.42578125" style="1220" customWidth="1"/>
    <col min="10777" max="10777" width="10.85546875" style="1220" customWidth="1"/>
    <col min="10778" max="10778" width="2.42578125" style="1220" customWidth="1"/>
    <col min="10779" max="10779" width="11.140625" style="1220" customWidth="1"/>
    <col min="10780" max="10780" width="1.85546875" style="1220" customWidth="1"/>
    <col min="10781" max="10781" width="11" style="1220" customWidth="1"/>
    <col min="10782" max="10782" width="0.7109375" style="1220" customWidth="1"/>
    <col min="10783" max="10783" width="1.85546875" style="1220" customWidth="1"/>
    <col min="10784" max="10784" width="11.85546875" style="1220" bestFit="1" customWidth="1"/>
    <col min="10785" max="10785" width="15.28515625" style="1220" bestFit="1" customWidth="1"/>
    <col min="10786" max="10786" width="5" style="1220" customWidth="1"/>
    <col min="10787" max="10787" width="10.42578125" style="1220" bestFit="1" customWidth="1"/>
    <col min="10788" max="10788" width="5" style="1220" customWidth="1"/>
    <col min="10789" max="10789" width="10.42578125" style="1220" bestFit="1" customWidth="1"/>
    <col min="10790" max="10792" width="9.140625" style="1220"/>
    <col min="10793" max="10793" width="10.42578125" style="1220" bestFit="1" customWidth="1"/>
    <col min="10794" max="11022" width="9.140625" style="1220"/>
    <col min="11023" max="11023" width="3.5703125" style="1220" customWidth="1"/>
    <col min="11024" max="11024" width="4.85546875" style="1220" customWidth="1"/>
    <col min="11025" max="11025" width="5.42578125" style="1220" customWidth="1"/>
    <col min="11026" max="11026" width="31.28515625" style="1220" customWidth="1"/>
    <col min="11027" max="11027" width="7.5703125" style="1220" customWidth="1"/>
    <col min="11028" max="11028" width="2.42578125" style="1220" customWidth="1"/>
    <col min="11029" max="11029" width="11.5703125" style="1220" customWidth="1"/>
    <col min="11030" max="11030" width="2.42578125" style="1220" customWidth="1"/>
    <col min="11031" max="11031" width="11.5703125" style="1220" customWidth="1"/>
    <col min="11032" max="11032" width="2.42578125" style="1220" customWidth="1"/>
    <col min="11033" max="11033" width="10.85546875" style="1220" customWidth="1"/>
    <col min="11034" max="11034" width="2.42578125" style="1220" customWidth="1"/>
    <col min="11035" max="11035" width="11.140625" style="1220" customWidth="1"/>
    <col min="11036" max="11036" width="1.85546875" style="1220" customWidth="1"/>
    <col min="11037" max="11037" width="11" style="1220" customWidth="1"/>
    <col min="11038" max="11038" width="0.7109375" style="1220" customWidth="1"/>
    <col min="11039" max="11039" width="1.85546875" style="1220" customWidth="1"/>
    <col min="11040" max="11040" width="11.85546875" style="1220" bestFit="1" customWidth="1"/>
    <col min="11041" max="11041" width="15.28515625" style="1220" bestFit="1" customWidth="1"/>
    <col min="11042" max="11042" width="5" style="1220" customWidth="1"/>
    <col min="11043" max="11043" width="10.42578125" style="1220" bestFit="1" customWidth="1"/>
    <col min="11044" max="11044" width="5" style="1220" customWidth="1"/>
    <col min="11045" max="11045" width="10.42578125" style="1220" bestFit="1" customWidth="1"/>
    <col min="11046" max="11048" width="9.140625" style="1220"/>
    <col min="11049" max="11049" width="10.42578125" style="1220" bestFit="1" customWidth="1"/>
    <col min="11050" max="11278" width="9.140625" style="1220"/>
    <col min="11279" max="11279" width="3.5703125" style="1220" customWidth="1"/>
    <col min="11280" max="11280" width="4.85546875" style="1220" customWidth="1"/>
    <col min="11281" max="11281" width="5.42578125" style="1220" customWidth="1"/>
    <col min="11282" max="11282" width="31.28515625" style="1220" customWidth="1"/>
    <col min="11283" max="11283" width="7.5703125" style="1220" customWidth="1"/>
    <col min="11284" max="11284" width="2.42578125" style="1220" customWidth="1"/>
    <col min="11285" max="11285" width="11.5703125" style="1220" customWidth="1"/>
    <col min="11286" max="11286" width="2.42578125" style="1220" customWidth="1"/>
    <col min="11287" max="11287" width="11.5703125" style="1220" customWidth="1"/>
    <col min="11288" max="11288" width="2.42578125" style="1220" customWidth="1"/>
    <col min="11289" max="11289" width="10.85546875" style="1220" customWidth="1"/>
    <col min="11290" max="11290" width="2.42578125" style="1220" customWidth="1"/>
    <col min="11291" max="11291" width="11.140625" style="1220" customWidth="1"/>
    <col min="11292" max="11292" width="1.85546875" style="1220" customWidth="1"/>
    <col min="11293" max="11293" width="11" style="1220" customWidth="1"/>
    <col min="11294" max="11294" width="0.7109375" style="1220" customWidth="1"/>
    <col min="11295" max="11295" width="1.85546875" style="1220" customWidth="1"/>
    <col min="11296" max="11296" width="11.85546875" style="1220" bestFit="1" customWidth="1"/>
    <col min="11297" max="11297" width="15.28515625" style="1220" bestFit="1" customWidth="1"/>
    <col min="11298" max="11298" width="5" style="1220" customWidth="1"/>
    <col min="11299" max="11299" width="10.42578125" style="1220" bestFit="1" customWidth="1"/>
    <col min="11300" max="11300" width="5" style="1220" customWidth="1"/>
    <col min="11301" max="11301" width="10.42578125" style="1220" bestFit="1" customWidth="1"/>
    <col min="11302" max="11304" width="9.140625" style="1220"/>
    <col min="11305" max="11305" width="10.42578125" style="1220" bestFit="1" customWidth="1"/>
    <col min="11306" max="11534" width="9.140625" style="1220"/>
    <col min="11535" max="11535" width="3.5703125" style="1220" customWidth="1"/>
    <col min="11536" max="11536" width="4.85546875" style="1220" customWidth="1"/>
    <col min="11537" max="11537" width="5.42578125" style="1220" customWidth="1"/>
    <col min="11538" max="11538" width="31.28515625" style="1220" customWidth="1"/>
    <col min="11539" max="11539" width="7.5703125" style="1220" customWidth="1"/>
    <col min="11540" max="11540" width="2.42578125" style="1220" customWidth="1"/>
    <col min="11541" max="11541" width="11.5703125" style="1220" customWidth="1"/>
    <col min="11542" max="11542" width="2.42578125" style="1220" customWidth="1"/>
    <col min="11543" max="11543" width="11.5703125" style="1220" customWidth="1"/>
    <col min="11544" max="11544" width="2.42578125" style="1220" customWidth="1"/>
    <col min="11545" max="11545" width="10.85546875" style="1220" customWidth="1"/>
    <col min="11546" max="11546" width="2.42578125" style="1220" customWidth="1"/>
    <col min="11547" max="11547" width="11.140625" style="1220" customWidth="1"/>
    <col min="11548" max="11548" width="1.85546875" style="1220" customWidth="1"/>
    <col min="11549" max="11549" width="11" style="1220" customWidth="1"/>
    <col min="11550" max="11550" width="0.7109375" style="1220" customWidth="1"/>
    <col min="11551" max="11551" width="1.85546875" style="1220" customWidth="1"/>
    <col min="11552" max="11552" width="11.85546875" style="1220" bestFit="1" customWidth="1"/>
    <col min="11553" max="11553" width="15.28515625" style="1220" bestFit="1" customWidth="1"/>
    <col min="11554" max="11554" width="5" style="1220" customWidth="1"/>
    <col min="11555" max="11555" width="10.42578125" style="1220" bestFit="1" customWidth="1"/>
    <col min="11556" max="11556" width="5" style="1220" customWidth="1"/>
    <col min="11557" max="11557" width="10.42578125" style="1220" bestFit="1" customWidth="1"/>
    <col min="11558" max="11560" width="9.140625" style="1220"/>
    <col min="11561" max="11561" width="10.42578125" style="1220" bestFit="1" customWidth="1"/>
    <col min="11562" max="11790" width="9.140625" style="1220"/>
    <col min="11791" max="11791" width="3.5703125" style="1220" customWidth="1"/>
    <col min="11792" max="11792" width="4.85546875" style="1220" customWidth="1"/>
    <col min="11793" max="11793" width="5.42578125" style="1220" customWidth="1"/>
    <col min="11794" max="11794" width="31.28515625" style="1220" customWidth="1"/>
    <col min="11795" max="11795" width="7.5703125" style="1220" customWidth="1"/>
    <col min="11796" max="11796" width="2.42578125" style="1220" customWidth="1"/>
    <col min="11797" max="11797" width="11.5703125" style="1220" customWidth="1"/>
    <col min="11798" max="11798" width="2.42578125" style="1220" customWidth="1"/>
    <col min="11799" max="11799" width="11.5703125" style="1220" customWidth="1"/>
    <col min="11800" max="11800" width="2.42578125" style="1220" customWidth="1"/>
    <col min="11801" max="11801" width="10.85546875" style="1220" customWidth="1"/>
    <col min="11802" max="11802" width="2.42578125" style="1220" customWidth="1"/>
    <col min="11803" max="11803" width="11.140625" style="1220" customWidth="1"/>
    <col min="11804" max="11804" width="1.85546875" style="1220" customWidth="1"/>
    <col min="11805" max="11805" width="11" style="1220" customWidth="1"/>
    <col min="11806" max="11806" width="0.7109375" style="1220" customWidth="1"/>
    <col min="11807" max="11807" width="1.85546875" style="1220" customWidth="1"/>
    <col min="11808" max="11808" width="11.85546875" style="1220" bestFit="1" customWidth="1"/>
    <col min="11809" max="11809" width="15.28515625" style="1220" bestFit="1" customWidth="1"/>
    <col min="11810" max="11810" width="5" style="1220" customWidth="1"/>
    <col min="11811" max="11811" width="10.42578125" style="1220" bestFit="1" customWidth="1"/>
    <col min="11812" max="11812" width="5" style="1220" customWidth="1"/>
    <col min="11813" max="11813" width="10.42578125" style="1220" bestFit="1" customWidth="1"/>
    <col min="11814" max="11816" width="9.140625" style="1220"/>
    <col min="11817" max="11817" width="10.42578125" style="1220" bestFit="1" customWidth="1"/>
    <col min="11818" max="12046" width="9.140625" style="1220"/>
    <col min="12047" max="12047" width="3.5703125" style="1220" customWidth="1"/>
    <col min="12048" max="12048" width="4.85546875" style="1220" customWidth="1"/>
    <col min="12049" max="12049" width="5.42578125" style="1220" customWidth="1"/>
    <col min="12050" max="12050" width="31.28515625" style="1220" customWidth="1"/>
    <col min="12051" max="12051" width="7.5703125" style="1220" customWidth="1"/>
    <col min="12052" max="12052" width="2.42578125" style="1220" customWidth="1"/>
    <col min="12053" max="12053" width="11.5703125" style="1220" customWidth="1"/>
    <col min="12054" max="12054" width="2.42578125" style="1220" customWidth="1"/>
    <col min="12055" max="12055" width="11.5703125" style="1220" customWidth="1"/>
    <col min="12056" max="12056" width="2.42578125" style="1220" customWidth="1"/>
    <col min="12057" max="12057" width="10.85546875" style="1220" customWidth="1"/>
    <col min="12058" max="12058" width="2.42578125" style="1220" customWidth="1"/>
    <col min="12059" max="12059" width="11.140625" style="1220" customWidth="1"/>
    <col min="12060" max="12060" width="1.85546875" style="1220" customWidth="1"/>
    <col min="12061" max="12061" width="11" style="1220" customWidth="1"/>
    <col min="12062" max="12062" width="0.7109375" style="1220" customWidth="1"/>
    <col min="12063" max="12063" width="1.85546875" style="1220" customWidth="1"/>
    <col min="12064" max="12064" width="11.85546875" style="1220" bestFit="1" customWidth="1"/>
    <col min="12065" max="12065" width="15.28515625" style="1220" bestFit="1" customWidth="1"/>
    <col min="12066" max="12066" width="5" style="1220" customWidth="1"/>
    <col min="12067" max="12067" width="10.42578125" style="1220" bestFit="1" customWidth="1"/>
    <col min="12068" max="12068" width="5" style="1220" customWidth="1"/>
    <col min="12069" max="12069" width="10.42578125" style="1220" bestFit="1" customWidth="1"/>
    <col min="12070" max="12072" width="9.140625" style="1220"/>
    <col min="12073" max="12073" width="10.42578125" style="1220" bestFit="1" customWidth="1"/>
    <col min="12074" max="12302" width="9.140625" style="1220"/>
    <col min="12303" max="12303" width="3.5703125" style="1220" customWidth="1"/>
    <col min="12304" max="12304" width="4.85546875" style="1220" customWidth="1"/>
    <col min="12305" max="12305" width="5.42578125" style="1220" customWidth="1"/>
    <col min="12306" max="12306" width="31.28515625" style="1220" customWidth="1"/>
    <col min="12307" max="12307" width="7.5703125" style="1220" customWidth="1"/>
    <col min="12308" max="12308" width="2.42578125" style="1220" customWidth="1"/>
    <col min="12309" max="12309" width="11.5703125" style="1220" customWidth="1"/>
    <col min="12310" max="12310" width="2.42578125" style="1220" customWidth="1"/>
    <col min="12311" max="12311" width="11.5703125" style="1220" customWidth="1"/>
    <col min="12312" max="12312" width="2.42578125" style="1220" customWidth="1"/>
    <col min="12313" max="12313" width="10.85546875" style="1220" customWidth="1"/>
    <col min="12314" max="12314" width="2.42578125" style="1220" customWidth="1"/>
    <col min="12315" max="12315" width="11.140625" style="1220" customWidth="1"/>
    <col min="12316" max="12316" width="1.85546875" style="1220" customWidth="1"/>
    <col min="12317" max="12317" width="11" style="1220" customWidth="1"/>
    <col min="12318" max="12318" width="0.7109375" style="1220" customWidth="1"/>
    <col min="12319" max="12319" width="1.85546875" style="1220" customWidth="1"/>
    <col min="12320" max="12320" width="11.85546875" style="1220" bestFit="1" customWidth="1"/>
    <col min="12321" max="12321" width="15.28515625" style="1220" bestFit="1" customWidth="1"/>
    <col min="12322" max="12322" width="5" style="1220" customWidth="1"/>
    <col min="12323" max="12323" width="10.42578125" style="1220" bestFit="1" customWidth="1"/>
    <col min="12324" max="12324" width="5" style="1220" customWidth="1"/>
    <col min="12325" max="12325" width="10.42578125" style="1220" bestFit="1" customWidth="1"/>
    <col min="12326" max="12328" width="9.140625" style="1220"/>
    <col min="12329" max="12329" width="10.42578125" style="1220" bestFit="1" customWidth="1"/>
    <col min="12330" max="12558" width="9.140625" style="1220"/>
    <col min="12559" max="12559" width="3.5703125" style="1220" customWidth="1"/>
    <col min="12560" max="12560" width="4.85546875" style="1220" customWidth="1"/>
    <col min="12561" max="12561" width="5.42578125" style="1220" customWidth="1"/>
    <col min="12562" max="12562" width="31.28515625" style="1220" customWidth="1"/>
    <col min="12563" max="12563" width="7.5703125" style="1220" customWidth="1"/>
    <col min="12564" max="12564" width="2.42578125" style="1220" customWidth="1"/>
    <col min="12565" max="12565" width="11.5703125" style="1220" customWidth="1"/>
    <col min="12566" max="12566" width="2.42578125" style="1220" customWidth="1"/>
    <col min="12567" max="12567" width="11.5703125" style="1220" customWidth="1"/>
    <col min="12568" max="12568" width="2.42578125" style="1220" customWidth="1"/>
    <col min="12569" max="12569" width="10.85546875" style="1220" customWidth="1"/>
    <col min="12570" max="12570" width="2.42578125" style="1220" customWidth="1"/>
    <col min="12571" max="12571" width="11.140625" style="1220" customWidth="1"/>
    <col min="12572" max="12572" width="1.85546875" style="1220" customWidth="1"/>
    <col min="12573" max="12573" width="11" style="1220" customWidth="1"/>
    <col min="12574" max="12574" width="0.7109375" style="1220" customWidth="1"/>
    <col min="12575" max="12575" width="1.85546875" style="1220" customWidth="1"/>
    <col min="12576" max="12576" width="11.85546875" style="1220" bestFit="1" customWidth="1"/>
    <col min="12577" max="12577" width="15.28515625" style="1220" bestFit="1" customWidth="1"/>
    <col min="12578" max="12578" width="5" style="1220" customWidth="1"/>
    <col min="12579" max="12579" width="10.42578125" style="1220" bestFit="1" customWidth="1"/>
    <col min="12580" max="12580" width="5" style="1220" customWidth="1"/>
    <col min="12581" max="12581" width="10.42578125" style="1220" bestFit="1" customWidth="1"/>
    <col min="12582" max="12584" width="9.140625" style="1220"/>
    <col min="12585" max="12585" width="10.42578125" style="1220" bestFit="1" customWidth="1"/>
    <col min="12586" max="12814" width="9.140625" style="1220"/>
    <col min="12815" max="12815" width="3.5703125" style="1220" customWidth="1"/>
    <col min="12816" max="12816" width="4.85546875" style="1220" customWidth="1"/>
    <col min="12817" max="12817" width="5.42578125" style="1220" customWidth="1"/>
    <col min="12818" max="12818" width="31.28515625" style="1220" customWidth="1"/>
    <col min="12819" max="12819" width="7.5703125" style="1220" customWidth="1"/>
    <col min="12820" max="12820" width="2.42578125" style="1220" customWidth="1"/>
    <col min="12821" max="12821" width="11.5703125" style="1220" customWidth="1"/>
    <col min="12822" max="12822" width="2.42578125" style="1220" customWidth="1"/>
    <col min="12823" max="12823" width="11.5703125" style="1220" customWidth="1"/>
    <col min="12824" max="12824" width="2.42578125" style="1220" customWidth="1"/>
    <col min="12825" max="12825" width="10.85546875" style="1220" customWidth="1"/>
    <col min="12826" max="12826" width="2.42578125" style="1220" customWidth="1"/>
    <col min="12827" max="12827" width="11.140625" style="1220" customWidth="1"/>
    <col min="12828" max="12828" width="1.85546875" style="1220" customWidth="1"/>
    <col min="12829" max="12829" width="11" style="1220" customWidth="1"/>
    <col min="12830" max="12830" width="0.7109375" style="1220" customWidth="1"/>
    <col min="12831" max="12831" width="1.85546875" style="1220" customWidth="1"/>
    <col min="12832" max="12832" width="11.85546875" style="1220" bestFit="1" customWidth="1"/>
    <col min="12833" max="12833" width="15.28515625" style="1220" bestFit="1" customWidth="1"/>
    <col min="12834" max="12834" width="5" style="1220" customWidth="1"/>
    <col min="12835" max="12835" width="10.42578125" style="1220" bestFit="1" customWidth="1"/>
    <col min="12836" max="12836" width="5" style="1220" customWidth="1"/>
    <col min="12837" max="12837" width="10.42578125" style="1220" bestFit="1" customWidth="1"/>
    <col min="12838" max="12840" width="9.140625" style="1220"/>
    <col min="12841" max="12841" width="10.42578125" style="1220" bestFit="1" customWidth="1"/>
    <col min="12842" max="13070" width="9.140625" style="1220"/>
    <col min="13071" max="13071" width="3.5703125" style="1220" customWidth="1"/>
    <col min="13072" max="13072" width="4.85546875" style="1220" customWidth="1"/>
    <col min="13073" max="13073" width="5.42578125" style="1220" customWidth="1"/>
    <col min="13074" max="13074" width="31.28515625" style="1220" customWidth="1"/>
    <col min="13075" max="13075" width="7.5703125" style="1220" customWidth="1"/>
    <col min="13076" max="13076" width="2.42578125" style="1220" customWidth="1"/>
    <col min="13077" max="13077" width="11.5703125" style="1220" customWidth="1"/>
    <col min="13078" max="13078" width="2.42578125" style="1220" customWidth="1"/>
    <col min="13079" max="13079" width="11.5703125" style="1220" customWidth="1"/>
    <col min="13080" max="13080" width="2.42578125" style="1220" customWidth="1"/>
    <col min="13081" max="13081" width="10.85546875" style="1220" customWidth="1"/>
    <col min="13082" max="13082" width="2.42578125" style="1220" customWidth="1"/>
    <col min="13083" max="13083" width="11.140625" style="1220" customWidth="1"/>
    <col min="13084" max="13084" width="1.85546875" style="1220" customWidth="1"/>
    <col min="13085" max="13085" width="11" style="1220" customWidth="1"/>
    <col min="13086" max="13086" width="0.7109375" style="1220" customWidth="1"/>
    <col min="13087" max="13087" width="1.85546875" style="1220" customWidth="1"/>
    <col min="13088" max="13088" width="11.85546875" style="1220" bestFit="1" customWidth="1"/>
    <col min="13089" max="13089" width="15.28515625" style="1220" bestFit="1" customWidth="1"/>
    <col min="13090" max="13090" width="5" style="1220" customWidth="1"/>
    <col min="13091" max="13091" width="10.42578125" style="1220" bestFit="1" customWidth="1"/>
    <col min="13092" max="13092" width="5" style="1220" customWidth="1"/>
    <col min="13093" max="13093" width="10.42578125" style="1220" bestFit="1" customWidth="1"/>
    <col min="13094" max="13096" width="9.140625" style="1220"/>
    <col min="13097" max="13097" width="10.42578125" style="1220" bestFit="1" customWidth="1"/>
    <col min="13098" max="13326" width="9.140625" style="1220"/>
    <col min="13327" max="13327" width="3.5703125" style="1220" customWidth="1"/>
    <col min="13328" max="13328" width="4.85546875" style="1220" customWidth="1"/>
    <col min="13329" max="13329" width="5.42578125" style="1220" customWidth="1"/>
    <col min="13330" max="13330" width="31.28515625" style="1220" customWidth="1"/>
    <col min="13331" max="13331" width="7.5703125" style="1220" customWidth="1"/>
    <col min="13332" max="13332" width="2.42578125" style="1220" customWidth="1"/>
    <col min="13333" max="13333" width="11.5703125" style="1220" customWidth="1"/>
    <col min="13334" max="13334" width="2.42578125" style="1220" customWidth="1"/>
    <col min="13335" max="13335" width="11.5703125" style="1220" customWidth="1"/>
    <col min="13336" max="13336" width="2.42578125" style="1220" customWidth="1"/>
    <col min="13337" max="13337" width="10.85546875" style="1220" customWidth="1"/>
    <col min="13338" max="13338" width="2.42578125" style="1220" customWidth="1"/>
    <col min="13339" max="13339" width="11.140625" style="1220" customWidth="1"/>
    <col min="13340" max="13340" width="1.85546875" style="1220" customWidth="1"/>
    <col min="13341" max="13341" width="11" style="1220" customWidth="1"/>
    <col min="13342" max="13342" width="0.7109375" style="1220" customWidth="1"/>
    <col min="13343" max="13343" width="1.85546875" style="1220" customWidth="1"/>
    <col min="13344" max="13344" width="11.85546875" style="1220" bestFit="1" customWidth="1"/>
    <col min="13345" max="13345" width="15.28515625" style="1220" bestFit="1" customWidth="1"/>
    <col min="13346" max="13346" width="5" style="1220" customWidth="1"/>
    <col min="13347" max="13347" width="10.42578125" style="1220" bestFit="1" customWidth="1"/>
    <col min="13348" max="13348" width="5" style="1220" customWidth="1"/>
    <col min="13349" max="13349" width="10.42578125" style="1220" bestFit="1" customWidth="1"/>
    <col min="13350" max="13352" width="9.140625" style="1220"/>
    <col min="13353" max="13353" width="10.42578125" style="1220" bestFit="1" customWidth="1"/>
    <col min="13354" max="13582" width="9.140625" style="1220"/>
    <col min="13583" max="13583" width="3.5703125" style="1220" customWidth="1"/>
    <col min="13584" max="13584" width="4.85546875" style="1220" customWidth="1"/>
    <col min="13585" max="13585" width="5.42578125" style="1220" customWidth="1"/>
    <col min="13586" max="13586" width="31.28515625" style="1220" customWidth="1"/>
    <col min="13587" max="13587" width="7.5703125" style="1220" customWidth="1"/>
    <col min="13588" max="13588" width="2.42578125" style="1220" customWidth="1"/>
    <col min="13589" max="13589" width="11.5703125" style="1220" customWidth="1"/>
    <col min="13590" max="13590" width="2.42578125" style="1220" customWidth="1"/>
    <col min="13591" max="13591" width="11.5703125" style="1220" customWidth="1"/>
    <col min="13592" max="13592" width="2.42578125" style="1220" customWidth="1"/>
    <col min="13593" max="13593" width="10.85546875" style="1220" customWidth="1"/>
    <col min="13594" max="13594" width="2.42578125" style="1220" customWidth="1"/>
    <col min="13595" max="13595" width="11.140625" style="1220" customWidth="1"/>
    <col min="13596" max="13596" width="1.85546875" style="1220" customWidth="1"/>
    <col min="13597" max="13597" width="11" style="1220" customWidth="1"/>
    <col min="13598" max="13598" width="0.7109375" style="1220" customWidth="1"/>
    <col min="13599" max="13599" width="1.85546875" style="1220" customWidth="1"/>
    <col min="13600" max="13600" width="11.85546875" style="1220" bestFit="1" customWidth="1"/>
    <col min="13601" max="13601" width="15.28515625" style="1220" bestFit="1" customWidth="1"/>
    <col min="13602" max="13602" width="5" style="1220" customWidth="1"/>
    <col min="13603" max="13603" width="10.42578125" style="1220" bestFit="1" customWidth="1"/>
    <col min="13604" max="13604" width="5" style="1220" customWidth="1"/>
    <col min="13605" max="13605" width="10.42578125" style="1220" bestFit="1" customWidth="1"/>
    <col min="13606" max="13608" width="9.140625" style="1220"/>
    <col min="13609" max="13609" width="10.42578125" style="1220" bestFit="1" customWidth="1"/>
    <col min="13610" max="13838" width="9.140625" style="1220"/>
    <col min="13839" max="13839" width="3.5703125" style="1220" customWidth="1"/>
    <col min="13840" max="13840" width="4.85546875" style="1220" customWidth="1"/>
    <col min="13841" max="13841" width="5.42578125" style="1220" customWidth="1"/>
    <col min="13842" max="13842" width="31.28515625" style="1220" customWidth="1"/>
    <col min="13843" max="13843" width="7.5703125" style="1220" customWidth="1"/>
    <col min="13844" max="13844" width="2.42578125" style="1220" customWidth="1"/>
    <col min="13845" max="13845" width="11.5703125" style="1220" customWidth="1"/>
    <col min="13846" max="13846" width="2.42578125" style="1220" customWidth="1"/>
    <col min="13847" max="13847" width="11.5703125" style="1220" customWidth="1"/>
    <col min="13848" max="13848" width="2.42578125" style="1220" customWidth="1"/>
    <col min="13849" max="13849" width="10.85546875" style="1220" customWidth="1"/>
    <col min="13850" max="13850" width="2.42578125" style="1220" customWidth="1"/>
    <col min="13851" max="13851" width="11.140625" style="1220" customWidth="1"/>
    <col min="13852" max="13852" width="1.85546875" style="1220" customWidth="1"/>
    <col min="13853" max="13853" width="11" style="1220" customWidth="1"/>
    <col min="13854" max="13854" width="0.7109375" style="1220" customWidth="1"/>
    <col min="13855" max="13855" width="1.85546875" style="1220" customWidth="1"/>
    <col min="13856" max="13856" width="11.85546875" style="1220" bestFit="1" customWidth="1"/>
    <col min="13857" max="13857" width="15.28515625" style="1220" bestFit="1" customWidth="1"/>
    <col min="13858" max="13858" width="5" style="1220" customWidth="1"/>
    <col min="13859" max="13859" width="10.42578125" style="1220" bestFit="1" customWidth="1"/>
    <col min="13860" max="13860" width="5" style="1220" customWidth="1"/>
    <col min="13861" max="13861" width="10.42578125" style="1220" bestFit="1" customWidth="1"/>
    <col min="13862" max="13864" width="9.140625" style="1220"/>
    <col min="13865" max="13865" width="10.42578125" style="1220" bestFit="1" customWidth="1"/>
    <col min="13866" max="14094" width="9.140625" style="1220"/>
    <col min="14095" max="14095" width="3.5703125" style="1220" customWidth="1"/>
    <col min="14096" max="14096" width="4.85546875" style="1220" customWidth="1"/>
    <col min="14097" max="14097" width="5.42578125" style="1220" customWidth="1"/>
    <col min="14098" max="14098" width="31.28515625" style="1220" customWidth="1"/>
    <col min="14099" max="14099" width="7.5703125" style="1220" customWidth="1"/>
    <col min="14100" max="14100" width="2.42578125" style="1220" customWidth="1"/>
    <col min="14101" max="14101" width="11.5703125" style="1220" customWidth="1"/>
    <col min="14102" max="14102" width="2.42578125" style="1220" customWidth="1"/>
    <col min="14103" max="14103" width="11.5703125" style="1220" customWidth="1"/>
    <col min="14104" max="14104" width="2.42578125" style="1220" customWidth="1"/>
    <col min="14105" max="14105" width="10.85546875" style="1220" customWidth="1"/>
    <col min="14106" max="14106" width="2.42578125" style="1220" customWidth="1"/>
    <col min="14107" max="14107" width="11.140625" style="1220" customWidth="1"/>
    <col min="14108" max="14108" width="1.85546875" style="1220" customWidth="1"/>
    <col min="14109" max="14109" width="11" style="1220" customWidth="1"/>
    <col min="14110" max="14110" width="0.7109375" style="1220" customWidth="1"/>
    <col min="14111" max="14111" width="1.85546875" style="1220" customWidth="1"/>
    <col min="14112" max="14112" width="11.85546875" style="1220" bestFit="1" customWidth="1"/>
    <col min="14113" max="14113" width="15.28515625" style="1220" bestFit="1" customWidth="1"/>
    <col min="14114" max="14114" width="5" style="1220" customWidth="1"/>
    <col min="14115" max="14115" width="10.42578125" style="1220" bestFit="1" customWidth="1"/>
    <col min="14116" max="14116" width="5" style="1220" customWidth="1"/>
    <col min="14117" max="14117" width="10.42578125" style="1220" bestFit="1" customWidth="1"/>
    <col min="14118" max="14120" width="9.140625" style="1220"/>
    <col min="14121" max="14121" width="10.42578125" style="1220" bestFit="1" customWidth="1"/>
    <col min="14122" max="14350" width="9.140625" style="1220"/>
    <col min="14351" max="14351" width="3.5703125" style="1220" customWidth="1"/>
    <col min="14352" max="14352" width="4.85546875" style="1220" customWidth="1"/>
    <col min="14353" max="14353" width="5.42578125" style="1220" customWidth="1"/>
    <col min="14354" max="14354" width="31.28515625" style="1220" customWidth="1"/>
    <col min="14355" max="14355" width="7.5703125" style="1220" customWidth="1"/>
    <col min="14356" max="14356" width="2.42578125" style="1220" customWidth="1"/>
    <col min="14357" max="14357" width="11.5703125" style="1220" customWidth="1"/>
    <col min="14358" max="14358" width="2.42578125" style="1220" customWidth="1"/>
    <col min="14359" max="14359" width="11.5703125" style="1220" customWidth="1"/>
    <col min="14360" max="14360" width="2.42578125" style="1220" customWidth="1"/>
    <col min="14361" max="14361" width="10.85546875" style="1220" customWidth="1"/>
    <col min="14362" max="14362" width="2.42578125" style="1220" customWidth="1"/>
    <col min="14363" max="14363" width="11.140625" style="1220" customWidth="1"/>
    <col min="14364" max="14364" width="1.85546875" style="1220" customWidth="1"/>
    <col min="14365" max="14365" width="11" style="1220" customWidth="1"/>
    <col min="14366" max="14366" width="0.7109375" style="1220" customWidth="1"/>
    <col min="14367" max="14367" width="1.85546875" style="1220" customWidth="1"/>
    <col min="14368" max="14368" width="11.85546875" style="1220" bestFit="1" customWidth="1"/>
    <col min="14369" max="14369" width="15.28515625" style="1220" bestFit="1" customWidth="1"/>
    <col min="14370" max="14370" width="5" style="1220" customWidth="1"/>
    <col min="14371" max="14371" width="10.42578125" style="1220" bestFit="1" customWidth="1"/>
    <col min="14372" max="14372" width="5" style="1220" customWidth="1"/>
    <col min="14373" max="14373" width="10.42578125" style="1220" bestFit="1" customWidth="1"/>
    <col min="14374" max="14376" width="9.140625" style="1220"/>
    <col min="14377" max="14377" width="10.42578125" style="1220" bestFit="1" customWidth="1"/>
    <col min="14378" max="14606" width="9.140625" style="1220"/>
    <col min="14607" max="14607" width="3.5703125" style="1220" customWidth="1"/>
    <col min="14608" max="14608" width="4.85546875" style="1220" customWidth="1"/>
    <col min="14609" max="14609" width="5.42578125" style="1220" customWidth="1"/>
    <col min="14610" max="14610" width="31.28515625" style="1220" customWidth="1"/>
    <col min="14611" max="14611" width="7.5703125" style="1220" customWidth="1"/>
    <col min="14612" max="14612" width="2.42578125" style="1220" customWidth="1"/>
    <col min="14613" max="14613" width="11.5703125" style="1220" customWidth="1"/>
    <col min="14614" max="14614" width="2.42578125" style="1220" customWidth="1"/>
    <col min="14615" max="14615" width="11.5703125" style="1220" customWidth="1"/>
    <col min="14616" max="14616" width="2.42578125" style="1220" customWidth="1"/>
    <col min="14617" max="14617" width="10.85546875" style="1220" customWidth="1"/>
    <col min="14618" max="14618" width="2.42578125" style="1220" customWidth="1"/>
    <col min="14619" max="14619" width="11.140625" style="1220" customWidth="1"/>
    <col min="14620" max="14620" width="1.85546875" style="1220" customWidth="1"/>
    <col min="14621" max="14621" width="11" style="1220" customWidth="1"/>
    <col min="14622" max="14622" width="0.7109375" style="1220" customWidth="1"/>
    <col min="14623" max="14623" width="1.85546875" style="1220" customWidth="1"/>
    <col min="14624" max="14624" width="11.85546875" style="1220" bestFit="1" customWidth="1"/>
    <col min="14625" max="14625" width="15.28515625" style="1220" bestFit="1" customWidth="1"/>
    <col min="14626" max="14626" width="5" style="1220" customWidth="1"/>
    <col min="14627" max="14627" width="10.42578125" style="1220" bestFit="1" customWidth="1"/>
    <col min="14628" max="14628" width="5" style="1220" customWidth="1"/>
    <col min="14629" max="14629" width="10.42578125" style="1220" bestFit="1" customWidth="1"/>
    <col min="14630" max="14632" width="9.140625" style="1220"/>
    <col min="14633" max="14633" width="10.42578125" style="1220" bestFit="1" customWidth="1"/>
    <col min="14634" max="14862" width="9.140625" style="1220"/>
    <col min="14863" max="14863" width="3.5703125" style="1220" customWidth="1"/>
    <col min="14864" max="14864" width="4.85546875" style="1220" customWidth="1"/>
    <col min="14865" max="14865" width="5.42578125" style="1220" customWidth="1"/>
    <col min="14866" max="14866" width="31.28515625" style="1220" customWidth="1"/>
    <col min="14867" max="14867" width="7.5703125" style="1220" customWidth="1"/>
    <col min="14868" max="14868" width="2.42578125" style="1220" customWidth="1"/>
    <col min="14869" max="14869" width="11.5703125" style="1220" customWidth="1"/>
    <col min="14870" max="14870" width="2.42578125" style="1220" customWidth="1"/>
    <col min="14871" max="14871" width="11.5703125" style="1220" customWidth="1"/>
    <col min="14872" max="14872" width="2.42578125" style="1220" customWidth="1"/>
    <col min="14873" max="14873" width="10.85546875" style="1220" customWidth="1"/>
    <col min="14874" max="14874" width="2.42578125" style="1220" customWidth="1"/>
    <col min="14875" max="14875" width="11.140625" style="1220" customWidth="1"/>
    <col min="14876" max="14876" width="1.85546875" style="1220" customWidth="1"/>
    <col min="14877" max="14877" width="11" style="1220" customWidth="1"/>
    <col min="14878" max="14878" width="0.7109375" style="1220" customWidth="1"/>
    <col min="14879" max="14879" width="1.85546875" style="1220" customWidth="1"/>
    <col min="14880" max="14880" width="11.85546875" style="1220" bestFit="1" customWidth="1"/>
    <col min="14881" max="14881" width="15.28515625" style="1220" bestFit="1" customWidth="1"/>
    <col min="14882" max="14882" width="5" style="1220" customWidth="1"/>
    <col min="14883" max="14883" width="10.42578125" style="1220" bestFit="1" customWidth="1"/>
    <col min="14884" max="14884" width="5" style="1220" customWidth="1"/>
    <col min="14885" max="14885" width="10.42578125" style="1220" bestFit="1" customWidth="1"/>
    <col min="14886" max="14888" width="9.140625" style="1220"/>
    <col min="14889" max="14889" width="10.42578125" style="1220" bestFit="1" customWidth="1"/>
    <col min="14890" max="15118" width="9.140625" style="1220"/>
    <col min="15119" max="15119" width="3.5703125" style="1220" customWidth="1"/>
    <col min="15120" max="15120" width="4.85546875" style="1220" customWidth="1"/>
    <col min="15121" max="15121" width="5.42578125" style="1220" customWidth="1"/>
    <col min="15122" max="15122" width="31.28515625" style="1220" customWidth="1"/>
    <col min="15123" max="15123" width="7.5703125" style="1220" customWidth="1"/>
    <col min="15124" max="15124" width="2.42578125" style="1220" customWidth="1"/>
    <col min="15125" max="15125" width="11.5703125" style="1220" customWidth="1"/>
    <col min="15126" max="15126" width="2.42578125" style="1220" customWidth="1"/>
    <col min="15127" max="15127" width="11.5703125" style="1220" customWidth="1"/>
    <col min="15128" max="15128" width="2.42578125" style="1220" customWidth="1"/>
    <col min="15129" max="15129" width="10.85546875" style="1220" customWidth="1"/>
    <col min="15130" max="15130" width="2.42578125" style="1220" customWidth="1"/>
    <col min="15131" max="15131" width="11.140625" style="1220" customWidth="1"/>
    <col min="15132" max="15132" width="1.85546875" style="1220" customWidth="1"/>
    <col min="15133" max="15133" width="11" style="1220" customWidth="1"/>
    <col min="15134" max="15134" width="0.7109375" style="1220" customWidth="1"/>
    <col min="15135" max="15135" width="1.85546875" style="1220" customWidth="1"/>
    <col min="15136" max="15136" width="11.85546875" style="1220" bestFit="1" customWidth="1"/>
    <col min="15137" max="15137" width="15.28515625" style="1220" bestFit="1" customWidth="1"/>
    <col min="15138" max="15138" width="5" style="1220" customWidth="1"/>
    <col min="15139" max="15139" width="10.42578125" style="1220" bestFit="1" customWidth="1"/>
    <col min="15140" max="15140" width="5" style="1220" customWidth="1"/>
    <col min="15141" max="15141" width="10.42578125" style="1220" bestFit="1" customWidth="1"/>
    <col min="15142" max="15144" width="9.140625" style="1220"/>
    <col min="15145" max="15145" width="10.42578125" style="1220" bestFit="1" customWidth="1"/>
    <col min="15146" max="15374" width="9.140625" style="1220"/>
    <col min="15375" max="15375" width="3.5703125" style="1220" customWidth="1"/>
    <col min="15376" max="15376" width="4.85546875" style="1220" customWidth="1"/>
    <col min="15377" max="15377" width="5.42578125" style="1220" customWidth="1"/>
    <col min="15378" max="15378" width="31.28515625" style="1220" customWidth="1"/>
    <col min="15379" max="15379" width="7.5703125" style="1220" customWidth="1"/>
    <col min="15380" max="15380" width="2.42578125" style="1220" customWidth="1"/>
    <col min="15381" max="15381" width="11.5703125" style="1220" customWidth="1"/>
    <col min="15382" max="15382" width="2.42578125" style="1220" customWidth="1"/>
    <col min="15383" max="15383" width="11.5703125" style="1220" customWidth="1"/>
    <col min="15384" max="15384" width="2.42578125" style="1220" customWidth="1"/>
    <col min="15385" max="15385" width="10.85546875" style="1220" customWidth="1"/>
    <col min="15386" max="15386" width="2.42578125" style="1220" customWidth="1"/>
    <col min="15387" max="15387" width="11.140625" style="1220" customWidth="1"/>
    <col min="15388" max="15388" width="1.85546875" style="1220" customWidth="1"/>
    <col min="15389" max="15389" width="11" style="1220" customWidth="1"/>
    <col min="15390" max="15390" width="0.7109375" style="1220" customWidth="1"/>
    <col min="15391" max="15391" width="1.85546875" style="1220" customWidth="1"/>
    <col min="15392" max="15392" width="11.85546875" style="1220" bestFit="1" customWidth="1"/>
    <col min="15393" max="15393" width="15.28515625" style="1220" bestFit="1" customWidth="1"/>
    <col min="15394" max="15394" width="5" style="1220" customWidth="1"/>
    <col min="15395" max="15395" width="10.42578125" style="1220" bestFit="1" customWidth="1"/>
    <col min="15396" max="15396" width="5" style="1220" customWidth="1"/>
    <col min="15397" max="15397" width="10.42578125" style="1220" bestFit="1" customWidth="1"/>
    <col min="15398" max="15400" width="9.140625" style="1220"/>
    <col min="15401" max="15401" width="10.42578125" style="1220" bestFit="1" customWidth="1"/>
    <col min="15402" max="15630" width="9.140625" style="1220"/>
    <col min="15631" max="15631" width="3.5703125" style="1220" customWidth="1"/>
    <col min="15632" max="15632" width="4.85546875" style="1220" customWidth="1"/>
    <col min="15633" max="15633" width="5.42578125" style="1220" customWidth="1"/>
    <col min="15634" max="15634" width="31.28515625" style="1220" customWidth="1"/>
    <col min="15635" max="15635" width="7.5703125" style="1220" customWidth="1"/>
    <col min="15636" max="15636" width="2.42578125" style="1220" customWidth="1"/>
    <col min="15637" max="15637" width="11.5703125" style="1220" customWidth="1"/>
    <col min="15638" max="15638" width="2.42578125" style="1220" customWidth="1"/>
    <col min="15639" max="15639" width="11.5703125" style="1220" customWidth="1"/>
    <col min="15640" max="15640" width="2.42578125" style="1220" customWidth="1"/>
    <col min="15641" max="15641" width="10.85546875" style="1220" customWidth="1"/>
    <col min="15642" max="15642" width="2.42578125" style="1220" customWidth="1"/>
    <col min="15643" max="15643" width="11.140625" style="1220" customWidth="1"/>
    <col min="15644" max="15644" width="1.85546875" style="1220" customWidth="1"/>
    <col min="15645" max="15645" width="11" style="1220" customWidth="1"/>
    <col min="15646" max="15646" width="0.7109375" style="1220" customWidth="1"/>
    <col min="15647" max="15647" width="1.85546875" style="1220" customWidth="1"/>
    <col min="15648" max="15648" width="11.85546875" style="1220" bestFit="1" customWidth="1"/>
    <col min="15649" max="15649" width="15.28515625" style="1220" bestFit="1" customWidth="1"/>
    <col min="15650" max="15650" width="5" style="1220" customWidth="1"/>
    <col min="15651" max="15651" width="10.42578125" style="1220" bestFit="1" customWidth="1"/>
    <col min="15652" max="15652" width="5" style="1220" customWidth="1"/>
    <col min="15653" max="15653" width="10.42578125" style="1220" bestFit="1" customWidth="1"/>
    <col min="15654" max="15656" width="9.140625" style="1220"/>
    <col min="15657" max="15657" width="10.42578125" style="1220" bestFit="1" customWidth="1"/>
    <col min="15658" max="15886" width="9.140625" style="1220"/>
    <col min="15887" max="15887" width="3.5703125" style="1220" customWidth="1"/>
    <col min="15888" max="15888" width="4.85546875" style="1220" customWidth="1"/>
    <col min="15889" max="15889" width="5.42578125" style="1220" customWidth="1"/>
    <col min="15890" max="15890" width="31.28515625" style="1220" customWidth="1"/>
    <col min="15891" max="15891" width="7.5703125" style="1220" customWidth="1"/>
    <col min="15892" max="15892" width="2.42578125" style="1220" customWidth="1"/>
    <col min="15893" max="15893" width="11.5703125" style="1220" customWidth="1"/>
    <col min="15894" max="15894" width="2.42578125" style="1220" customWidth="1"/>
    <col min="15895" max="15895" width="11.5703125" style="1220" customWidth="1"/>
    <col min="15896" max="15896" width="2.42578125" style="1220" customWidth="1"/>
    <col min="15897" max="15897" width="10.85546875" style="1220" customWidth="1"/>
    <col min="15898" max="15898" width="2.42578125" style="1220" customWidth="1"/>
    <col min="15899" max="15899" width="11.140625" style="1220" customWidth="1"/>
    <col min="15900" max="15900" width="1.85546875" style="1220" customWidth="1"/>
    <col min="15901" max="15901" width="11" style="1220" customWidth="1"/>
    <col min="15902" max="15902" width="0.7109375" style="1220" customWidth="1"/>
    <col min="15903" max="15903" width="1.85546875" style="1220" customWidth="1"/>
    <col min="15904" max="15904" width="11.85546875" style="1220" bestFit="1" customWidth="1"/>
    <col min="15905" max="15905" width="15.28515625" style="1220" bestFit="1" customWidth="1"/>
    <col min="15906" max="15906" width="5" style="1220" customWidth="1"/>
    <col min="15907" max="15907" width="10.42578125" style="1220" bestFit="1" customWidth="1"/>
    <col min="15908" max="15908" width="5" style="1220" customWidth="1"/>
    <col min="15909" max="15909" width="10.42578125" style="1220" bestFit="1" customWidth="1"/>
    <col min="15910" max="15912" width="9.140625" style="1220"/>
    <col min="15913" max="15913" width="10.42578125" style="1220" bestFit="1" customWidth="1"/>
    <col min="15914" max="16142" width="9.140625" style="1220"/>
    <col min="16143" max="16143" width="3.5703125" style="1220" customWidth="1"/>
    <col min="16144" max="16144" width="4.85546875" style="1220" customWidth="1"/>
    <col min="16145" max="16145" width="5.42578125" style="1220" customWidth="1"/>
    <col min="16146" max="16146" width="31.28515625" style="1220" customWidth="1"/>
    <col min="16147" max="16147" width="7.5703125" style="1220" customWidth="1"/>
    <col min="16148" max="16148" width="2.42578125" style="1220" customWidth="1"/>
    <col min="16149" max="16149" width="11.5703125" style="1220" customWidth="1"/>
    <col min="16150" max="16150" width="2.42578125" style="1220" customWidth="1"/>
    <col min="16151" max="16151" width="11.5703125" style="1220" customWidth="1"/>
    <col min="16152" max="16152" width="2.42578125" style="1220" customWidth="1"/>
    <col min="16153" max="16153" width="10.85546875" style="1220" customWidth="1"/>
    <col min="16154" max="16154" width="2.42578125" style="1220" customWidth="1"/>
    <col min="16155" max="16155" width="11.140625" style="1220" customWidth="1"/>
    <col min="16156" max="16156" width="1.85546875" style="1220" customWidth="1"/>
    <col min="16157" max="16157" width="11" style="1220" customWidth="1"/>
    <col min="16158" max="16158" width="0.7109375" style="1220" customWidth="1"/>
    <col min="16159" max="16159" width="1.85546875" style="1220" customWidth="1"/>
    <col min="16160" max="16160" width="11.85546875" style="1220" bestFit="1" customWidth="1"/>
    <col min="16161" max="16161" width="15.28515625" style="1220" bestFit="1" customWidth="1"/>
    <col min="16162" max="16162" width="5" style="1220" customWidth="1"/>
    <col min="16163" max="16163" width="10.42578125" style="1220" bestFit="1" customWidth="1"/>
    <col min="16164" max="16164" width="5" style="1220" customWidth="1"/>
    <col min="16165" max="16165" width="10.42578125" style="1220" bestFit="1" customWidth="1"/>
    <col min="16166" max="16168" width="9.140625" style="1220"/>
    <col min="16169" max="16169" width="10.42578125" style="1220" bestFit="1" customWidth="1"/>
    <col min="16170" max="16384" width="9.140625" style="1220"/>
  </cols>
  <sheetData>
    <row r="1" spans="1:35" s="382" customFormat="1" x14ac:dyDescent="0.75">
      <c r="B1" s="1484" t="s">
        <v>247</v>
      </c>
      <c r="C1" s="1484"/>
      <c r="D1" s="1484"/>
      <c r="E1" s="1484"/>
      <c r="F1" s="1484"/>
      <c r="G1" s="1484"/>
      <c r="H1" s="1484"/>
      <c r="I1" s="1484"/>
      <c r="J1" s="1484"/>
      <c r="K1" s="1484"/>
      <c r="L1" s="1484"/>
      <c r="M1" s="1484"/>
      <c r="N1" s="1484"/>
      <c r="O1" s="1484"/>
      <c r="P1" s="1484"/>
      <c r="Q1" s="1484"/>
      <c r="R1" s="1484"/>
      <c r="S1" s="1484"/>
      <c r="T1" s="1484"/>
      <c r="U1" s="1484"/>
      <c r="V1" s="1484"/>
      <c r="W1" s="1484"/>
      <c r="X1" s="1484"/>
      <c r="Y1" s="1484"/>
      <c r="Z1" s="1484"/>
      <c r="AA1" s="1484"/>
      <c r="AB1" s="1484"/>
      <c r="AC1" s="1484"/>
      <c r="AD1" s="1484"/>
      <c r="AE1" s="383"/>
      <c r="AF1" s="383"/>
      <c r="AG1" s="384"/>
      <c r="AH1" s="384"/>
      <c r="AI1" s="384"/>
    </row>
    <row r="2" spans="1:35" s="382" customFormat="1" x14ac:dyDescent="0.75">
      <c r="B2" s="1485" t="s">
        <v>225</v>
      </c>
      <c r="C2" s="1485"/>
      <c r="D2" s="1485"/>
      <c r="E2" s="1485"/>
      <c r="F2" s="1485"/>
      <c r="G2" s="1485"/>
      <c r="H2" s="1485"/>
      <c r="I2" s="1485"/>
      <c r="J2" s="1485"/>
      <c r="K2" s="1485"/>
      <c r="L2" s="1485"/>
      <c r="M2" s="1485"/>
      <c r="N2" s="1485"/>
      <c r="O2" s="1485"/>
      <c r="P2" s="1485"/>
      <c r="Q2" s="1485"/>
      <c r="R2" s="1485"/>
      <c r="S2" s="1485"/>
      <c r="T2" s="1485"/>
      <c r="U2" s="1485"/>
      <c r="V2" s="1485"/>
      <c r="W2" s="1485"/>
      <c r="X2" s="1485"/>
      <c r="Y2" s="1485"/>
      <c r="Z2" s="1485"/>
      <c r="AA2" s="1485"/>
      <c r="AB2" s="1485"/>
      <c r="AC2" s="1485"/>
      <c r="AD2" s="1485"/>
      <c r="AE2" s="383"/>
      <c r="AF2" s="383"/>
      <c r="AG2" s="384"/>
      <c r="AH2" s="384"/>
      <c r="AI2" s="384"/>
    </row>
    <row r="3" spans="1:35" s="382" customFormat="1" x14ac:dyDescent="0.75">
      <c r="B3" s="1485" t="s">
        <v>1113</v>
      </c>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383"/>
      <c r="AF3" s="383"/>
      <c r="AG3" s="384"/>
      <c r="AH3" s="384"/>
      <c r="AI3" s="384"/>
    </row>
    <row r="4" spans="1:35" s="382" customFormat="1" x14ac:dyDescent="0.75">
      <c r="B4" s="998"/>
      <c r="C4" s="385"/>
      <c r="D4" s="998"/>
      <c r="E4" s="998"/>
      <c r="F4" s="998"/>
      <c r="G4" s="998"/>
      <c r="H4" s="998"/>
      <c r="I4" s="998"/>
      <c r="J4" s="998"/>
      <c r="K4" s="998"/>
      <c r="L4" s="998"/>
      <c r="M4" s="998"/>
      <c r="N4" s="998"/>
      <c r="O4" s="998"/>
      <c r="P4" s="998"/>
      <c r="Q4" s="998"/>
      <c r="R4" s="998"/>
      <c r="S4" s="998"/>
      <c r="T4" s="998"/>
      <c r="U4" s="998"/>
      <c r="V4" s="998"/>
      <c r="W4" s="998"/>
      <c r="X4" s="998"/>
      <c r="Y4" s="998"/>
      <c r="Z4" s="998"/>
      <c r="AA4" s="998"/>
      <c r="AB4" s="998"/>
      <c r="AC4" s="998"/>
      <c r="AD4" s="998"/>
      <c r="AE4" s="383"/>
      <c r="AF4" s="383"/>
      <c r="AG4" s="384"/>
      <c r="AH4" s="384"/>
      <c r="AI4" s="384"/>
    </row>
    <row r="5" spans="1:35" s="382" customFormat="1" x14ac:dyDescent="0.75">
      <c r="B5" s="998"/>
      <c r="C5" s="385"/>
      <c r="D5" s="998"/>
      <c r="E5" s="998"/>
      <c r="F5" s="998"/>
      <c r="G5" s="998"/>
      <c r="H5" s="998"/>
      <c r="I5" s="998"/>
      <c r="J5" s="998"/>
      <c r="K5" s="998"/>
      <c r="L5" s="998"/>
      <c r="M5" s="998"/>
      <c r="N5" s="998"/>
      <c r="O5" s="998"/>
      <c r="P5" s="998"/>
      <c r="Q5" s="998"/>
      <c r="R5" s="998"/>
      <c r="S5" s="998"/>
      <c r="T5" s="998"/>
      <c r="U5" s="998"/>
      <c r="V5" s="998"/>
      <c r="W5" s="998"/>
      <c r="X5" s="998"/>
      <c r="Y5" s="998"/>
      <c r="Z5" s="998"/>
      <c r="AA5" s="998"/>
      <c r="AB5" s="998"/>
      <c r="AC5" s="998"/>
      <c r="AD5" s="998"/>
      <c r="AE5" s="383"/>
      <c r="AF5" s="383"/>
      <c r="AG5" s="384"/>
      <c r="AH5" s="384"/>
      <c r="AI5" s="384"/>
    </row>
    <row r="6" spans="1:35" s="1198" customFormat="1" x14ac:dyDescent="0.75">
      <c r="B6" s="1199" t="s">
        <v>472</v>
      </c>
      <c r="C6" s="1200" t="s">
        <v>465</v>
      </c>
      <c r="D6" s="1201"/>
      <c r="E6" s="1202"/>
      <c r="F6" s="1202"/>
      <c r="G6" s="1202"/>
      <c r="H6" s="1202"/>
      <c r="I6" s="1486" t="s">
        <v>750</v>
      </c>
      <c r="J6" s="1486"/>
      <c r="K6" s="1486"/>
      <c r="L6" s="1486"/>
      <c r="M6" s="1486"/>
      <c r="N6" s="1486"/>
      <c r="O6" s="1486"/>
      <c r="P6" s="1486"/>
      <c r="Q6" s="1486"/>
      <c r="R6" s="1486"/>
      <c r="S6" s="1486"/>
      <c r="T6" s="1486"/>
      <c r="U6" s="1486"/>
      <c r="V6" s="1486"/>
      <c r="W6" s="1486"/>
      <c r="X6" s="1486"/>
      <c r="Y6" s="1486"/>
      <c r="Z6" s="1486"/>
      <c r="AA6" s="1486"/>
      <c r="AB6" s="1486"/>
      <c r="AC6" s="1486"/>
      <c r="AD6" s="1202"/>
      <c r="AE6" s="1203"/>
      <c r="AF6" s="1204"/>
      <c r="AG6" s="1205"/>
      <c r="AH6" s="1206"/>
      <c r="AI6" s="1206"/>
    </row>
    <row r="7" spans="1:35" s="1207" customFormat="1" ht="60" customHeight="1" x14ac:dyDescent="0.25">
      <c r="B7" s="1208"/>
      <c r="C7" s="1209"/>
      <c r="D7" s="1210"/>
      <c r="E7" s="1211" t="s">
        <v>101</v>
      </c>
      <c r="F7" s="1211"/>
      <c r="G7" s="1211" t="s">
        <v>102</v>
      </c>
      <c r="H7" s="1212"/>
      <c r="I7" s="1211" t="s">
        <v>249</v>
      </c>
      <c r="J7" s="1212"/>
      <c r="K7" s="1211" t="s">
        <v>103</v>
      </c>
      <c r="L7" s="1212"/>
      <c r="M7" s="1211" t="s">
        <v>104</v>
      </c>
      <c r="N7" s="1212"/>
      <c r="O7" s="1211" t="s">
        <v>105</v>
      </c>
      <c r="P7" s="1212"/>
      <c r="Q7" s="1211" t="s">
        <v>106</v>
      </c>
      <c r="R7" s="1212"/>
      <c r="S7" s="1211" t="s">
        <v>107</v>
      </c>
      <c r="T7" s="1213"/>
      <c r="U7" s="1214" t="s">
        <v>72</v>
      </c>
      <c r="V7" s="1215"/>
      <c r="W7" s="1214" t="s">
        <v>108</v>
      </c>
      <c r="X7" s="1213"/>
      <c r="Y7" s="1214" t="s">
        <v>109</v>
      </c>
      <c r="Z7" s="1213"/>
      <c r="AA7" s="1214" t="s">
        <v>496</v>
      </c>
      <c r="AB7" s="1213"/>
      <c r="AC7" s="1214" t="s">
        <v>72</v>
      </c>
      <c r="AD7" s="1216"/>
      <c r="AE7" s="1217"/>
      <c r="AF7" s="1218"/>
      <c r="AG7" s="1219"/>
    </row>
    <row r="8" spans="1:35" ht="65.099999999999994" customHeight="1" x14ac:dyDescent="0.25">
      <c r="B8" s="1487" t="s">
        <v>1059</v>
      </c>
      <c r="C8" s="1487"/>
      <c r="F8" s="1216"/>
      <c r="H8" s="1216"/>
      <c r="J8" s="1216"/>
      <c r="L8" s="1216"/>
      <c r="N8" s="1216"/>
      <c r="P8" s="1216"/>
      <c r="R8" s="1216"/>
      <c r="T8" s="1216"/>
      <c r="U8" s="1216">
        <f>SUM(E8:S8)</f>
        <v>0</v>
      </c>
      <c r="V8" s="1216"/>
      <c r="X8" s="1216"/>
      <c r="Z8" s="1216"/>
      <c r="AA8" s="1216"/>
      <c r="AB8" s="1216"/>
      <c r="AC8" s="1216">
        <f>SUM(U8:Y8)</f>
        <v>0</v>
      </c>
    </row>
    <row r="9" spans="1:35" ht="96" customHeight="1" x14ac:dyDescent="0.75">
      <c r="B9" s="1481" t="s">
        <v>1101</v>
      </c>
      <c r="C9" s="1481"/>
      <c r="D9" s="1225"/>
      <c r="E9" s="1226">
        <v>3370015495</v>
      </c>
      <c r="F9" s="1226"/>
      <c r="G9" s="1226">
        <v>195854099401</v>
      </c>
      <c r="H9" s="1226"/>
      <c r="I9" s="1226">
        <v>54855333686</v>
      </c>
      <c r="J9" s="1226"/>
      <c r="K9" s="1226">
        <v>72280045586</v>
      </c>
      <c r="L9" s="1226"/>
      <c r="M9" s="1226">
        <v>297295066342</v>
      </c>
      <c r="N9" s="1226"/>
      <c r="O9" s="1226">
        <v>13421774455</v>
      </c>
      <c r="P9" s="1226"/>
      <c r="Q9" s="1226">
        <v>130898436298</v>
      </c>
      <c r="R9" s="1226"/>
      <c r="S9" s="1226">
        <v>53429691934</v>
      </c>
      <c r="T9" s="1226"/>
      <c r="U9" s="1226">
        <v>821404463197</v>
      </c>
      <c r="V9" s="1226"/>
      <c r="W9" s="1226">
        <v>0</v>
      </c>
      <c r="X9" s="1226"/>
      <c r="Y9" s="1226">
        <v>12388796860</v>
      </c>
      <c r="Z9" s="1226"/>
      <c r="AA9" s="1226">
        <v>0</v>
      </c>
      <c r="AB9" s="1226"/>
      <c r="AC9" s="1226">
        <v>833793260057</v>
      </c>
      <c r="AF9" s="1227"/>
    </row>
    <row r="10" spans="1:35" ht="96" customHeight="1" x14ac:dyDescent="0.75">
      <c r="A10" s="1220" t="s">
        <v>490</v>
      </c>
      <c r="B10" s="1481" t="s">
        <v>110</v>
      </c>
      <c r="C10" s="1481" t="s">
        <v>110</v>
      </c>
      <c r="D10" s="1225"/>
      <c r="E10" s="1226">
        <v>0</v>
      </c>
      <c r="F10" s="1226"/>
      <c r="G10" s="1226">
        <v>0</v>
      </c>
      <c r="H10" s="1226"/>
      <c r="I10" s="1226">
        <v>3380000000</v>
      </c>
      <c r="J10" s="1226"/>
      <c r="K10" s="1226">
        <v>12483564312</v>
      </c>
      <c r="L10" s="1226"/>
      <c r="M10" s="1226">
        <v>11583735925</v>
      </c>
      <c r="N10" s="1226"/>
      <c r="O10" s="1226">
        <v>0</v>
      </c>
      <c r="P10" s="1226"/>
      <c r="Q10" s="1226">
        <v>10671458657</v>
      </c>
      <c r="R10" s="1226"/>
      <c r="S10" s="1226">
        <v>18213846580</v>
      </c>
      <c r="T10" s="1226"/>
      <c r="U10" s="1226">
        <v>56332605474</v>
      </c>
      <c r="V10" s="1226"/>
      <c r="W10" s="1216">
        <v>0</v>
      </c>
      <c r="X10" s="1226"/>
      <c r="Y10" s="1216">
        <v>0</v>
      </c>
      <c r="Z10" s="1226"/>
      <c r="AA10" s="1228">
        <v>0</v>
      </c>
      <c r="AB10" s="1226"/>
      <c r="AC10" s="1226">
        <v>56332605474</v>
      </c>
    </row>
    <row r="11" spans="1:35" ht="96" hidden="1" customHeight="1" x14ac:dyDescent="0.75">
      <c r="B11" s="1483" t="s">
        <v>953</v>
      </c>
      <c r="C11" s="1483" t="s">
        <v>112</v>
      </c>
      <c r="D11" s="1225"/>
      <c r="E11" s="1226">
        <v>0</v>
      </c>
      <c r="F11" s="1226"/>
      <c r="G11" s="1226">
        <v>0</v>
      </c>
      <c r="H11" s="1226"/>
      <c r="I11" s="1226">
        <v>0</v>
      </c>
      <c r="J11" s="1226"/>
      <c r="K11" s="1226">
        <v>0</v>
      </c>
      <c r="L11" s="1226"/>
      <c r="M11" s="1226">
        <v>0</v>
      </c>
      <c r="N11" s="1226"/>
      <c r="O11" s="1226">
        <v>0</v>
      </c>
      <c r="P11" s="1226"/>
      <c r="Q11" s="1226">
        <v>0</v>
      </c>
      <c r="R11" s="1226"/>
      <c r="S11" s="1226">
        <v>0</v>
      </c>
      <c r="T11" s="1226"/>
      <c r="U11" s="1228">
        <v>0</v>
      </c>
      <c r="V11" s="1226"/>
      <c r="W11" s="1229">
        <v>0</v>
      </c>
      <c r="X11" s="1226"/>
      <c r="Y11" s="1228">
        <v>0</v>
      </c>
      <c r="Z11" s="1226"/>
      <c r="AA11" s="1229">
        <f>AA9*-1</f>
        <v>0</v>
      </c>
      <c r="AB11" s="1226"/>
      <c r="AC11" s="1228">
        <f>SUM(U11:AA11)</f>
        <v>0</v>
      </c>
    </row>
    <row r="12" spans="1:35" ht="96" customHeight="1" x14ac:dyDescent="0.75">
      <c r="B12" s="1481" t="s">
        <v>1060</v>
      </c>
      <c r="C12" s="1481" t="e">
        <f>CONCATENATE("مانده در پایان سال"," ",#REF!)</f>
        <v>#REF!</v>
      </c>
      <c r="D12" s="1225"/>
      <c r="E12" s="1230">
        <f>SUM(E9:E11)</f>
        <v>3370015495</v>
      </c>
      <c r="F12" s="1226"/>
      <c r="G12" s="1230">
        <f>SUM(G9:G11)</f>
        <v>195854099401</v>
      </c>
      <c r="H12" s="1226"/>
      <c r="I12" s="1230">
        <f>SUM(I9:I11)</f>
        <v>58235333686</v>
      </c>
      <c r="J12" s="1226"/>
      <c r="K12" s="1230">
        <f>SUM(K9:K11)</f>
        <v>84763609898</v>
      </c>
      <c r="L12" s="1226"/>
      <c r="M12" s="1230">
        <f>SUM(M9:M11)</f>
        <v>308878802267</v>
      </c>
      <c r="N12" s="1226"/>
      <c r="O12" s="1230">
        <f>SUM(O9:O11)</f>
        <v>13421774455</v>
      </c>
      <c r="P12" s="1226"/>
      <c r="Q12" s="1231">
        <f>SUM(Q9:Q11)</f>
        <v>141569894955</v>
      </c>
      <c r="R12" s="1226"/>
      <c r="S12" s="1230">
        <f>SUM(S9:S11)</f>
        <v>71643538514</v>
      </c>
      <c r="T12" s="1226"/>
      <c r="U12" s="1230">
        <f>SUM(U9:U11)</f>
        <v>877737068671</v>
      </c>
      <c r="V12" s="1226"/>
      <c r="W12" s="1228">
        <f>SUM(W9:W11)</f>
        <v>0</v>
      </c>
      <c r="X12" s="1226"/>
      <c r="Y12" s="1231">
        <f>SUM(Y9:Y11)</f>
        <v>12388796860</v>
      </c>
      <c r="Z12" s="1226"/>
      <c r="AA12" s="1228">
        <v>0</v>
      </c>
      <c r="AB12" s="1226"/>
      <c r="AC12" s="1230">
        <f>SUM(AC9:AC11)</f>
        <v>890125865531</v>
      </c>
      <c r="AF12" s="1227"/>
      <c r="AH12" s="1227"/>
    </row>
    <row r="13" spans="1:35" ht="65.099999999999994" hidden="1" customHeight="1" x14ac:dyDescent="0.75">
      <c r="B13" s="1232"/>
      <c r="C13" s="1183" t="s">
        <v>744</v>
      </c>
      <c r="D13" s="1225"/>
      <c r="E13" s="1228">
        <v>0</v>
      </c>
      <c r="F13" s="1226"/>
      <c r="G13" s="1228">
        <v>0</v>
      </c>
      <c r="H13" s="1226"/>
      <c r="I13" s="1228">
        <v>0</v>
      </c>
      <c r="J13" s="1226"/>
      <c r="K13" s="1228">
        <v>0</v>
      </c>
      <c r="L13" s="1226"/>
      <c r="M13" s="1228">
        <v>0</v>
      </c>
      <c r="N13" s="1226"/>
      <c r="O13" s="1228">
        <v>0</v>
      </c>
      <c r="P13" s="1226"/>
      <c r="Q13" s="1228">
        <v>0</v>
      </c>
      <c r="R13" s="1226"/>
      <c r="S13" s="1228">
        <v>0</v>
      </c>
      <c r="T13" s="1226"/>
      <c r="U13" s="1228">
        <f>SUM(G13:S13)</f>
        <v>0</v>
      </c>
      <c r="V13" s="1226"/>
      <c r="W13" s="1228">
        <v>0</v>
      </c>
      <c r="X13" s="1226"/>
      <c r="Y13" s="1228" t="s">
        <v>809</v>
      </c>
      <c r="Z13" s="1226"/>
      <c r="AA13" s="1228">
        <v>0</v>
      </c>
      <c r="AB13" s="1226"/>
      <c r="AC13" s="1228">
        <f>SUM(U13:AA13)</f>
        <v>0</v>
      </c>
      <c r="AH13" s="1227"/>
    </row>
    <row r="14" spans="1:35" ht="96" customHeight="1" x14ac:dyDescent="0.75">
      <c r="B14" s="1481" t="s">
        <v>110</v>
      </c>
      <c r="C14" s="1481" t="s">
        <v>110</v>
      </c>
      <c r="D14" s="1225"/>
      <c r="E14" s="1228">
        <v>0</v>
      </c>
      <c r="F14" s="1226"/>
      <c r="G14" s="1228">
        <v>0</v>
      </c>
      <c r="H14" s="1226"/>
      <c r="I14" s="1228">
        <v>27400000</v>
      </c>
      <c r="J14" s="1226"/>
      <c r="K14" s="1228">
        <v>5382730000</v>
      </c>
      <c r="L14" s="1226"/>
      <c r="M14" s="1228">
        <v>4555152550</v>
      </c>
      <c r="N14" s="1226"/>
      <c r="O14" s="1228">
        <v>0</v>
      </c>
      <c r="P14" s="1226"/>
      <c r="Q14" s="1228">
        <f>1468958636-21207440</f>
        <v>1447751196</v>
      </c>
      <c r="R14" s="1226"/>
      <c r="S14" s="1233">
        <v>18714656573</v>
      </c>
      <c r="T14" s="1226"/>
      <c r="U14" s="1226">
        <f>SUM(E14:S14)</f>
        <v>30127690319</v>
      </c>
      <c r="V14" s="1226"/>
      <c r="W14" s="1228">
        <v>0</v>
      </c>
      <c r="X14" s="1226"/>
      <c r="Y14" s="1228">
        <v>3402594940</v>
      </c>
      <c r="Z14" s="1226"/>
      <c r="AA14" s="1228">
        <v>0</v>
      </c>
      <c r="AB14" s="1226"/>
      <c r="AC14" s="1226">
        <f>SUM(U14:AA14)</f>
        <v>33530285259</v>
      </c>
    </row>
    <row r="15" spans="1:35" ht="65.099999999999994" hidden="1" customHeight="1" x14ac:dyDescent="0.75">
      <c r="B15" s="1481" t="s">
        <v>112</v>
      </c>
      <c r="C15" s="1481" t="s">
        <v>112</v>
      </c>
      <c r="D15" s="1225"/>
      <c r="E15" s="1226">
        <v>0</v>
      </c>
      <c r="F15" s="1226"/>
      <c r="G15" s="1228">
        <v>0</v>
      </c>
      <c r="H15" s="1226"/>
      <c r="I15" s="1226">
        <v>0</v>
      </c>
      <c r="J15" s="1226"/>
      <c r="K15" s="1226">
        <v>0</v>
      </c>
      <c r="L15" s="1226"/>
      <c r="M15" s="1226">
        <v>0</v>
      </c>
      <c r="N15" s="1226"/>
      <c r="O15" s="1226">
        <v>0</v>
      </c>
      <c r="P15" s="1226"/>
      <c r="Q15" s="1226">
        <v>0</v>
      </c>
      <c r="R15" s="1226"/>
      <c r="S15" s="1226">
        <v>0</v>
      </c>
      <c r="T15" s="1226"/>
      <c r="U15" s="1226">
        <f>SUM(E15:S15)</f>
        <v>0</v>
      </c>
      <c r="V15" s="1226"/>
      <c r="W15" s="1226">
        <v>0</v>
      </c>
      <c r="X15" s="1226"/>
      <c r="Z15" s="1226"/>
      <c r="AA15" s="1228">
        <v>0</v>
      </c>
      <c r="AB15" s="1226"/>
      <c r="AC15" s="1226">
        <f>SUM(U15:AA15)</f>
        <v>0</v>
      </c>
    </row>
    <row r="16" spans="1:35" ht="65.099999999999994" hidden="1" customHeight="1" x14ac:dyDescent="0.75">
      <c r="B16" s="1483" t="s">
        <v>928</v>
      </c>
      <c r="C16" s="1483" t="s">
        <v>112</v>
      </c>
      <c r="D16" s="1225"/>
      <c r="E16" s="1228">
        <v>0</v>
      </c>
      <c r="F16" s="1226"/>
      <c r="G16" s="1228">
        <v>0</v>
      </c>
      <c r="H16" s="1226"/>
      <c r="I16" s="1228">
        <v>0</v>
      </c>
      <c r="J16" s="1226"/>
      <c r="K16" s="1228">
        <v>0</v>
      </c>
      <c r="L16" s="1226"/>
      <c r="M16" s="1228">
        <v>0</v>
      </c>
      <c r="N16" s="1226"/>
      <c r="O16" s="1228">
        <v>0</v>
      </c>
      <c r="P16" s="1226"/>
      <c r="Q16" s="1228">
        <v>0</v>
      </c>
      <c r="R16" s="1226"/>
      <c r="S16" s="1233">
        <v>0</v>
      </c>
      <c r="T16" s="1226"/>
      <c r="U16" s="1228">
        <f>SUM(E16:S16)</f>
        <v>0</v>
      </c>
      <c r="V16" s="1226"/>
      <c r="W16" s="1229">
        <v>0</v>
      </c>
      <c r="X16" s="1226"/>
      <c r="Y16" s="1228">
        <v>0</v>
      </c>
      <c r="Z16" s="1226"/>
      <c r="AA16" s="1228">
        <v>0</v>
      </c>
      <c r="AB16" s="1226"/>
      <c r="AC16" s="1226">
        <f>SUM(U16:AA16)</f>
        <v>0</v>
      </c>
    </row>
    <row r="17" spans="1:30" ht="96" customHeight="1" thickBot="1" x14ac:dyDescent="0.8">
      <c r="B17" s="1481" t="s">
        <v>1109</v>
      </c>
      <c r="C17" s="1481" t="e">
        <f>CONCATENATE("مانده در پایان سال"," ",#REF!)</f>
        <v>#REF!</v>
      </c>
      <c r="D17" s="1225"/>
      <c r="E17" s="1234">
        <f>SUM(E12:E16)</f>
        <v>3370015495</v>
      </c>
      <c r="F17" s="1226"/>
      <c r="G17" s="1234">
        <f>SUM(G12:G16)</f>
        <v>195854099401</v>
      </c>
      <c r="H17" s="1226"/>
      <c r="I17" s="1234">
        <f>SUM(I12:I16)</f>
        <v>58262733686</v>
      </c>
      <c r="J17" s="1226"/>
      <c r="K17" s="1234">
        <f>SUM(K12:K16)</f>
        <v>90146339898</v>
      </c>
      <c r="L17" s="1226"/>
      <c r="M17" s="1234">
        <f>SUM(M12:M16)</f>
        <v>313433954817</v>
      </c>
      <c r="N17" s="1226"/>
      <c r="O17" s="1234">
        <f>SUM(O12:O16)</f>
        <v>13421774455</v>
      </c>
      <c r="P17" s="1226"/>
      <c r="Q17" s="1235">
        <f>SUM(Q12:Q16)</f>
        <v>143017646151</v>
      </c>
      <c r="R17" s="1226"/>
      <c r="S17" s="1234">
        <f>SUM(S12:S16)</f>
        <v>90358195087</v>
      </c>
      <c r="T17" s="1226"/>
      <c r="U17" s="1234">
        <f>SUM(U12:U16)</f>
        <v>907864758990</v>
      </c>
      <c r="V17" s="1226"/>
      <c r="W17" s="1234">
        <f>SUM(W12:W16)</f>
        <v>0</v>
      </c>
      <c r="X17" s="1226"/>
      <c r="Y17" s="1234">
        <f>SUM(Y12:Y16)</f>
        <v>15791391800</v>
      </c>
      <c r="Z17" s="1226"/>
      <c r="AA17" s="1234">
        <f>SUM(AA12:AA16)</f>
        <v>0</v>
      </c>
      <c r="AB17" s="1226"/>
      <c r="AC17" s="1234">
        <f>SUM(AC12:AC16)-1</f>
        <v>923656150789</v>
      </c>
    </row>
    <row r="18" spans="1:30" ht="30.75" thickTop="1" x14ac:dyDescent="0.75">
      <c r="B18" s="1236"/>
      <c r="C18" s="1236"/>
      <c r="D18" s="1225"/>
      <c r="F18" s="1216"/>
      <c r="H18" s="1216"/>
      <c r="J18" s="1216"/>
      <c r="L18" s="1216"/>
      <c r="N18" s="1216"/>
      <c r="P18" s="1216"/>
      <c r="R18" s="1216"/>
      <c r="T18" s="1216"/>
      <c r="U18" s="1216"/>
      <c r="V18" s="1216"/>
      <c r="X18" s="1216"/>
      <c r="Z18" s="1216"/>
      <c r="AA18" s="1216"/>
      <c r="AB18" s="1216"/>
      <c r="AC18" s="1237"/>
    </row>
    <row r="19" spans="1:30" x14ac:dyDescent="0.75">
      <c r="B19" s="1236"/>
      <c r="C19" s="1236"/>
      <c r="D19" s="1225"/>
      <c r="F19" s="1216"/>
      <c r="H19" s="1216"/>
      <c r="J19" s="1216"/>
      <c r="L19" s="1216"/>
      <c r="N19" s="1216"/>
      <c r="P19" s="1216"/>
      <c r="R19" s="1216"/>
      <c r="T19" s="1216"/>
      <c r="U19" s="1216"/>
      <c r="V19" s="1216"/>
      <c r="X19" s="1216"/>
      <c r="Z19" s="1216"/>
      <c r="AA19" s="1216"/>
      <c r="AB19" s="1216"/>
      <c r="AC19" s="1216"/>
    </row>
    <row r="21" spans="1:30" x14ac:dyDescent="0.25">
      <c r="F21" s="1216"/>
      <c r="H21" s="1216"/>
      <c r="J21" s="1216"/>
      <c r="L21" s="1216"/>
      <c r="N21" s="1216"/>
      <c r="P21" s="1216"/>
      <c r="R21" s="1216"/>
      <c r="T21" s="1216"/>
      <c r="U21" s="1216"/>
      <c r="V21" s="1216"/>
      <c r="X21" s="1216"/>
      <c r="Z21" s="1216"/>
      <c r="AA21" s="1216"/>
      <c r="AB21" s="1216"/>
    </row>
    <row r="22" spans="1:30" ht="39.75" x14ac:dyDescent="0.25">
      <c r="A22" s="1482">
        <v>15</v>
      </c>
      <c r="B22" s="1482"/>
      <c r="C22" s="1482"/>
      <c r="D22" s="1482"/>
      <c r="E22" s="1482"/>
      <c r="F22" s="1482"/>
      <c r="G22" s="1482"/>
      <c r="H22" s="1482"/>
      <c r="I22" s="1482"/>
      <c r="J22" s="1482"/>
      <c r="K22" s="1482"/>
      <c r="L22" s="1482"/>
      <c r="M22" s="1482"/>
      <c r="N22" s="1482"/>
      <c r="O22" s="1482"/>
      <c r="P22" s="1482"/>
      <c r="Q22" s="1482"/>
      <c r="R22" s="1482"/>
      <c r="S22" s="1482"/>
      <c r="T22" s="1482"/>
      <c r="U22" s="1482"/>
      <c r="V22" s="1482"/>
      <c r="W22" s="1482"/>
      <c r="X22" s="1482"/>
      <c r="Y22" s="1482"/>
      <c r="Z22" s="1482"/>
      <c r="AA22" s="1482"/>
      <c r="AB22" s="1482"/>
      <c r="AC22" s="1482"/>
      <c r="AD22" s="1482"/>
    </row>
    <row r="23" spans="1:30" x14ac:dyDescent="0.75">
      <c r="AA23" s="1239"/>
    </row>
  </sheetData>
  <mergeCells count="14">
    <mergeCell ref="B9:C9"/>
    <mergeCell ref="B1:AD1"/>
    <mergeCell ref="B2:AD2"/>
    <mergeCell ref="B3:AD3"/>
    <mergeCell ref="I6:AC6"/>
    <mergeCell ref="B8:C8"/>
    <mergeCell ref="B17:C17"/>
    <mergeCell ref="A22:AD22"/>
    <mergeCell ref="B10:C10"/>
    <mergeCell ref="B11:C11"/>
    <mergeCell ref="B12:C12"/>
    <mergeCell ref="B14:C14"/>
    <mergeCell ref="B15:C15"/>
    <mergeCell ref="B16:C16"/>
  </mergeCells>
  <pageMargins left="0" right="0" top="0.74803149606299213" bottom="0.74803149606299213" header="0.31496062992125984" footer="0.31496062992125984"/>
  <pageSetup paperSize="9" scale="30"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pageSetUpPr fitToPage="1"/>
  </sheetPr>
  <dimension ref="A1:AH28"/>
  <sheetViews>
    <sheetView rightToLeft="1" view="pageBreakPreview" topLeftCell="A18" zoomScale="37" zoomScaleNormal="70" zoomScaleSheetLayoutView="37" workbookViewId="0">
      <selection sqref="A1:AC3"/>
    </sheetView>
  </sheetViews>
  <sheetFormatPr defaultRowHeight="30" x14ac:dyDescent="0.25"/>
  <cols>
    <col min="1" max="1" width="3.42578125" style="404" bestFit="1" customWidth="1"/>
    <col min="2" max="2" width="45.140625" style="404" bestFit="1" customWidth="1"/>
    <col min="3" max="3" width="0.85546875" style="404" customWidth="1"/>
    <col min="4" max="4" width="33" style="404" bestFit="1" customWidth="1"/>
    <col min="5" max="5" width="3.42578125" style="404" customWidth="1"/>
    <col min="6" max="6" width="38.7109375" style="404" bestFit="1" customWidth="1"/>
    <col min="7" max="7" width="3.42578125" style="404" customWidth="1"/>
    <col min="8" max="8" width="37.28515625" style="404" customWidth="1"/>
    <col min="9" max="9" width="3.42578125" style="404" customWidth="1"/>
    <col min="10" max="10" width="35.85546875" style="404" bestFit="1" customWidth="1"/>
    <col min="11" max="11" width="3.42578125" style="404" customWidth="1"/>
    <col min="12" max="12" width="43.5703125" style="404" customWidth="1"/>
    <col min="13" max="13" width="3.42578125" style="404" customWidth="1"/>
    <col min="14" max="14" width="35.85546875" style="404" bestFit="1" customWidth="1"/>
    <col min="15" max="15" width="3.42578125" style="404" customWidth="1"/>
    <col min="16" max="16" width="35.85546875" style="404" bestFit="1" customWidth="1"/>
    <col min="17" max="17" width="3.42578125" style="404" customWidth="1"/>
    <col min="18" max="18" width="35.85546875" style="404" bestFit="1" customWidth="1"/>
    <col min="19" max="19" width="3.42578125" style="404" customWidth="1"/>
    <col min="20" max="20" width="38.7109375" style="404" bestFit="1" customWidth="1"/>
    <col min="21" max="21" width="3.42578125" style="404" customWidth="1"/>
    <col min="22" max="22" width="48.85546875" style="404" hidden="1" customWidth="1"/>
    <col min="23" max="23" width="3.42578125" style="404" customWidth="1"/>
    <col min="24" max="24" width="43.7109375" style="404" customWidth="1"/>
    <col min="25" max="25" width="3.42578125" style="404" customWidth="1"/>
    <col min="26" max="26" width="38.7109375" style="404" hidden="1" customWidth="1"/>
    <col min="27" max="27" width="3.42578125" style="404" customWidth="1"/>
    <col min="28" max="28" width="40.85546875" style="404" bestFit="1" customWidth="1"/>
    <col min="29" max="29" width="2.140625" style="404" customWidth="1"/>
    <col min="30" max="30" width="1.85546875" style="404" customWidth="1"/>
    <col min="31" max="31" width="11.5703125" style="404" customWidth="1"/>
    <col min="32" max="32" width="15.28515625" style="404" bestFit="1" customWidth="1"/>
    <col min="33" max="33" width="5" style="404" customWidth="1"/>
    <col min="34" max="34" width="29.85546875" style="404" customWidth="1"/>
    <col min="35" max="35" width="34.28515625" style="404" customWidth="1"/>
    <col min="36" max="36" width="10.42578125" style="404" bestFit="1" customWidth="1"/>
    <col min="37" max="39" width="9" style="404"/>
    <col min="40" max="40" width="10.42578125" style="404" bestFit="1" customWidth="1"/>
    <col min="41" max="269" width="9" style="404"/>
    <col min="270" max="270" width="3.5703125" style="404" customWidth="1"/>
    <col min="271" max="271" width="4.85546875" style="404" customWidth="1"/>
    <col min="272" max="272" width="5.42578125" style="404" customWidth="1"/>
    <col min="273" max="273" width="31.28515625" style="404" customWidth="1"/>
    <col min="274" max="274" width="7.5703125" style="404" customWidth="1"/>
    <col min="275" max="275" width="2.42578125" style="404" customWidth="1"/>
    <col min="276" max="276" width="11.5703125" style="404" customWidth="1"/>
    <col min="277" max="277" width="2.42578125" style="404" customWidth="1"/>
    <col min="278" max="278" width="11.5703125" style="404" customWidth="1"/>
    <col min="279" max="279" width="2.42578125" style="404" customWidth="1"/>
    <col min="280" max="280" width="10.85546875" style="404" customWidth="1"/>
    <col min="281" max="281" width="2.42578125" style="404" customWidth="1"/>
    <col min="282" max="282" width="11.140625" style="404" customWidth="1"/>
    <col min="283" max="283" width="1.85546875" style="404" customWidth="1"/>
    <col min="284" max="284" width="11" style="404" customWidth="1"/>
    <col min="285" max="285" width="0.7109375" style="404" customWidth="1"/>
    <col min="286" max="286" width="1.85546875" style="404" customWidth="1"/>
    <col min="287" max="287" width="11.85546875" style="404" bestFit="1" customWidth="1"/>
    <col min="288" max="288" width="15.28515625" style="404" bestFit="1" customWidth="1"/>
    <col min="289" max="289" width="5" style="404" customWidth="1"/>
    <col min="290" max="290" width="10.42578125" style="404" bestFit="1" customWidth="1"/>
    <col min="291" max="291" width="5" style="404" customWidth="1"/>
    <col min="292" max="292" width="10.42578125" style="404" bestFit="1" customWidth="1"/>
    <col min="293" max="295" width="9" style="404"/>
    <col min="296" max="296" width="10.42578125" style="404" bestFit="1" customWidth="1"/>
    <col min="297" max="525" width="9" style="404"/>
    <col min="526" max="526" width="3.5703125" style="404" customWidth="1"/>
    <col min="527" max="527" width="4.85546875" style="404" customWidth="1"/>
    <col min="528" max="528" width="5.42578125" style="404" customWidth="1"/>
    <col min="529" max="529" width="31.28515625" style="404" customWidth="1"/>
    <col min="530" max="530" width="7.5703125" style="404" customWidth="1"/>
    <col min="531" max="531" width="2.42578125" style="404" customWidth="1"/>
    <col min="532" max="532" width="11.5703125" style="404" customWidth="1"/>
    <col min="533" max="533" width="2.42578125" style="404" customWidth="1"/>
    <col min="534" max="534" width="11.5703125" style="404" customWidth="1"/>
    <col min="535" max="535" width="2.42578125" style="404" customWidth="1"/>
    <col min="536" max="536" width="10.85546875" style="404" customWidth="1"/>
    <col min="537" max="537" width="2.42578125" style="404" customWidth="1"/>
    <col min="538" max="538" width="11.140625" style="404" customWidth="1"/>
    <col min="539" max="539" width="1.85546875" style="404" customWidth="1"/>
    <col min="540" max="540" width="11" style="404" customWidth="1"/>
    <col min="541" max="541" width="0.7109375" style="404" customWidth="1"/>
    <col min="542" max="542" width="1.85546875" style="404" customWidth="1"/>
    <col min="543" max="543" width="11.85546875" style="404" bestFit="1" customWidth="1"/>
    <col min="544" max="544" width="15.28515625" style="404" bestFit="1" customWidth="1"/>
    <col min="545" max="545" width="5" style="404" customWidth="1"/>
    <col min="546" max="546" width="10.42578125" style="404" bestFit="1" customWidth="1"/>
    <col min="547" max="547" width="5" style="404" customWidth="1"/>
    <col min="548" max="548" width="10.42578125" style="404" bestFit="1" customWidth="1"/>
    <col min="549" max="551" width="9" style="404"/>
    <col min="552" max="552" width="10.42578125" style="404" bestFit="1" customWidth="1"/>
    <col min="553" max="781" width="9" style="404"/>
    <col min="782" max="782" width="3.5703125" style="404" customWidth="1"/>
    <col min="783" max="783" width="4.85546875" style="404" customWidth="1"/>
    <col min="784" max="784" width="5.42578125" style="404" customWidth="1"/>
    <col min="785" max="785" width="31.28515625" style="404" customWidth="1"/>
    <col min="786" max="786" width="7.5703125" style="404" customWidth="1"/>
    <col min="787" max="787" width="2.42578125" style="404" customWidth="1"/>
    <col min="788" max="788" width="11.5703125" style="404" customWidth="1"/>
    <col min="789" max="789" width="2.42578125" style="404" customWidth="1"/>
    <col min="790" max="790" width="11.5703125" style="404" customWidth="1"/>
    <col min="791" max="791" width="2.42578125" style="404" customWidth="1"/>
    <col min="792" max="792" width="10.85546875" style="404" customWidth="1"/>
    <col min="793" max="793" width="2.42578125" style="404" customWidth="1"/>
    <col min="794" max="794" width="11.140625" style="404" customWidth="1"/>
    <col min="795" max="795" width="1.85546875" style="404" customWidth="1"/>
    <col min="796" max="796" width="11" style="404" customWidth="1"/>
    <col min="797" max="797" width="0.7109375" style="404" customWidth="1"/>
    <col min="798" max="798" width="1.85546875" style="404" customWidth="1"/>
    <col min="799" max="799" width="11.85546875" style="404" bestFit="1" customWidth="1"/>
    <col min="800" max="800" width="15.28515625" style="404" bestFit="1" customWidth="1"/>
    <col min="801" max="801" width="5" style="404" customWidth="1"/>
    <col min="802" max="802" width="10.42578125" style="404" bestFit="1" customWidth="1"/>
    <col min="803" max="803" width="5" style="404" customWidth="1"/>
    <col min="804" max="804" width="10.42578125" style="404" bestFit="1" customWidth="1"/>
    <col min="805" max="807" width="9" style="404"/>
    <col min="808" max="808" width="10.42578125" style="404" bestFit="1" customWidth="1"/>
    <col min="809" max="1037" width="9" style="404"/>
    <col min="1038" max="1038" width="3.5703125" style="404" customWidth="1"/>
    <col min="1039" max="1039" width="4.85546875" style="404" customWidth="1"/>
    <col min="1040" max="1040" width="5.42578125" style="404" customWidth="1"/>
    <col min="1041" max="1041" width="31.28515625" style="404" customWidth="1"/>
    <col min="1042" max="1042" width="7.5703125" style="404" customWidth="1"/>
    <col min="1043" max="1043" width="2.42578125" style="404" customWidth="1"/>
    <col min="1044" max="1044" width="11.5703125" style="404" customWidth="1"/>
    <col min="1045" max="1045" width="2.42578125" style="404" customWidth="1"/>
    <col min="1046" max="1046" width="11.5703125" style="404" customWidth="1"/>
    <col min="1047" max="1047" width="2.42578125" style="404" customWidth="1"/>
    <col min="1048" max="1048" width="10.85546875" style="404" customWidth="1"/>
    <col min="1049" max="1049" width="2.42578125" style="404" customWidth="1"/>
    <col min="1050" max="1050" width="11.140625" style="404" customWidth="1"/>
    <col min="1051" max="1051" width="1.85546875" style="404" customWidth="1"/>
    <col min="1052" max="1052" width="11" style="404" customWidth="1"/>
    <col min="1053" max="1053" width="0.7109375" style="404" customWidth="1"/>
    <col min="1054" max="1054" width="1.85546875" style="404" customWidth="1"/>
    <col min="1055" max="1055" width="11.85546875" style="404" bestFit="1" customWidth="1"/>
    <col min="1056" max="1056" width="15.28515625" style="404" bestFit="1" customWidth="1"/>
    <col min="1057" max="1057" width="5" style="404" customWidth="1"/>
    <col min="1058" max="1058" width="10.42578125" style="404" bestFit="1" customWidth="1"/>
    <col min="1059" max="1059" width="5" style="404" customWidth="1"/>
    <col min="1060" max="1060" width="10.42578125" style="404" bestFit="1" customWidth="1"/>
    <col min="1061" max="1063" width="9" style="404"/>
    <col min="1064" max="1064" width="10.42578125" style="404" bestFit="1" customWidth="1"/>
    <col min="1065" max="1293" width="9" style="404"/>
    <col min="1294" max="1294" width="3.5703125" style="404" customWidth="1"/>
    <col min="1295" max="1295" width="4.85546875" style="404" customWidth="1"/>
    <col min="1296" max="1296" width="5.42578125" style="404" customWidth="1"/>
    <col min="1297" max="1297" width="31.28515625" style="404" customWidth="1"/>
    <col min="1298" max="1298" width="7.5703125" style="404" customWidth="1"/>
    <col min="1299" max="1299" width="2.42578125" style="404" customWidth="1"/>
    <col min="1300" max="1300" width="11.5703125" style="404" customWidth="1"/>
    <col min="1301" max="1301" width="2.42578125" style="404" customWidth="1"/>
    <col min="1302" max="1302" width="11.5703125" style="404" customWidth="1"/>
    <col min="1303" max="1303" width="2.42578125" style="404" customWidth="1"/>
    <col min="1304" max="1304" width="10.85546875" style="404" customWidth="1"/>
    <col min="1305" max="1305" width="2.42578125" style="404" customWidth="1"/>
    <col min="1306" max="1306" width="11.140625" style="404" customWidth="1"/>
    <col min="1307" max="1307" width="1.85546875" style="404" customWidth="1"/>
    <col min="1308" max="1308" width="11" style="404" customWidth="1"/>
    <col min="1309" max="1309" width="0.7109375" style="404" customWidth="1"/>
    <col min="1310" max="1310" width="1.85546875" style="404" customWidth="1"/>
    <col min="1311" max="1311" width="11.85546875" style="404" bestFit="1" customWidth="1"/>
    <col min="1312" max="1312" width="15.28515625" style="404" bestFit="1" customWidth="1"/>
    <col min="1313" max="1313" width="5" style="404" customWidth="1"/>
    <col min="1314" max="1314" width="10.42578125" style="404" bestFit="1" customWidth="1"/>
    <col min="1315" max="1315" width="5" style="404" customWidth="1"/>
    <col min="1316" max="1316" width="10.42578125" style="404" bestFit="1" customWidth="1"/>
    <col min="1317" max="1319" width="9" style="404"/>
    <col min="1320" max="1320" width="10.42578125" style="404" bestFit="1" customWidth="1"/>
    <col min="1321" max="1549" width="9" style="404"/>
    <col min="1550" max="1550" width="3.5703125" style="404" customWidth="1"/>
    <col min="1551" max="1551" width="4.85546875" style="404" customWidth="1"/>
    <col min="1552" max="1552" width="5.42578125" style="404" customWidth="1"/>
    <col min="1553" max="1553" width="31.28515625" style="404" customWidth="1"/>
    <col min="1554" max="1554" width="7.5703125" style="404" customWidth="1"/>
    <col min="1555" max="1555" width="2.42578125" style="404" customWidth="1"/>
    <col min="1556" max="1556" width="11.5703125" style="404" customWidth="1"/>
    <col min="1557" max="1557" width="2.42578125" style="404" customWidth="1"/>
    <col min="1558" max="1558" width="11.5703125" style="404" customWidth="1"/>
    <col min="1559" max="1559" width="2.42578125" style="404" customWidth="1"/>
    <col min="1560" max="1560" width="10.85546875" style="404" customWidth="1"/>
    <col min="1561" max="1561" width="2.42578125" style="404" customWidth="1"/>
    <col min="1562" max="1562" width="11.140625" style="404" customWidth="1"/>
    <col min="1563" max="1563" width="1.85546875" style="404" customWidth="1"/>
    <col min="1564" max="1564" width="11" style="404" customWidth="1"/>
    <col min="1565" max="1565" width="0.7109375" style="404" customWidth="1"/>
    <col min="1566" max="1566" width="1.85546875" style="404" customWidth="1"/>
    <col min="1567" max="1567" width="11.85546875" style="404" bestFit="1" customWidth="1"/>
    <col min="1568" max="1568" width="15.28515625" style="404" bestFit="1" customWidth="1"/>
    <col min="1569" max="1569" width="5" style="404" customWidth="1"/>
    <col min="1570" max="1570" width="10.42578125" style="404" bestFit="1" customWidth="1"/>
    <col min="1571" max="1571" width="5" style="404" customWidth="1"/>
    <col min="1572" max="1572" width="10.42578125" style="404" bestFit="1" customWidth="1"/>
    <col min="1573" max="1575" width="9" style="404"/>
    <col min="1576" max="1576" width="10.42578125" style="404" bestFit="1" customWidth="1"/>
    <col min="1577" max="1805" width="9" style="404"/>
    <col min="1806" max="1806" width="3.5703125" style="404" customWidth="1"/>
    <col min="1807" max="1807" width="4.85546875" style="404" customWidth="1"/>
    <col min="1808" max="1808" width="5.42578125" style="404" customWidth="1"/>
    <col min="1809" max="1809" width="31.28515625" style="404" customWidth="1"/>
    <col min="1810" max="1810" width="7.5703125" style="404" customWidth="1"/>
    <col min="1811" max="1811" width="2.42578125" style="404" customWidth="1"/>
    <col min="1812" max="1812" width="11.5703125" style="404" customWidth="1"/>
    <col min="1813" max="1813" width="2.42578125" style="404" customWidth="1"/>
    <col min="1814" max="1814" width="11.5703125" style="404" customWidth="1"/>
    <col min="1815" max="1815" width="2.42578125" style="404" customWidth="1"/>
    <col min="1816" max="1816" width="10.85546875" style="404" customWidth="1"/>
    <col min="1817" max="1817" width="2.42578125" style="404" customWidth="1"/>
    <col min="1818" max="1818" width="11.140625" style="404" customWidth="1"/>
    <col min="1819" max="1819" width="1.85546875" style="404" customWidth="1"/>
    <col min="1820" max="1820" width="11" style="404" customWidth="1"/>
    <col min="1821" max="1821" width="0.7109375" style="404" customWidth="1"/>
    <col min="1822" max="1822" width="1.85546875" style="404" customWidth="1"/>
    <col min="1823" max="1823" width="11.85546875" style="404" bestFit="1" customWidth="1"/>
    <col min="1824" max="1824" width="15.28515625" style="404" bestFit="1" customWidth="1"/>
    <col min="1825" max="1825" width="5" style="404" customWidth="1"/>
    <col min="1826" max="1826" width="10.42578125" style="404" bestFit="1" customWidth="1"/>
    <col min="1827" max="1827" width="5" style="404" customWidth="1"/>
    <col min="1828" max="1828" width="10.42578125" style="404" bestFit="1" customWidth="1"/>
    <col min="1829" max="1831" width="9" style="404"/>
    <col min="1832" max="1832" width="10.42578125" style="404" bestFit="1" customWidth="1"/>
    <col min="1833" max="2061" width="9" style="404"/>
    <col min="2062" max="2062" width="3.5703125" style="404" customWidth="1"/>
    <col min="2063" max="2063" width="4.85546875" style="404" customWidth="1"/>
    <col min="2064" max="2064" width="5.42578125" style="404" customWidth="1"/>
    <col min="2065" max="2065" width="31.28515625" style="404" customWidth="1"/>
    <col min="2066" max="2066" width="7.5703125" style="404" customWidth="1"/>
    <col min="2067" max="2067" width="2.42578125" style="404" customWidth="1"/>
    <col min="2068" max="2068" width="11.5703125" style="404" customWidth="1"/>
    <col min="2069" max="2069" width="2.42578125" style="404" customWidth="1"/>
    <col min="2070" max="2070" width="11.5703125" style="404" customWidth="1"/>
    <col min="2071" max="2071" width="2.42578125" style="404" customWidth="1"/>
    <col min="2072" max="2072" width="10.85546875" style="404" customWidth="1"/>
    <col min="2073" max="2073" width="2.42578125" style="404" customWidth="1"/>
    <col min="2074" max="2074" width="11.140625" style="404" customWidth="1"/>
    <col min="2075" max="2075" width="1.85546875" style="404" customWidth="1"/>
    <col min="2076" max="2076" width="11" style="404" customWidth="1"/>
    <col min="2077" max="2077" width="0.7109375" style="404" customWidth="1"/>
    <col min="2078" max="2078" width="1.85546875" style="404" customWidth="1"/>
    <col min="2079" max="2079" width="11.85546875" style="404" bestFit="1" customWidth="1"/>
    <col min="2080" max="2080" width="15.28515625" style="404" bestFit="1" customWidth="1"/>
    <col min="2081" max="2081" width="5" style="404" customWidth="1"/>
    <col min="2082" max="2082" width="10.42578125" style="404" bestFit="1" customWidth="1"/>
    <col min="2083" max="2083" width="5" style="404" customWidth="1"/>
    <col min="2084" max="2084" width="10.42578125" style="404" bestFit="1" customWidth="1"/>
    <col min="2085" max="2087" width="9" style="404"/>
    <col min="2088" max="2088" width="10.42578125" style="404" bestFit="1" customWidth="1"/>
    <col min="2089" max="2317" width="9" style="404"/>
    <col min="2318" max="2318" width="3.5703125" style="404" customWidth="1"/>
    <col min="2319" max="2319" width="4.85546875" style="404" customWidth="1"/>
    <col min="2320" max="2320" width="5.42578125" style="404" customWidth="1"/>
    <col min="2321" max="2321" width="31.28515625" style="404" customWidth="1"/>
    <col min="2322" max="2322" width="7.5703125" style="404" customWidth="1"/>
    <col min="2323" max="2323" width="2.42578125" style="404" customWidth="1"/>
    <col min="2324" max="2324" width="11.5703125" style="404" customWidth="1"/>
    <col min="2325" max="2325" width="2.42578125" style="404" customWidth="1"/>
    <col min="2326" max="2326" width="11.5703125" style="404" customWidth="1"/>
    <col min="2327" max="2327" width="2.42578125" style="404" customWidth="1"/>
    <col min="2328" max="2328" width="10.85546875" style="404" customWidth="1"/>
    <col min="2329" max="2329" width="2.42578125" style="404" customWidth="1"/>
    <col min="2330" max="2330" width="11.140625" style="404" customWidth="1"/>
    <col min="2331" max="2331" width="1.85546875" style="404" customWidth="1"/>
    <col min="2332" max="2332" width="11" style="404" customWidth="1"/>
    <col min="2333" max="2333" width="0.7109375" style="404" customWidth="1"/>
    <col min="2334" max="2334" width="1.85546875" style="404" customWidth="1"/>
    <col min="2335" max="2335" width="11.85546875" style="404" bestFit="1" customWidth="1"/>
    <col min="2336" max="2336" width="15.28515625" style="404" bestFit="1" customWidth="1"/>
    <col min="2337" max="2337" width="5" style="404" customWidth="1"/>
    <col min="2338" max="2338" width="10.42578125" style="404" bestFit="1" customWidth="1"/>
    <col min="2339" max="2339" width="5" style="404" customWidth="1"/>
    <col min="2340" max="2340" width="10.42578125" style="404" bestFit="1" customWidth="1"/>
    <col min="2341" max="2343" width="9" style="404"/>
    <col min="2344" max="2344" width="10.42578125" style="404" bestFit="1" customWidth="1"/>
    <col min="2345" max="2573" width="9" style="404"/>
    <col min="2574" max="2574" width="3.5703125" style="404" customWidth="1"/>
    <col min="2575" max="2575" width="4.85546875" style="404" customWidth="1"/>
    <col min="2576" max="2576" width="5.42578125" style="404" customWidth="1"/>
    <col min="2577" max="2577" width="31.28515625" style="404" customWidth="1"/>
    <col min="2578" max="2578" width="7.5703125" style="404" customWidth="1"/>
    <col min="2579" max="2579" width="2.42578125" style="404" customWidth="1"/>
    <col min="2580" max="2580" width="11.5703125" style="404" customWidth="1"/>
    <col min="2581" max="2581" width="2.42578125" style="404" customWidth="1"/>
    <col min="2582" max="2582" width="11.5703125" style="404" customWidth="1"/>
    <col min="2583" max="2583" width="2.42578125" style="404" customWidth="1"/>
    <col min="2584" max="2584" width="10.85546875" style="404" customWidth="1"/>
    <col min="2585" max="2585" width="2.42578125" style="404" customWidth="1"/>
    <col min="2586" max="2586" width="11.140625" style="404" customWidth="1"/>
    <col min="2587" max="2587" width="1.85546875" style="404" customWidth="1"/>
    <col min="2588" max="2588" width="11" style="404" customWidth="1"/>
    <col min="2589" max="2589" width="0.7109375" style="404" customWidth="1"/>
    <col min="2590" max="2590" width="1.85546875" style="404" customWidth="1"/>
    <col min="2591" max="2591" width="11.85546875" style="404" bestFit="1" customWidth="1"/>
    <col min="2592" max="2592" width="15.28515625" style="404" bestFit="1" customWidth="1"/>
    <col min="2593" max="2593" width="5" style="404" customWidth="1"/>
    <col min="2594" max="2594" width="10.42578125" style="404" bestFit="1" customWidth="1"/>
    <col min="2595" max="2595" width="5" style="404" customWidth="1"/>
    <col min="2596" max="2596" width="10.42578125" style="404" bestFit="1" customWidth="1"/>
    <col min="2597" max="2599" width="9" style="404"/>
    <col min="2600" max="2600" width="10.42578125" style="404" bestFit="1" customWidth="1"/>
    <col min="2601" max="2829" width="9" style="404"/>
    <col min="2830" max="2830" width="3.5703125" style="404" customWidth="1"/>
    <col min="2831" max="2831" width="4.85546875" style="404" customWidth="1"/>
    <col min="2832" max="2832" width="5.42578125" style="404" customWidth="1"/>
    <col min="2833" max="2833" width="31.28515625" style="404" customWidth="1"/>
    <col min="2834" max="2834" width="7.5703125" style="404" customWidth="1"/>
    <col min="2835" max="2835" width="2.42578125" style="404" customWidth="1"/>
    <col min="2836" max="2836" width="11.5703125" style="404" customWidth="1"/>
    <col min="2837" max="2837" width="2.42578125" style="404" customWidth="1"/>
    <col min="2838" max="2838" width="11.5703125" style="404" customWidth="1"/>
    <col min="2839" max="2839" width="2.42578125" style="404" customWidth="1"/>
    <col min="2840" max="2840" width="10.85546875" style="404" customWidth="1"/>
    <col min="2841" max="2841" width="2.42578125" style="404" customWidth="1"/>
    <col min="2842" max="2842" width="11.140625" style="404" customWidth="1"/>
    <col min="2843" max="2843" width="1.85546875" style="404" customWidth="1"/>
    <col min="2844" max="2844" width="11" style="404" customWidth="1"/>
    <col min="2845" max="2845" width="0.7109375" style="404" customWidth="1"/>
    <col min="2846" max="2846" width="1.85546875" style="404" customWidth="1"/>
    <col min="2847" max="2847" width="11.85546875" style="404" bestFit="1" customWidth="1"/>
    <col min="2848" max="2848" width="15.28515625" style="404" bestFit="1" customWidth="1"/>
    <col min="2849" max="2849" width="5" style="404" customWidth="1"/>
    <col min="2850" max="2850" width="10.42578125" style="404" bestFit="1" customWidth="1"/>
    <col min="2851" max="2851" width="5" style="404" customWidth="1"/>
    <col min="2852" max="2852" width="10.42578125" style="404" bestFit="1" customWidth="1"/>
    <col min="2853" max="2855" width="9" style="404"/>
    <col min="2856" max="2856" width="10.42578125" style="404" bestFit="1" customWidth="1"/>
    <col min="2857" max="3085" width="9" style="404"/>
    <col min="3086" max="3086" width="3.5703125" style="404" customWidth="1"/>
    <col min="3087" max="3087" width="4.85546875" style="404" customWidth="1"/>
    <col min="3088" max="3088" width="5.42578125" style="404" customWidth="1"/>
    <col min="3089" max="3089" width="31.28515625" style="404" customWidth="1"/>
    <col min="3090" max="3090" width="7.5703125" style="404" customWidth="1"/>
    <col min="3091" max="3091" width="2.42578125" style="404" customWidth="1"/>
    <col min="3092" max="3092" width="11.5703125" style="404" customWidth="1"/>
    <col min="3093" max="3093" width="2.42578125" style="404" customWidth="1"/>
    <col min="3094" max="3094" width="11.5703125" style="404" customWidth="1"/>
    <col min="3095" max="3095" width="2.42578125" style="404" customWidth="1"/>
    <col min="3096" max="3096" width="10.85546875" style="404" customWidth="1"/>
    <col min="3097" max="3097" width="2.42578125" style="404" customWidth="1"/>
    <col min="3098" max="3098" width="11.140625" style="404" customWidth="1"/>
    <col min="3099" max="3099" width="1.85546875" style="404" customWidth="1"/>
    <col min="3100" max="3100" width="11" style="404" customWidth="1"/>
    <col min="3101" max="3101" width="0.7109375" style="404" customWidth="1"/>
    <col min="3102" max="3102" width="1.85546875" style="404" customWidth="1"/>
    <col min="3103" max="3103" width="11.85546875" style="404" bestFit="1" customWidth="1"/>
    <col min="3104" max="3104" width="15.28515625" style="404" bestFit="1" customWidth="1"/>
    <col min="3105" max="3105" width="5" style="404" customWidth="1"/>
    <col min="3106" max="3106" width="10.42578125" style="404" bestFit="1" customWidth="1"/>
    <col min="3107" max="3107" width="5" style="404" customWidth="1"/>
    <col min="3108" max="3108" width="10.42578125" style="404" bestFit="1" customWidth="1"/>
    <col min="3109" max="3111" width="9" style="404"/>
    <col min="3112" max="3112" width="10.42578125" style="404" bestFit="1" customWidth="1"/>
    <col min="3113" max="3341" width="9" style="404"/>
    <col min="3342" max="3342" width="3.5703125" style="404" customWidth="1"/>
    <col min="3343" max="3343" width="4.85546875" style="404" customWidth="1"/>
    <col min="3344" max="3344" width="5.42578125" style="404" customWidth="1"/>
    <col min="3345" max="3345" width="31.28515625" style="404" customWidth="1"/>
    <col min="3346" max="3346" width="7.5703125" style="404" customWidth="1"/>
    <col min="3347" max="3347" width="2.42578125" style="404" customWidth="1"/>
    <col min="3348" max="3348" width="11.5703125" style="404" customWidth="1"/>
    <col min="3349" max="3349" width="2.42578125" style="404" customWidth="1"/>
    <col min="3350" max="3350" width="11.5703125" style="404" customWidth="1"/>
    <col min="3351" max="3351" width="2.42578125" style="404" customWidth="1"/>
    <col min="3352" max="3352" width="10.85546875" style="404" customWidth="1"/>
    <col min="3353" max="3353" width="2.42578125" style="404" customWidth="1"/>
    <col min="3354" max="3354" width="11.140625" style="404" customWidth="1"/>
    <col min="3355" max="3355" width="1.85546875" style="404" customWidth="1"/>
    <col min="3356" max="3356" width="11" style="404" customWidth="1"/>
    <col min="3357" max="3357" width="0.7109375" style="404" customWidth="1"/>
    <col min="3358" max="3358" width="1.85546875" style="404" customWidth="1"/>
    <col min="3359" max="3359" width="11.85546875" style="404" bestFit="1" customWidth="1"/>
    <col min="3360" max="3360" width="15.28515625" style="404" bestFit="1" customWidth="1"/>
    <col min="3361" max="3361" width="5" style="404" customWidth="1"/>
    <col min="3362" max="3362" width="10.42578125" style="404" bestFit="1" customWidth="1"/>
    <col min="3363" max="3363" width="5" style="404" customWidth="1"/>
    <col min="3364" max="3364" width="10.42578125" style="404" bestFit="1" customWidth="1"/>
    <col min="3365" max="3367" width="9" style="404"/>
    <col min="3368" max="3368" width="10.42578125" style="404" bestFit="1" customWidth="1"/>
    <col min="3369" max="3597" width="9" style="404"/>
    <col min="3598" max="3598" width="3.5703125" style="404" customWidth="1"/>
    <col min="3599" max="3599" width="4.85546875" style="404" customWidth="1"/>
    <col min="3600" max="3600" width="5.42578125" style="404" customWidth="1"/>
    <col min="3601" max="3601" width="31.28515625" style="404" customWidth="1"/>
    <col min="3602" max="3602" width="7.5703125" style="404" customWidth="1"/>
    <col min="3603" max="3603" width="2.42578125" style="404" customWidth="1"/>
    <col min="3604" max="3604" width="11.5703125" style="404" customWidth="1"/>
    <col min="3605" max="3605" width="2.42578125" style="404" customWidth="1"/>
    <col min="3606" max="3606" width="11.5703125" style="404" customWidth="1"/>
    <col min="3607" max="3607" width="2.42578125" style="404" customWidth="1"/>
    <col min="3608" max="3608" width="10.85546875" style="404" customWidth="1"/>
    <col min="3609" max="3609" width="2.42578125" style="404" customWidth="1"/>
    <col min="3610" max="3610" width="11.140625" style="404" customWidth="1"/>
    <col min="3611" max="3611" width="1.85546875" style="404" customWidth="1"/>
    <col min="3612" max="3612" width="11" style="404" customWidth="1"/>
    <col min="3613" max="3613" width="0.7109375" style="404" customWidth="1"/>
    <col min="3614" max="3614" width="1.85546875" style="404" customWidth="1"/>
    <col min="3615" max="3615" width="11.85546875" style="404" bestFit="1" customWidth="1"/>
    <col min="3616" max="3616" width="15.28515625" style="404" bestFit="1" customWidth="1"/>
    <col min="3617" max="3617" width="5" style="404" customWidth="1"/>
    <col min="3618" max="3618" width="10.42578125" style="404" bestFit="1" customWidth="1"/>
    <col min="3619" max="3619" width="5" style="404" customWidth="1"/>
    <col min="3620" max="3620" width="10.42578125" style="404" bestFit="1" customWidth="1"/>
    <col min="3621" max="3623" width="9" style="404"/>
    <col min="3624" max="3624" width="10.42578125" style="404" bestFit="1" customWidth="1"/>
    <col min="3625" max="3853" width="9" style="404"/>
    <col min="3854" max="3854" width="3.5703125" style="404" customWidth="1"/>
    <col min="3855" max="3855" width="4.85546875" style="404" customWidth="1"/>
    <col min="3856" max="3856" width="5.42578125" style="404" customWidth="1"/>
    <col min="3857" max="3857" width="31.28515625" style="404" customWidth="1"/>
    <col min="3858" max="3858" width="7.5703125" style="404" customWidth="1"/>
    <col min="3859" max="3859" width="2.42578125" style="404" customWidth="1"/>
    <col min="3860" max="3860" width="11.5703125" style="404" customWidth="1"/>
    <col min="3861" max="3861" width="2.42578125" style="404" customWidth="1"/>
    <col min="3862" max="3862" width="11.5703125" style="404" customWidth="1"/>
    <col min="3863" max="3863" width="2.42578125" style="404" customWidth="1"/>
    <col min="3864" max="3864" width="10.85546875" style="404" customWidth="1"/>
    <col min="3865" max="3865" width="2.42578125" style="404" customWidth="1"/>
    <col min="3866" max="3866" width="11.140625" style="404" customWidth="1"/>
    <col min="3867" max="3867" width="1.85546875" style="404" customWidth="1"/>
    <col min="3868" max="3868" width="11" style="404" customWidth="1"/>
    <col min="3869" max="3869" width="0.7109375" style="404" customWidth="1"/>
    <col min="3870" max="3870" width="1.85546875" style="404" customWidth="1"/>
    <col min="3871" max="3871" width="11.85546875" style="404" bestFit="1" customWidth="1"/>
    <col min="3872" max="3872" width="15.28515625" style="404" bestFit="1" customWidth="1"/>
    <col min="3873" max="3873" width="5" style="404" customWidth="1"/>
    <col min="3874" max="3874" width="10.42578125" style="404" bestFit="1" customWidth="1"/>
    <col min="3875" max="3875" width="5" style="404" customWidth="1"/>
    <col min="3876" max="3876" width="10.42578125" style="404" bestFit="1" customWidth="1"/>
    <col min="3877" max="3879" width="9" style="404"/>
    <col min="3880" max="3880" width="10.42578125" style="404" bestFit="1" customWidth="1"/>
    <col min="3881" max="4109" width="9" style="404"/>
    <col min="4110" max="4110" width="3.5703125" style="404" customWidth="1"/>
    <col min="4111" max="4111" width="4.85546875" style="404" customWidth="1"/>
    <col min="4112" max="4112" width="5.42578125" style="404" customWidth="1"/>
    <col min="4113" max="4113" width="31.28515625" style="404" customWidth="1"/>
    <col min="4114" max="4114" width="7.5703125" style="404" customWidth="1"/>
    <col min="4115" max="4115" width="2.42578125" style="404" customWidth="1"/>
    <col min="4116" max="4116" width="11.5703125" style="404" customWidth="1"/>
    <col min="4117" max="4117" width="2.42578125" style="404" customWidth="1"/>
    <col min="4118" max="4118" width="11.5703125" style="404" customWidth="1"/>
    <col min="4119" max="4119" width="2.42578125" style="404" customWidth="1"/>
    <col min="4120" max="4120" width="10.85546875" style="404" customWidth="1"/>
    <col min="4121" max="4121" width="2.42578125" style="404" customWidth="1"/>
    <col min="4122" max="4122" width="11.140625" style="404" customWidth="1"/>
    <col min="4123" max="4123" width="1.85546875" style="404" customWidth="1"/>
    <col min="4124" max="4124" width="11" style="404" customWidth="1"/>
    <col min="4125" max="4125" width="0.7109375" style="404" customWidth="1"/>
    <col min="4126" max="4126" width="1.85546875" style="404" customWidth="1"/>
    <col min="4127" max="4127" width="11.85546875" style="404" bestFit="1" customWidth="1"/>
    <col min="4128" max="4128" width="15.28515625" style="404" bestFit="1" customWidth="1"/>
    <col min="4129" max="4129" width="5" style="404" customWidth="1"/>
    <col min="4130" max="4130" width="10.42578125" style="404" bestFit="1" customWidth="1"/>
    <col min="4131" max="4131" width="5" style="404" customWidth="1"/>
    <col min="4132" max="4132" width="10.42578125" style="404" bestFit="1" customWidth="1"/>
    <col min="4133" max="4135" width="9" style="404"/>
    <col min="4136" max="4136" width="10.42578125" style="404" bestFit="1" customWidth="1"/>
    <col min="4137" max="4365" width="9" style="404"/>
    <col min="4366" max="4366" width="3.5703125" style="404" customWidth="1"/>
    <col min="4367" max="4367" width="4.85546875" style="404" customWidth="1"/>
    <col min="4368" max="4368" width="5.42578125" style="404" customWidth="1"/>
    <col min="4369" max="4369" width="31.28515625" style="404" customWidth="1"/>
    <col min="4370" max="4370" width="7.5703125" style="404" customWidth="1"/>
    <col min="4371" max="4371" width="2.42578125" style="404" customWidth="1"/>
    <col min="4372" max="4372" width="11.5703125" style="404" customWidth="1"/>
    <col min="4373" max="4373" width="2.42578125" style="404" customWidth="1"/>
    <col min="4374" max="4374" width="11.5703125" style="404" customWidth="1"/>
    <col min="4375" max="4375" width="2.42578125" style="404" customWidth="1"/>
    <col min="4376" max="4376" width="10.85546875" style="404" customWidth="1"/>
    <col min="4377" max="4377" width="2.42578125" style="404" customWidth="1"/>
    <col min="4378" max="4378" width="11.140625" style="404" customWidth="1"/>
    <col min="4379" max="4379" width="1.85546875" style="404" customWidth="1"/>
    <col min="4380" max="4380" width="11" style="404" customWidth="1"/>
    <col min="4381" max="4381" width="0.7109375" style="404" customWidth="1"/>
    <col min="4382" max="4382" width="1.85546875" style="404" customWidth="1"/>
    <col min="4383" max="4383" width="11.85546875" style="404" bestFit="1" customWidth="1"/>
    <col min="4384" max="4384" width="15.28515625" style="404" bestFit="1" customWidth="1"/>
    <col min="4385" max="4385" width="5" style="404" customWidth="1"/>
    <col min="4386" max="4386" width="10.42578125" style="404" bestFit="1" customWidth="1"/>
    <col min="4387" max="4387" width="5" style="404" customWidth="1"/>
    <col min="4388" max="4388" width="10.42578125" style="404" bestFit="1" customWidth="1"/>
    <col min="4389" max="4391" width="9" style="404"/>
    <col min="4392" max="4392" width="10.42578125" style="404" bestFit="1" customWidth="1"/>
    <col min="4393" max="4621" width="9" style="404"/>
    <col min="4622" max="4622" width="3.5703125" style="404" customWidth="1"/>
    <col min="4623" max="4623" width="4.85546875" style="404" customWidth="1"/>
    <col min="4624" max="4624" width="5.42578125" style="404" customWidth="1"/>
    <col min="4625" max="4625" width="31.28515625" style="404" customWidth="1"/>
    <col min="4626" max="4626" width="7.5703125" style="404" customWidth="1"/>
    <col min="4627" max="4627" width="2.42578125" style="404" customWidth="1"/>
    <col min="4628" max="4628" width="11.5703125" style="404" customWidth="1"/>
    <col min="4629" max="4629" width="2.42578125" style="404" customWidth="1"/>
    <col min="4630" max="4630" width="11.5703125" style="404" customWidth="1"/>
    <col min="4631" max="4631" width="2.42578125" style="404" customWidth="1"/>
    <col min="4632" max="4632" width="10.85546875" style="404" customWidth="1"/>
    <col min="4633" max="4633" width="2.42578125" style="404" customWidth="1"/>
    <col min="4634" max="4634" width="11.140625" style="404" customWidth="1"/>
    <col min="4635" max="4635" width="1.85546875" style="404" customWidth="1"/>
    <col min="4636" max="4636" width="11" style="404" customWidth="1"/>
    <col min="4637" max="4637" width="0.7109375" style="404" customWidth="1"/>
    <col min="4638" max="4638" width="1.85546875" style="404" customWidth="1"/>
    <col min="4639" max="4639" width="11.85546875" style="404" bestFit="1" customWidth="1"/>
    <col min="4640" max="4640" width="15.28515625" style="404" bestFit="1" customWidth="1"/>
    <col min="4641" max="4641" width="5" style="404" customWidth="1"/>
    <col min="4642" max="4642" width="10.42578125" style="404" bestFit="1" customWidth="1"/>
    <col min="4643" max="4643" width="5" style="404" customWidth="1"/>
    <col min="4644" max="4644" width="10.42578125" style="404" bestFit="1" customWidth="1"/>
    <col min="4645" max="4647" width="9" style="404"/>
    <col min="4648" max="4648" width="10.42578125" style="404" bestFit="1" customWidth="1"/>
    <col min="4649" max="4877" width="9" style="404"/>
    <col min="4878" max="4878" width="3.5703125" style="404" customWidth="1"/>
    <col min="4879" max="4879" width="4.85546875" style="404" customWidth="1"/>
    <col min="4880" max="4880" width="5.42578125" style="404" customWidth="1"/>
    <col min="4881" max="4881" width="31.28515625" style="404" customWidth="1"/>
    <col min="4882" max="4882" width="7.5703125" style="404" customWidth="1"/>
    <col min="4883" max="4883" width="2.42578125" style="404" customWidth="1"/>
    <col min="4884" max="4884" width="11.5703125" style="404" customWidth="1"/>
    <col min="4885" max="4885" width="2.42578125" style="404" customWidth="1"/>
    <col min="4886" max="4886" width="11.5703125" style="404" customWidth="1"/>
    <col min="4887" max="4887" width="2.42578125" style="404" customWidth="1"/>
    <col min="4888" max="4888" width="10.85546875" style="404" customWidth="1"/>
    <col min="4889" max="4889" width="2.42578125" style="404" customWidth="1"/>
    <col min="4890" max="4890" width="11.140625" style="404" customWidth="1"/>
    <col min="4891" max="4891" width="1.85546875" style="404" customWidth="1"/>
    <col min="4892" max="4892" width="11" style="404" customWidth="1"/>
    <col min="4893" max="4893" width="0.7109375" style="404" customWidth="1"/>
    <col min="4894" max="4894" width="1.85546875" style="404" customWidth="1"/>
    <col min="4895" max="4895" width="11.85546875" style="404" bestFit="1" customWidth="1"/>
    <col min="4896" max="4896" width="15.28515625" style="404" bestFit="1" customWidth="1"/>
    <col min="4897" max="4897" width="5" style="404" customWidth="1"/>
    <col min="4898" max="4898" width="10.42578125" style="404" bestFit="1" customWidth="1"/>
    <col min="4899" max="4899" width="5" style="404" customWidth="1"/>
    <col min="4900" max="4900" width="10.42578125" style="404" bestFit="1" customWidth="1"/>
    <col min="4901" max="4903" width="9" style="404"/>
    <col min="4904" max="4904" width="10.42578125" style="404" bestFit="1" customWidth="1"/>
    <col min="4905" max="5133" width="9" style="404"/>
    <col min="5134" max="5134" width="3.5703125" style="404" customWidth="1"/>
    <col min="5135" max="5135" width="4.85546875" style="404" customWidth="1"/>
    <col min="5136" max="5136" width="5.42578125" style="404" customWidth="1"/>
    <col min="5137" max="5137" width="31.28515625" style="404" customWidth="1"/>
    <col min="5138" max="5138" width="7.5703125" style="404" customWidth="1"/>
    <col min="5139" max="5139" width="2.42578125" style="404" customWidth="1"/>
    <col min="5140" max="5140" width="11.5703125" style="404" customWidth="1"/>
    <col min="5141" max="5141" width="2.42578125" style="404" customWidth="1"/>
    <col min="5142" max="5142" width="11.5703125" style="404" customWidth="1"/>
    <col min="5143" max="5143" width="2.42578125" style="404" customWidth="1"/>
    <col min="5144" max="5144" width="10.85546875" style="404" customWidth="1"/>
    <col min="5145" max="5145" width="2.42578125" style="404" customWidth="1"/>
    <col min="5146" max="5146" width="11.140625" style="404" customWidth="1"/>
    <col min="5147" max="5147" width="1.85546875" style="404" customWidth="1"/>
    <col min="5148" max="5148" width="11" style="404" customWidth="1"/>
    <col min="5149" max="5149" width="0.7109375" style="404" customWidth="1"/>
    <col min="5150" max="5150" width="1.85546875" style="404" customWidth="1"/>
    <col min="5151" max="5151" width="11.85546875" style="404" bestFit="1" customWidth="1"/>
    <col min="5152" max="5152" width="15.28515625" style="404" bestFit="1" customWidth="1"/>
    <col min="5153" max="5153" width="5" style="404" customWidth="1"/>
    <col min="5154" max="5154" width="10.42578125" style="404" bestFit="1" customWidth="1"/>
    <col min="5155" max="5155" width="5" style="404" customWidth="1"/>
    <col min="5156" max="5156" width="10.42578125" style="404" bestFit="1" customWidth="1"/>
    <col min="5157" max="5159" width="9" style="404"/>
    <col min="5160" max="5160" width="10.42578125" style="404" bestFit="1" customWidth="1"/>
    <col min="5161" max="5389" width="9" style="404"/>
    <col min="5390" max="5390" width="3.5703125" style="404" customWidth="1"/>
    <col min="5391" max="5391" width="4.85546875" style="404" customWidth="1"/>
    <col min="5392" max="5392" width="5.42578125" style="404" customWidth="1"/>
    <col min="5393" max="5393" width="31.28515625" style="404" customWidth="1"/>
    <col min="5394" max="5394" width="7.5703125" style="404" customWidth="1"/>
    <col min="5395" max="5395" width="2.42578125" style="404" customWidth="1"/>
    <col min="5396" max="5396" width="11.5703125" style="404" customWidth="1"/>
    <col min="5397" max="5397" width="2.42578125" style="404" customWidth="1"/>
    <col min="5398" max="5398" width="11.5703125" style="404" customWidth="1"/>
    <col min="5399" max="5399" width="2.42578125" style="404" customWidth="1"/>
    <col min="5400" max="5400" width="10.85546875" style="404" customWidth="1"/>
    <col min="5401" max="5401" width="2.42578125" style="404" customWidth="1"/>
    <col min="5402" max="5402" width="11.140625" style="404" customWidth="1"/>
    <col min="5403" max="5403" width="1.85546875" style="404" customWidth="1"/>
    <col min="5404" max="5404" width="11" style="404" customWidth="1"/>
    <col min="5405" max="5405" width="0.7109375" style="404" customWidth="1"/>
    <col min="5406" max="5406" width="1.85546875" style="404" customWidth="1"/>
    <col min="5407" max="5407" width="11.85546875" style="404" bestFit="1" customWidth="1"/>
    <col min="5408" max="5408" width="15.28515625" style="404" bestFit="1" customWidth="1"/>
    <col min="5409" max="5409" width="5" style="404" customWidth="1"/>
    <col min="5410" max="5410" width="10.42578125" style="404" bestFit="1" customWidth="1"/>
    <col min="5411" max="5411" width="5" style="404" customWidth="1"/>
    <col min="5412" max="5412" width="10.42578125" style="404" bestFit="1" customWidth="1"/>
    <col min="5413" max="5415" width="9" style="404"/>
    <col min="5416" max="5416" width="10.42578125" style="404" bestFit="1" customWidth="1"/>
    <col min="5417" max="5645" width="9" style="404"/>
    <col min="5646" max="5646" width="3.5703125" style="404" customWidth="1"/>
    <col min="5647" max="5647" width="4.85546875" style="404" customWidth="1"/>
    <col min="5648" max="5648" width="5.42578125" style="404" customWidth="1"/>
    <col min="5649" max="5649" width="31.28515625" style="404" customWidth="1"/>
    <col min="5650" max="5650" width="7.5703125" style="404" customWidth="1"/>
    <col min="5651" max="5651" width="2.42578125" style="404" customWidth="1"/>
    <col min="5652" max="5652" width="11.5703125" style="404" customWidth="1"/>
    <col min="5653" max="5653" width="2.42578125" style="404" customWidth="1"/>
    <col min="5654" max="5654" width="11.5703125" style="404" customWidth="1"/>
    <col min="5655" max="5655" width="2.42578125" style="404" customWidth="1"/>
    <col min="5656" max="5656" width="10.85546875" style="404" customWidth="1"/>
    <col min="5657" max="5657" width="2.42578125" style="404" customWidth="1"/>
    <col min="5658" max="5658" width="11.140625" style="404" customWidth="1"/>
    <col min="5659" max="5659" width="1.85546875" style="404" customWidth="1"/>
    <col min="5660" max="5660" width="11" style="404" customWidth="1"/>
    <col min="5661" max="5661" width="0.7109375" style="404" customWidth="1"/>
    <col min="5662" max="5662" width="1.85546875" style="404" customWidth="1"/>
    <col min="5663" max="5663" width="11.85546875" style="404" bestFit="1" customWidth="1"/>
    <col min="5664" max="5664" width="15.28515625" style="404" bestFit="1" customWidth="1"/>
    <col min="5665" max="5665" width="5" style="404" customWidth="1"/>
    <col min="5666" max="5666" width="10.42578125" style="404" bestFit="1" customWidth="1"/>
    <col min="5667" max="5667" width="5" style="404" customWidth="1"/>
    <col min="5668" max="5668" width="10.42578125" style="404" bestFit="1" customWidth="1"/>
    <col min="5669" max="5671" width="9" style="404"/>
    <col min="5672" max="5672" width="10.42578125" style="404" bestFit="1" customWidth="1"/>
    <col min="5673" max="5901" width="9" style="404"/>
    <col min="5902" max="5902" width="3.5703125" style="404" customWidth="1"/>
    <col min="5903" max="5903" width="4.85546875" style="404" customWidth="1"/>
    <col min="5904" max="5904" width="5.42578125" style="404" customWidth="1"/>
    <col min="5905" max="5905" width="31.28515625" style="404" customWidth="1"/>
    <col min="5906" max="5906" width="7.5703125" style="404" customWidth="1"/>
    <col min="5907" max="5907" width="2.42578125" style="404" customWidth="1"/>
    <col min="5908" max="5908" width="11.5703125" style="404" customWidth="1"/>
    <col min="5909" max="5909" width="2.42578125" style="404" customWidth="1"/>
    <col min="5910" max="5910" width="11.5703125" style="404" customWidth="1"/>
    <col min="5911" max="5911" width="2.42578125" style="404" customWidth="1"/>
    <col min="5912" max="5912" width="10.85546875" style="404" customWidth="1"/>
    <col min="5913" max="5913" width="2.42578125" style="404" customWidth="1"/>
    <col min="5914" max="5914" width="11.140625" style="404" customWidth="1"/>
    <col min="5915" max="5915" width="1.85546875" style="404" customWidth="1"/>
    <col min="5916" max="5916" width="11" style="404" customWidth="1"/>
    <col min="5917" max="5917" width="0.7109375" style="404" customWidth="1"/>
    <col min="5918" max="5918" width="1.85546875" style="404" customWidth="1"/>
    <col min="5919" max="5919" width="11.85546875" style="404" bestFit="1" customWidth="1"/>
    <col min="5920" max="5920" width="15.28515625" style="404" bestFit="1" customWidth="1"/>
    <col min="5921" max="5921" width="5" style="404" customWidth="1"/>
    <col min="5922" max="5922" width="10.42578125" style="404" bestFit="1" customWidth="1"/>
    <col min="5923" max="5923" width="5" style="404" customWidth="1"/>
    <col min="5924" max="5924" width="10.42578125" style="404" bestFit="1" customWidth="1"/>
    <col min="5925" max="5927" width="9" style="404"/>
    <col min="5928" max="5928" width="10.42578125" style="404" bestFit="1" customWidth="1"/>
    <col min="5929" max="6157" width="9" style="404"/>
    <col min="6158" max="6158" width="3.5703125" style="404" customWidth="1"/>
    <col min="6159" max="6159" width="4.85546875" style="404" customWidth="1"/>
    <col min="6160" max="6160" width="5.42578125" style="404" customWidth="1"/>
    <col min="6161" max="6161" width="31.28515625" style="404" customWidth="1"/>
    <col min="6162" max="6162" width="7.5703125" style="404" customWidth="1"/>
    <col min="6163" max="6163" width="2.42578125" style="404" customWidth="1"/>
    <col min="6164" max="6164" width="11.5703125" style="404" customWidth="1"/>
    <col min="6165" max="6165" width="2.42578125" style="404" customWidth="1"/>
    <col min="6166" max="6166" width="11.5703125" style="404" customWidth="1"/>
    <col min="6167" max="6167" width="2.42578125" style="404" customWidth="1"/>
    <col min="6168" max="6168" width="10.85546875" style="404" customWidth="1"/>
    <col min="6169" max="6169" width="2.42578125" style="404" customWidth="1"/>
    <col min="6170" max="6170" width="11.140625" style="404" customWidth="1"/>
    <col min="6171" max="6171" width="1.85546875" style="404" customWidth="1"/>
    <col min="6172" max="6172" width="11" style="404" customWidth="1"/>
    <col min="6173" max="6173" width="0.7109375" style="404" customWidth="1"/>
    <col min="6174" max="6174" width="1.85546875" style="404" customWidth="1"/>
    <col min="6175" max="6175" width="11.85546875" style="404" bestFit="1" customWidth="1"/>
    <col min="6176" max="6176" width="15.28515625" style="404" bestFit="1" customWidth="1"/>
    <col min="6177" max="6177" width="5" style="404" customWidth="1"/>
    <col min="6178" max="6178" width="10.42578125" style="404" bestFit="1" customWidth="1"/>
    <col min="6179" max="6179" width="5" style="404" customWidth="1"/>
    <col min="6180" max="6180" width="10.42578125" style="404" bestFit="1" customWidth="1"/>
    <col min="6181" max="6183" width="9" style="404"/>
    <col min="6184" max="6184" width="10.42578125" style="404" bestFit="1" customWidth="1"/>
    <col min="6185" max="6413" width="9" style="404"/>
    <col min="6414" max="6414" width="3.5703125" style="404" customWidth="1"/>
    <col min="6415" max="6415" width="4.85546875" style="404" customWidth="1"/>
    <col min="6416" max="6416" width="5.42578125" style="404" customWidth="1"/>
    <col min="6417" max="6417" width="31.28515625" style="404" customWidth="1"/>
    <col min="6418" max="6418" width="7.5703125" style="404" customWidth="1"/>
    <col min="6419" max="6419" width="2.42578125" style="404" customWidth="1"/>
    <col min="6420" max="6420" width="11.5703125" style="404" customWidth="1"/>
    <col min="6421" max="6421" width="2.42578125" style="404" customWidth="1"/>
    <col min="6422" max="6422" width="11.5703125" style="404" customWidth="1"/>
    <col min="6423" max="6423" width="2.42578125" style="404" customWidth="1"/>
    <col min="6424" max="6424" width="10.85546875" style="404" customWidth="1"/>
    <col min="6425" max="6425" width="2.42578125" style="404" customWidth="1"/>
    <col min="6426" max="6426" width="11.140625" style="404" customWidth="1"/>
    <col min="6427" max="6427" width="1.85546875" style="404" customWidth="1"/>
    <col min="6428" max="6428" width="11" style="404" customWidth="1"/>
    <col min="6429" max="6429" width="0.7109375" style="404" customWidth="1"/>
    <col min="6430" max="6430" width="1.85546875" style="404" customWidth="1"/>
    <col min="6431" max="6431" width="11.85546875" style="404" bestFit="1" customWidth="1"/>
    <col min="6432" max="6432" width="15.28515625" style="404" bestFit="1" customWidth="1"/>
    <col min="6433" max="6433" width="5" style="404" customWidth="1"/>
    <col min="6434" max="6434" width="10.42578125" style="404" bestFit="1" customWidth="1"/>
    <col min="6435" max="6435" width="5" style="404" customWidth="1"/>
    <col min="6436" max="6436" width="10.42578125" style="404" bestFit="1" customWidth="1"/>
    <col min="6437" max="6439" width="9" style="404"/>
    <col min="6440" max="6440" width="10.42578125" style="404" bestFit="1" customWidth="1"/>
    <col min="6441" max="6669" width="9" style="404"/>
    <col min="6670" max="6670" width="3.5703125" style="404" customWidth="1"/>
    <col min="6671" max="6671" width="4.85546875" style="404" customWidth="1"/>
    <col min="6672" max="6672" width="5.42578125" style="404" customWidth="1"/>
    <col min="6673" max="6673" width="31.28515625" style="404" customWidth="1"/>
    <col min="6674" max="6674" width="7.5703125" style="404" customWidth="1"/>
    <col min="6675" max="6675" width="2.42578125" style="404" customWidth="1"/>
    <col min="6676" max="6676" width="11.5703125" style="404" customWidth="1"/>
    <col min="6677" max="6677" width="2.42578125" style="404" customWidth="1"/>
    <col min="6678" max="6678" width="11.5703125" style="404" customWidth="1"/>
    <col min="6679" max="6679" width="2.42578125" style="404" customWidth="1"/>
    <col min="6680" max="6680" width="10.85546875" style="404" customWidth="1"/>
    <col min="6681" max="6681" width="2.42578125" style="404" customWidth="1"/>
    <col min="6682" max="6682" width="11.140625" style="404" customWidth="1"/>
    <col min="6683" max="6683" width="1.85546875" style="404" customWidth="1"/>
    <col min="6684" max="6684" width="11" style="404" customWidth="1"/>
    <col min="6685" max="6685" width="0.7109375" style="404" customWidth="1"/>
    <col min="6686" max="6686" width="1.85546875" style="404" customWidth="1"/>
    <col min="6687" max="6687" width="11.85546875" style="404" bestFit="1" customWidth="1"/>
    <col min="6688" max="6688" width="15.28515625" style="404" bestFit="1" customWidth="1"/>
    <col min="6689" max="6689" width="5" style="404" customWidth="1"/>
    <col min="6690" max="6690" width="10.42578125" style="404" bestFit="1" customWidth="1"/>
    <col min="6691" max="6691" width="5" style="404" customWidth="1"/>
    <col min="6692" max="6692" width="10.42578125" style="404" bestFit="1" customWidth="1"/>
    <col min="6693" max="6695" width="9" style="404"/>
    <col min="6696" max="6696" width="10.42578125" style="404" bestFit="1" customWidth="1"/>
    <col min="6697" max="6925" width="9" style="404"/>
    <col min="6926" max="6926" width="3.5703125" style="404" customWidth="1"/>
    <col min="6927" max="6927" width="4.85546875" style="404" customWidth="1"/>
    <col min="6928" max="6928" width="5.42578125" style="404" customWidth="1"/>
    <col min="6929" max="6929" width="31.28515625" style="404" customWidth="1"/>
    <col min="6930" max="6930" width="7.5703125" style="404" customWidth="1"/>
    <col min="6931" max="6931" width="2.42578125" style="404" customWidth="1"/>
    <col min="6932" max="6932" width="11.5703125" style="404" customWidth="1"/>
    <col min="6933" max="6933" width="2.42578125" style="404" customWidth="1"/>
    <col min="6934" max="6934" width="11.5703125" style="404" customWidth="1"/>
    <col min="6935" max="6935" width="2.42578125" style="404" customWidth="1"/>
    <col min="6936" max="6936" width="10.85546875" style="404" customWidth="1"/>
    <col min="6937" max="6937" width="2.42578125" style="404" customWidth="1"/>
    <col min="6938" max="6938" width="11.140625" style="404" customWidth="1"/>
    <col min="6939" max="6939" width="1.85546875" style="404" customWidth="1"/>
    <col min="6940" max="6940" width="11" style="404" customWidth="1"/>
    <col min="6941" max="6941" width="0.7109375" style="404" customWidth="1"/>
    <col min="6942" max="6942" width="1.85546875" style="404" customWidth="1"/>
    <col min="6943" max="6943" width="11.85546875" style="404" bestFit="1" customWidth="1"/>
    <col min="6944" max="6944" width="15.28515625" style="404" bestFit="1" customWidth="1"/>
    <col min="6945" max="6945" width="5" style="404" customWidth="1"/>
    <col min="6946" max="6946" width="10.42578125" style="404" bestFit="1" customWidth="1"/>
    <col min="6947" max="6947" width="5" style="404" customWidth="1"/>
    <col min="6948" max="6948" width="10.42578125" style="404" bestFit="1" customWidth="1"/>
    <col min="6949" max="6951" width="9" style="404"/>
    <col min="6952" max="6952" width="10.42578125" style="404" bestFit="1" customWidth="1"/>
    <col min="6953" max="7181" width="9" style="404"/>
    <col min="7182" max="7182" width="3.5703125" style="404" customWidth="1"/>
    <col min="7183" max="7183" width="4.85546875" style="404" customWidth="1"/>
    <col min="7184" max="7184" width="5.42578125" style="404" customWidth="1"/>
    <col min="7185" max="7185" width="31.28515625" style="404" customWidth="1"/>
    <col min="7186" max="7186" width="7.5703125" style="404" customWidth="1"/>
    <col min="7187" max="7187" width="2.42578125" style="404" customWidth="1"/>
    <col min="7188" max="7188" width="11.5703125" style="404" customWidth="1"/>
    <col min="7189" max="7189" width="2.42578125" style="404" customWidth="1"/>
    <col min="7190" max="7190" width="11.5703125" style="404" customWidth="1"/>
    <col min="7191" max="7191" width="2.42578125" style="404" customWidth="1"/>
    <col min="7192" max="7192" width="10.85546875" style="404" customWidth="1"/>
    <col min="7193" max="7193" width="2.42578125" style="404" customWidth="1"/>
    <col min="7194" max="7194" width="11.140625" style="404" customWidth="1"/>
    <col min="7195" max="7195" width="1.85546875" style="404" customWidth="1"/>
    <col min="7196" max="7196" width="11" style="404" customWidth="1"/>
    <col min="7197" max="7197" width="0.7109375" style="404" customWidth="1"/>
    <col min="7198" max="7198" width="1.85546875" style="404" customWidth="1"/>
    <col min="7199" max="7199" width="11.85546875" style="404" bestFit="1" customWidth="1"/>
    <col min="7200" max="7200" width="15.28515625" style="404" bestFit="1" customWidth="1"/>
    <col min="7201" max="7201" width="5" style="404" customWidth="1"/>
    <col min="7202" max="7202" width="10.42578125" style="404" bestFit="1" customWidth="1"/>
    <col min="7203" max="7203" width="5" style="404" customWidth="1"/>
    <col min="7204" max="7204" width="10.42578125" style="404" bestFit="1" customWidth="1"/>
    <col min="7205" max="7207" width="9" style="404"/>
    <col min="7208" max="7208" width="10.42578125" style="404" bestFit="1" customWidth="1"/>
    <col min="7209" max="7437" width="9" style="404"/>
    <col min="7438" max="7438" width="3.5703125" style="404" customWidth="1"/>
    <col min="7439" max="7439" width="4.85546875" style="404" customWidth="1"/>
    <col min="7440" max="7440" width="5.42578125" style="404" customWidth="1"/>
    <col min="7441" max="7441" width="31.28515625" style="404" customWidth="1"/>
    <col min="7442" max="7442" width="7.5703125" style="404" customWidth="1"/>
    <col min="7443" max="7443" width="2.42578125" style="404" customWidth="1"/>
    <col min="7444" max="7444" width="11.5703125" style="404" customWidth="1"/>
    <col min="7445" max="7445" width="2.42578125" style="404" customWidth="1"/>
    <col min="7446" max="7446" width="11.5703125" style="404" customWidth="1"/>
    <col min="7447" max="7447" width="2.42578125" style="404" customWidth="1"/>
    <col min="7448" max="7448" width="10.85546875" style="404" customWidth="1"/>
    <col min="7449" max="7449" width="2.42578125" style="404" customWidth="1"/>
    <col min="7450" max="7450" width="11.140625" style="404" customWidth="1"/>
    <col min="7451" max="7451" width="1.85546875" style="404" customWidth="1"/>
    <col min="7452" max="7452" width="11" style="404" customWidth="1"/>
    <col min="7453" max="7453" width="0.7109375" style="404" customWidth="1"/>
    <col min="7454" max="7454" width="1.85546875" style="404" customWidth="1"/>
    <col min="7455" max="7455" width="11.85546875" style="404" bestFit="1" customWidth="1"/>
    <col min="7456" max="7456" width="15.28515625" style="404" bestFit="1" customWidth="1"/>
    <col min="7457" max="7457" width="5" style="404" customWidth="1"/>
    <col min="7458" max="7458" width="10.42578125" style="404" bestFit="1" customWidth="1"/>
    <col min="7459" max="7459" width="5" style="404" customWidth="1"/>
    <col min="7460" max="7460" width="10.42578125" style="404" bestFit="1" customWidth="1"/>
    <col min="7461" max="7463" width="9" style="404"/>
    <col min="7464" max="7464" width="10.42578125" style="404" bestFit="1" customWidth="1"/>
    <col min="7465" max="7693" width="9" style="404"/>
    <col min="7694" max="7694" width="3.5703125" style="404" customWidth="1"/>
    <col min="7695" max="7695" width="4.85546875" style="404" customWidth="1"/>
    <col min="7696" max="7696" width="5.42578125" style="404" customWidth="1"/>
    <col min="7697" max="7697" width="31.28515625" style="404" customWidth="1"/>
    <col min="7698" max="7698" width="7.5703125" style="404" customWidth="1"/>
    <col min="7699" max="7699" width="2.42578125" style="404" customWidth="1"/>
    <col min="7700" max="7700" width="11.5703125" style="404" customWidth="1"/>
    <col min="7701" max="7701" width="2.42578125" style="404" customWidth="1"/>
    <col min="7702" max="7702" width="11.5703125" style="404" customWidth="1"/>
    <col min="7703" max="7703" width="2.42578125" style="404" customWidth="1"/>
    <col min="7704" max="7704" width="10.85546875" style="404" customWidth="1"/>
    <col min="7705" max="7705" width="2.42578125" style="404" customWidth="1"/>
    <col min="7706" max="7706" width="11.140625" style="404" customWidth="1"/>
    <col min="7707" max="7707" width="1.85546875" style="404" customWidth="1"/>
    <col min="7708" max="7708" width="11" style="404" customWidth="1"/>
    <col min="7709" max="7709" width="0.7109375" style="404" customWidth="1"/>
    <col min="7710" max="7710" width="1.85546875" style="404" customWidth="1"/>
    <col min="7711" max="7711" width="11.85546875" style="404" bestFit="1" customWidth="1"/>
    <col min="7712" max="7712" width="15.28515625" style="404" bestFit="1" customWidth="1"/>
    <col min="7713" max="7713" width="5" style="404" customWidth="1"/>
    <col min="7714" max="7714" width="10.42578125" style="404" bestFit="1" customWidth="1"/>
    <col min="7715" max="7715" width="5" style="404" customWidth="1"/>
    <col min="7716" max="7716" width="10.42578125" style="404" bestFit="1" customWidth="1"/>
    <col min="7717" max="7719" width="9" style="404"/>
    <col min="7720" max="7720" width="10.42578125" style="404" bestFit="1" customWidth="1"/>
    <col min="7721" max="7949" width="9" style="404"/>
    <col min="7950" max="7950" width="3.5703125" style="404" customWidth="1"/>
    <col min="7951" max="7951" width="4.85546875" style="404" customWidth="1"/>
    <col min="7952" max="7952" width="5.42578125" style="404" customWidth="1"/>
    <col min="7953" max="7953" width="31.28515625" style="404" customWidth="1"/>
    <col min="7954" max="7954" width="7.5703125" style="404" customWidth="1"/>
    <col min="7955" max="7955" width="2.42578125" style="404" customWidth="1"/>
    <col min="7956" max="7956" width="11.5703125" style="404" customWidth="1"/>
    <col min="7957" max="7957" width="2.42578125" style="404" customWidth="1"/>
    <col min="7958" max="7958" width="11.5703125" style="404" customWidth="1"/>
    <col min="7959" max="7959" width="2.42578125" style="404" customWidth="1"/>
    <col min="7960" max="7960" width="10.85546875" style="404" customWidth="1"/>
    <col min="7961" max="7961" width="2.42578125" style="404" customWidth="1"/>
    <col min="7962" max="7962" width="11.140625" style="404" customWidth="1"/>
    <col min="7963" max="7963" width="1.85546875" style="404" customWidth="1"/>
    <col min="7964" max="7964" width="11" style="404" customWidth="1"/>
    <col min="7965" max="7965" width="0.7109375" style="404" customWidth="1"/>
    <col min="7966" max="7966" width="1.85546875" style="404" customWidth="1"/>
    <col min="7967" max="7967" width="11.85546875" style="404" bestFit="1" customWidth="1"/>
    <col min="7968" max="7968" width="15.28515625" style="404" bestFit="1" customWidth="1"/>
    <col min="7969" max="7969" width="5" style="404" customWidth="1"/>
    <col min="7970" max="7970" width="10.42578125" style="404" bestFit="1" customWidth="1"/>
    <col min="7971" max="7971" width="5" style="404" customWidth="1"/>
    <col min="7972" max="7972" width="10.42578125" style="404" bestFit="1" customWidth="1"/>
    <col min="7973" max="7975" width="9" style="404"/>
    <col min="7976" max="7976" width="10.42578125" style="404" bestFit="1" customWidth="1"/>
    <col min="7977" max="8205" width="9" style="404"/>
    <col min="8206" max="8206" width="3.5703125" style="404" customWidth="1"/>
    <col min="8207" max="8207" width="4.85546875" style="404" customWidth="1"/>
    <col min="8208" max="8208" width="5.42578125" style="404" customWidth="1"/>
    <col min="8209" max="8209" width="31.28515625" style="404" customWidth="1"/>
    <col min="8210" max="8210" width="7.5703125" style="404" customWidth="1"/>
    <col min="8211" max="8211" width="2.42578125" style="404" customWidth="1"/>
    <col min="8212" max="8212" width="11.5703125" style="404" customWidth="1"/>
    <col min="8213" max="8213" width="2.42578125" style="404" customWidth="1"/>
    <col min="8214" max="8214" width="11.5703125" style="404" customWidth="1"/>
    <col min="8215" max="8215" width="2.42578125" style="404" customWidth="1"/>
    <col min="8216" max="8216" width="10.85546875" style="404" customWidth="1"/>
    <col min="8217" max="8217" width="2.42578125" style="404" customWidth="1"/>
    <col min="8218" max="8218" width="11.140625" style="404" customWidth="1"/>
    <col min="8219" max="8219" width="1.85546875" style="404" customWidth="1"/>
    <col min="8220" max="8220" width="11" style="404" customWidth="1"/>
    <col min="8221" max="8221" width="0.7109375" style="404" customWidth="1"/>
    <col min="8222" max="8222" width="1.85546875" style="404" customWidth="1"/>
    <col min="8223" max="8223" width="11.85546875" style="404" bestFit="1" customWidth="1"/>
    <col min="8224" max="8224" width="15.28515625" style="404" bestFit="1" customWidth="1"/>
    <col min="8225" max="8225" width="5" style="404" customWidth="1"/>
    <col min="8226" max="8226" width="10.42578125" style="404" bestFit="1" customWidth="1"/>
    <col min="8227" max="8227" width="5" style="404" customWidth="1"/>
    <col min="8228" max="8228" width="10.42578125" style="404" bestFit="1" customWidth="1"/>
    <col min="8229" max="8231" width="9" style="404"/>
    <col min="8232" max="8232" width="10.42578125" style="404" bestFit="1" customWidth="1"/>
    <col min="8233" max="8461" width="9" style="404"/>
    <col min="8462" max="8462" width="3.5703125" style="404" customWidth="1"/>
    <col min="8463" max="8463" width="4.85546875" style="404" customWidth="1"/>
    <col min="8464" max="8464" width="5.42578125" style="404" customWidth="1"/>
    <col min="8465" max="8465" width="31.28515625" style="404" customWidth="1"/>
    <col min="8466" max="8466" width="7.5703125" style="404" customWidth="1"/>
    <col min="8467" max="8467" width="2.42578125" style="404" customWidth="1"/>
    <col min="8468" max="8468" width="11.5703125" style="404" customWidth="1"/>
    <col min="8469" max="8469" width="2.42578125" style="404" customWidth="1"/>
    <col min="8470" max="8470" width="11.5703125" style="404" customWidth="1"/>
    <col min="8471" max="8471" width="2.42578125" style="404" customWidth="1"/>
    <col min="8472" max="8472" width="10.85546875" style="404" customWidth="1"/>
    <col min="8473" max="8473" width="2.42578125" style="404" customWidth="1"/>
    <col min="8474" max="8474" width="11.140625" style="404" customWidth="1"/>
    <col min="8475" max="8475" width="1.85546875" style="404" customWidth="1"/>
    <col min="8476" max="8476" width="11" style="404" customWidth="1"/>
    <col min="8477" max="8477" width="0.7109375" style="404" customWidth="1"/>
    <col min="8478" max="8478" width="1.85546875" style="404" customWidth="1"/>
    <col min="8479" max="8479" width="11.85546875" style="404" bestFit="1" customWidth="1"/>
    <col min="8480" max="8480" width="15.28515625" style="404" bestFit="1" customWidth="1"/>
    <col min="8481" max="8481" width="5" style="404" customWidth="1"/>
    <col min="8482" max="8482" width="10.42578125" style="404" bestFit="1" customWidth="1"/>
    <col min="8483" max="8483" width="5" style="404" customWidth="1"/>
    <col min="8484" max="8484" width="10.42578125" style="404" bestFit="1" customWidth="1"/>
    <col min="8485" max="8487" width="9" style="404"/>
    <col min="8488" max="8488" width="10.42578125" style="404" bestFit="1" customWidth="1"/>
    <col min="8489" max="8717" width="9" style="404"/>
    <col min="8718" max="8718" width="3.5703125" style="404" customWidth="1"/>
    <col min="8719" max="8719" width="4.85546875" style="404" customWidth="1"/>
    <col min="8720" max="8720" width="5.42578125" style="404" customWidth="1"/>
    <col min="8721" max="8721" width="31.28515625" style="404" customWidth="1"/>
    <col min="8722" max="8722" width="7.5703125" style="404" customWidth="1"/>
    <col min="8723" max="8723" width="2.42578125" style="404" customWidth="1"/>
    <col min="8724" max="8724" width="11.5703125" style="404" customWidth="1"/>
    <col min="8725" max="8725" width="2.42578125" style="404" customWidth="1"/>
    <col min="8726" max="8726" width="11.5703125" style="404" customWidth="1"/>
    <col min="8727" max="8727" width="2.42578125" style="404" customWidth="1"/>
    <col min="8728" max="8728" width="10.85546875" style="404" customWidth="1"/>
    <col min="8729" max="8729" width="2.42578125" style="404" customWidth="1"/>
    <col min="8730" max="8730" width="11.140625" style="404" customWidth="1"/>
    <col min="8731" max="8731" width="1.85546875" style="404" customWidth="1"/>
    <col min="8732" max="8732" width="11" style="404" customWidth="1"/>
    <col min="8733" max="8733" width="0.7109375" style="404" customWidth="1"/>
    <col min="8734" max="8734" width="1.85546875" style="404" customWidth="1"/>
    <col min="8735" max="8735" width="11.85546875" style="404" bestFit="1" customWidth="1"/>
    <col min="8736" max="8736" width="15.28515625" style="404" bestFit="1" customWidth="1"/>
    <col min="8737" max="8737" width="5" style="404" customWidth="1"/>
    <col min="8738" max="8738" width="10.42578125" style="404" bestFit="1" customWidth="1"/>
    <col min="8739" max="8739" width="5" style="404" customWidth="1"/>
    <col min="8740" max="8740" width="10.42578125" style="404" bestFit="1" customWidth="1"/>
    <col min="8741" max="8743" width="9" style="404"/>
    <col min="8744" max="8744" width="10.42578125" style="404" bestFit="1" customWidth="1"/>
    <col min="8745" max="8973" width="9" style="404"/>
    <col min="8974" max="8974" width="3.5703125" style="404" customWidth="1"/>
    <col min="8975" max="8975" width="4.85546875" style="404" customWidth="1"/>
    <col min="8976" max="8976" width="5.42578125" style="404" customWidth="1"/>
    <col min="8977" max="8977" width="31.28515625" style="404" customWidth="1"/>
    <col min="8978" max="8978" width="7.5703125" style="404" customWidth="1"/>
    <col min="8979" max="8979" width="2.42578125" style="404" customWidth="1"/>
    <col min="8980" max="8980" width="11.5703125" style="404" customWidth="1"/>
    <col min="8981" max="8981" width="2.42578125" style="404" customWidth="1"/>
    <col min="8982" max="8982" width="11.5703125" style="404" customWidth="1"/>
    <col min="8983" max="8983" width="2.42578125" style="404" customWidth="1"/>
    <col min="8984" max="8984" width="10.85546875" style="404" customWidth="1"/>
    <col min="8985" max="8985" width="2.42578125" style="404" customWidth="1"/>
    <col min="8986" max="8986" width="11.140625" style="404" customWidth="1"/>
    <col min="8987" max="8987" width="1.85546875" style="404" customWidth="1"/>
    <col min="8988" max="8988" width="11" style="404" customWidth="1"/>
    <col min="8989" max="8989" width="0.7109375" style="404" customWidth="1"/>
    <col min="8990" max="8990" width="1.85546875" style="404" customWidth="1"/>
    <col min="8991" max="8991" width="11.85546875" style="404" bestFit="1" customWidth="1"/>
    <col min="8992" max="8992" width="15.28515625" style="404" bestFit="1" customWidth="1"/>
    <col min="8993" max="8993" width="5" style="404" customWidth="1"/>
    <col min="8994" max="8994" width="10.42578125" style="404" bestFit="1" customWidth="1"/>
    <col min="8995" max="8995" width="5" style="404" customWidth="1"/>
    <col min="8996" max="8996" width="10.42578125" style="404" bestFit="1" customWidth="1"/>
    <col min="8997" max="8999" width="9" style="404"/>
    <col min="9000" max="9000" width="10.42578125" style="404" bestFit="1" customWidth="1"/>
    <col min="9001" max="9229" width="9" style="404"/>
    <col min="9230" max="9230" width="3.5703125" style="404" customWidth="1"/>
    <col min="9231" max="9231" width="4.85546875" style="404" customWidth="1"/>
    <col min="9232" max="9232" width="5.42578125" style="404" customWidth="1"/>
    <col min="9233" max="9233" width="31.28515625" style="404" customWidth="1"/>
    <col min="9234" max="9234" width="7.5703125" style="404" customWidth="1"/>
    <col min="9235" max="9235" width="2.42578125" style="404" customWidth="1"/>
    <col min="9236" max="9236" width="11.5703125" style="404" customWidth="1"/>
    <col min="9237" max="9237" width="2.42578125" style="404" customWidth="1"/>
    <col min="9238" max="9238" width="11.5703125" style="404" customWidth="1"/>
    <col min="9239" max="9239" width="2.42578125" style="404" customWidth="1"/>
    <col min="9240" max="9240" width="10.85546875" style="404" customWidth="1"/>
    <col min="9241" max="9241" width="2.42578125" style="404" customWidth="1"/>
    <col min="9242" max="9242" width="11.140625" style="404" customWidth="1"/>
    <col min="9243" max="9243" width="1.85546875" style="404" customWidth="1"/>
    <col min="9244" max="9244" width="11" style="404" customWidth="1"/>
    <col min="9245" max="9245" width="0.7109375" style="404" customWidth="1"/>
    <col min="9246" max="9246" width="1.85546875" style="404" customWidth="1"/>
    <col min="9247" max="9247" width="11.85546875" style="404" bestFit="1" customWidth="1"/>
    <col min="9248" max="9248" width="15.28515625" style="404" bestFit="1" customWidth="1"/>
    <col min="9249" max="9249" width="5" style="404" customWidth="1"/>
    <col min="9250" max="9250" width="10.42578125" style="404" bestFit="1" customWidth="1"/>
    <col min="9251" max="9251" width="5" style="404" customWidth="1"/>
    <col min="9252" max="9252" width="10.42578125" style="404" bestFit="1" customWidth="1"/>
    <col min="9253" max="9255" width="9" style="404"/>
    <col min="9256" max="9256" width="10.42578125" style="404" bestFit="1" customWidth="1"/>
    <col min="9257" max="9485" width="9" style="404"/>
    <col min="9486" max="9486" width="3.5703125" style="404" customWidth="1"/>
    <col min="9487" max="9487" width="4.85546875" style="404" customWidth="1"/>
    <col min="9488" max="9488" width="5.42578125" style="404" customWidth="1"/>
    <col min="9489" max="9489" width="31.28515625" style="404" customWidth="1"/>
    <col min="9490" max="9490" width="7.5703125" style="404" customWidth="1"/>
    <col min="9491" max="9491" width="2.42578125" style="404" customWidth="1"/>
    <col min="9492" max="9492" width="11.5703125" style="404" customWidth="1"/>
    <col min="9493" max="9493" width="2.42578125" style="404" customWidth="1"/>
    <col min="9494" max="9494" width="11.5703125" style="404" customWidth="1"/>
    <col min="9495" max="9495" width="2.42578125" style="404" customWidth="1"/>
    <col min="9496" max="9496" width="10.85546875" style="404" customWidth="1"/>
    <col min="9497" max="9497" width="2.42578125" style="404" customWidth="1"/>
    <col min="9498" max="9498" width="11.140625" style="404" customWidth="1"/>
    <col min="9499" max="9499" width="1.85546875" style="404" customWidth="1"/>
    <col min="9500" max="9500" width="11" style="404" customWidth="1"/>
    <col min="9501" max="9501" width="0.7109375" style="404" customWidth="1"/>
    <col min="9502" max="9502" width="1.85546875" style="404" customWidth="1"/>
    <col min="9503" max="9503" width="11.85546875" style="404" bestFit="1" customWidth="1"/>
    <col min="9504" max="9504" width="15.28515625" style="404" bestFit="1" customWidth="1"/>
    <col min="9505" max="9505" width="5" style="404" customWidth="1"/>
    <col min="9506" max="9506" width="10.42578125" style="404" bestFit="1" customWidth="1"/>
    <col min="9507" max="9507" width="5" style="404" customWidth="1"/>
    <col min="9508" max="9508" width="10.42578125" style="404" bestFit="1" customWidth="1"/>
    <col min="9509" max="9511" width="9" style="404"/>
    <col min="9512" max="9512" width="10.42578125" style="404" bestFit="1" customWidth="1"/>
    <col min="9513" max="9741" width="9" style="404"/>
    <col min="9742" max="9742" width="3.5703125" style="404" customWidth="1"/>
    <col min="9743" max="9743" width="4.85546875" style="404" customWidth="1"/>
    <col min="9744" max="9744" width="5.42578125" style="404" customWidth="1"/>
    <col min="9745" max="9745" width="31.28515625" style="404" customWidth="1"/>
    <col min="9746" max="9746" width="7.5703125" style="404" customWidth="1"/>
    <col min="9747" max="9747" width="2.42578125" style="404" customWidth="1"/>
    <col min="9748" max="9748" width="11.5703125" style="404" customWidth="1"/>
    <col min="9749" max="9749" width="2.42578125" style="404" customWidth="1"/>
    <col min="9750" max="9750" width="11.5703125" style="404" customWidth="1"/>
    <col min="9751" max="9751" width="2.42578125" style="404" customWidth="1"/>
    <col min="9752" max="9752" width="10.85546875" style="404" customWidth="1"/>
    <col min="9753" max="9753" width="2.42578125" style="404" customWidth="1"/>
    <col min="9754" max="9754" width="11.140625" style="404" customWidth="1"/>
    <col min="9755" max="9755" width="1.85546875" style="404" customWidth="1"/>
    <col min="9756" max="9756" width="11" style="404" customWidth="1"/>
    <col min="9757" max="9757" width="0.7109375" style="404" customWidth="1"/>
    <col min="9758" max="9758" width="1.85546875" style="404" customWidth="1"/>
    <col min="9759" max="9759" width="11.85546875" style="404" bestFit="1" customWidth="1"/>
    <col min="9760" max="9760" width="15.28515625" style="404" bestFit="1" customWidth="1"/>
    <col min="9761" max="9761" width="5" style="404" customWidth="1"/>
    <col min="9762" max="9762" width="10.42578125" style="404" bestFit="1" customWidth="1"/>
    <col min="9763" max="9763" width="5" style="404" customWidth="1"/>
    <col min="9764" max="9764" width="10.42578125" style="404" bestFit="1" customWidth="1"/>
    <col min="9765" max="9767" width="9" style="404"/>
    <col min="9768" max="9768" width="10.42578125" style="404" bestFit="1" customWidth="1"/>
    <col min="9769" max="9997" width="9" style="404"/>
    <col min="9998" max="9998" width="3.5703125" style="404" customWidth="1"/>
    <col min="9999" max="9999" width="4.85546875" style="404" customWidth="1"/>
    <col min="10000" max="10000" width="5.42578125" style="404" customWidth="1"/>
    <col min="10001" max="10001" width="31.28515625" style="404" customWidth="1"/>
    <col min="10002" max="10002" width="7.5703125" style="404" customWidth="1"/>
    <col min="10003" max="10003" width="2.42578125" style="404" customWidth="1"/>
    <col min="10004" max="10004" width="11.5703125" style="404" customWidth="1"/>
    <col min="10005" max="10005" width="2.42578125" style="404" customWidth="1"/>
    <col min="10006" max="10006" width="11.5703125" style="404" customWidth="1"/>
    <col min="10007" max="10007" width="2.42578125" style="404" customWidth="1"/>
    <col min="10008" max="10008" width="10.85546875" style="404" customWidth="1"/>
    <col min="10009" max="10009" width="2.42578125" style="404" customWidth="1"/>
    <col min="10010" max="10010" width="11.140625" style="404" customWidth="1"/>
    <col min="10011" max="10011" width="1.85546875" style="404" customWidth="1"/>
    <col min="10012" max="10012" width="11" style="404" customWidth="1"/>
    <col min="10013" max="10013" width="0.7109375" style="404" customWidth="1"/>
    <col min="10014" max="10014" width="1.85546875" style="404" customWidth="1"/>
    <col min="10015" max="10015" width="11.85546875" style="404" bestFit="1" customWidth="1"/>
    <col min="10016" max="10016" width="15.28515625" style="404" bestFit="1" customWidth="1"/>
    <col min="10017" max="10017" width="5" style="404" customWidth="1"/>
    <col min="10018" max="10018" width="10.42578125" style="404" bestFit="1" customWidth="1"/>
    <col min="10019" max="10019" width="5" style="404" customWidth="1"/>
    <col min="10020" max="10020" width="10.42578125" style="404" bestFit="1" customWidth="1"/>
    <col min="10021" max="10023" width="9" style="404"/>
    <col min="10024" max="10024" width="10.42578125" style="404" bestFit="1" customWidth="1"/>
    <col min="10025" max="10253" width="9" style="404"/>
    <col min="10254" max="10254" width="3.5703125" style="404" customWidth="1"/>
    <col min="10255" max="10255" width="4.85546875" style="404" customWidth="1"/>
    <col min="10256" max="10256" width="5.42578125" style="404" customWidth="1"/>
    <col min="10257" max="10257" width="31.28515625" style="404" customWidth="1"/>
    <col min="10258" max="10258" width="7.5703125" style="404" customWidth="1"/>
    <col min="10259" max="10259" width="2.42578125" style="404" customWidth="1"/>
    <col min="10260" max="10260" width="11.5703125" style="404" customWidth="1"/>
    <col min="10261" max="10261" width="2.42578125" style="404" customWidth="1"/>
    <col min="10262" max="10262" width="11.5703125" style="404" customWidth="1"/>
    <col min="10263" max="10263" width="2.42578125" style="404" customWidth="1"/>
    <col min="10264" max="10264" width="10.85546875" style="404" customWidth="1"/>
    <col min="10265" max="10265" width="2.42578125" style="404" customWidth="1"/>
    <col min="10266" max="10266" width="11.140625" style="404" customWidth="1"/>
    <col min="10267" max="10267" width="1.85546875" style="404" customWidth="1"/>
    <col min="10268" max="10268" width="11" style="404" customWidth="1"/>
    <col min="10269" max="10269" width="0.7109375" style="404" customWidth="1"/>
    <col min="10270" max="10270" width="1.85546875" style="404" customWidth="1"/>
    <col min="10271" max="10271" width="11.85546875" style="404" bestFit="1" customWidth="1"/>
    <col min="10272" max="10272" width="15.28515625" style="404" bestFit="1" customWidth="1"/>
    <col min="10273" max="10273" width="5" style="404" customWidth="1"/>
    <col min="10274" max="10274" width="10.42578125" style="404" bestFit="1" customWidth="1"/>
    <col min="10275" max="10275" width="5" style="404" customWidth="1"/>
    <col min="10276" max="10276" width="10.42578125" style="404" bestFit="1" customWidth="1"/>
    <col min="10277" max="10279" width="9" style="404"/>
    <col min="10280" max="10280" width="10.42578125" style="404" bestFit="1" customWidth="1"/>
    <col min="10281" max="10509" width="9" style="404"/>
    <col min="10510" max="10510" width="3.5703125" style="404" customWidth="1"/>
    <col min="10511" max="10511" width="4.85546875" style="404" customWidth="1"/>
    <col min="10512" max="10512" width="5.42578125" style="404" customWidth="1"/>
    <col min="10513" max="10513" width="31.28515625" style="404" customWidth="1"/>
    <col min="10514" max="10514" width="7.5703125" style="404" customWidth="1"/>
    <col min="10515" max="10515" width="2.42578125" style="404" customWidth="1"/>
    <col min="10516" max="10516" width="11.5703125" style="404" customWidth="1"/>
    <col min="10517" max="10517" width="2.42578125" style="404" customWidth="1"/>
    <col min="10518" max="10518" width="11.5703125" style="404" customWidth="1"/>
    <col min="10519" max="10519" width="2.42578125" style="404" customWidth="1"/>
    <col min="10520" max="10520" width="10.85546875" style="404" customWidth="1"/>
    <col min="10521" max="10521" width="2.42578125" style="404" customWidth="1"/>
    <col min="10522" max="10522" width="11.140625" style="404" customWidth="1"/>
    <col min="10523" max="10523" width="1.85546875" style="404" customWidth="1"/>
    <col min="10524" max="10524" width="11" style="404" customWidth="1"/>
    <col min="10525" max="10525" width="0.7109375" style="404" customWidth="1"/>
    <col min="10526" max="10526" width="1.85546875" style="404" customWidth="1"/>
    <col min="10527" max="10527" width="11.85546875" style="404" bestFit="1" customWidth="1"/>
    <col min="10528" max="10528" width="15.28515625" style="404" bestFit="1" customWidth="1"/>
    <col min="10529" max="10529" width="5" style="404" customWidth="1"/>
    <col min="10530" max="10530" width="10.42578125" style="404" bestFit="1" customWidth="1"/>
    <col min="10531" max="10531" width="5" style="404" customWidth="1"/>
    <col min="10532" max="10532" width="10.42578125" style="404" bestFit="1" customWidth="1"/>
    <col min="10533" max="10535" width="9" style="404"/>
    <col min="10536" max="10536" width="10.42578125" style="404" bestFit="1" customWidth="1"/>
    <col min="10537" max="10765" width="9" style="404"/>
    <col min="10766" max="10766" width="3.5703125" style="404" customWidth="1"/>
    <col min="10767" max="10767" width="4.85546875" style="404" customWidth="1"/>
    <col min="10768" max="10768" width="5.42578125" style="404" customWidth="1"/>
    <col min="10769" max="10769" width="31.28515625" style="404" customWidth="1"/>
    <col min="10770" max="10770" width="7.5703125" style="404" customWidth="1"/>
    <col min="10771" max="10771" width="2.42578125" style="404" customWidth="1"/>
    <col min="10772" max="10772" width="11.5703125" style="404" customWidth="1"/>
    <col min="10773" max="10773" width="2.42578125" style="404" customWidth="1"/>
    <col min="10774" max="10774" width="11.5703125" style="404" customWidth="1"/>
    <col min="10775" max="10775" width="2.42578125" style="404" customWidth="1"/>
    <col min="10776" max="10776" width="10.85546875" style="404" customWidth="1"/>
    <col min="10777" max="10777" width="2.42578125" style="404" customWidth="1"/>
    <col min="10778" max="10778" width="11.140625" style="404" customWidth="1"/>
    <col min="10779" max="10779" width="1.85546875" style="404" customWidth="1"/>
    <col min="10780" max="10780" width="11" style="404" customWidth="1"/>
    <col min="10781" max="10781" width="0.7109375" style="404" customWidth="1"/>
    <col min="10782" max="10782" width="1.85546875" style="404" customWidth="1"/>
    <col min="10783" max="10783" width="11.85546875" style="404" bestFit="1" customWidth="1"/>
    <col min="10784" max="10784" width="15.28515625" style="404" bestFit="1" customWidth="1"/>
    <col min="10785" max="10785" width="5" style="404" customWidth="1"/>
    <col min="10786" max="10786" width="10.42578125" style="404" bestFit="1" customWidth="1"/>
    <col min="10787" max="10787" width="5" style="404" customWidth="1"/>
    <col min="10788" max="10788" width="10.42578125" style="404" bestFit="1" customWidth="1"/>
    <col min="10789" max="10791" width="9" style="404"/>
    <col min="10792" max="10792" width="10.42578125" style="404" bestFit="1" customWidth="1"/>
    <col min="10793" max="11021" width="9" style="404"/>
    <col min="11022" max="11022" width="3.5703125" style="404" customWidth="1"/>
    <col min="11023" max="11023" width="4.85546875" style="404" customWidth="1"/>
    <col min="11024" max="11024" width="5.42578125" style="404" customWidth="1"/>
    <col min="11025" max="11025" width="31.28515625" style="404" customWidth="1"/>
    <col min="11026" max="11026" width="7.5703125" style="404" customWidth="1"/>
    <col min="11027" max="11027" width="2.42578125" style="404" customWidth="1"/>
    <col min="11028" max="11028" width="11.5703125" style="404" customWidth="1"/>
    <col min="11029" max="11029" width="2.42578125" style="404" customWidth="1"/>
    <col min="11030" max="11030" width="11.5703125" style="404" customWidth="1"/>
    <col min="11031" max="11031" width="2.42578125" style="404" customWidth="1"/>
    <col min="11032" max="11032" width="10.85546875" style="404" customWidth="1"/>
    <col min="11033" max="11033" width="2.42578125" style="404" customWidth="1"/>
    <col min="11034" max="11034" width="11.140625" style="404" customWidth="1"/>
    <col min="11035" max="11035" width="1.85546875" style="404" customWidth="1"/>
    <col min="11036" max="11036" width="11" style="404" customWidth="1"/>
    <col min="11037" max="11037" width="0.7109375" style="404" customWidth="1"/>
    <col min="11038" max="11038" width="1.85546875" style="404" customWidth="1"/>
    <col min="11039" max="11039" width="11.85546875" style="404" bestFit="1" customWidth="1"/>
    <col min="11040" max="11040" width="15.28515625" style="404" bestFit="1" customWidth="1"/>
    <col min="11041" max="11041" width="5" style="404" customWidth="1"/>
    <col min="11042" max="11042" width="10.42578125" style="404" bestFit="1" customWidth="1"/>
    <col min="11043" max="11043" width="5" style="404" customWidth="1"/>
    <col min="11044" max="11044" width="10.42578125" style="404" bestFit="1" customWidth="1"/>
    <col min="11045" max="11047" width="9" style="404"/>
    <col min="11048" max="11048" width="10.42578125" style="404" bestFit="1" customWidth="1"/>
    <col min="11049" max="11277" width="9" style="404"/>
    <col min="11278" max="11278" width="3.5703125" style="404" customWidth="1"/>
    <col min="11279" max="11279" width="4.85546875" style="404" customWidth="1"/>
    <col min="11280" max="11280" width="5.42578125" style="404" customWidth="1"/>
    <col min="11281" max="11281" width="31.28515625" style="404" customWidth="1"/>
    <col min="11282" max="11282" width="7.5703125" style="404" customWidth="1"/>
    <col min="11283" max="11283" width="2.42578125" style="404" customWidth="1"/>
    <col min="11284" max="11284" width="11.5703125" style="404" customWidth="1"/>
    <col min="11285" max="11285" width="2.42578125" style="404" customWidth="1"/>
    <col min="11286" max="11286" width="11.5703125" style="404" customWidth="1"/>
    <col min="11287" max="11287" width="2.42578125" style="404" customWidth="1"/>
    <col min="11288" max="11288" width="10.85546875" style="404" customWidth="1"/>
    <col min="11289" max="11289" width="2.42578125" style="404" customWidth="1"/>
    <col min="11290" max="11290" width="11.140625" style="404" customWidth="1"/>
    <col min="11291" max="11291" width="1.85546875" style="404" customWidth="1"/>
    <col min="11292" max="11292" width="11" style="404" customWidth="1"/>
    <col min="11293" max="11293" width="0.7109375" style="404" customWidth="1"/>
    <col min="11294" max="11294" width="1.85546875" style="404" customWidth="1"/>
    <col min="11295" max="11295" width="11.85546875" style="404" bestFit="1" customWidth="1"/>
    <col min="11296" max="11296" width="15.28515625" style="404" bestFit="1" customWidth="1"/>
    <col min="11297" max="11297" width="5" style="404" customWidth="1"/>
    <col min="11298" max="11298" width="10.42578125" style="404" bestFit="1" customWidth="1"/>
    <col min="11299" max="11299" width="5" style="404" customWidth="1"/>
    <col min="11300" max="11300" width="10.42578125" style="404" bestFit="1" customWidth="1"/>
    <col min="11301" max="11303" width="9" style="404"/>
    <col min="11304" max="11304" width="10.42578125" style="404" bestFit="1" customWidth="1"/>
    <col min="11305" max="11533" width="9" style="404"/>
    <col min="11534" max="11534" width="3.5703125" style="404" customWidth="1"/>
    <col min="11535" max="11535" width="4.85546875" style="404" customWidth="1"/>
    <col min="11536" max="11536" width="5.42578125" style="404" customWidth="1"/>
    <col min="11537" max="11537" width="31.28515625" style="404" customWidth="1"/>
    <col min="11538" max="11538" width="7.5703125" style="404" customWidth="1"/>
    <col min="11539" max="11539" width="2.42578125" style="404" customWidth="1"/>
    <col min="11540" max="11540" width="11.5703125" style="404" customWidth="1"/>
    <col min="11541" max="11541" width="2.42578125" style="404" customWidth="1"/>
    <col min="11542" max="11542" width="11.5703125" style="404" customWidth="1"/>
    <col min="11543" max="11543" width="2.42578125" style="404" customWidth="1"/>
    <col min="11544" max="11544" width="10.85546875" style="404" customWidth="1"/>
    <col min="11545" max="11545" width="2.42578125" style="404" customWidth="1"/>
    <col min="11546" max="11546" width="11.140625" style="404" customWidth="1"/>
    <col min="11547" max="11547" width="1.85546875" style="404" customWidth="1"/>
    <col min="11548" max="11548" width="11" style="404" customWidth="1"/>
    <col min="11549" max="11549" width="0.7109375" style="404" customWidth="1"/>
    <col min="11550" max="11550" width="1.85546875" style="404" customWidth="1"/>
    <col min="11551" max="11551" width="11.85546875" style="404" bestFit="1" customWidth="1"/>
    <col min="11552" max="11552" width="15.28515625" style="404" bestFit="1" customWidth="1"/>
    <col min="11553" max="11553" width="5" style="404" customWidth="1"/>
    <col min="11554" max="11554" width="10.42578125" style="404" bestFit="1" customWidth="1"/>
    <col min="11555" max="11555" width="5" style="404" customWidth="1"/>
    <col min="11556" max="11556" width="10.42578125" style="404" bestFit="1" customWidth="1"/>
    <col min="11557" max="11559" width="9" style="404"/>
    <col min="11560" max="11560" width="10.42578125" style="404" bestFit="1" customWidth="1"/>
    <col min="11561" max="11789" width="9" style="404"/>
    <col min="11790" max="11790" width="3.5703125" style="404" customWidth="1"/>
    <col min="11791" max="11791" width="4.85546875" style="404" customWidth="1"/>
    <col min="11792" max="11792" width="5.42578125" style="404" customWidth="1"/>
    <col min="11793" max="11793" width="31.28515625" style="404" customWidth="1"/>
    <col min="11794" max="11794" width="7.5703125" style="404" customWidth="1"/>
    <col min="11795" max="11795" width="2.42578125" style="404" customWidth="1"/>
    <col min="11796" max="11796" width="11.5703125" style="404" customWidth="1"/>
    <col min="11797" max="11797" width="2.42578125" style="404" customWidth="1"/>
    <col min="11798" max="11798" width="11.5703125" style="404" customWidth="1"/>
    <col min="11799" max="11799" width="2.42578125" style="404" customWidth="1"/>
    <col min="11800" max="11800" width="10.85546875" style="404" customWidth="1"/>
    <col min="11801" max="11801" width="2.42578125" style="404" customWidth="1"/>
    <col min="11802" max="11802" width="11.140625" style="404" customWidth="1"/>
    <col min="11803" max="11803" width="1.85546875" style="404" customWidth="1"/>
    <col min="11804" max="11804" width="11" style="404" customWidth="1"/>
    <col min="11805" max="11805" width="0.7109375" style="404" customWidth="1"/>
    <col min="11806" max="11806" width="1.85546875" style="404" customWidth="1"/>
    <col min="11807" max="11807" width="11.85546875" style="404" bestFit="1" customWidth="1"/>
    <col min="11808" max="11808" width="15.28515625" style="404" bestFit="1" customWidth="1"/>
    <col min="11809" max="11809" width="5" style="404" customWidth="1"/>
    <col min="11810" max="11810" width="10.42578125" style="404" bestFit="1" customWidth="1"/>
    <col min="11811" max="11811" width="5" style="404" customWidth="1"/>
    <col min="11812" max="11812" width="10.42578125" style="404" bestFit="1" customWidth="1"/>
    <col min="11813" max="11815" width="9" style="404"/>
    <col min="11816" max="11816" width="10.42578125" style="404" bestFit="1" customWidth="1"/>
    <col min="11817" max="12045" width="9" style="404"/>
    <col min="12046" max="12046" width="3.5703125" style="404" customWidth="1"/>
    <col min="12047" max="12047" width="4.85546875" style="404" customWidth="1"/>
    <col min="12048" max="12048" width="5.42578125" style="404" customWidth="1"/>
    <col min="12049" max="12049" width="31.28515625" style="404" customWidth="1"/>
    <col min="12050" max="12050" width="7.5703125" style="404" customWidth="1"/>
    <col min="12051" max="12051" width="2.42578125" style="404" customWidth="1"/>
    <col min="12052" max="12052" width="11.5703125" style="404" customWidth="1"/>
    <col min="12053" max="12053" width="2.42578125" style="404" customWidth="1"/>
    <col min="12054" max="12054" width="11.5703125" style="404" customWidth="1"/>
    <col min="12055" max="12055" width="2.42578125" style="404" customWidth="1"/>
    <col min="12056" max="12056" width="10.85546875" style="404" customWidth="1"/>
    <col min="12057" max="12057" width="2.42578125" style="404" customWidth="1"/>
    <col min="12058" max="12058" width="11.140625" style="404" customWidth="1"/>
    <col min="12059" max="12059" width="1.85546875" style="404" customWidth="1"/>
    <col min="12060" max="12060" width="11" style="404" customWidth="1"/>
    <col min="12061" max="12061" width="0.7109375" style="404" customWidth="1"/>
    <col min="12062" max="12062" width="1.85546875" style="404" customWidth="1"/>
    <col min="12063" max="12063" width="11.85546875" style="404" bestFit="1" customWidth="1"/>
    <col min="12064" max="12064" width="15.28515625" style="404" bestFit="1" customWidth="1"/>
    <col min="12065" max="12065" width="5" style="404" customWidth="1"/>
    <col min="12066" max="12066" width="10.42578125" style="404" bestFit="1" customWidth="1"/>
    <col min="12067" max="12067" width="5" style="404" customWidth="1"/>
    <col min="12068" max="12068" width="10.42578125" style="404" bestFit="1" customWidth="1"/>
    <col min="12069" max="12071" width="9" style="404"/>
    <col min="12072" max="12072" width="10.42578125" style="404" bestFit="1" customWidth="1"/>
    <col min="12073" max="12301" width="9" style="404"/>
    <col min="12302" max="12302" width="3.5703125" style="404" customWidth="1"/>
    <col min="12303" max="12303" width="4.85546875" style="404" customWidth="1"/>
    <col min="12304" max="12304" width="5.42578125" style="404" customWidth="1"/>
    <col min="12305" max="12305" width="31.28515625" style="404" customWidth="1"/>
    <col min="12306" max="12306" width="7.5703125" style="404" customWidth="1"/>
    <col min="12307" max="12307" width="2.42578125" style="404" customWidth="1"/>
    <col min="12308" max="12308" width="11.5703125" style="404" customWidth="1"/>
    <col min="12309" max="12309" width="2.42578125" style="404" customWidth="1"/>
    <col min="12310" max="12310" width="11.5703125" style="404" customWidth="1"/>
    <col min="12311" max="12311" width="2.42578125" style="404" customWidth="1"/>
    <col min="12312" max="12312" width="10.85546875" style="404" customWidth="1"/>
    <col min="12313" max="12313" width="2.42578125" style="404" customWidth="1"/>
    <col min="12314" max="12314" width="11.140625" style="404" customWidth="1"/>
    <col min="12315" max="12315" width="1.85546875" style="404" customWidth="1"/>
    <col min="12316" max="12316" width="11" style="404" customWidth="1"/>
    <col min="12317" max="12317" width="0.7109375" style="404" customWidth="1"/>
    <col min="12318" max="12318" width="1.85546875" style="404" customWidth="1"/>
    <col min="12319" max="12319" width="11.85546875" style="404" bestFit="1" customWidth="1"/>
    <col min="12320" max="12320" width="15.28515625" style="404" bestFit="1" customWidth="1"/>
    <col min="12321" max="12321" width="5" style="404" customWidth="1"/>
    <col min="12322" max="12322" width="10.42578125" style="404" bestFit="1" customWidth="1"/>
    <col min="12323" max="12323" width="5" style="404" customWidth="1"/>
    <col min="12324" max="12324" width="10.42578125" style="404" bestFit="1" customWidth="1"/>
    <col min="12325" max="12327" width="9" style="404"/>
    <col min="12328" max="12328" width="10.42578125" style="404" bestFit="1" customWidth="1"/>
    <col min="12329" max="12557" width="9" style="404"/>
    <col min="12558" max="12558" width="3.5703125" style="404" customWidth="1"/>
    <col min="12559" max="12559" width="4.85546875" style="404" customWidth="1"/>
    <col min="12560" max="12560" width="5.42578125" style="404" customWidth="1"/>
    <col min="12561" max="12561" width="31.28515625" style="404" customWidth="1"/>
    <col min="12562" max="12562" width="7.5703125" style="404" customWidth="1"/>
    <col min="12563" max="12563" width="2.42578125" style="404" customWidth="1"/>
    <col min="12564" max="12564" width="11.5703125" style="404" customWidth="1"/>
    <col min="12565" max="12565" width="2.42578125" style="404" customWidth="1"/>
    <col min="12566" max="12566" width="11.5703125" style="404" customWidth="1"/>
    <col min="12567" max="12567" width="2.42578125" style="404" customWidth="1"/>
    <col min="12568" max="12568" width="10.85546875" style="404" customWidth="1"/>
    <col min="12569" max="12569" width="2.42578125" style="404" customWidth="1"/>
    <col min="12570" max="12570" width="11.140625" style="404" customWidth="1"/>
    <col min="12571" max="12571" width="1.85546875" style="404" customWidth="1"/>
    <col min="12572" max="12572" width="11" style="404" customWidth="1"/>
    <col min="12573" max="12573" width="0.7109375" style="404" customWidth="1"/>
    <col min="12574" max="12574" width="1.85546875" style="404" customWidth="1"/>
    <col min="12575" max="12575" width="11.85546875" style="404" bestFit="1" customWidth="1"/>
    <col min="12576" max="12576" width="15.28515625" style="404" bestFit="1" customWidth="1"/>
    <col min="12577" max="12577" width="5" style="404" customWidth="1"/>
    <col min="12578" max="12578" width="10.42578125" style="404" bestFit="1" customWidth="1"/>
    <col min="12579" max="12579" width="5" style="404" customWidth="1"/>
    <col min="12580" max="12580" width="10.42578125" style="404" bestFit="1" customWidth="1"/>
    <col min="12581" max="12583" width="9" style="404"/>
    <col min="12584" max="12584" width="10.42578125" style="404" bestFit="1" customWidth="1"/>
    <col min="12585" max="12813" width="9" style="404"/>
    <col min="12814" max="12814" width="3.5703125" style="404" customWidth="1"/>
    <col min="12815" max="12815" width="4.85546875" style="404" customWidth="1"/>
    <col min="12816" max="12816" width="5.42578125" style="404" customWidth="1"/>
    <col min="12817" max="12817" width="31.28515625" style="404" customWidth="1"/>
    <col min="12818" max="12818" width="7.5703125" style="404" customWidth="1"/>
    <col min="12819" max="12819" width="2.42578125" style="404" customWidth="1"/>
    <col min="12820" max="12820" width="11.5703125" style="404" customWidth="1"/>
    <col min="12821" max="12821" width="2.42578125" style="404" customWidth="1"/>
    <col min="12822" max="12822" width="11.5703125" style="404" customWidth="1"/>
    <col min="12823" max="12823" width="2.42578125" style="404" customWidth="1"/>
    <col min="12824" max="12824" width="10.85546875" style="404" customWidth="1"/>
    <col min="12825" max="12825" width="2.42578125" style="404" customWidth="1"/>
    <col min="12826" max="12826" width="11.140625" style="404" customWidth="1"/>
    <col min="12827" max="12827" width="1.85546875" style="404" customWidth="1"/>
    <col min="12828" max="12828" width="11" style="404" customWidth="1"/>
    <col min="12829" max="12829" width="0.7109375" style="404" customWidth="1"/>
    <col min="12830" max="12830" width="1.85546875" style="404" customWidth="1"/>
    <col min="12831" max="12831" width="11.85546875" style="404" bestFit="1" customWidth="1"/>
    <col min="12832" max="12832" width="15.28515625" style="404" bestFit="1" customWidth="1"/>
    <col min="12833" max="12833" width="5" style="404" customWidth="1"/>
    <col min="12834" max="12834" width="10.42578125" style="404" bestFit="1" customWidth="1"/>
    <col min="12835" max="12835" width="5" style="404" customWidth="1"/>
    <col min="12836" max="12836" width="10.42578125" style="404" bestFit="1" customWidth="1"/>
    <col min="12837" max="12839" width="9" style="404"/>
    <col min="12840" max="12840" width="10.42578125" style="404" bestFit="1" customWidth="1"/>
    <col min="12841" max="13069" width="9" style="404"/>
    <col min="13070" max="13070" width="3.5703125" style="404" customWidth="1"/>
    <col min="13071" max="13071" width="4.85546875" style="404" customWidth="1"/>
    <col min="13072" max="13072" width="5.42578125" style="404" customWidth="1"/>
    <col min="13073" max="13073" width="31.28515625" style="404" customWidth="1"/>
    <col min="13074" max="13074" width="7.5703125" style="404" customWidth="1"/>
    <col min="13075" max="13075" width="2.42578125" style="404" customWidth="1"/>
    <col min="13076" max="13076" width="11.5703125" style="404" customWidth="1"/>
    <col min="13077" max="13077" width="2.42578125" style="404" customWidth="1"/>
    <col min="13078" max="13078" width="11.5703125" style="404" customWidth="1"/>
    <col min="13079" max="13079" width="2.42578125" style="404" customWidth="1"/>
    <col min="13080" max="13080" width="10.85546875" style="404" customWidth="1"/>
    <col min="13081" max="13081" width="2.42578125" style="404" customWidth="1"/>
    <col min="13082" max="13082" width="11.140625" style="404" customWidth="1"/>
    <col min="13083" max="13083" width="1.85546875" style="404" customWidth="1"/>
    <col min="13084" max="13084" width="11" style="404" customWidth="1"/>
    <col min="13085" max="13085" width="0.7109375" style="404" customWidth="1"/>
    <col min="13086" max="13086" width="1.85546875" style="404" customWidth="1"/>
    <col min="13087" max="13087" width="11.85546875" style="404" bestFit="1" customWidth="1"/>
    <col min="13088" max="13088" width="15.28515625" style="404" bestFit="1" customWidth="1"/>
    <col min="13089" max="13089" width="5" style="404" customWidth="1"/>
    <col min="13090" max="13090" width="10.42578125" style="404" bestFit="1" customWidth="1"/>
    <col min="13091" max="13091" width="5" style="404" customWidth="1"/>
    <col min="13092" max="13092" width="10.42578125" style="404" bestFit="1" customWidth="1"/>
    <col min="13093" max="13095" width="9" style="404"/>
    <col min="13096" max="13096" width="10.42578125" style="404" bestFit="1" customWidth="1"/>
    <col min="13097" max="13325" width="9" style="404"/>
    <col min="13326" max="13326" width="3.5703125" style="404" customWidth="1"/>
    <col min="13327" max="13327" width="4.85546875" style="404" customWidth="1"/>
    <col min="13328" max="13328" width="5.42578125" style="404" customWidth="1"/>
    <col min="13329" max="13329" width="31.28515625" style="404" customWidth="1"/>
    <col min="13330" max="13330" width="7.5703125" style="404" customWidth="1"/>
    <col min="13331" max="13331" width="2.42578125" style="404" customWidth="1"/>
    <col min="13332" max="13332" width="11.5703125" style="404" customWidth="1"/>
    <col min="13333" max="13333" width="2.42578125" style="404" customWidth="1"/>
    <col min="13334" max="13334" width="11.5703125" style="404" customWidth="1"/>
    <col min="13335" max="13335" width="2.42578125" style="404" customWidth="1"/>
    <col min="13336" max="13336" width="10.85546875" style="404" customWidth="1"/>
    <col min="13337" max="13337" width="2.42578125" style="404" customWidth="1"/>
    <col min="13338" max="13338" width="11.140625" style="404" customWidth="1"/>
    <col min="13339" max="13339" width="1.85546875" style="404" customWidth="1"/>
    <col min="13340" max="13340" width="11" style="404" customWidth="1"/>
    <col min="13341" max="13341" width="0.7109375" style="404" customWidth="1"/>
    <col min="13342" max="13342" width="1.85546875" style="404" customWidth="1"/>
    <col min="13343" max="13343" width="11.85546875" style="404" bestFit="1" customWidth="1"/>
    <col min="13344" max="13344" width="15.28515625" style="404" bestFit="1" customWidth="1"/>
    <col min="13345" max="13345" width="5" style="404" customWidth="1"/>
    <col min="13346" max="13346" width="10.42578125" style="404" bestFit="1" customWidth="1"/>
    <col min="13347" max="13347" width="5" style="404" customWidth="1"/>
    <col min="13348" max="13348" width="10.42578125" style="404" bestFit="1" customWidth="1"/>
    <col min="13349" max="13351" width="9" style="404"/>
    <col min="13352" max="13352" width="10.42578125" style="404" bestFit="1" customWidth="1"/>
    <col min="13353" max="13581" width="9" style="404"/>
    <col min="13582" max="13582" width="3.5703125" style="404" customWidth="1"/>
    <col min="13583" max="13583" width="4.85546875" style="404" customWidth="1"/>
    <col min="13584" max="13584" width="5.42578125" style="404" customWidth="1"/>
    <col min="13585" max="13585" width="31.28515625" style="404" customWidth="1"/>
    <col min="13586" max="13586" width="7.5703125" style="404" customWidth="1"/>
    <col min="13587" max="13587" width="2.42578125" style="404" customWidth="1"/>
    <col min="13588" max="13588" width="11.5703125" style="404" customWidth="1"/>
    <col min="13589" max="13589" width="2.42578125" style="404" customWidth="1"/>
    <col min="13590" max="13590" width="11.5703125" style="404" customWidth="1"/>
    <col min="13591" max="13591" width="2.42578125" style="404" customWidth="1"/>
    <col min="13592" max="13592" width="10.85546875" style="404" customWidth="1"/>
    <col min="13593" max="13593" width="2.42578125" style="404" customWidth="1"/>
    <col min="13594" max="13594" width="11.140625" style="404" customWidth="1"/>
    <col min="13595" max="13595" width="1.85546875" style="404" customWidth="1"/>
    <col min="13596" max="13596" width="11" style="404" customWidth="1"/>
    <col min="13597" max="13597" width="0.7109375" style="404" customWidth="1"/>
    <col min="13598" max="13598" width="1.85546875" style="404" customWidth="1"/>
    <col min="13599" max="13599" width="11.85546875" style="404" bestFit="1" customWidth="1"/>
    <col min="13600" max="13600" width="15.28515625" style="404" bestFit="1" customWidth="1"/>
    <col min="13601" max="13601" width="5" style="404" customWidth="1"/>
    <col min="13602" max="13602" width="10.42578125" style="404" bestFit="1" customWidth="1"/>
    <col min="13603" max="13603" width="5" style="404" customWidth="1"/>
    <col min="13604" max="13604" width="10.42578125" style="404" bestFit="1" customWidth="1"/>
    <col min="13605" max="13607" width="9" style="404"/>
    <col min="13608" max="13608" width="10.42578125" style="404" bestFit="1" customWidth="1"/>
    <col min="13609" max="13837" width="9" style="404"/>
    <col min="13838" max="13838" width="3.5703125" style="404" customWidth="1"/>
    <col min="13839" max="13839" width="4.85546875" style="404" customWidth="1"/>
    <col min="13840" max="13840" width="5.42578125" style="404" customWidth="1"/>
    <col min="13841" max="13841" width="31.28515625" style="404" customWidth="1"/>
    <col min="13842" max="13842" width="7.5703125" style="404" customWidth="1"/>
    <col min="13843" max="13843" width="2.42578125" style="404" customWidth="1"/>
    <col min="13844" max="13844" width="11.5703125" style="404" customWidth="1"/>
    <col min="13845" max="13845" width="2.42578125" style="404" customWidth="1"/>
    <col min="13846" max="13846" width="11.5703125" style="404" customWidth="1"/>
    <col min="13847" max="13847" width="2.42578125" style="404" customWidth="1"/>
    <col min="13848" max="13848" width="10.85546875" style="404" customWidth="1"/>
    <col min="13849" max="13849" width="2.42578125" style="404" customWidth="1"/>
    <col min="13850" max="13850" width="11.140625" style="404" customWidth="1"/>
    <col min="13851" max="13851" width="1.85546875" style="404" customWidth="1"/>
    <col min="13852" max="13852" width="11" style="404" customWidth="1"/>
    <col min="13853" max="13853" width="0.7109375" style="404" customWidth="1"/>
    <col min="13854" max="13854" width="1.85546875" style="404" customWidth="1"/>
    <col min="13855" max="13855" width="11.85546875" style="404" bestFit="1" customWidth="1"/>
    <col min="13856" max="13856" width="15.28515625" style="404" bestFit="1" customWidth="1"/>
    <col min="13857" max="13857" width="5" style="404" customWidth="1"/>
    <col min="13858" max="13858" width="10.42578125" style="404" bestFit="1" customWidth="1"/>
    <col min="13859" max="13859" width="5" style="404" customWidth="1"/>
    <col min="13860" max="13860" width="10.42578125" style="404" bestFit="1" customWidth="1"/>
    <col min="13861" max="13863" width="9" style="404"/>
    <col min="13864" max="13864" width="10.42578125" style="404" bestFit="1" customWidth="1"/>
    <col min="13865" max="14093" width="9" style="404"/>
    <col min="14094" max="14094" width="3.5703125" style="404" customWidth="1"/>
    <col min="14095" max="14095" width="4.85546875" style="404" customWidth="1"/>
    <col min="14096" max="14096" width="5.42578125" style="404" customWidth="1"/>
    <col min="14097" max="14097" width="31.28515625" style="404" customWidth="1"/>
    <col min="14098" max="14098" width="7.5703125" style="404" customWidth="1"/>
    <col min="14099" max="14099" width="2.42578125" style="404" customWidth="1"/>
    <col min="14100" max="14100" width="11.5703125" style="404" customWidth="1"/>
    <col min="14101" max="14101" width="2.42578125" style="404" customWidth="1"/>
    <col min="14102" max="14102" width="11.5703125" style="404" customWidth="1"/>
    <col min="14103" max="14103" width="2.42578125" style="404" customWidth="1"/>
    <col min="14104" max="14104" width="10.85546875" style="404" customWidth="1"/>
    <col min="14105" max="14105" width="2.42578125" style="404" customWidth="1"/>
    <col min="14106" max="14106" width="11.140625" style="404" customWidth="1"/>
    <col min="14107" max="14107" width="1.85546875" style="404" customWidth="1"/>
    <col min="14108" max="14108" width="11" style="404" customWidth="1"/>
    <col min="14109" max="14109" width="0.7109375" style="404" customWidth="1"/>
    <col min="14110" max="14110" width="1.85546875" style="404" customWidth="1"/>
    <col min="14111" max="14111" width="11.85546875" style="404" bestFit="1" customWidth="1"/>
    <col min="14112" max="14112" width="15.28515625" style="404" bestFit="1" customWidth="1"/>
    <col min="14113" max="14113" width="5" style="404" customWidth="1"/>
    <col min="14114" max="14114" width="10.42578125" style="404" bestFit="1" customWidth="1"/>
    <col min="14115" max="14115" width="5" style="404" customWidth="1"/>
    <col min="14116" max="14116" width="10.42578125" style="404" bestFit="1" customWidth="1"/>
    <col min="14117" max="14119" width="9" style="404"/>
    <col min="14120" max="14120" width="10.42578125" style="404" bestFit="1" customWidth="1"/>
    <col min="14121" max="14349" width="9" style="404"/>
    <col min="14350" max="14350" width="3.5703125" style="404" customWidth="1"/>
    <col min="14351" max="14351" width="4.85546875" style="404" customWidth="1"/>
    <col min="14352" max="14352" width="5.42578125" style="404" customWidth="1"/>
    <col min="14353" max="14353" width="31.28515625" style="404" customWidth="1"/>
    <col min="14354" max="14354" width="7.5703125" style="404" customWidth="1"/>
    <col min="14355" max="14355" width="2.42578125" style="404" customWidth="1"/>
    <col min="14356" max="14356" width="11.5703125" style="404" customWidth="1"/>
    <col min="14357" max="14357" width="2.42578125" style="404" customWidth="1"/>
    <col min="14358" max="14358" width="11.5703125" style="404" customWidth="1"/>
    <col min="14359" max="14359" width="2.42578125" style="404" customWidth="1"/>
    <col min="14360" max="14360" width="10.85546875" style="404" customWidth="1"/>
    <col min="14361" max="14361" width="2.42578125" style="404" customWidth="1"/>
    <col min="14362" max="14362" width="11.140625" style="404" customWidth="1"/>
    <col min="14363" max="14363" width="1.85546875" style="404" customWidth="1"/>
    <col min="14364" max="14364" width="11" style="404" customWidth="1"/>
    <col min="14365" max="14365" width="0.7109375" style="404" customWidth="1"/>
    <col min="14366" max="14366" width="1.85546875" style="404" customWidth="1"/>
    <col min="14367" max="14367" width="11.85546875" style="404" bestFit="1" customWidth="1"/>
    <col min="14368" max="14368" width="15.28515625" style="404" bestFit="1" customWidth="1"/>
    <col min="14369" max="14369" width="5" style="404" customWidth="1"/>
    <col min="14370" max="14370" width="10.42578125" style="404" bestFit="1" customWidth="1"/>
    <col min="14371" max="14371" width="5" style="404" customWidth="1"/>
    <col min="14372" max="14372" width="10.42578125" style="404" bestFit="1" customWidth="1"/>
    <col min="14373" max="14375" width="9" style="404"/>
    <col min="14376" max="14376" width="10.42578125" style="404" bestFit="1" customWidth="1"/>
    <col min="14377" max="14605" width="9" style="404"/>
    <col min="14606" max="14606" width="3.5703125" style="404" customWidth="1"/>
    <col min="14607" max="14607" width="4.85546875" style="404" customWidth="1"/>
    <col min="14608" max="14608" width="5.42578125" style="404" customWidth="1"/>
    <col min="14609" max="14609" width="31.28515625" style="404" customWidth="1"/>
    <col min="14610" max="14610" width="7.5703125" style="404" customWidth="1"/>
    <col min="14611" max="14611" width="2.42578125" style="404" customWidth="1"/>
    <col min="14612" max="14612" width="11.5703125" style="404" customWidth="1"/>
    <col min="14613" max="14613" width="2.42578125" style="404" customWidth="1"/>
    <col min="14614" max="14614" width="11.5703125" style="404" customWidth="1"/>
    <col min="14615" max="14615" width="2.42578125" style="404" customWidth="1"/>
    <col min="14616" max="14616" width="10.85546875" style="404" customWidth="1"/>
    <col min="14617" max="14617" width="2.42578125" style="404" customWidth="1"/>
    <col min="14618" max="14618" width="11.140625" style="404" customWidth="1"/>
    <col min="14619" max="14619" width="1.85546875" style="404" customWidth="1"/>
    <col min="14620" max="14620" width="11" style="404" customWidth="1"/>
    <col min="14621" max="14621" width="0.7109375" style="404" customWidth="1"/>
    <col min="14622" max="14622" width="1.85546875" style="404" customWidth="1"/>
    <col min="14623" max="14623" width="11.85546875" style="404" bestFit="1" customWidth="1"/>
    <col min="14624" max="14624" width="15.28515625" style="404" bestFit="1" customWidth="1"/>
    <col min="14625" max="14625" width="5" style="404" customWidth="1"/>
    <col min="14626" max="14626" width="10.42578125" style="404" bestFit="1" customWidth="1"/>
    <col min="14627" max="14627" width="5" style="404" customWidth="1"/>
    <col min="14628" max="14628" width="10.42578125" style="404" bestFit="1" customWidth="1"/>
    <col min="14629" max="14631" width="9" style="404"/>
    <col min="14632" max="14632" width="10.42578125" style="404" bestFit="1" customWidth="1"/>
    <col min="14633" max="14861" width="9" style="404"/>
    <col min="14862" max="14862" width="3.5703125" style="404" customWidth="1"/>
    <col min="14863" max="14863" width="4.85546875" style="404" customWidth="1"/>
    <col min="14864" max="14864" width="5.42578125" style="404" customWidth="1"/>
    <col min="14865" max="14865" width="31.28515625" style="404" customWidth="1"/>
    <col min="14866" max="14866" width="7.5703125" style="404" customWidth="1"/>
    <col min="14867" max="14867" width="2.42578125" style="404" customWidth="1"/>
    <col min="14868" max="14868" width="11.5703125" style="404" customWidth="1"/>
    <col min="14869" max="14869" width="2.42578125" style="404" customWidth="1"/>
    <col min="14870" max="14870" width="11.5703125" style="404" customWidth="1"/>
    <col min="14871" max="14871" width="2.42578125" style="404" customWidth="1"/>
    <col min="14872" max="14872" width="10.85546875" style="404" customWidth="1"/>
    <col min="14873" max="14873" width="2.42578125" style="404" customWidth="1"/>
    <col min="14874" max="14874" width="11.140625" style="404" customWidth="1"/>
    <col min="14875" max="14875" width="1.85546875" style="404" customWidth="1"/>
    <col min="14876" max="14876" width="11" style="404" customWidth="1"/>
    <col min="14877" max="14877" width="0.7109375" style="404" customWidth="1"/>
    <col min="14878" max="14878" width="1.85546875" style="404" customWidth="1"/>
    <col min="14879" max="14879" width="11.85546875" style="404" bestFit="1" customWidth="1"/>
    <col min="14880" max="14880" width="15.28515625" style="404" bestFit="1" customWidth="1"/>
    <col min="14881" max="14881" width="5" style="404" customWidth="1"/>
    <col min="14882" max="14882" width="10.42578125" style="404" bestFit="1" customWidth="1"/>
    <col min="14883" max="14883" width="5" style="404" customWidth="1"/>
    <col min="14884" max="14884" width="10.42578125" style="404" bestFit="1" customWidth="1"/>
    <col min="14885" max="14887" width="9" style="404"/>
    <col min="14888" max="14888" width="10.42578125" style="404" bestFit="1" customWidth="1"/>
    <col min="14889" max="15117" width="9" style="404"/>
    <col min="15118" max="15118" width="3.5703125" style="404" customWidth="1"/>
    <col min="15119" max="15119" width="4.85546875" style="404" customWidth="1"/>
    <col min="15120" max="15120" width="5.42578125" style="404" customWidth="1"/>
    <col min="15121" max="15121" width="31.28515625" style="404" customWidth="1"/>
    <col min="15122" max="15122" width="7.5703125" style="404" customWidth="1"/>
    <col min="15123" max="15123" width="2.42578125" style="404" customWidth="1"/>
    <col min="15124" max="15124" width="11.5703125" style="404" customWidth="1"/>
    <col min="15125" max="15125" width="2.42578125" style="404" customWidth="1"/>
    <col min="15126" max="15126" width="11.5703125" style="404" customWidth="1"/>
    <col min="15127" max="15127" width="2.42578125" style="404" customWidth="1"/>
    <col min="15128" max="15128" width="10.85546875" style="404" customWidth="1"/>
    <col min="15129" max="15129" width="2.42578125" style="404" customWidth="1"/>
    <col min="15130" max="15130" width="11.140625" style="404" customWidth="1"/>
    <col min="15131" max="15131" width="1.85546875" style="404" customWidth="1"/>
    <col min="15132" max="15132" width="11" style="404" customWidth="1"/>
    <col min="15133" max="15133" width="0.7109375" style="404" customWidth="1"/>
    <col min="15134" max="15134" width="1.85546875" style="404" customWidth="1"/>
    <col min="15135" max="15135" width="11.85546875" style="404" bestFit="1" customWidth="1"/>
    <col min="15136" max="15136" width="15.28515625" style="404" bestFit="1" customWidth="1"/>
    <col min="15137" max="15137" width="5" style="404" customWidth="1"/>
    <col min="15138" max="15138" width="10.42578125" style="404" bestFit="1" customWidth="1"/>
    <col min="15139" max="15139" width="5" style="404" customWidth="1"/>
    <col min="15140" max="15140" width="10.42578125" style="404" bestFit="1" customWidth="1"/>
    <col min="15141" max="15143" width="9" style="404"/>
    <col min="15144" max="15144" width="10.42578125" style="404" bestFit="1" customWidth="1"/>
    <col min="15145" max="15373" width="9" style="404"/>
    <col min="15374" max="15374" width="3.5703125" style="404" customWidth="1"/>
    <col min="15375" max="15375" width="4.85546875" style="404" customWidth="1"/>
    <col min="15376" max="15376" width="5.42578125" style="404" customWidth="1"/>
    <col min="15377" max="15377" width="31.28515625" style="404" customWidth="1"/>
    <col min="15378" max="15378" width="7.5703125" style="404" customWidth="1"/>
    <col min="15379" max="15379" width="2.42578125" style="404" customWidth="1"/>
    <col min="15380" max="15380" width="11.5703125" style="404" customWidth="1"/>
    <col min="15381" max="15381" width="2.42578125" style="404" customWidth="1"/>
    <col min="15382" max="15382" width="11.5703125" style="404" customWidth="1"/>
    <col min="15383" max="15383" width="2.42578125" style="404" customWidth="1"/>
    <col min="15384" max="15384" width="10.85546875" style="404" customWidth="1"/>
    <col min="15385" max="15385" width="2.42578125" style="404" customWidth="1"/>
    <col min="15386" max="15386" width="11.140625" style="404" customWidth="1"/>
    <col min="15387" max="15387" width="1.85546875" style="404" customWidth="1"/>
    <col min="15388" max="15388" width="11" style="404" customWidth="1"/>
    <col min="15389" max="15389" width="0.7109375" style="404" customWidth="1"/>
    <col min="15390" max="15390" width="1.85546875" style="404" customWidth="1"/>
    <col min="15391" max="15391" width="11.85546875" style="404" bestFit="1" customWidth="1"/>
    <col min="15392" max="15392" width="15.28515625" style="404" bestFit="1" customWidth="1"/>
    <col min="15393" max="15393" width="5" style="404" customWidth="1"/>
    <col min="15394" max="15394" width="10.42578125" style="404" bestFit="1" customWidth="1"/>
    <col min="15395" max="15395" width="5" style="404" customWidth="1"/>
    <col min="15396" max="15396" width="10.42578125" style="404" bestFit="1" customWidth="1"/>
    <col min="15397" max="15399" width="9" style="404"/>
    <col min="15400" max="15400" width="10.42578125" style="404" bestFit="1" customWidth="1"/>
    <col min="15401" max="15629" width="9" style="404"/>
    <col min="15630" max="15630" width="3.5703125" style="404" customWidth="1"/>
    <col min="15631" max="15631" width="4.85546875" style="404" customWidth="1"/>
    <col min="15632" max="15632" width="5.42578125" style="404" customWidth="1"/>
    <col min="15633" max="15633" width="31.28515625" style="404" customWidth="1"/>
    <col min="15634" max="15634" width="7.5703125" style="404" customWidth="1"/>
    <col min="15635" max="15635" width="2.42578125" style="404" customWidth="1"/>
    <col min="15636" max="15636" width="11.5703125" style="404" customWidth="1"/>
    <col min="15637" max="15637" width="2.42578125" style="404" customWidth="1"/>
    <col min="15638" max="15638" width="11.5703125" style="404" customWidth="1"/>
    <col min="15639" max="15639" width="2.42578125" style="404" customWidth="1"/>
    <col min="15640" max="15640" width="10.85546875" style="404" customWidth="1"/>
    <col min="15641" max="15641" width="2.42578125" style="404" customWidth="1"/>
    <col min="15642" max="15642" width="11.140625" style="404" customWidth="1"/>
    <col min="15643" max="15643" width="1.85546875" style="404" customWidth="1"/>
    <col min="15644" max="15644" width="11" style="404" customWidth="1"/>
    <col min="15645" max="15645" width="0.7109375" style="404" customWidth="1"/>
    <col min="15646" max="15646" width="1.85546875" style="404" customWidth="1"/>
    <col min="15647" max="15647" width="11.85546875" style="404" bestFit="1" customWidth="1"/>
    <col min="15648" max="15648" width="15.28515625" style="404" bestFit="1" customWidth="1"/>
    <col min="15649" max="15649" width="5" style="404" customWidth="1"/>
    <col min="15650" max="15650" width="10.42578125" style="404" bestFit="1" customWidth="1"/>
    <col min="15651" max="15651" width="5" style="404" customWidth="1"/>
    <col min="15652" max="15652" width="10.42578125" style="404" bestFit="1" customWidth="1"/>
    <col min="15653" max="15655" width="9" style="404"/>
    <col min="15656" max="15656" width="10.42578125" style="404" bestFit="1" customWidth="1"/>
    <col min="15657" max="15885" width="9" style="404"/>
    <col min="15886" max="15886" width="3.5703125" style="404" customWidth="1"/>
    <col min="15887" max="15887" width="4.85546875" style="404" customWidth="1"/>
    <col min="15888" max="15888" width="5.42578125" style="404" customWidth="1"/>
    <col min="15889" max="15889" width="31.28515625" style="404" customWidth="1"/>
    <col min="15890" max="15890" width="7.5703125" style="404" customWidth="1"/>
    <col min="15891" max="15891" width="2.42578125" style="404" customWidth="1"/>
    <col min="15892" max="15892" width="11.5703125" style="404" customWidth="1"/>
    <col min="15893" max="15893" width="2.42578125" style="404" customWidth="1"/>
    <col min="15894" max="15894" width="11.5703125" style="404" customWidth="1"/>
    <col min="15895" max="15895" width="2.42578125" style="404" customWidth="1"/>
    <col min="15896" max="15896" width="10.85546875" style="404" customWidth="1"/>
    <col min="15897" max="15897" width="2.42578125" style="404" customWidth="1"/>
    <col min="15898" max="15898" width="11.140625" style="404" customWidth="1"/>
    <col min="15899" max="15899" width="1.85546875" style="404" customWidth="1"/>
    <col min="15900" max="15900" width="11" style="404" customWidth="1"/>
    <col min="15901" max="15901" width="0.7109375" style="404" customWidth="1"/>
    <col min="15902" max="15902" width="1.85546875" style="404" customWidth="1"/>
    <col min="15903" max="15903" width="11.85546875" style="404" bestFit="1" customWidth="1"/>
    <col min="15904" max="15904" width="15.28515625" style="404" bestFit="1" customWidth="1"/>
    <col min="15905" max="15905" width="5" style="404" customWidth="1"/>
    <col min="15906" max="15906" width="10.42578125" style="404" bestFit="1" customWidth="1"/>
    <col min="15907" max="15907" width="5" style="404" customWidth="1"/>
    <col min="15908" max="15908" width="10.42578125" style="404" bestFit="1" customWidth="1"/>
    <col min="15909" max="15911" width="9" style="404"/>
    <col min="15912" max="15912" width="10.42578125" style="404" bestFit="1" customWidth="1"/>
    <col min="15913" max="16141" width="9" style="404"/>
    <col min="16142" max="16142" width="3.5703125" style="404" customWidth="1"/>
    <col min="16143" max="16143" width="4.85546875" style="404" customWidth="1"/>
    <col min="16144" max="16144" width="5.42578125" style="404" customWidth="1"/>
    <col min="16145" max="16145" width="31.28515625" style="404" customWidth="1"/>
    <col min="16146" max="16146" width="7.5703125" style="404" customWidth="1"/>
    <col min="16147" max="16147" width="2.42578125" style="404" customWidth="1"/>
    <col min="16148" max="16148" width="11.5703125" style="404" customWidth="1"/>
    <col min="16149" max="16149" width="2.42578125" style="404" customWidth="1"/>
    <col min="16150" max="16150" width="11.5703125" style="404" customWidth="1"/>
    <col min="16151" max="16151" width="2.42578125" style="404" customWidth="1"/>
    <col min="16152" max="16152" width="10.85546875" style="404" customWidth="1"/>
    <col min="16153" max="16153" width="2.42578125" style="404" customWidth="1"/>
    <col min="16154" max="16154" width="11.140625" style="404" customWidth="1"/>
    <col min="16155" max="16155" width="1.85546875" style="404" customWidth="1"/>
    <col min="16156" max="16156" width="11" style="404" customWidth="1"/>
    <col min="16157" max="16157" width="0.7109375" style="404" customWidth="1"/>
    <col min="16158" max="16158" width="1.85546875" style="404" customWidth="1"/>
    <col min="16159" max="16159" width="11.85546875" style="404" bestFit="1" customWidth="1"/>
    <col min="16160" max="16160" width="15.28515625" style="404" bestFit="1" customWidth="1"/>
    <col min="16161" max="16161" width="5" style="404" customWidth="1"/>
    <col min="16162" max="16162" width="10.42578125" style="404" bestFit="1" customWidth="1"/>
    <col min="16163" max="16163" width="5" style="404" customWidth="1"/>
    <col min="16164" max="16164" width="10.42578125" style="404" bestFit="1" customWidth="1"/>
    <col min="16165" max="16167" width="9" style="404"/>
    <col min="16168" max="16168" width="10.42578125" style="404" bestFit="1" customWidth="1"/>
    <col min="16169" max="16383" width="9" style="404"/>
    <col min="16384" max="16384" width="9" style="404" customWidth="1"/>
  </cols>
  <sheetData>
    <row r="1" spans="1:34" s="395" customFormat="1" ht="48.75" customHeight="1" x14ac:dyDescent="0.75">
      <c r="A1" s="1489" t="s">
        <v>244</v>
      </c>
      <c r="B1" s="1489"/>
      <c r="C1" s="1489"/>
      <c r="D1" s="1489"/>
      <c r="E1" s="1489"/>
      <c r="F1" s="1489"/>
      <c r="G1" s="1489"/>
      <c r="H1" s="1489"/>
      <c r="I1" s="1489"/>
      <c r="J1" s="1489"/>
      <c r="K1" s="1489"/>
      <c r="L1" s="1489"/>
      <c r="M1" s="1489"/>
      <c r="N1" s="1489"/>
      <c r="O1" s="1489"/>
      <c r="P1" s="1489"/>
      <c r="Q1" s="1489"/>
      <c r="R1" s="1489"/>
      <c r="S1" s="1489"/>
      <c r="T1" s="1489"/>
      <c r="U1" s="1489"/>
      <c r="V1" s="1489"/>
      <c r="W1" s="1489"/>
      <c r="X1" s="1489"/>
      <c r="Y1" s="1489"/>
      <c r="Z1" s="1489"/>
      <c r="AA1" s="1489"/>
      <c r="AB1" s="1489"/>
      <c r="AC1" s="1489"/>
      <c r="AD1" s="394"/>
      <c r="AE1" s="394"/>
      <c r="AF1" s="394"/>
      <c r="AG1" s="394"/>
      <c r="AH1" s="394"/>
    </row>
    <row r="2" spans="1:34" s="395" customFormat="1" ht="48.75" customHeight="1" x14ac:dyDescent="0.75">
      <c r="A2" s="1489" t="str">
        <f>تاريخچه!A2</f>
        <v>يادداشتهاي توضيحي صورتهاي مالي</v>
      </c>
      <c r="B2" s="1489"/>
      <c r="C2" s="1489"/>
      <c r="D2" s="1489"/>
      <c r="E2" s="1489"/>
      <c r="F2" s="1489"/>
      <c r="G2" s="1489"/>
      <c r="H2" s="1489"/>
      <c r="I2" s="1489"/>
      <c r="J2" s="1489"/>
      <c r="K2" s="1489"/>
      <c r="L2" s="1489"/>
      <c r="M2" s="1489"/>
      <c r="N2" s="1489"/>
      <c r="O2" s="1489"/>
      <c r="P2" s="1489"/>
      <c r="Q2" s="1489"/>
      <c r="R2" s="1489"/>
      <c r="S2" s="1489"/>
      <c r="T2" s="1489"/>
      <c r="U2" s="1489"/>
      <c r="V2" s="1489"/>
      <c r="W2" s="1489"/>
      <c r="X2" s="1489"/>
      <c r="Y2" s="1489"/>
      <c r="Z2" s="1489"/>
      <c r="AA2" s="1489"/>
      <c r="AB2" s="1489"/>
      <c r="AC2" s="1489"/>
      <c r="AD2" s="394"/>
      <c r="AE2" s="394"/>
      <c r="AF2" s="394"/>
      <c r="AG2" s="394"/>
      <c r="AH2" s="394"/>
    </row>
    <row r="3" spans="1:34" s="395" customFormat="1" ht="48.75" customHeight="1" x14ac:dyDescent="0.75">
      <c r="A3" s="1489" t="str">
        <f>سودوزيان!A3</f>
        <v>سال مالی منتهی به 30 اسفند 1403</v>
      </c>
      <c r="B3" s="1489"/>
      <c r="C3" s="1489"/>
      <c r="D3" s="1489"/>
      <c r="E3" s="1489"/>
      <c r="F3" s="1489"/>
      <c r="G3" s="1489"/>
      <c r="H3" s="1489"/>
      <c r="I3" s="1489"/>
      <c r="J3" s="1489"/>
      <c r="K3" s="1489"/>
      <c r="L3" s="1489"/>
      <c r="M3" s="1489"/>
      <c r="N3" s="1489"/>
      <c r="O3" s="1489"/>
      <c r="P3" s="1489"/>
      <c r="Q3" s="1489"/>
      <c r="R3" s="1489"/>
      <c r="S3" s="1489"/>
      <c r="T3" s="1489"/>
      <c r="U3" s="1489"/>
      <c r="V3" s="1489"/>
      <c r="W3" s="1489"/>
      <c r="X3" s="1489"/>
      <c r="Y3" s="1489"/>
      <c r="Z3" s="1489"/>
      <c r="AA3" s="1489"/>
      <c r="AB3" s="1489"/>
      <c r="AC3" s="1489"/>
      <c r="AD3" s="394"/>
      <c r="AE3" s="394"/>
      <c r="AF3" s="394"/>
      <c r="AG3" s="394"/>
      <c r="AH3" s="394"/>
    </row>
    <row r="4" spans="1:34" s="395" customFormat="1" ht="13.5" customHeight="1" x14ac:dyDescent="0.75">
      <c r="A4" s="396"/>
      <c r="B4" s="396"/>
      <c r="C4" s="396"/>
      <c r="D4" s="396"/>
      <c r="E4" s="396"/>
      <c r="F4" s="396"/>
      <c r="G4" s="396"/>
      <c r="H4" s="396"/>
      <c r="I4" s="396"/>
      <c r="J4" s="396"/>
      <c r="K4" s="396"/>
      <c r="L4" s="396"/>
      <c r="M4" s="396"/>
      <c r="N4" s="396"/>
      <c r="O4" s="396"/>
      <c r="P4" s="396"/>
      <c r="Q4" s="396"/>
      <c r="R4" s="396"/>
      <c r="S4" s="396"/>
      <c r="T4" s="396"/>
      <c r="U4" s="396"/>
      <c r="V4" s="396"/>
      <c r="W4" s="396"/>
      <c r="X4" s="396"/>
      <c r="Y4" s="396"/>
      <c r="Z4" s="396"/>
      <c r="AA4" s="396"/>
      <c r="AB4" s="396"/>
      <c r="AC4" s="396"/>
      <c r="AD4" s="394"/>
      <c r="AE4" s="394"/>
      <c r="AF4" s="394"/>
      <c r="AG4" s="394"/>
      <c r="AH4" s="394"/>
    </row>
    <row r="5" spans="1:34" s="399" customFormat="1" x14ac:dyDescent="0.75">
      <c r="A5" s="397"/>
      <c r="B5" s="397"/>
      <c r="C5" s="397"/>
      <c r="D5" s="397"/>
      <c r="E5" s="397"/>
      <c r="F5" s="397"/>
      <c r="G5" s="397"/>
      <c r="H5" s="397"/>
      <c r="I5" s="397"/>
      <c r="J5" s="397"/>
      <c r="K5" s="397"/>
      <c r="L5" s="397"/>
      <c r="M5" s="397"/>
      <c r="N5" s="397"/>
      <c r="O5" s="397"/>
      <c r="P5" s="397"/>
      <c r="Q5" s="397"/>
      <c r="R5" s="397"/>
      <c r="S5" s="397"/>
      <c r="T5" s="397"/>
      <c r="U5" s="397"/>
      <c r="V5" s="1490" t="s">
        <v>703</v>
      </c>
      <c r="W5" s="1490"/>
      <c r="X5" s="1490"/>
      <c r="Y5" s="397"/>
      <c r="Z5" s="397"/>
      <c r="AA5" s="397"/>
      <c r="AB5" s="397"/>
      <c r="AC5" s="397"/>
      <c r="AD5" s="398"/>
      <c r="AE5" s="398"/>
      <c r="AF5" s="398"/>
      <c r="AG5" s="398"/>
      <c r="AH5" s="398"/>
    </row>
    <row r="6" spans="1:34" ht="70.5" customHeight="1" thickBot="1" x14ac:dyDescent="0.3">
      <c r="A6" s="397"/>
      <c r="B6" s="400"/>
      <c r="C6" s="400"/>
      <c r="D6" s="401" t="s">
        <v>101</v>
      </c>
      <c r="E6" s="400"/>
      <c r="F6" s="401" t="s">
        <v>102</v>
      </c>
      <c r="G6" s="400"/>
      <c r="H6" s="401" t="s">
        <v>249</v>
      </c>
      <c r="I6" s="400"/>
      <c r="J6" s="401" t="s">
        <v>103</v>
      </c>
      <c r="K6" s="400"/>
      <c r="L6" s="401" t="s">
        <v>104</v>
      </c>
      <c r="M6" s="400"/>
      <c r="N6" s="401" t="s">
        <v>105</v>
      </c>
      <c r="O6" s="400"/>
      <c r="P6" s="401" t="s">
        <v>106</v>
      </c>
      <c r="Q6" s="400"/>
      <c r="R6" s="401" t="s">
        <v>107</v>
      </c>
      <c r="S6" s="400"/>
      <c r="T6" s="401" t="s">
        <v>72</v>
      </c>
      <c r="U6" s="402"/>
      <c r="V6" s="401" t="s">
        <v>108</v>
      </c>
      <c r="W6" s="400"/>
      <c r="X6" s="401" t="s">
        <v>109</v>
      </c>
      <c r="Y6" s="400"/>
      <c r="Z6" s="403" t="s">
        <v>496</v>
      </c>
      <c r="AA6" s="400"/>
      <c r="AB6" s="401" t="s">
        <v>72</v>
      </c>
    </row>
    <row r="7" spans="1:34" ht="97.5" customHeight="1" x14ac:dyDescent="0.25">
      <c r="B7" s="1491" t="s">
        <v>1061</v>
      </c>
      <c r="C7" s="1491"/>
    </row>
    <row r="8" spans="1:34" ht="120" customHeight="1" x14ac:dyDescent="0.25">
      <c r="B8" s="1071" t="s">
        <v>1097</v>
      </c>
      <c r="E8" s="405">
        <v>0</v>
      </c>
      <c r="F8" s="389">
        <v>48146929233</v>
      </c>
      <c r="G8" s="389"/>
      <c r="H8" s="389">
        <v>15167092784</v>
      </c>
      <c r="I8" s="389"/>
      <c r="J8" s="389">
        <v>21130900704</v>
      </c>
      <c r="K8" s="389"/>
      <c r="L8" s="389">
        <v>135469769034</v>
      </c>
      <c r="M8" s="405"/>
      <c r="N8" s="389">
        <v>12064805917</v>
      </c>
      <c r="O8" s="405"/>
      <c r="P8" s="389">
        <v>78376232100</v>
      </c>
      <c r="Q8" s="389"/>
      <c r="R8" s="389">
        <v>21977465870</v>
      </c>
      <c r="S8" s="389"/>
      <c r="T8" s="389">
        <v>332333195642</v>
      </c>
      <c r="U8" s="405"/>
      <c r="V8" s="405">
        <v>0</v>
      </c>
      <c r="W8" s="405">
        <v>0</v>
      </c>
      <c r="X8" s="389">
        <v>904031500</v>
      </c>
      <c r="Y8" s="405">
        <v>0</v>
      </c>
      <c r="Z8" s="405">
        <v>0</v>
      </c>
      <c r="AA8" s="405">
        <v>0</v>
      </c>
      <c r="AB8" s="389">
        <v>332333195642</v>
      </c>
    </row>
    <row r="9" spans="1:34" ht="120" customHeight="1" x14ac:dyDescent="0.25">
      <c r="A9" s="404" t="s">
        <v>490</v>
      </c>
      <c r="B9" s="1019" t="s">
        <v>69</v>
      </c>
      <c r="E9" s="405"/>
      <c r="F9" s="389">
        <v>6555661694</v>
      </c>
      <c r="G9" s="405"/>
      <c r="H9" s="389">
        <v>4094310055</v>
      </c>
      <c r="I9" s="389"/>
      <c r="J9" s="389">
        <v>4370976499</v>
      </c>
      <c r="K9" s="389"/>
      <c r="L9" s="389">
        <v>29706809126</v>
      </c>
      <c r="M9" s="389"/>
      <c r="N9" s="389">
        <v>522531359</v>
      </c>
      <c r="O9" s="389"/>
      <c r="P9" s="389">
        <v>18148605202</v>
      </c>
      <c r="Q9" s="389"/>
      <c r="R9" s="389">
        <v>13484191767</v>
      </c>
      <c r="S9" s="389"/>
      <c r="T9" s="389">
        <v>76883085702</v>
      </c>
      <c r="U9" s="405"/>
      <c r="V9" s="405">
        <v>0</v>
      </c>
      <c r="W9" s="405"/>
      <c r="X9" s="405">
        <v>0</v>
      </c>
      <c r="Y9" s="405"/>
      <c r="Z9" s="405">
        <v>0</v>
      </c>
      <c r="AA9" s="405"/>
      <c r="AB9" s="406">
        <v>76883085702</v>
      </c>
    </row>
    <row r="10" spans="1:34" ht="110.25" hidden="1" customHeight="1" x14ac:dyDescent="0.25">
      <c r="B10" s="1019" t="s">
        <v>111</v>
      </c>
      <c r="D10" s="404">
        <v>0</v>
      </c>
      <c r="E10" s="405"/>
      <c r="F10" s="407">
        <v>0</v>
      </c>
      <c r="G10" s="405"/>
      <c r="H10" s="407">
        <v>0</v>
      </c>
      <c r="I10" s="405"/>
      <c r="J10" s="407">
        <v>0</v>
      </c>
      <c r="K10" s="405"/>
      <c r="L10" s="408">
        <v>0</v>
      </c>
      <c r="M10" s="405"/>
      <c r="N10" s="407">
        <v>0</v>
      </c>
      <c r="O10" s="405"/>
      <c r="P10" s="408">
        <v>0</v>
      </c>
      <c r="Q10" s="405"/>
      <c r="R10" s="407">
        <v>0</v>
      </c>
      <c r="S10" s="405"/>
      <c r="T10" s="406">
        <f>F10+H10+J10+L10+N10+P10+R10</f>
        <v>0</v>
      </c>
      <c r="U10" s="405"/>
      <c r="V10" s="405">
        <v>0</v>
      </c>
      <c r="W10" s="405"/>
      <c r="X10" s="405">
        <v>0</v>
      </c>
      <c r="Y10" s="405"/>
      <c r="Z10" s="405">
        <v>0</v>
      </c>
      <c r="AA10" s="405"/>
      <c r="AB10" s="409">
        <f>T10+V10+X10+Z10</f>
        <v>0</v>
      </c>
    </row>
    <row r="11" spans="1:34" ht="110.25" hidden="1" customHeight="1" x14ac:dyDescent="0.25">
      <c r="B11" s="1019" t="s">
        <v>112</v>
      </c>
      <c r="D11" s="404">
        <v>0</v>
      </c>
      <c r="E11" s="405"/>
      <c r="F11" s="405">
        <v>0</v>
      </c>
      <c r="G11" s="405"/>
      <c r="H11" s="405">
        <v>0</v>
      </c>
      <c r="I11" s="405"/>
      <c r="J11" s="405">
        <v>0</v>
      </c>
      <c r="K11" s="405"/>
      <c r="L11" s="405">
        <v>0</v>
      </c>
      <c r="M11" s="405"/>
      <c r="N11" s="405">
        <v>0</v>
      </c>
      <c r="O11" s="405"/>
      <c r="P11" s="410">
        <v>0</v>
      </c>
      <c r="Q11" s="405"/>
      <c r="R11" s="405">
        <v>0</v>
      </c>
      <c r="S11" s="405"/>
      <c r="T11" s="410">
        <v>0</v>
      </c>
      <c r="U11" s="405"/>
      <c r="V11" s="405">
        <v>0</v>
      </c>
      <c r="W11" s="405"/>
      <c r="X11" s="405">
        <v>0</v>
      </c>
      <c r="Y11" s="405"/>
      <c r="Z11" s="407">
        <v>0</v>
      </c>
      <c r="AA11" s="405"/>
      <c r="AB11" s="409">
        <f>T11+V11+X11+Z11</f>
        <v>0</v>
      </c>
    </row>
    <row r="12" spans="1:34" ht="120" customHeight="1" x14ac:dyDescent="0.25">
      <c r="B12" s="1071" t="s">
        <v>1098</v>
      </c>
      <c r="D12" s="411"/>
      <c r="E12" s="405">
        <f>SUM(E8:E11)</f>
        <v>0</v>
      </c>
      <c r="F12" s="390">
        <f>SUM(F8:F11)</f>
        <v>54702590927</v>
      </c>
      <c r="G12" s="389"/>
      <c r="H12" s="390">
        <f>SUM(H8:H11)</f>
        <v>19261402839</v>
      </c>
      <c r="I12" s="389"/>
      <c r="J12" s="390">
        <f>SUM(J8:J11)</f>
        <v>25501877203</v>
      </c>
      <c r="K12" s="389"/>
      <c r="L12" s="390">
        <f>SUM(L8:L11)</f>
        <v>165176578160</v>
      </c>
      <c r="M12" s="405"/>
      <c r="N12" s="390">
        <f>SUM(N8:N11)</f>
        <v>12587337276</v>
      </c>
      <c r="O12" s="389"/>
      <c r="P12" s="390">
        <f>SUM(P8:P11)</f>
        <v>96524837302</v>
      </c>
      <c r="Q12" s="389"/>
      <c r="R12" s="390">
        <f>SUM(R8:R11)</f>
        <v>35461657637</v>
      </c>
      <c r="S12" s="389"/>
      <c r="T12" s="390">
        <f>SUM(T8:T11)</f>
        <v>409216281344</v>
      </c>
      <c r="U12" s="405"/>
      <c r="V12" s="411">
        <f t="shared" ref="V12:AB12" si="0">SUM(V8:V11)</f>
        <v>0</v>
      </c>
      <c r="W12" s="405">
        <f t="shared" si="0"/>
        <v>0</v>
      </c>
      <c r="X12" s="390">
        <f t="shared" si="0"/>
        <v>904031500</v>
      </c>
      <c r="Y12" s="405">
        <f t="shared" si="0"/>
        <v>0</v>
      </c>
      <c r="Z12" s="411">
        <f t="shared" si="0"/>
        <v>0</v>
      </c>
      <c r="AA12" s="405">
        <f t="shared" si="0"/>
        <v>0</v>
      </c>
      <c r="AB12" s="390">
        <f t="shared" si="0"/>
        <v>409216281344</v>
      </c>
    </row>
    <row r="13" spans="1:34" ht="120" customHeight="1" x14ac:dyDescent="0.25">
      <c r="B13" s="1019" t="s">
        <v>69</v>
      </c>
      <c r="D13" s="406">
        <v>0</v>
      </c>
      <c r="E13" s="405"/>
      <c r="F13" s="406">
        <v>6553770879</v>
      </c>
      <c r="G13" s="405">
        <v>0</v>
      </c>
      <c r="H13" s="406">
        <v>3898741718</v>
      </c>
      <c r="I13" s="405"/>
      <c r="J13" s="406">
        <v>5231771477</v>
      </c>
      <c r="K13" s="405"/>
      <c r="L13" s="406">
        <v>28051833167</v>
      </c>
      <c r="M13" s="405"/>
      <c r="N13" s="406">
        <v>461837869</v>
      </c>
      <c r="O13" s="405"/>
      <c r="P13" s="406">
        <v>13709240286</v>
      </c>
      <c r="Q13" s="405"/>
      <c r="R13" s="406">
        <v>16875684040</v>
      </c>
      <c r="S13" s="405"/>
      <c r="T13" s="406">
        <f>F13+H13+J13+L13+N13+P13+R13</f>
        <v>74782879436</v>
      </c>
      <c r="U13" s="405"/>
      <c r="V13" s="405">
        <v>0</v>
      </c>
      <c r="W13" s="405"/>
      <c r="X13" s="407">
        <v>0</v>
      </c>
      <c r="Y13" s="405"/>
      <c r="Z13" s="405">
        <v>0</v>
      </c>
      <c r="AA13" s="405"/>
      <c r="AB13" s="389">
        <f>T13+V13+X13+Z13</f>
        <v>74782879436</v>
      </c>
      <c r="AH13" s="404">
        <f>T13+'13-14'!O16</f>
        <v>83087283880</v>
      </c>
    </row>
    <row r="14" spans="1:34" ht="110.25" hidden="1" customHeight="1" x14ac:dyDescent="0.85">
      <c r="B14" s="1019" t="s">
        <v>111</v>
      </c>
      <c r="D14" s="405">
        <v>0</v>
      </c>
      <c r="E14" s="405"/>
      <c r="F14" s="405">
        <v>0</v>
      </c>
      <c r="G14" s="405"/>
      <c r="H14" s="410">
        <v>0</v>
      </c>
      <c r="I14" s="405"/>
      <c r="J14" s="405">
        <v>0</v>
      </c>
      <c r="K14" s="405"/>
      <c r="L14" s="410">
        <v>0</v>
      </c>
      <c r="M14" s="405"/>
      <c r="N14" s="410">
        <v>0</v>
      </c>
      <c r="O14" s="405"/>
      <c r="P14" s="405">
        <v>0</v>
      </c>
      <c r="Q14" s="405"/>
      <c r="R14" s="405">
        <v>0</v>
      </c>
      <c r="S14" s="405"/>
      <c r="T14" s="410">
        <f>SUM(D14:R14)</f>
        <v>0</v>
      </c>
      <c r="U14" s="405"/>
      <c r="V14" s="405">
        <v>0</v>
      </c>
      <c r="W14" s="405"/>
      <c r="X14" s="405">
        <v>0</v>
      </c>
      <c r="Y14" s="405"/>
      <c r="Z14" s="405">
        <v>0</v>
      </c>
      <c r="AA14" s="405"/>
      <c r="AB14" s="412"/>
    </row>
    <row r="15" spans="1:34" ht="120" customHeight="1" thickBot="1" x14ac:dyDescent="0.3">
      <c r="B15" s="1071" t="s">
        <v>1100</v>
      </c>
      <c r="D15" s="413">
        <f>SUM(D12:D14)</f>
        <v>0</v>
      </c>
      <c r="E15" s="405"/>
      <c r="F15" s="391">
        <f>SUM(F12:F14)</f>
        <v>61256361806</v>
      </c>
      <c r="H15" s="391">
        <f>SUM(H12:H14)</f>
        <v>23160144557</v>
      </c>
      <c r="J15" s="391">
        <f>SUM(J12:J14)</f>
        <v>30733648680</v>
      </c>
      <c r="L15" s="391">
        <f>SUM(L12:L14)</f>
        <v>193228411327</v>
      </c>
      <c r="N15" s="391">
        <f>SUM(N12:N14)</f>
        <v>13049175145</v>
      </c>
      <c r="P15" s="391">
        <f>SUM(P12:P14)</f>
        <v>110234077588</v>
      </c>
      <c r="R15" s="391">
        <f>SUM(R12:R14)</f>
        <v>52337341677</v>
      </c>
      <c r="T15" s="391">
        <f>D15+F15+H15+J15+L15+N15+P15+R15</f>
        <v>483999160780</v>
      </c>
      <c r="U15" s="405"/>
      <c r="V15" s="413">
        <f>SUM(V12:V14)</f>
        <v>0</v>
      </c>
      <c r="W15" s="405"/>
      <c r="X15" s="389">
        <f>SUM(X12:X14)</f>
        <v>904031500</v>
      </c>
      <c r="Y15" s="405"/>
      <c r="Z15" s="413">
        <v>0</v>
      </c>
      <c r="AA15" s="405"/>
      <c r="AB15" s="391">
        <f>SUM(AB12:AB14)</f>
        <v>483999160780</v>
      </c>
    </row>
    <row r="16" spans="1:34" ht="120" customHeight="1" thickTop="1" thickBot="1" x14ac:dyDescent="0.3">
      <c r="B16" s="1071" t="s">
        <v>1099</v>
      </c>
      <c r="D16" s="391">
        <f>'12'!E17-'12-1'!D15</f>
        <v>3370015495</v>
      </c>
      <c r="E16" s="405"/>
      <c r="F16" s="391">
        <f>'12 اصلی'!G17-'12-1'!F15</f>
        <v>134597737595</v>
      </c>
      <c r="H16" s="391">
        <f>'12 اصلی'!I17-'12-1'!H15</f>
        <v>35102589129</v>
      </c>
      <c r="J16" s="391">
        <f>'12 اصلی'!K17-'12-1'!J15</f>
        <v>59412691218</v>
      </c>
      <c r="L16" s="391">
        <f>'12 اصلی'!M17-'12-1'!L15</f>
        <v>120205543490</v>
      </c>
      <c r="N16" s="391">
        <f>'12 اصلی'!O17-'12-1'!N15</f>
        <v>372599310</v>
      </c>
      <c r="P16" s="391">
        <f>'12 اصلی'!Q17-'12-1'!P15</f>
        <v>32783568563</v>
      </c>
      <c r="R16" s="391">
        <f>'12 اصلی'!S17-'12-1'!R15</f>
        <v>38020853410</v>
      </c>
      <c r="T16" s="391">
        <f>D16+F16+H16+J16+L16+N16+P16+R16</f>
        <v>423865598210</v>
      </c>
      <c r="U16" s="405"/>
      <c r="V16" s="391">
        <v>0</v>
      </c>
      <c r="W16" s="405"/>
      <c r="X16" s="391">
        <f>'12 اصلی'!Y17</f>
        <v>15791391800</v>
      </c>
      <c r="Y16" s="405"/>
      <c r="Z16" s="391">
        <v>0</v>
      </c>
      <c r="AA16" s="405"/>
      <c r="AB16" s="391">
        <f>SUM(T16:Z16)</f>
        <v>439656990010</v>
      </c>
      <c r="AH16" s="404" t="b">
        <f>AB16='وضعيت مالي'!F8</f>
        <v>1</v>
      </c>
    </row>
    <row r="17" spans="1:34" ht="120" customHeight="1" thickTop="1" thickBot="1" x14ac:dyDescent="0.3">
      <c r="B17" s="1071" t="s">
        <v>955</v>
      </c>
      <c r="D17" s="391">
        <f>'12 اصلی'!E12-'12-1'!D12</f>
        <v>3370015495</v>
      </c>
      <c r="E17" s="405"/>
      <c r="F17" s="391">
        <f>'12 اصلی'!G12-'12-1'!F12</f>
        <v>141151508474</v>
      </c>
      <c r="H17" s="391">
        <f>'12 اصلی'!I12-'12-1'!H12</f>
        <v>38973930847</v>
      </c>
      <c r="J17" s="391">
        <f>'12 اصلی'!K12-'12-1'!J12</f>
        <v>59261732695</v>
      </c>
      <c r="L17" s="391">
        <f>'12 اصلی'!M12-'12-1'!L12</f>
        <v>143702224107</v>
      </c>
      <c r="N17" s="391">
        <f>'12 اصلی'!O12-'12-1'!N12</f>
        <v>834437179</v>
      </c>
      <c r="P17" s="391">
        <f>'12 اصلی'!Q12-'12-1'!P12</f>
        <v>45045057653</v>
      </c>
      <c r="R17" s="391">
        <f>'12 اصلی'!S12-'12-1'!R12</f>
        <v>36181880877</v>
      </c>
      <c r="T17" s="391">
        <f>D17+F17+H17+J17+L17+N17+P17+R17</f>
        <v>468520787327</v>
      </c>
      <c r="U17" s="405"/>
      <c r="V17" s="391">
        <f>'12 اصلی'!W12</f>
        <v>0</v>
      </c>
      <c r="W17" s="405"/>
      <c r="X17" s="391">
        <f>'12 اصلی'!Y12</f>
        <v>12388796860</v>
      </c>
      <c r="Y17" s="405">
        <f>'12'!Z13-'12-1'!Y12</f>
        <v>0</v>
      </c>
      <c r="Z17" s="391">
        <v>0</v>
      </c>
      <c r="AA17" s="405"/>
      <c r="AB17" s="391">
        <f>SUM(T17:Z17)</f>
        <v>480909584187</v>
      </c>
      <c r="AH17" s="404" t="b">
        <f>AB17='وضعيت مالي'!H8</f>
        <v>1</v>
      </c>
    </row>
    <row r="18" spans="1:34" ht="30.75" thickTop="1" x14ac:dyDescent="0.25">
      <c r="T18" s="1170"/>
    </row>
    <row r="19" spans="1:34" ht="36.75" customHeight="1" x14ac:dyDescent="0.25"/>
    <row r="27" spans="1:34" ht="36.75" customHeight="1" x14ac:dyDescent="0.25"/>
    <row r="28" spans="1:34" x14ac:dyDescent="0.25">
      <c r="A28" s="1488" t="s">
        <v>419</v>
      </c>
      <c r="B28" s="1488"/>
      <c r="C28" s="1488"/>
      <c r="D28" s="1488"/>
      <c r="E28" s="1488"/>
      <c r="F28" s="1488"/>
      <c r="G28" s="1488"/>
      <c r="H28" s="1488"/>
      <c r="I28" s="1488"/>
      <c r="J28" s="1488"/>
      <c r="K28" s="1488"/>
      <c r="L28" s="1488"/>
      <c r="M28" s="1488"/>
      <c r="N28" s="1488"/>
      <c r="O28" s="1488"/>
      <c r="P28" s="1488"/>
      <c r="Q28" s="1488"/>
      <c r="R28" s="1488"/>
      <c r="S28" s="1488"/>
      <c r="T28" s="1488"/>
      <c r="U28" s="1488"/>
      <c r="V28" s="1488"/>
      <c r="W28" s="1488"/>
      <c r="X28" s="1488"/>
      <c r="Y28" s="1488"/>
      <c r="Z28" s="1488"/>
      <c r="AA28" s="1488"/>
      <c r="AB28" s="1488"/>
      <c r="AC28" s="1488"/>
    </row>
  </sheetData>
  <customSheetViews>
    <customSheetView guid="{39716EAB-185B-4ADF-90CF-1B1041867F58}" scale="40" showPageBreaks="1" fitToPage="1" printArea="1" view="pageBreakPreview">
      <pane xSplit="4" ySplit="6" topLeftCell="T7" activePane="bottomRight" state="frozen"/>
      <selection pane="bottomRight" activeCell="X10" sqref="X10"/>
      <pageMargins left="0.23622047244094491" right="0.23622047244094491" top="0.74803149606299213" bottom="0.74803149606299213" header="0.31496062992125984" footer="0.31496062992125984"/>
      <printOptions horizontalCentered="1" verticalCentered="1"/>
      <pageSetup scale="15" orientation="landscape" horizontalDpi="1200" verticalDpi="1200" r:id="rId1"/>
    </customSheetView>
    <customSheetView guid="{5CB8382F-C212-4512-9396-17792C62978E}" scale="40" showPageBreaks="1" fitToPage="1" printArea="1" view="pageBreakPreview">
      <pane xSplit="4" ySplit="6" topLeftCell="P7" activePane="bottomRight" state="frozen"/>
      <selection pane="bottomRight" activeCell="W11" sqref="B10:W11"/>
      <pageMargins left="0.23622047244094491" right="0.23622047244094491" top="0.74803149606299213" bottom="0.74803149606299213" header="0.31496062992125984" footer="0.31496062992125984"/>
      <printOptions horizontalCentered="1" verticalCentered="1"/>
      <pageSetup scale="17" orientation="landscape" horizontalDpi="1200" verticalDpi="1200" r:id="rId2"/>
    </customSheetView>
    <customSheetView guid="{184BCED3-EADB-44CF-BFDA-DA8D3E7206C0}" scale="40" showPageBreaks="1" printArea="1" view="pageBreakPreview">
      <pane xSplit="4" ySplit="6" topLeftCell="E10" activePane="bottomRight" state="frozen"/>
      <selection pane="bottomRight" activeCell="F9" sqref="F9"/>
      <colBreaks count="1" manualBreakCount="1">
        <brk id="14" max="27" man="1"/>
      </colBreaks>
      <pageMargins left="0" right="0" top="0.39370078740157483" bottom="0.39370078740157483" header="0.31496062992125984" footer="0.31496062992125984"/>
      <printOptions horizontalCentered="1"/>
      <pageSetup scale="29" orientation="landscape" r:id="rId3"/>
    </customSheetView>
  </customSheetViews>
  <mergeCells count="6">
    <mergeCell ref="A28:AC28"/>
    <mergeCell ref="A1:AC1"/>
    <mergeCell ref="A2:AC2"/>
    <mergeCell ref="A3:AC3"/>
    <mergeCell ref="V5:X5"/>
    <mergeCell ref="B7:C7"/>
  </mergeCells>
  <hyperlinks>
    <hyperlink ref="A1:XFD3" r:id="rId4" display="http://modiriatmali.com/" xr:uid="{00000000-0004-0000-1100-000000000000}"/>
  </hyperlinks>
  <printOptions horizontalCentered="1"/>
  <pageMargins left="0" right="0" top="0.75" bottom="0.75" header="0.3" footer="0.3"/>
  <pageSetup paperSize="9" scale="28" orientation="landscape" r:id="rId5"/>
  <legacy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AH19"/>
  <sheetViews>
    <sheetView rightToLeft="1" view="pageBreakPreview" topLeftCell="A15" zoomScale="90" zoomScaleSheetLayoutView="90" workbookViewId="0">
      <selection activeCell="M7" sqref="M7"/>
    </sheetView>
  </sheetViews>
  <sheetFormatPr defaultRowHeight="15.75" x14ac:dyDescent="0.25"/>
  <cols>
    <col min="1" max="1" width="7.140625" style="372" bestFit="1" customWidth="1"/>
    <col min="2" max="2" width="8.7109375" style="873" customWidth="1"/>
    <col min="3" max="3" width="16.85546875" style="873" customWidth="1"/>
    <col min="4" max="4" width="16" style="873" customWidth="1"/>
    <col min="5" max="5" width="13.28515625" style="873" customWidth="1"/>
    <col min="6" max="6" width="1" style="873" customWidth="1"/>
    <col min="7" max="7" width="8.7109375" style="873" customWidth="1"/>
    <col min="8" max="8" width="31.42578125" style="873" customWidth="1"/>
    <col min="9" max="9" width="0.7109375" style="873" customWidth="1"/>
    <col min="10" max="10" width="2.85546875" style="873" customWidth="1"/>
    <col min="11" max="11" width="13.5703125" style="873" customWidth="1"/>
    <col min="12" max="12" width="0.7109375" style="873" customWidth="1"/>
    <col min="13" max="13" width="14.28515625" style="873" customWidth="1"/>
    <col min="14" max="14" width="0.7109375" style="873" customWidth="1"/>
    <col min="15" max="15" width="11.5703125" style="873" customWidth="1"/>
    <col min="16" max="16" width="0.7109375" style="873" customWidth="1"/>
    <col min="17" max="17" width="11.5703125" style="873" customWidth="1"/>
    <col min="18" max="18" width="0.7109375" style="873" customWidth="1"/>
    <col min="19" max="19" width="11.5703125" style="873" customWidth="1"/>
    <col min="20" max="20" width="0.7109375" style="873" customWidth="1"/>
    <col min="21" max="21" width="11.5703125" style="873" customWidth="1"/>
    <col min="22" max="22" width="1" style="873" customWidth="1"/>
    <col min="23" max="23" width="9.85546875" style="873" customWidth="1"/>
    <col min="24" max="24" width="0.7109375" style="873" customWidth="1"/>
    <col min="25" max="25" width="11.5703125" style="873" customWidth="1"/>
    <col min="26" max="26" width="1" style="873" customWidth="1"/>
    <col min="27" max="27" width="11.5703125" style="873" customWidth="1"/>
    <col min="28" max="28" width="0.7109375" style="873" customWidth="1"/>
    <col min="29" max="29" width="11.5703125" style="873" customWidth="1"/>
    <col min="30" max="30" width="1.85546875" style="873" customWidth="1"/>
    <col min="31" max="31" width="11.5703125" style="874" customWidth="1"/>
    <col min="32" max="32" width="15.28515625" style="874" bestFit="1" customWidth="1"/>
    <col min="33" max="33" width="5" style="873" customWidth="1"/>
    <col min="34" max="34" width="10.42578125" style="873" bestFit="1" customWidth="1"/>
    <col min="35" max="35" width="5" style="873" customWidth="1"/>
    <col min="36" max="36" width="10.42578125" style="873" bestFit="1" customWidth="1"/>
    <col min="37" max="39" width="9" style="873"/>
    <col min="40" max="40" width="10.42578125" style="873" bestFit="1" customWidth="1"/>
    <col min="41" max="269" width="9" style="873"/>
    <col min="270" max="270" width="3.5703125" style="873" customWidth="1"/>
    <col min="271" max="271" width="4.85546875" style="873" customWidth="1"/>
    <col min="272" max="272" width="5.42578125" style="873" customWidth="1"/>
    <col min="273" max="273" width="31.28515625" style="873" customWidth="1"/>
    <col min="274" max="274" width="7.5703125" style="873" customWidth="1"/>
    <col min="275" max="275" width="2.42578125" style="873" customWidth="1"/>
    <col min="276" max="276" width="11.5703125" style="873" customWidth="1"/>
    <col min="277" max="277" width="2.42578125" style="873" customWidth="1"/>
    <col min="278" max="278" width="11.5703125" style="873" customWidth="1"/>
    <col min="279" max="279" width="2.42578125" style="873" customWidth="1"/>
    <col min="280" max="280" width="10.85546875" style="873" customWidth="1"/>
    <col min="281" max="281" width="2.42578125" style="873" customWidth="1"/>
    <col min="282" max="282" width="11.140625" style="873" customWidth="1"/>
    <col min="283" max="283" width="1.85546875" style="873" customWidth="1"/>
    <col min="284" max="284" width="11" style="873" customWidth="1"/>
    <col min="285" max="285" width="0.7109375" style="873" customWidth="1"/>
    <col min="286" max="286" width="1.85546875" style="873" customWidth="1"/>
    <col min="287" max="287" width="11.85546875" style="873" bestFit="1" customWidth="1"/>
    <col min="288" max="288" width="15.28515625" style="873" bestFit="1" customWidth="1"/>
    <col min="289" max="289" width="5" style="873" customWidth="1"/>
    <col min="290" max="290" width="10.42578125" style="873" bestFit="1" customWidth="1"/>
    <col min="291" max="291" width="5" style="873" customWidth="1"/>
    <col min="292" max="292" width="10.42578125" style="873" bestFit="1" customWidth="1"/>
    <col min="293" max="295" width="9" style="873"/>
    <col min="296" max="296" width="10.42578125" style="873" bestFit="1" customWidth="1"/>
    <col min="297" max="525" width="9" style="873"/>
    <col min="526" max="526" width="3.5703125" style="873" customWidth="1"/>
    <col min="527" max="527" width="4.85546875" style="873" customWidth="1"/>
    <col min="528" max="528" width="5.42578125" style="873" customWidth="1"/>
    <col min="529" max="529" width="31.28515625" style="873" customWidth="1"/>
    <col min="530" max="530" width="7.5703125" style="873" customWidth="1"/>
    <col min="531" max="531" width="2.42578125" style="873" customWidth="1"/>
    <col min="532" max="532" width="11.5703125" style="873" customWidth="1"/>
    <col min="533" max="533" width="2.42578125" style="873" customWidth="1"/>
    <col min="534" max="534" width="11.5703125" style="873" customWidth="1"/>
    <col min="535" max="535" width="2.42578125" style="873" customWidth="1"/>
    <col min="536" max="536" width="10.85546875" style="873" customWidth="1"/>
    <col min="537" max="537" width="2.42578125" style="873" customWidth="1"/>
    <col min="538" max="538" width="11.140625" style="873" customWidth="1"/>
    <col min="539" max="539" width="1.85546875" style="873" customWidth="1"/>
    <col min="540" max="540" width="11" style="873" customWidth="1"/>
    <col min="541" max="541" width="0.7109375" style="873" customWidth="1"/>
    <col min="542" max="542" width="1.85546875" style="873" customWidth="1"/>
    <col min="543" max="543" width="11.85546875" style="873" bestFit="1" customWidth="1"/>
    <col min="544" max="544" width="15.28515625" style="873" bestFit="1" customWidth="1"/>
    <col min="545" max="545" width="5" style="873" customWidth="1"/>
    <col min="546" max="546" width="10.42578125" style="873" bestFit="1" customWidth="1"/>
    <col min="547" max="547" width="5" style="873" customWidth="1"/>
    <col min="548" max="548" width="10.42578125" style="873" bestFit="1" customWidth="1"/>
    <col min="549" max="551" width="9" style="873"/>
    <col min="552" max="552" width="10.42578125" style="873" bestFit="1" customWidth="1"/>
    <col min="553" max="781" width="9" style="873"/>
    <col min="782" max="782" width="3.5703125" style="873" customWidth="1"/>
    <col min="783" max="783" width="4.85546875" style="873" customWidth="1"/>
    <col min="784" max="784" width="5.42578125" style="873" customWidth="1"/>
    <col min="785" max="785" width="31.28515625" style="873" customWidth="1"/>
    <col min="786" max="786" width="7.5703125" style="873" customWidth="1"/>
    <col min="787" max="787" width="2.42578125" style="873" customWidth="1"/>
    <col min="788" max="788" width="11.5703125" style="873" customWidth="1"/>
    <col min="789" max="789" width="2.42578125" style="873" customWidth="1"/>
    <col min="790" max="790" width="11.5703125" style="873" customWidth="1"/>
    <col min="791" max="791" width="2.42578125" style="873" customWidth="1"/>
    <col min="792" max="792" width="10.85546875" style="873" customWidth="1"/>
    <col min="793" max="793" width="2.42578125" style="873" customWidth="1"/>
    <col min="794" max="794" width="11.140625" style="873" customWidth="1"/>
    <col min="795" max="795" width="1.85546875" style="873" customWidth="1"/>
    <col min="796" max="796" width="11" style="873" customWidth="1"/>
    <col min="797" max="797" width="0.7109375" style="873" customWidth="1"/>
    <col min="798" max="798" width="1.85546875" style="873" customWidth="1"/>
    <col min="799" max="799" width="11.85546875" style="873" bestFit="1" customWidth="1"/>
    <col min="800" max="800" width="15.28515625" style="873" bestFit="1" customWidth="1"/>
    <col min="801" max="801" width="5" style="873" customWidth="1"/>
    <col min="802" max="802" width="10.42578125" style="873" bestFit="1" customWidth="1"/>
    <col min="803" max="803" width="5" style="873" customWidth="1"/>
    <col min="804" max="804" width="10.42578125" style="873" bestFit="1" customWidth="1"/>
    <col min="805" max="807" width="9" style="873"/>
    <col min="808" max="808" width="10.42578125" style="873" bestFit="1" customWidth="1"/>
    <col min="809" max="1037" width="9" style="873"/>
    <col min="1038" max="1038" width="3.5703125" style="873" customWidth="1"/>
    <col min="1039" max="1039" width="4.85546875" style="873" customWidth="1"/>
    <col min="1040" max="1040" width="5.42578125" style="873" customWidth="1"/>
    <col min="1041" max="1041" width="31.28515625" style="873" customWidth="1"/>
    <col min="1042" max="1042" width="7.5703125" style="873" customWidth="1"/>
    <col min="1043" max="1043" width="2.42578125" style="873" customWidth="1"/>
    <col min="1044" max="1044" width="11.5703125" style="873" customWidth="1"/>
    <col min="1045" max="1045" width="2.42578125" style="873" customWidth="1"/>
    <col min="1046" max="1046" width="11.5703125" style="873" customWidth="1"/>
    <col min="1047" max="1047" width="2.42578125" style="873" customWidth="1"/>
    <col min="1048" max="1048" width="10.85546875" style="873" customWidth="1"/>
    <col min="1049" max="1049" width="2.42578125" style="873" customWidth="1"/>
    <col min="1050" max="1050" width="11.140625" style="873" customWidth="1"/>
    <col min="1051" max="1051" width="1.85546875" style="873" customWidth="1"/>
    <col min="1052" max="1052" width="11" style="873" customWidth="1"/>
    <col min="1053" max="1053" width="0.7109375" style="873" customWidth="1"/>
    <col min="1054" max="1054" width="1.85546875" style="873" customWidth="1"/>
    <col min="1055" max="1055" width="11.85546875" style="873" bestFit="1" customWidth="1"/>
    <col min="1056" max="1056" width="15.28515625" style="873" bestFit="1" customWidth="1"/>
    <col min="1057" max="1057" width="5" style="873" customWidth="1"/>
    <col min="1058" max="1058" width="10.42578125" style="873" bestFit="1" customWidth="1"/>
    <col min="1059" max="1059" width="5" style="873" customWidth="1"/>
    <col min="1060" max="1060" width="10.42578125" style="873" bestFit="1" customWidth="1"/>
    <col min="1061" max="1063" width="9" style="873"/>
    <col min="1064" max="1064" width="10.42578125" style="873" bestFit="1" customWidth="1"/>
    <col min="1065" max="1293" width="9" style="873"/>
    <col min="1294" max="1294" width="3.5703125" style="873" customWidth="1"/>
    <col min="1295" max="1295" width="4.85546875" style="873" customWidth="1"/>
    <col min="1296" max="1296" width="5.42578125" style="873" customWidth="1"/>
    <col min="1297" max="1297" width="31.28515625" style="873" customWidth="1"/>
    <col min="1298" max="1298" width="7.5703125" style="873" customWidth="1"/>
    <col min="1299" max="1299" width="2.42578125" style="873" customWidth="1"/>
    <col min="1300" max="1300" width="11.5703125" style="873" customWidth="1"/>
    <col min="1301" max="1301" width="2.42578125" style="873" customWidth="1"/>
    <col min="1302" max="1302" width="11.5703125" style="873" customWidth="1"/>
    <col min="1303" max="1303" width="2.42578125" style="873" customWidth="1"/>
    <col min="1304" max="1304" width="10.85546875" style="873" customWidth="1"/>
    <col min="1305" max="1305" width="2.42578125" style="873" customWidth="1"/>
    <col min="1306" max="1306" width="11.140625" style="873" customWidth="1"/>
    <col min="1307" max="1307" width="1.85546875" style="873" customWidth="1"/>
    <col min="1308" max="1308" width="11" style="873" customWidth="1"/>
    <col min="1309" max="1309" width="0.7109375" style="873" customWidth="1"/>
    <col min="1310" max="1310" width="1.85546875" style="873" customWidth="1"/>
    <col min="1311" max="1311" width="11.85546875" style="873" bestFit="1" customWidth="1"/>
    <col min="1312" max="1312" width="15.28515625" style="873" bestFit="1" customWidth="1"/>
    <col min="1313" max="1313" width="5" style="873" customWidth="1"/>
    <col min="1314" max="1314" width="10.42578125" style="873" bestFit="1" customWidth="1"/>
    <col min="1315" max="1315" width="5" style="873" customWidth="1"/>
    <col min="1316" max="1316" width="10.42578125" style="873" bestFit="1" customWidth="1"/>
    <col min="1317" max="1319" width="9" style="873"/>
    <col min="1320" max="1320" width="10.42578125" style="873" bestFit="1" customWidth="1"/>
    <col min="1321" max="1549" width="9" style="873"/>
    <col min="1550" max="1550" width="3.5703125" style="873" customWidth="1"/>
    <col min="1551" max="1551" width="4.85546875" style="873" customWidth="1"/>
    <col min="1552" max="1552" width="5.42578125" style="873" customWidth="1"/>
    <col min="1553" max="1553" width="31.28515625" style="873" customWidth="1"/>
    <col min="1554" max="1554" width="7.5703125" style="873" customWidth="1"/>
    <col min="1555" max="1555" width="2.42578125" style="873" customWidth="1"/>
    <col min="1556" max="1556" width="11.5703125" style="873" customWidth="1"/>
    <col min="1557" max="1557" width="2.42578125" style="873" customWidth="1"/>
    <col min="1558" max="1558" width="11.5703125" style="873" customWidth="1"/>
    <col min="1559" max="1559" width="2.42578125" style="873" customWidth="1"/>
    <col min="1560" max="1560" width="10.85546875" style="873" customWidth="1"/>
    <col min="1561" max="1561" width="2.42578125" style="873" customWidth="1"/>
    <col min="1562" max="1562" width="11.140625" style="873" customWidth="1"/>
    <col min="1563" max="1563" width="1.85546875" style="873" customWidth="1"/>
    <col min="1564" max="1564" width="11" style="873" customWidth="1"/>
    <col min="1565" max="1565" width="0.7109375" style="873" customWidth="1"/>
    <col min="1566" max="1566" width="1.85546875" style="873" customWidth="1"/>
    <col min="1567" max="1567" width="11.85546875" style="873" bestFit="1" customWidth="1"/>
    <col min="1568" max="1568" width="15.28515625" style="873" bestFit="1" customWidth="1"/>
    <col min="1569" max="1569" width="5" style="873" customWidth="1"/>
    <col min="1570" max="1570" width="10.42578125" style="873" bestFit="1" customWidth="1"/>
    <col min="1571" max="1571" width="5" style="873" customWidth="1"/>
    <col min="1572" max="1572" width="10.42578125" style="873" bestFit="1" customWidth="1"/>
    <col min="1573" max="1575" width="9" style="873"/>
    <col min="1576" max="1576" width="10.42578125" style="873" bestFit="1" customWidth="1"/>
    <col min="1577" max="1805" width="9" style="873"/>
    <col min="1806" max="1806" width="3.5703125" style="873" customWidth="1"/>
    <col min="1807" max="1807" width="4.85546875" style="873" customWidth="1"/>
    <col min="1808" max="1808" width="5.42578125" style="873" customWidth="1"/>
    <col min="1809" max="1809" width="31.28515625" style="873" customWidth="1"/>
    <col min="1810" max="1810" width="7.5703125" style="873" customWidth="1"/>
    <col min="1811" max="1811" width="2.42578125" style="873" customWidth="1"/>
    <col min="1812" max="1812" width="11.5703125" style="873" customWidth="1"/>
    <col min="1813" max="1813" width="2.42578125" style="873" customWidth="1"/>
    <col min="1814" max="1814" width="11.5703125" style="873" customWidth="1"/>
    <col min="1815" max="1815" width="2.42578125" style="873" customWidth="1"/>
    <col min="1816" max="1816" width="10.85546875" style="873" customWidth="1"/>
    <col min="1817" max="1817" width="2.42578125" style="873" customWidth="1"/>
    <col min="1818" max="1818" width="11.140625" style="873" customWidth="1"/>
    <col min="1819" max="1819" width="1.85546875" style="873" customWidth="1"/>
    <col min="1820" max="1820" width="11" style="873" customWidth="1"/>
    <col min="1821" max="1821" width="0.7109375" style="873" customWidth="1"/>
    <col min="1822" max="1822" width="1.85546875" style="873" customWidth="1"/>
    <col min="1823" max="1823" width="11.85546875" style="873" bestFit="1" customWidth="1"/>
    <col min="1824" max="1824" width="15.28515625" style="873" bestFit="1" customWidth="1"/>
    <col min="1825" max="1825" width="5" style="873" customWidth="1"/>
    <col min="1826" max="1826" width="10.42578125" style="873" bestFit="1" customWidth="1"/>
    <col min="1827" max="1827" width="5" style="873" customWidth="1"/>
    <col min="1828" max="1828" width="10.42578125" style="873" bestFit="1" customWidth="1"/>
    <col min="1829" max="1831" width="9" style="873"/>
    <col min="1832" max="1832" width="10.42578125" style="873" bestFit="1" customWidth="1"/>
    <col min="1833" max="2061" width="9" style="873"/>
    <col min="2062" max="2062" width="3.5703125" style="873" customWidth="1"/>
    <col min="2063" max="2063" width="4.85546875" style="873" customWidth="1"/>
    <col min="2064" max="2064" width="5.42578125" style="873" customWidth="1"/>
    <col min="2065" max="2065" width="31.28515625" style="873" customWidth="1"/>
    <col min="2066" max="2066" width="7.5703125" style="873" customWidth="1"/>
    <col min="2067" max="2067" width="2.42578125" style="873" customWidth="1"/>
    <col min="2068" max="2068" width="11.5703125" style="873" customWidth="1"/>
    <col min="2069" max="2069" width="2.42578125" style="873" customWidth="1"/>
    <col min="2070" max="2070" width="11.5703125" style="873" customWidth="1"/>
    <col min="2071" max="2071" width="2.42578125" style="873" customWidth="1"/>
    <col min="2072" max="2072" width="10.85546875" style="873" customWidth="1"/>
    <col min="2073" max="2073" width="2.42578125" style="873" customWidth="1"/>
    <col min="2074" max="2074" width="11.140625" style="873" customWidth="1"/>
    <col min="2075" max="2075" width="1.85546875" style="873" customWidth="1"/>
    <col min="2076" max="2076" width="11" style="873" customWidth="1"/>
    <col min="2077" max="2077" width="0.7109375" style="873" customWidth="1"/>
    <col min="2078" max="2078" width="1.85546875" style="873" customWidth="1"/>
    <col min="2079" max="2079" width="11.85546875" style="873" bestFit="1" customWidth="1"/>
    <col min="2080" max="2080" width="15.28515625" style="873" bestFit="1" customWidth="1"/>
    <col min="2081" max="2081" width="5" style="873" customWidth="1"/>
    <col min="2082" max="2082" width="10.42578125" style="873" bestFit="1" customWidth="1"/>
    <col min="2083" max="2083" width="5" style="873" customWidth="1"/>
    <col min="2084" max="2084" width="10.42578125" style="873" bestFit="1" customWidth="1"/>
    <col min="2085" max="2087" width="9" style="873"/>
    <col min="2088" max="2088" width="10.42578125" style="873" bestFit="1" customWidth="1"/>
    <col min="2089" max="2317" width="9" style="873"/>
    <col min="2318" max="2318" width="3.5703125" style="873" customWidth="1"/>
    <col min="2319" max="2319" width="4.85546875" style="873" customWidth="1"/>
    <col min="2320" max="2320" width="5.42578125" style="873" customWidth="1"/>
    <col min="2321" max="2321" width="31.28515625" style="873" customWidth="1"/>
    <col min="2322" max="2322" width="7.5703125" style="873" customWidth="1"/>
    <col min="2323" max="2323" width="2.42578125" style="873" customWidth="1"/>
    <col min="2324" max="2324" width="11.5703125" style="873" customWidth="1"/>
    <col min="2325" max="2325" width="2.42578125" style="873" customWidth="1"/>
    <col min="2326" max="2326" width="11.5703125" style="873" customWidth="1"/>
    <col min="2327" max="2327" width="2.42578125" style="873" customWidth="1"/>
    <col min="2328" max="2328" width="10.85546875" style="873" customWidth="1"/>
    <col min="2329" max="2329" width="2.42578125" style="873" customWidth="1"/>
    <col min="2330" max="2330" width="11.140625" style="873" customWidth="1"/>
    <col min="2331" max="2331" width="1.85546875" style="873" customWidth="1"/>
    <col min="2332" max="2332" width="11" style="873" customWidth="1"/>
    <col min="2333" max="2333" width="0.7109375" style="873" customWidth="1"/>
    <col min="2334" max="2334" width="1.85546875" style="873" customWidth="1"/>
    <col min="2335" max="2335" width="11.85546875" style="873" bestFit="1" customWidth="1"/>
    <col min="2336" max="2336" width="15.28515625" style="873" bestFit="1" customWidth="1"/>
    <col min="2337" max="2337" width="5" style="873" customWidth="1"/>
    <col min="2338" max="2338" width="10.42578125" style="873" bestFit="1" customWidth="1"/>
    <col min="2339" max="2339" width="5" style="873" customWidth="1"/>
    <col min="2340" max="2340" width="10.42578125" style="873" bestFit="1" customWidth="1"/>
    <col min="2341" max="2343" width="9" style="873"/>
    <col min="2344" max="2344" width="10.42578125" style="873" bestFit="1" customWidth="1"/>
    <col min="2345" max="2573" width="9" style="873"/>
    <col min="2574" max="2574" width="3.5703125" style="873" customWidth="1"/>
    <col min="2575" max="2575" width="4.85546875" style="873" customWidth="1"/>
    <col min="2576" max="2576" width="5.42578125" style="873" customWidth="1"/>
    <col min="2577" max="2577" width="31.28515625" style="873" customWidth="1"/>
    <col min="2578" max="2578" width="7.5703125" style="873" customWidth="1"/>
    <col min="2579" max="2579" width="2.42578125" style="873" customWidth="1"/>
    <col min="2580" max="2580" width="11.5703125" style="873" customWidth="1"/>
    <col min="2581" max="2581" width="2.42578125" style="873" customWidth="1"/>
    <col min="2582" max="2582" width="11.5703125" style="873" customWidth="1"/>
    <col min="2583" max="2583" width="2.42578125" style="873" customWidth="1"/>
    <col min="2584" max="2584" width="10.85546875" style="873" customWidth="1"/>
    <col min="2585" max="2585" width="2.42578125" style="873" customWidth="1"/>
    <col min="2586" max="2586" width="11.140625" style="873" customWidth="1"/>
    <col min="2587" max="2587" width="1.85546875" style="873" customWidth="1"/>
    <col min="2588" max="2588" width="11" style="873" customWidth="1"/>
    <col min="2589" max="2589" width="0.7109375" style="873" customWidth="1"/>
    <col min="2590" max="2590" width="1.85546875" style="873" customWidth="1"/>
    <col min="2591" max="2591" width="11.85546875" style="873" bestFit="1" customWidth="1"/>
    <col min="2592" max="2592" width="15.28515625" style="873" bestFit="1" customWidth="1"/>
    <col min="2593" max="2593" width="5" style="873" customWidth="1"/>
    <col min="2594" max="2594" width="10.42578125" style="873" bestFit="1" customWidth="1"/>
    <col min="2595" max="2595" width="5" style="873" customWidth="1"/>
    <col min="2596" max="2596" width="10.42578125" style="873" bestFit="1" customWidth="1"/>
    <col min="2597" max="2599" width="9" style="873"/>
    <col min="2600" max="2600" width="10.42578125" style="873" bestFit="1" customWidth="1"/>
    <col min="2601" max="2829" width="9" style="873"/>
    <col min="2830" max="2830" width="3.5703125" style="873" customWidth="1"/>
    <col min="2831" max="2831" width="4.85546875" style="873" customWidth="1"/>
    <col min="2832" max="2832" width="5.42578125" style="873" customWidth="1"/>
    <col min="2833" max="2833" width="31.28515625" style="873" customWidth="1"/>
    <col min="2834" max="2834" width="7.5703125" style="873" customWidth="1"/>
    <col min="2835" max="2835" width="2.42578125" style="873" customWidth="1"/>
    <col min="2836" max="2836" width="11.5703125" style="873" customWidth="1"/>
    <col min="2837" max="2837" width="2.42578125" style="873" customWidth="1"/>
    <col min="2838" max="2838" width="11.5703125" style="873" customWidth="1"/>
    <col min="2839" max="2839" width="2.42578125" style="873" customWidth="1"/>
    <col min="2840" max="2840" width="10.85546875" style="873" customWidth="1"/>
    <col min="2841" max="2841" width="2.42578125" style="873" customWidth="1"/>
    <col min="2842" max="2842" width="11.140625" style="873" customWidth="1"/>
    <col min="2843" max="2843" width="1.85546875" style="873" customWidth="1"/>
    <col min="2844" max="2844" width="11" style="873" customWidth="1"/>
    <col min="2845" max="2845" width="0.7109375" style="873" customWidth="1"/>
    <col min="2846" max="2846" width="1.85546875" style="873" customWidth="1"/>
    <col min="2847" max="2847" width="11.85546875" style="873" bestFit="1" customWidth="1"/>
    <col min="2848" max="2848" width="15.28515625" style="873" bestFit="1" customWidth="1"/>
    <col min="2849" max="2849" width="5" style="873" customWidth="1"/>
    <col min="2850" max="2850" width="10.42578125" style="873" bestFit="1" customWidth="1"/>
    <col min="2851" max="2851" width="5" style="873" customWidth="1"/>
    <col min="2852" max="2852" width="10.42578125" style="873" bestFit="1" customWidth="1"/>
    <col min="2853" max="2855" width="9" style="873"/>
    <col min="2856" max="2856" width="10.42578125" style="873" bestFit="1" customWidth="1"/>
    <col min="2857" max="3085" width="9" style="873"/>
    <col min="3086" max="3086" width="3.5703125" style="873" customWidth="1"/>
    <col min="3087" max="3087" width="4.85546875" style="873" customWidth="1"/>
    <col min="3088" max="3088" width="5.42578125" style="873" customWidth="1"/>
    <col min="3089" max="3089" width="31.28515625" style="873" customWidth="1"/>
    <col min="3090" max="3090" width="7.5703125" style="873" customWidth="1"/>
    <col min="3091" max="3091" width="2.42578125" style="873" customWidth="1"/>
    <col min="3092" max="3092" width="11.5703125" style="873" customWidth="1"/>
    <col min="3093" max="3093" width="2.42578125" style="873" customWidth="1"/>
    <col min="3094" max="3094" width="11.5703125" style="873" customWidth="1"/>
    <col min="3095" max="3095" width="2.42578125" style="873" customWidth="1"/>
    <col min="3096" max="3096" width="10.85546875" style="873" customWidth="1"/>
    <col min="3097" max="3097" width="2.42578125" style="873" customWidth="1"/>
    <col min="3098" max="3098" width="11.140625" style="873" customWidth="1"/>
    <col min="3099" max="3099" width="1.85546875" style="873" customWidth="1"/>
    <col min="3100" max="3100" width="11" style="873" customWidth="1"/>
    <col min="3101" max="3101" width="0.7109375" style="873" customWidth="1"/>
    <col min="3102" max="3102" width="1.85546875" style="873" customWidth="1"/>
    <col min="3103" max="3103" width="11.85546875" style="873" bestFit="1" customWidth="1"/>
    <col min="3104" max="3104" width="15.28515625" style="873" bestFit="1" customWidth="1"/>
    <col min="3105" max="3105" width="5" style="873" customWidth="1"/>
    <col min="3106" max="3106" width="10.42578125" style="873" bestFit="1" customWidth="1"/>
    <col min="3107" max="3107" width="5" style="873" customWidth="1"/>
    <col min="3108" max="3108" width="10.42578125" style="873" bestFit="1" customWidth="1"/>
    <col min="3109" max="3111" width="9" style="873"/>
    <col min="3112" max="3112" width="10.42578125" style="873" bestFit="1" customWidth="1"/>
    <col min="3113" max="3341" width="9" style="873"/>
    <col min="3342" max="3342" width="3.5703125" style="873" customWidth="1"/>
    <col min="3343" max="3343" width="4.85546875" style="873" customWidth="1"/>
    <col min="3344" max="3344" width="5.42578125" style="873" customWidth="1"/>
    <col min="3345" max="3345" width="31.28515625" style="873" customWidth="1"/>
    <col min="3346" max="3346" width="7.5703125" style="873" customWidth="1"/>
    <col min="3347" max="3347" width="2.42578125" style="873" customWidth="1"/>
    <col min="3348" max="3348" width="11.5703125" style="873" customWidth="1"/>
    <col min="3349" max="3349" width="2.42578125" style="873" customWidth="1"/>
    <col min="3350" max="3350" width="11.5703125" style="873" customWidth="1"/>
    <col min="3351" max="3351" width="2.42578125" style="873" customWidth="1"/>
    <col min="3352" max="3352" width="10.85546875" style="873" customWidth="1"/>
    <col min="3353" max="3353" width="2.42578125" style="873" customWidth="1"/>
    <col min="3354" max="3354" width="11.140625" style="873" customWidth="1"/>
    <col min="3355" max="3355" width="1.85546875" style="873" customWidth="1"/>
    <col min="3356" max="3356" width="11" style="873" customWidth="1"/>
    <col min="3357" max="3357" width="0.7109375" style="873" customWidth="1"/>
    <col min="3358" max="3358" width="1.85546875" style="873" customWidth="1"/>
    <col min="3359" max="3359" width="11.85546875" style="873" bestFit="1" customWidth="1"/>
    <col min="3360" max="3360" width="15.28515625" style="873" bestFit="1" customWidth="1"/>
    <col min="3361" max="3361" width="5" style="873" customWidth="1"/>
    <col min="3362" max="3362" width="10.42578125" style="873" bestFit="1" customWidth="1"/>
    <col min="3363" max="3363" width="5" style="873" customWidth="1"/>
    <col min="3364" max="3364" width="10.42578125" style="873" bestFit="1" customWidth="1"/>
    <col min="3365" max="3367" width="9" style="873"/>
    <col min="3368" max="3368" width="10.42578125" style="873" bestFit="1" customWidth="1"/>
    <col min="3369" max="3597" width="9" style="873"/>
    <col min="3598" max="3598" width="3.5703125" style="873" customWidth="1"/>
    <col min="3599" max="3599" width="4.85546875" style="873" customWidth="1"/>
    <col min="3600" max="3600" width="5.42578125" style="873" customWidth="1"/>
    <col min="3601" max="3601" width="31.28515625" style="873" customWidth="1"/>
    <col min="3602" max="3602" width="7.5703125" style="873" customWidth="1"/>
    <col min="3603" max="3603" width="2.42578125" style="873" customWidth="1"/>
    <col min="3604" max="3604" width="11.5703125" style="873" customWidth="1"/>
    <col min="3605" max="3605" width="2.42578125" style="873" customWidth="1"/>
    <col min="3606" max="3606" width="11.5703125" style="873" customWidth="1"/>
    <col min="3607" max="3607" width="2.42578125" style="873" customWidth="1"/>
    <col min="3608" max="3608" width="10.85546875" style="873" customWidth="1"/>
    <col min="3609" max="3609" width="2.42578125" style="873" customWidth="1"/>
    <col min="3610" max="3610" width="11.140625" style="873" customWidth="1"/>
    <col min="3611" max="3611" width="1.85546875" style="873" customWidth="1"/>
    <col min="3612" max="3612" width="11" style="873" customWidth="1"/>
    <col min="3613" max="3613" width="0.7109375" style="873" customWidth="1"/>
    <col min="3614" max="3614" width="1.85546875" style="873" customWidth="1"/>
    <col min="3615" max="3615" width="11.85546875" style="873" bestFit="1" customWidth="1"/>
    <col min="3616" max="3616" width="15.28515625" style="873" bestFit="1" customWidth="1"/>
    <col min="3617" max="3617" width="5" style="873" customWidth="1"/>
    <col min="3618" max="3618" width="10.42578125" style="873" bestFit="1" customWidth="1"/>
    <col min="3619" max="3619" width="5" style="873" customWidth="1"/>
    <col min="3620" max="3620" width="10.42578125" style="873" bestFit="1" customWidth="1"/>
    <col min="3621" max="3623" width="9" style="873"/>
    <col min="3624" max="3624" width="10.42578125" style="873" bestFit="1" customWidth="1"/>
    <col min="3625" max="3853" width="9" style="873"/>
    <col min="3854" max="3854" width="3.5703125" style="873" customWidth="1"/>
    <col min="3855" max="3855" width="4.85546875" style="873" customWidth="1"/>
    <col min="3856" max="3856" width="5.42578125" style="873" customWidth="1"/>
    <col min="3857" max="3857" width="31.28515625" style="873" customWidth="1"/>
    <col min="3858" max="3858" width="7.5703125" style="873" customWidth="1"/>
    <col min="3859" max="3859" width="2.42578125" style="873" customWidth="1"/>
    <col min="3860" max="3860" width="11.5703125" style="873" customWidth="1"/>
    <col min="3861" max="3861" width="2.42578125" style="873" customWidth="1"/>
    <col min="3862" max="3862" width="11.5703125" style="873" customWidth="1"/>
    <col min="3863" max="3863" width="2.42578125" style="873" customWidth="1"/>
    <col min="3864" max="3864" width="10.85546875" style="873" customWidth="1"/>
    <col min="3865" max="3865" width="2.42578125" style="873" customWidth="1"/>
    <col min="3866" max="3866" width="11.140625" style="873" customWidth="1"/>
    <col min="3867" max="3867" width="1.85546875" style="873" customWidth="1"/>
    <col min="3868" max="3868" width="11" style="873" customWidth="1"/>
    <col min="3869" max="3869" width="0.7109375" style="873" customWidth="1"/>
    <col min="3870" max="3870" width="1.85546875" style="873" customWidth="1"/>
    <col min="3871" max="3871" width="11.85546875" style="873" bestFit="1" customWidth="1"/>
    <col min="3872" max="3872" width="15.28515625" style="873" bestFit="1" customWidth="1"/>
    <col min="3873" max="3873" width="5" style="873" customWidth="1"/>
    <col min="3874" max="3874" width="10.42578125" style="873" bestFit="1" customWidth="1"/>
    <col min="3875" max="3875" width="5" style="873" customWidth="1"/>
    <col min="3876" max="3876" width="10.42578125" style="873" bestFit="1" customWidth="1"/>
    <col min="3877" max="3879" width="9" style="873"/>
    <col min="3880" max="3880" width="10.42578125" style="873" bestFit="1" customWidth="1"/>
    <col min="3881" max="4109" width="9" style="873"/>
    <col min="4110" max="4110" width="3.5703125" style="873" customWidth="1"/>
    <col min="4111" max="4111" width="4.85546875" style="873" customWidth="1"/>
    <col min="4112" max="4112" width="5.42578125" style="873" customWidth="1"/>
    <col min="4113" max="4113" width="31.28515625" style="873" customWidth="1"/>
    <col min="4114" max="4114" width="7.5703125" style="873" customWidth="1"/>
    <col min="4115" max="4115" width="2.42578125" style="873" customWidth="1"/>
    <col min="4116" max="4116" width="11.5703125" style="873" customWidth="1"/>
    <col min="4117" max="4117" width="2.42578125" style="873" customWidth="1"/>
    <col min="4118" max="4118" width="11.5703125" style="873" customWidth="1"/>
    <col min="4119" max="4119" width="2.42578125" style="873" customWidth="1"/>
    <col min="4120" max="4120" width="10.85546875" style="873" customWidth="1"/>
    <col min="4121" max="4121" width="2.42578125" style="873" customWidth="1"/>
    <col min="4122" max="4122" width="11.140625" style="873" customWidth="1"/>
    <col min="4123" max="4123" width="1.85546875" style="873" customWidth="1"/>
    <col min="4124" max="4124" width="11" style="873" customWidth="1"/>
    <col min="4125" max="4125" width="0.7109375" style="873" customWidth="1"/>
    <col min="4126" max="4126" width="1.85546875" style="873" customWidth="1"/>
    <col min="4127" max="4127" width="11.85546875" style="873" bestFit="1" customWidth="1"/>
    <col min="4128" max="4128" width="15.28515625" style="873" bestFit="1" customWidth="1"/>
    <col min="4129" max="4129" width="5" style="873" customWidth="1"/>
    <col min="4130" max="4130" width="10.42578125" style="873" bestFit="1" customWidth="1"/>
    <col min="4131" max="4131" width="5" style="873" customWidth="1"/>
    <col min="4132" max="4132" width="10.42578125" style="873" bestFit="1" customWidth="1"/>
    <col min="4133" max="4135" width="9" style="873"/>
    <col min="4136" max="4136" width="10.42578125" style="873" bestFit="1" customWidth="1"/>
    <col min="4137" max="4365" width="9" style="873"/>
    <col min="4366" max="4366" width="3.5703125" style="873" customWidth="1"/>
    <col min="4367" max="4367" width="4.85546875" style="873" customWidth="1"/>
    <col min="4368" max="4368" width="5.42578125" style="873" customWidth="1"/>
    <col min="4369" max="4369" width="31.28515625" style="873" customWidth="1"/>
    <col min="4370" max="4370" width="7.5703125" style="873" customWidth="1"/>
    <col min="4371" max="4371" width="2.42578125" style="873" customWidth="1"/>
    <col min="4372" max="4372" width="11.5703125" style="873" customWidth="1"/>
    <col min="4373" max="4373" width="2.42578125" style="873" customWidth="1"/>
    <col min="4374" max="4374" width="11.5703125" style="873" customWidth="1"/>
    <col min="4375" max="4375" width="2.42578125" style="873" customWidth="1"/>
    <col min="4376" max="4376" width="10.85546875" style="873" customWidth="1"/>
    <col min="4377" max="4377" width="2.42578125" style="873" customWidth="1"/>
    <col min="4378" max="4378" width="11.140625" style="873" customWidth="1"/>
    <col min="4379" max="4379" width="1.85546875" style="873" customWidth="1"/>
    <col min="4380" max="4380" width="11" style="873" customWidth="1"/>
    <col min="4381" max="4381" width="0.7109375" style="873" customWidth="1"/>
    <col min="4382" max="4382" width="1.85546875" style="873" customWidth="1"/>
    <col min="4383" max="4383" width="11.85546875" style="873" bestFit="1" customWidth="1"/>
    <col min="4384" max="4384" width="15.28515625" style="873" bestFit="1" customWidth="1"/>
    <col min="4385" max="4385" width="5" style="873" customWidth="1"/>
    <col min="4386" max="4386" width="10.42578125" style="873" bestFit="1" customWidth="1"/>
    <col min="4387" max="4387" width="5" style="873" customWidth="1"/>
    <col min="4388" max="4388" width="10.42578125" style="873" bestFit="1" customWidth="1"/>
    <col min="4389" max="4391" width="9" style="873"/>
    <col min="4392" max="4392" width="10.42578125" style="873" bestFit="1" customWidth="1"/>
    <col min="4393" max="4621" width="9" style="873"/>
    <col min="4622" max="4622" width="3.5703125" style="873" customWidth="1"/>
    <col min="4623" max="4623" width="4.85546875" style="873" customWidth="1"/>
    <col min="4624" max="4624" width="5.42578125" style="873" customWidth="1"/>
    <col min="4625" max="4625" width="31.28515625" style="873" customWidth="1"/>
    <col min="4626" max="4626" width="7.5703125" style="873" customWidth="1"/>
    <col min="4627" max="4627" width="2.42578125" style="873" customWidth="1"/>
    <col min="4628" max="4628" width="11.5703125" style="873" customWidth="1"/>
    <col min="4629" max="4629" width="2.42578125" style="873" customWidth="1"/>
    <col min="4630" max="4630" width="11.5703125" style="873" customWidth="1"/>
    <col min="4631" max="4631" width="2.42578125" style="873" customWidth="1"/>
    <col min="4632" max="4632" width="10.85546875" style="873" customWidth="1"/>
    <col min="4633" max="4633" width="2.42578125" style="873" customWidth="1"/>
    <col min="4634" max="4634" width="11.140625" style="873" customWidth="1"/>
    <col min="4635" max="4635" width="1.85546875" style="873" customWidth="1"/>
    <col min="4636" max="4636" width="11" style="873" customWidth="1"/>
    <col min="4637" max="4637" width="0.7109375" style="873" customWidth="1"/>
    <col min="4638" max="4638" width="1.85546875" style="873" customWidth="1"/>
    <col min="4639" max="4639" width="11.85546875" style="873" bestFit="1" customWidth="1"/>
    <col min="4640" max="4640" width="15.28515625" style="873" bestFit="1" customWidth="1"/>
    <col min="4641" max="4641" width="5" style="873" customWidth="1"/>
    <col min="4642" max="4642" width="10.42578125" style="873" bestFit="1" customWidth="1"/>
    <col min="4643" max="4643" width="5" style="873" customWidth="1"/>
    <col min="4644" max="4644" width="10.42578125" style="873" bestFit="1" customWidth="1"/>
    <col min="4645" max="4647" width="9" style="873"/>
    <col min="4648" max="4648" width="10.42578125" style="873" bestFit="1" customWidth="1"/>
    <col min="4649" max="4877" width="9" style="873"/>
    <col min="4878" max="4878" width="3.5703125" style="873" customWidth="1"/>
    <col min="4879" max="4879" width="4.85546875" style="873" customWidth="1"/>
    <col min="4880" max="4880" width="5.42578125" style="873" customWidth="1"/>
    <col min="4881" max="4881" width="31.28515625" style="873" customWidth="1"/>
    <col min="4882" max="4882" width="7.5703125" style="873" customWidth="1"/>
    <col min="4883" max="4883" width="2.42578125" style="873" customWidth="1"/>
    <col min="4884" max="4884" width="11.5703125" style="873" customWidth="1"/>
    <col min="4885" max="4885" width="2.42578125" style="873" customWidth="1"/>
    <col min="4886" max="4886" width="11.5703125" style="873" customWidth="1"/>
    <col min="4887" max="4887" width="2.42578125" style="873" customWidth="1"/>
    <col min="4888" max="4888" width="10.85546875" style="873" customWidth="1"/>
    <col min="4889" max="4889" width="2.42578125" style="873" customWidth="1"/>
    <col min="4890" max="4890" width="11.140625" style="873" customWidth="1"/>
    <col min="4891" max="4891" width="1.85546875" style="873" customWidth="1"/>
    <col min="4892" max="4892" width="11" style="873" customWidth="1"/>
    <col min="4893" max="4893" width="0.7109375" style="873" customWidth="1"/>
    <col min="4894" max="4894" width="1.85546875" style="873" customWidth="1"/>
    <col min="4895" max="4895" width="11.85546875" style="873" bestFit="1" customWidth="1"/>
    <col min="4896" max="4896" width="15.28515625" style="873" bestFit="1" customWidth="1"/>
    <col min="4897" max="4897" width="5" style="873" customWidth="1"/>
    <col min="4898" max="4898" width="10.42578125" style="873" bestFit="1" customWidth="1"/>
    <col min="4899" max="4899" width="5" style="873" customWidth="1"/>
    <col min="4900" max="4900" width="10.42578125" style="873" bestFit="1" customWidth="1"/>
    <col min="4901" max="4903" width="9" style="873"/>
    <col min="4904" max="4904" width="10.42578125" style="873" bestFit="1" customWidth="1"/>
    <col min="4905" max="5133" width="9" style="873"/>
    <col min="5134" max="5134" width="3.5703125" style="873" customWidth="1"/>
    <col min="5135" max="5135" width="4.85546875" style="873" customWidth="1"/>
    <col min="5136" max="5136" width="5.42578125" style="873" customWidth="1"/>
    <col min="5137" max="5137" width="31.28515625" style="873" customWidth="1"/>
    <col min="5138" max="5138" width="7.5703125" style="873" customWidth="1"/>
    <col min="5139" max="5139" width="2.42578125" style="873" customWidth="1"/>
    <col min="5140" max="5140" width="11.5703125" style="873" customWidth="1"/>
    <col min="5141" max="5141" width="2.42578125" style="873" customWidth="1"/>
    <col min="5142" max="5142" width="11.5703125" style="873" customWidth="1"/>
    <col min="5143" max="5143" width="2.42578125" style="873" customWidth="1"/>
    <col min="5144" max="5144" width="10.85546875" style="873" customWidth="1"/>
    <col min="5145" max="5145" width="2.42578125" style="873" customWidth="1"/>
    <col min="5146" max="5146" width="11.140625" style="873" customWidth="1"/>
    <col min="5147" max="5147" width="1.85546875" style="873" customWidth="1"/>
    <col min="5148" max="5148" width="11" style="873" customWidth="1"/>
    <col min="5149" max="5149" width="0.7109375" style="873" customWidth="1"/>
    <col min="5150" max="5150" width="1.85546875" style="873" customWidth="1"/>
    <col min="5151" max="5151" width="11.85546875" style="873" bestFit="1" customWidth="1"/>
    <col min="5152" max="5152" width="15.28515625" style="873" bestFit="1" customWidth="1"/>
    <col min="5153" max="5153" width="5" style="873" customWidth="1"/>
    <col min="5154" max="5154" width="10.42578125" style="873" bestFit="1" customWidth="1"/>
    <col min="5155" max="5155" width="5" style="873" customWidth="1"/>
    <col min="5156" max="5156" width="10.42578125" style="873" bestFit="1" customWidth="1"/>
    <col min="5157" max="5159" width="9" style="873"/>
    <col min="5160" max="5160" width="10.42578125" style="873" bestFit="1" customWidth="1"/>
    <col min="5161" max="5389" width="9" style="873"/>
    <col min="5390" max="5390" width="3.5703125" style="873" customWidth="1"/>
    <col min="5391" max="5391" width="4.85546875" style="873" customWidth="1"/>
    <col min="5392" max="5392" width="5.42578125" style="873" customWidth="1"/>
    <col min="5393" max="5393" width="31.28515625" style="873" customWidth="1"/>
    <col min="5394" max="5394" width="7.5703125" style="873" customWidth="1"/>
    <col min="5395" max="5395" width="2.42578125" style="873" customWidth="1"/>
    <col min="5396" max="5396" width="11.5703125" style="873" customWidth="1"/>
    <col min="5397" max="5397" width="2.42578125" style="873" customWidth="1"/>
    <col min="5398" max="5398" width="11.5703125" style="873" customWidth="1"/>
    <col min="5399" max="5399" width="2.42578125" style="873" customWidth="1"/>
    <col min="5400" max="5400" width="10.85546875" style="873" customWidth="1"/>
    <col min="5401" max="5401" width="2.42578125" style="873" customWidth="1"/>
    <col min="5402" max="5402" width="11.140625" style="873" customWidth="1"/>
    <col min="5403" max="5403" width="1.85546875" style="873" customWidth="1"/>
    <col min="5404" max="5404" width="11" style="873" customWidth="1"/>
    <col min="5405" max="5405" width="0.7109375" style="873" customWidth="1"/>
    <col min="5406" max="5406" width="1.85546875" style="873" customWidth="1"/>
    <col min="5407" max="5407" width="11.85546875" style="873" bestFit="1" customWidth="1"/>
    <col min="5408" max="5408" width="15.28515625" style="873" bestFit="1" customWidth="1"/>
    <col min="5409" max="5409" width="5" style="873" customWidth="1"/>
    <col min="5410" max="5410" width="10.42578125" style="873" bestFit="1" customWidth="1"/>
    <col min="5411" max="5411" width="5" style="873" customWidth="1"/>
    <col min="5412" max="5412" width="10.42578125" style="873" bestFit="1" customWidth="1"/>
    <col min="5413" max="5415" width="9" style="873"/>
    <col min="5416" max="5416" width="10.42578125" style="873" bestFit="1" customWidth="1"/>
    <col min="5417" max="5645" width="9" style="873"/>
    <col min="5646" max="5646" width="3.5703125" style="873" customWidth="1"/>
    <col min="5647" max="5647" width="4.85546875" style="873" customWidth="1"/>
    <col min="5648" max="5648" width="5.42578125" style="873" customWidth="1"/>
    <col min="5649" max="5649" width="31.28515625" style="873" customWidth="1"/>
    <col min="5650" max="5650" width="7.5703125" style="873" customWidth="1"/>
    <col min="5651" max="5651" width="2.42578125" style="873" customWidth="1"/>
    <col min="5652" max="5652" width="11.5703125" style="873" customWidth="1"/>
    <col min="5653" max="5653" width="2.42578125" style="873" customWidth="1"/>
    <col min="5654" max="5654" width="11.5703125" style="873" customWidth="1"/>
    <col min="5655" max="5655" width="2.42578125" style="873" customWidth="1"/>
    <col min="5656" max="5656" width="10.85546875" style="873" customWidth="1"/>
    <col min="5657" max="5657" width="2.42578125" style="873" customWidth="1"/>
    <col min="5658" max="5658" width="11.140625" style="873" customWidth="1"/>
    <col min="5659" max="5659" width="1.85546875" style="873" customWidth="1"/>
    <col min="5660" max="5660" width="11" style="873" customWidth="1"/>
    <col min="5661" max="5661" width="0.7109375" style="873" customWidth="1"/>
    <col min="5662" max="5662" width="1.85546875" style="873" customWidth="1"/>
    <col min="5663" max="5663" width="11.85546875" style="873" bestFit="1" customWidth="1"/>
    <col min="5664" max="5664" width="15.28515625" style="873" bestFit="1" customWidth="1"/>
    <col min="5665" max="5665" width="5" style="873" customWidth="1"/>
    <col min="5666" max="5666" width="10.42578125" style="873" bestFit="1" customWidth="1"/>
    <col min="5667" max="5667" width="5" style="873" customWidth="1"/>
    <col min="5668" max="5668" width="10.42578125" style="873" bestFit="1" customWidth="1"/>
    <col min="5669" max="5671" width="9" style="873"/>
    <col min="5672" max="5672" width="10.42578125" style="873" bestFit="1" customWidth="1"/>
    <col min="5673" max="5901" width="9" style="873"/>
    <col min="5902" max="5902" width="3.5703125" style="873" customWidth="1"/>
    <col min="5903" max="5903" width="4.85546875" style="873" customWidth="1"/>
    <col min="5904" max="5904" width="5.42578125" style="873" customWidth="1"/>
    <col min="5905" max="5905" width="31.28515625" style="873" customWidth="1"/>
    <col min="5906" max="5906" width="7.5703125" style="873" customWidth="1"/>
    <col min="5907" max="5907" width="2.42578125" style="873" customWidth="1"/>
    <col min="5908" max="5908" width="11.5703125" style="873" customWidth="1"/>
    <col min="5909" max="5909" width="2.42578125" style="873" customWidth="1"/>
    <col min="5910" max="5910" width="11.5703125" style="873" customWidth="1"/>
    <col min="5911" max="5911" width="2.42578125" style="873" customWidth="1"/>
    <col min="5912" max="5912" width="10.85546875" style="873" customWidth="1"/>
    <col min="5913" max="5913" width="2.42578125" style="873" customWidth="1"/>
    <col min="5914" max="5914" width="11.140625" style="873" customWidth="1"/>
    <col min="5915" max="5915" width="1.85546875" style="873" customWidth="1"/>
    <col min="5916" max="5916" width="11" style="873" customWidth="1"/>
    <col min="5917" max="5917" width="0.7109375" style="873" customWidth="1"/>
    <col min="5918" max="5918" width="1.85546875" style="873" customWidth="1"/>
    <col min="5919" max="5919" width="11.85546875" style="873" bestFit="1" customWidth="1"/>
    <col min="5920" max="5920" width="15.28515625" style="873" bestFit="1" customWidth="1"/>
    <col min="5921" max="5921" width="5" style="873" customWidth="1"/>
    <col min="5922" max="5922" width="10.42578125" style="873" bestFit="1" customWidth="1"/>
    <col min="5923" max="5923" width="5" style="873" customWidth="1"/>
    <col min="5924" max="5924" width="10.42578125" style="873" bestFit="1" customWidth="1"/>
    <col min="5925" max="5927" width="9" style="873"/>
    <col min="5928" max="5928" width="10.42578125" style="873" bestFit="1" customWidth="1"/>
    <col min="5929" max="6157" width="9" style="873"/>
    <col min="6158" max="6158" width="3.5703125" style="873" customWidth="1"/>
    <col min="6159" max="6159" width="4.85546875" style="873" customWidth="1"/>
    <col min="6160" max="6160" width="5.42578125" style="873" customWidth="1"/>
    <col min="6161" max="6161" width="31.28515625" style="873" customWidth="1"/>
    <col min="6162" max="6162" width="7.5703125" style="873" customWidth="1"/>
    <col min="6163" max="6163" width="2.42578125" style="873" customWidth="1"/>
    <col min="6164" max="6164" width="11.5703125" style="873" customWidth="1"/>
    <col min="6165" max="6165" width="2.42578125" style="873" customWidth="1"/>
    <col min="6166" max="6166" width="11.5703125" style="873" customWidth="1"/>
    <col min="6167" max="6167" width="2.42578125" style="873" customWidth="1"/>
    <col min="6168" max="6168" width="10.85546875" style="873" customWidth="1"/>
    <col min="6169" max="6169" width="2.42578125" style="873" customWidth="1"/>
    <col min="6170" max="6170" width="11.140625" style="873" customWidth="1"/>
    <col min="6171" max="6171" width="1.85546875" style="873" customWidth="1"/>
    <col min="6172" max="6172" width="11" style="873" customWidth="1"/>
    <col min="6173" max="6173" width="0.7109375" style="873" customWidth="1"/>
    <col min="6174" max="6174" width="1.85546875" style="873" customWidth="1"/>
    <col min="6175" max="6175" width="11.85546875" style="873" bestFit="1" customWidth="1"/>
    <col min="6176" max="6176" width="15.28515625" style="873" bestFit="1" customWidth="1"/>
    <col min="6177" max="6177" width="5" style="873" customWidth="1"/>
    <col min="6178" max="6178" width="10.42578125" style="873" bestFit="1" customWidth="1"/>
    <col min="6179" max="6179" width="5" style="873" customWidth="1"/>
    <col min="6180" max="6180" width="10.42578125" style="873" bestFit="1" customWidth="1"/>
    <col min="6181" max="6183" width="9" style="873"/>
    <col min="6184" max="6184" width="10.42578125" style="873" bestFit="1" customWidth="1"/>
    <col min="6185" max="6413" width="9" style="873"/>
    <col min="6414" max="6414" width="3.5703125" style="873" customWidth="1"/>
    <col min="6415" max="6415" width="4.85546875" style="873" customWidth="1"/>
    <col min="6416" max="6416" width="5.42578125" style="873" customWidth="1"/>
    <col min="6417" max="6417" width="31.28515625" style="873" customWidth="1"/>
    <col min="6418" max="6418" width="7.5703125" style="873" customWidth="1"/>
    <col min="6419" max="6419" width="2.42578125" style="873" customWidth="1"/>
    <col min="6420" max="6420" width="11.5703125" style="873" customWidth="1"/>
    <col min="6421" max="6421" width="2.42578125" style="873" customWidth="1"/>
    <col min="6422" max="6422" width="11.5703125" style="873" customWidth="1"/>
    <col min="6423" max="6423" width="2.42578125" style="873" customWidth="1"/>
    <col min="6424" max="6424" width="10.85546875" style="873" customWidth="1"/>
    <col min="6425" max="6425" width="2.42578125" style="873" customWidth="1"/>
    <col min="6426" max="6426" width="11.140625" style="873" customWidth="1"/>
    <col min="6427" max="6427" width="1.85546875" style="873" customWidth="1"/>
    <col min="6428" max="6428" width="11" style="873" customWidth="1"/>
    <col min="6429" max="6429" width="0.7109375" style="873" customWidth="1"/>
    <col min="6430" max="6430" width="1.85546875" style="873" customWidth="1"/>
    <col min="6431" max="6431" width="11.85546875" style="873" bestFit="1" customWidth="1"/>
    <col min="6432" max="6432" width="15.28515625" style="873" bestFit="1" customWidth="1"/>
    <col min="6433" max="6433" width="5" style="873" customWidth="1"/>
    <col min="6434" max="6434" width="10.42578125" style="873" bestFit="1" customWidth="1"/>
    <col min="6435" max="6435" width="5" style="873" customWidth="1"/>
    <col min="6436" max="6436" width="10.42578125" style="873" bestFit="1" customWidth="1"/>
    <col min="6437" max="6439" width="9" style="873"/>
    <col min="6440" max="6440" width="10.42578125" style="873" bestFit="1" customWidth="1"/>
    <col min="6441" max="6669" width="9" style="873"/>
    <col min="6670" max="6670" width="3.5703125" style="873" customWidth="1"/>
    <col min="6671" max="6671" width="4.85546875" style="873" customWidth="1"/>
    <col min="6672" max="6672" width="5.42578125" style="873" customWidth="1"/>
    <col min="6673" max="6673" width="31.28515625" style="873" customWidth="1"/>
    <col min="6674" max="6674" width="7.5703125" style="873" customWidth="1"/>
    <col min="6675" max="6675" width="2.42578125" style="873" customWidth="1"/>
    <col min="6676" max="6676" width="11.5703125" style="873" customWidth="1"/>
    <col min="6677" max="6677" width="2.42578125" style="873" customWidth="1"/>
    <col min="6678" max="6678" width="11.5703125" style="873" customWidth="1"/>
    <col min="6679" max="6679" width="2.42578125" style="873" customWidth="1"/>
    <col min="6680" max="6680" width="10.85546875" style="873" customWidth="1"/>
    <col min="6681" max="6681" width="2.42578125" style="873" customWidth="1"/>
    <col min="6682" max="6682" width="11.140625" style="873" customWidth="1"/>
    <col min="6683" max="6683" width="1.85546875" style="873" customWidth="1"/>
    <col min="6684" max="6684" width="11" style="873" customWidth="1"/>
    <col min="6685" max="6685" width="0.7109375" style="873" customWidth="1"/>
    <col min="6686" max="6686" width="1.85546875" style="873" customWidth="1"/>
    <col min="6687" max="6687" width="11.85546875" style="873" bestFit="1" customWidth="1"/>
    <col min="6688" max="6688" width="15.28515625" style="873" bestFit="1" customWidth="1"/>
    <col min="6689" max="6689" width="5" style="873" customWidth="1"/>
    <col min="6690" max="6690" width="10.42578125" style="873" bestFit="1" customWidth="1"/>
    <col min="6691" max="6691" width="5" style="873" customWidth="1"/>
    <col min="6692" max="6692" width="10.42578125" style="873" bestFit="1" customWidth="1"/>
    <col min="6693" max="6695" width="9" style="873"/>
    <col min="6696" max="6696" width="10.42578125" style="873" bestFit="1" customWidth="1"/>
    <col min="6697" max="6925" width="9" style="873"/>
    <col min="6926" max="6926" width="3.5703125" style="873" customWidth="1"/>
    <col min="6927" max="6927" width="4.85546875" style="873" customWidth="1"/>
    <col min="6928" max="6928" width="5.42578125" style="873" customWidth="1"/>
    <col min="6929" max="6929" width="31.28515625" style="873" customWidth="1"/>
    <col min="6930" max="6930" width="7.5703125" style="873" customWidth="1"/>
    <col min="6931" max="6931" width="2.42578125" style="873" customWidth="1"/>
    <col min="6932" max="6932" width="11.5703125" style="873" customWidth="1"/>
    <col min="6933" max="6933" width="2.42578125" style="873" customWidth="1"/>
    <col min="6934" max="6934" width="11.5703125" style="873" customWidth="1"/>
    <col min="6935" max="6935" width="2.42578125" style="873" customWidth="1"/>
    <col min="6936" max="6936" width="10.85546875" style="873" customWidth="1"/>
    <col min="6937" max="6937" width="2.42578125" style="873" customWidth="1"/>
    <col min="6938" max="6938" width="11.140625" style="873" customWidth="1"/>
    <col min="6939" max="6939" width="1.85546875" style="873" customWidth="1"/>
    <col min="6940" max="6940" width="11" style="873" customWidth="1"/>
    <col min="6941" max="6941" width="0.7109375" style="873" customWidth="1"/>
    <col min="6942" max="6942" width="1.85546875" style="873" customWidth="1"/>
    <col min="6943" max="6943" width="11.85546875" style="873" bestFit="1" customWidth="1"/>
    <col min="6944" max="6944" width="15.28515625" style="873" bestFit="1" customWidth="1"/>
    <col min="6945" max="6945" width="5" style="873" customWidth="1"/>
    <col min="6946" max="6946" width="10.42578125" style="873" bestFit="1" customWidth="1"/>
    <col min="6947" max="6947" width="5" style="873" customWidth="1"/>
    <col min="6948" max="6948" width="10.42578125" style="873" bestFit="1" customWidth="1"/>
    <col min="6949" max="6951" width="9" style="873"/>
    <col min="6952" max="6952" width="10.42578125" style="873" bestFit="1" customWidth="1"/>
    <col min="6953" max="7181" width="9" style="873"/>
    <col min="7182" max="7182" width="3.5703125" style="873" customWidth="1"/>
    <col min="7183" max="7183" width="4.85546875" style="873" customWidth="1"/>
    <col min="7184" max="7184" width="5.42578125" style="873" customWidth="1"/>
    <col min="7185" max="7185" width="31.28515625" style="873" customWidth="1"/>
    <col min="7186" max="7186" width="7.5703125" style="873" customWidth="1"/>
    <col min="7187" max="7187" width="2.42578125" style="873" customWidth="1"/>
    <col min="7188" max="7188" width="11.5703125" style="873" customWidth="1"/>
    <col min="7189" max="7189" width="2.42578125" style="873" customWidth="1"/>
    <col min="7190" max="7190" width="11.5703125" style="873" customWidth="1"/>
    <col min="7191" max="7191" width="2.42578125" style="873" customWidth="1"/>
    <col min="7192" max="7192" width="10.85546875" style="873" customWidth="1"/>
    <col min="7193" max="7193" width="2.42578125" style="873" customWidth="1"/>
    <col min="7194" max="7194" width="11.140625" style="873" customWidth="1"/>
    <col min="7195" max="7195" width="1.85546875" style="873" customWidth="1"/>
    <col min="7196" max="7196" width="11" style="873" customWidth="1"/>
    <col min="7197" max="7197" width="0.7109375" style="873" customWidth="1"/>
    <col min="7198" max="7198" width="1.85546875" style="873" customWidth="1"/>
    <col min="7199" max="7199" width="11.85546875" style="873" bestFit="1" customWidth="1"/>
    <col min="7200" max="7200" width="15.28515625" style="873" bestFit="1" customWidth="1"/>
    <col min="7201" max="7201" width="5" style="873" customWidth="1"/>
    <col min="7202" max="7202" width="10.42578125" style="873" bestFit="1" customWidth="1"/>
    <col min="7203" max="7203" width="5" style="873" customWidth="1"/>
    <col min="7204" max="7204" width="10.42578125" style="873" bestFit="1" customWidth="1"/>
    <col min="7205" max="7207" width="9" style="873"/>
    <col min="7208" max="7208" width="10.42578125" style="873" bestFit="1" customWidth="1"/>
    <col min="7209" max="7437" width="9" style="873"/>
    <col min="7438" max="7438" width="3.5703125" style="873" customWidth="1"/>
    <col min="7439" max="7439" width="4.85546875" style="873" customWidth="1"/>
    <col min="7440" max="7440" width="5.42578125" style="873" customWidth="1"/>
    <col min="7441" max="7441" width="31.28515625" style="873" customWidth="1"/>
    <col min="7442" max="7442" width="7.5703125" style="873" customWidth="1"/>
    <col min="7443" max="7443" width="2.42578125" style="873" customWidth="1"/>
    <col min="7444" max="7444" width="11.5703125" style="873" customWidth="1"/>
    <col min="7445" max="7445" width="2.42578125" style="873" customWidth="1"/>
    <col min="7446" max="7446" width="11.5703125" style="873" customWidth="1"/>
    <col min="7447" max="7447" width="2.42578125" style="873" customWidth="1"/>
    <col min="7448" max="7448" width="10.85546875" style="873" customWidth="1"/>
    <col min="7449" max="7449" width="2.42578125" style="873" customWidth="1"/>
    <col min="7450" max="7450" width="11.140625" style="873" customWidth="1"/>
    <col min="7451" max="7451" width="1.85546875" style="873" customWidth="1"/>
    <col min="7452" max="7452" width="11" style="873" customWidth="1"/>
    <col min="7453" max="7453" width="0.7109375" style="873" customWidth="1"/>
    <col min="7454" max="7454" width="1.85546875" style="873" customWidth="1"/>
    <col min="7455" max="7455" width="11.85546875" style="873" bestFit="1" customWidth="1"/>
    <col min="7456" max="7456" width="15.28515625" style="873" bestFit="1" customWidth="1"/>
    <col min="7457" max="7457" width="5" style="873" customWidth="1"/>
    <col min="7458" max="7458" width="10.42578125" style="873" bestFit="1" customWidth="1"/>
    <col min="7459" max="7459" width="5" style="873" customWidth="1"/>
    <col min="7460" max="7460" width="10.42578125" style="873" bestFit="1" customWidth="1"/>
    <col min="7461" max="7463" width="9" style="873"/>
    <col min="7464" max="7464" width="10.42578125" style="873" bestFit="1" customWidth="1"/>
    <col min="7465" max="7693" width="9" style="873"/>
    <col min="7694" max="7694" width="3.5703125" style="873" customWidth="1"/>
    <col min="7695" max="7695" width="4.85546875" style="873" customWidth="1"/>
    <col min="7696" max="7696" width="5.42578125" style="873" customWidth="1"/>
    <col min="7697" max="7697" width="31.28515625" style="873" customWidth="1"/>
    <col min="7698" max="7698" width="7.5703125" style="873" customWidth="1"/>
    <col min="7699" max="7699" width="2.42578125" style="873" customWidth="1"/>
    <col min="7700" max="7700" width="11.5703125" style="873" customWidth="1"/>
    <col min="7701" max="7701" width="2.42578125" style="873" customWidth="1"/>
    <col min="7702" max="7702" width="11.5703125" style="873" customWidth="1"/>
    <col min="7703" max="7703" width="2.42578125" style="873" customWidth="1"/>
    <col min="7704" max="7704" width="10.85546875" style="873" customWidth="1"/>
    <col min="7705" max="7705" width="2.42578125" style="873" customWidth="1"/>
    <col min="7706" max="7706" width="11.140625" style="873" customWidth="1"/>
    <col min="7707" max="7707" width="1.85546875" style="873" customWidth="1"/>
    <col min="7708" max="7708" width="11" style="873" customWidth="1"/>
    <col min="7709" max="7709" width="0.7109375" style="873" customWidth="1"/>
    <col min="7710" max="7710" width="1.85546875" style="873" customWidth="1"/>
    <col min="7711" max="7711" width="11.85546875" style="873" bestFit="1" customWidth="1"/>
    <col min="7712" max="7712" width="15.28515625" style="873" bestFit="1" customWidth="1"/>
    <col min="7713" max="7713" width="5" style="873" customWidth="1"/>
    <col min="7714" max="7714" width="10.42578125" style="873" bestFit="1" customWidth="1"/>
    <col min="7715" max="7715" width="5" style="873" customWidth="1"/>
    <col min="7716" max="7716" width="10.42578125" style="873" bestFit="1" customWidth="1"/>
    <col min="7717" max="7719" width="9" style="873"/>
    <col min="7720" max="7720" width="10.42578125" style="873" bestFit="1" customWidth="1"/>
    <col min="7721" max="7949" width="9" style="873"/>
    <col min="7950" max="7950" width="3.5703125" style="873" customWidth="1"/>
    <col min="7951" max="7951" width="4.85546875" style="873" customWidth="1"/>
    <col min="7952" max="7952" width="5.42578125" style="873" customWidth="1"/>
    <col min="7953" max="7953" width="31.28515625" style="873" customWidth="1"/>
    <col min="7954" max="7954" width="7.5703125" style="873" customWidth="1"/>
    <col min="7955" max="7955" width="2.42578125" style="873" customWidth="1"/>
    <col min="7956" max="7956" width="11.5703125" style="873" customWidth="1"/>
    <col min="7957" max="7957" width="2.42578125" style="873" customWidth="1"/>
    <col min="7958" max="7958" width="11.5703125" style="873" customWidth="1"/>
    <col min="7959" max="7959" width="2.42578125" style="873" customWidth="1"/>
    <col min="7960" max="7960" width="10.85546875" style="873" customWidth="1"/>
    <col min="7961" max="7961" width="2.42578125" style="873" customWidth="1"/>
    <col min="7962" max="7962" width="11.140625" style="873" customWidth="1"/>
    <col min="7963" max="7963" width="1.85546875" style="873" customWidth="1"/>
    <col min="7964" max="7964" width="11" style="873" customWidth="1"/>
    <col min="7965" max="7965" width="0.7109375" style="873" customWidth="1"/>
    <col min="7966" max="7966" width="1.85546875" style="873" customWidth="1"/>
    <col min="7967" max="7967" width="11.85546875" style="873" bestFit="1" customWidth="1"/>
    <col min="7968" max="7968" width="15.28515625" style="873" bestFit="1" customWidth="1"/>
    <col min="7969" max="7969" width="5" style="873" customWidth="1"/>
    <col min="7970" max="7970" width="10.42578125" style="873" bestFit="1" customWidth="1"/>
    <col min="7971" max="7971" width="5" style="873" customWidth="1"/>
    <col min="7972" max="7972" width="10.42578125" style="873" bestFit="1" customWidth="1"/>
    <col min="7973" max="7975" width="9" style="873"/>
    <col min="7976" max="7976" width="10.42578125" style="873" bestFit="1" customWidth="1"/>
    <col min="7977" max="8205" width="9" style="873"/>
    <col min="8206" max="8206" width="3.5703125" style="873" customWidth="1"/>
    <col min="8207" max="8207" width="4.85546875" style="873" customWidth="1"/>
    <col min="8208" max="8208" width="5.42578125" style="873" customWidth="1"/>
    <col min="8209" max="8209" width="31.28515625" style="873" customWidth="1"/>
    <col min="8210" max="8210" width="7.5703125" style="873" customWidth="1"/>
    <col min="8211" max="8211" width="2.42578125" style="873" customWidth="1"/>
    <col min="8212" max="8212" width="11.5703125" style="873" customWidth="1"/>
    <col min="8213" max="8213" width="2.42578125" style="873" customWidth="1"/>
    <col min="8214" max="8214" width="11.5703125" style="873" customWidth="1"/>
    <col min="8215" max="8215" width="2.42578125" style="873" customWidth="1"/>
    <col min="8216" max="8216" width="10.85546875" style="873" customWidth="1"/>
    <col min="8217" max="8217" width="2.42578125" style="873" customWidth="1"/>
    <col min="8218" max="8218" width="11.140625" style="873" customWidth="1"/>
    <col min="8219" max="8219" width="1.85546875" style="873" customWidth="1"/>
    <col min="8220" max="8220" width="11" style="873" customWidth="1"/>
    <col min="8221" max="8221" width="0.7109375" style="873" customWidth="1"/>
    <col min="8222" max="8222" width="1.85546875" style="873" customWidth="1"/>
    <col min="8223" max="8223" width="11.85546875" style="873" bestFit="1" customWidth="1"/>
    <col min="8224" max="8224" width="15.28515625" style="873" bestFit="1" customWidth="1"/>
    <col min="8225" max="8225" width="5" style="873" customWidth="1"/>
    <col min="8226" max="8226" width="10.42578125" style="873" bestFit="1" customWidth="1"/>
    <col min="8227" max="8227" width="5" style="873" customWidth="1"/>
    <col min="8228" max="8228" width="10.42578125" style="873" bestFit="1" customWidth="1"/>
    <col min="8229" max="8231" width="9" style="873"/>
    <col min="8232" max="8232" width="10.42578125" style="873" bestFit="1" customWidth="1"/>
    <col min="8233" max="8461" width="9" style="873"/>
    <col min="8462" max="8462" width="3.5703125" style="873" customWidth="1"/>
    <col min="8463" max="8463" width="4.85546875" style="873" customWidth="1"/>
    <col min="8464" max="8464" width="5.42578125" style="873" customWidth="1"/>
    <col min="8465" max="8465" width="31.28515625" style="873" customWidth="1"/>
    <col min="8466" max="8466" width="7.5703125" style="873" customWidth="1"/>
    <col min="8467" max="8467" width="2.42578125" style="873" customWidth="1"/>
    <col min="8468" max="8468" width="11.5703125" style="873" customWidth="1"/>
    <col min="8469" max="8469" width="2.42578125" style="873" customWidth="1"/>
    <col min="8470" max="8470" width="11.5703125" style="873" customWidth="1"/>
    <col min="8471" max="8471" width="2.42578125" style="873" customWidth="1"/>
    <col min="8472" max="8472" width="10.85546875" style="873" customWidth="1"/>
    <col min="8473" max="8473" width="2.42578125" style="873" customWidth="1"/>
    <col min="8474" max="8474" width="11.140625" style="873" customWidth="1"/>
    <col min="8475" max="8475" width="1.85546875" style="873" customWidth="1"/>
    <col min="8476" max="8476" width="11" style="873" customWidth="1"/>
    <col min="8477" max="8477" width="0.7109375" style="873" customWidth="1"/>
    <col min="8478" max="8478" width="1.85546875" style="873" customWidth="1"/>
    <col min="8479" max="8479" width="11.85546875" style="873" bestFit="1" customWidth="1"/>
    <col min="8480" max="8480" width="15.28515625" style="873" bestFit="1" customWidth="1"/>
    <col min="8481" max="8481" width="5" style="873" customWidth="1"/>
    <col min="8482" max="8482" width="10.42578125" style="873" bestFit="1" customWidth="1"/>
    <col min="8483" max="8483" width="5" style="873" customWidth="1"/>
    <col min="8484" max="8484" width="10.42578125" style="873" bestFit="1" customWidth="1"/>
    <col min="8485" max="8487" width="9" style="873"/>
    <col min="8488" max="8488" width="10.42578125" style="873" bestFit="1" customWidth="1"/>
    <col min="8489" max="8717" width="9" style="873"/>
    <col min="8718" max="8718" width="3.5703125" style="873" customWidth="1"/>
    <col min="8719" max="8719" width="4.85546875" style="873" customWidth="1"/>
    <col min="8720" max="8720" width="5.42578125" style="873" customWidth="1"/>
    <col min="8721" max="8721" width="31.28515625" style="873" customWidth="1"/>
    <col min="8722" max="8722" width="7.5703125" style="873" customWidth="1"/>
    <col min="8723" max="8723" width="2.42578125" style="873" customWidth="1"/>
    <col min="8724" max="8724" width="11.5703125" style="873" customWidth="1"/>
    <col min="8725" max="8725" width="2.42578125" style="873" customWidth="1"/>
    <col min="8726" max="8726" width="11.5703125" style="873" customWidth="1"/>
    <col min="8727" max="8727" width="2.42578125" style="873" customWidth="1"/>
    <col min="8728" max="8728" width="10.85546875" style="873" customWidth="1"/>
    <col min="8729" max="8729" width="2.42578125" style="873" customWidth="1"/>
    <col min="8730" max="8730" width="11.140625" style="873" customWidth="1"/>
    <col min="8731" max="8731" width="1.85546875" style="873" customWidth="1"/>
    <col min="8732" max="8732" width="11" style="873" customWidth="1"/>
    <col min="8733" max="8733" width="0.7109375" style="873" customWidth="1"/>
    <col min="8734" max="8734" width="1.85546875" style="873" customWidth="1"/>
    <col min="8735" max="8735" width="11.85546875" style="873" bestFit="1" customWidth="1"/>
    <col min="8736" max="8736" width="15.28515625" style="873" bestFit="1" customWidth="1"/>
    <col min="8737" max="8737" width="5" style="873" customWidth="1"/>
    <col min="8738" max="8738" width="10.42578125" style="873" bestFit="1" customWidth="1"/>
    <col min="8739" max="8739" width="5" style="873" customWidth="1"/>
    <col min="8740" max="8740" width="10.42578125" style="873" bestFit="1" customWidth="1"/>
    <col min="8741" max="8743" width="9" style="873"/>
    <col min="8744" max="8744" width="10.42578125" style="873" bestFit="1" customWidth="1"/>
    <col min="8745" max="8973" width="9" style="873"/>
    <col min="8974" max="8974" width="3.5703125" style="873" customWidth="1"/>
    <col min="8975" max="8975" width="4.85546875" style="873" customWidth="1"/>
    <col min="8976" max="8976" width="5.42578125" style="873" customWidth="1"/>
    <col min="8977" max="8977" width="31.28515625" style="873" customWidth="1"/>
    <col min="8978" max="8978" width="7.5703125" style="873" customWidth="1"/>
    <col min="8979" max="8979" width="2.42578125" style="873" customWidth="1"/>
    <col min="8980" max="8980" width="11.5703125" style="873" customWidth="1"/>
    <col min="8981" max="8981" width="2.42578125" style="873" customWidth="1"/>
    <col min="8982" max="8982" width="11.5703125" style="873" customWidth="1"/>
    <col min="8983" max="8983" width="2.42578125" style="873" customWidth="1"/>
    <col min="8984" max="8984" width="10.85546875" style="873" customWidth="1"/>
    <col min="8985" max="8985" width="2.42578125" style="873" customWidth="1"/>
    <col min="8986" max="8986" width="11.140625" style="873" customWidth="1"/>
    <col min="8987" max="8987" width="1.85546875" style="873" customWidth="1"/>
    <col min="8988" max="8988" width="11" style="873" customWidth="1"/>
    <col min="8989" max="8989" width="0.7109375" style="873" customWidth="1"/>
    <col min="8990" max="8990" width="1.85546875" style="873" customWidth="1"/>
    <col min="8991" max="8991" width="11.85546875" style="873" bestFit="1" customWidth="1"/>
    <col min="8992" max="8992" width="15.28515625" style="873" bestFit="1" customWidth="1"/>
    <col min="8993" max="8993" width="5" style="873" customWidth="1"/>
    <col min="8994" max="8994" width="10.42578125" style="873" bestFit="1" customWidth="1"/>
    <col min="8995" max="8995" width="5" style="873" customWidth="1"/>
    <col min="8996" max="8996" width="10.42578125" style="873" bestFit="1" customWidth="1"/>
    <col min="8997" max="8999" width="9" style="873"/>
    <col min="9000" max="9000" width="10.42578125" style="873" bestFit="1" customWidth="1"/>
    <col min="9001" max="9229" width="9" style="873"/>
    <col min="9230" max="9230" width="3.5703125" style="873" customWidth="1"/>
    <col min="9231" max="9231" width="4.85546875" style="873" customWidth="1"/>
    <col min="9232" max="9232" width="5.42578125" style="873" customWidth="1"/>
    <col min="9233" max="9233" width="31.28515625" style="873" customWidth="1"/>
    <col min="9234" max="9234" width="7.5703125" style="873" customWidth="1"/>
    <col min="9235" max="9235" width="2.42578125" style="873" customWidth="1"/>
    <col min="9236" max="9236" width="11.5703125" style="873" customWidth="1"/>
    <col min="9237" max="9237" width="2.42578125" style="873" customWidth="1"/>
    <col min="9238" max="9238" width="11.5703125" style="873" customWidth="1"/>
    <col min="9239" max="9239" width="2.42578125" style="873" customWidth="1"/>
    <col min="9240" max="9240" width="10.85546875" style="873" customWidth="1"/>
    <col min="9241" max="9241" width="2.42578125" style="873" customWidth="1"/>
    <col min="9242" max="9242" width="11.140625" style="873" customWidth="1"/>
    <col min="9243" max="9243" width="1.85546875" style="873" customWidth="1"/>
    <col min="9244" max="9244" width="11" style="873" customWidth="1"/>
    <col min="9245" max="9245" width="0.7109375" style="873" customWidth="1"/>
    <col min="9246" max="9246" width="1.85546875" style="873" customWidth="1"/>
    <col min="9247" max="9247" width="11.85546875" style="873" bestFit="1" customWidth="1"/>
    <col min="9248" max="9248" width="15.28515625" style="873" bestFit="1" customWidth="1"/>
    <col min="9249" max="9249" width="5" style="873" customWidth="1"/>
    <col min="9250" max="9250" width="10.42578125" style="873" bestFit="1" customWidth="1"/>
    <col min="9251" max="9251" width="5" style="873" customWidth="1"/>
    <col min="9252" max="9252" width="10.42578125" style="873" bestFit="1" customWidth="1"/>
    <col min="9253" max="9255" width="9" style="873"/>
    <col min="9256" max="9256" width="10.42578125" style="873" bestFit="1" customWidth="1"/>
    <col min="9257" max="9485" width="9" style="873"/>
    <col min="9486" max="9486" width="3.5703125" style="873" customWidth="1"/>
    <col min="9487" max="9487" width="4.85546875" style="873" customWidth="1"/>
    <col min="9488" max="9488" width="5.42578125" style="873" customWidth="1"/>
    <col min="9489" max="9489" width="31.28515625" style="873" customWidth="1"/>
    <col min="9490" max="9490" width="7.5703125" style="873" customWidth="1"/>
    <col min="9491" max="9491" width="2.42578125" style="873" customWidth="1"/>
    <col min="9492" max="9492" width="11.5703125" style="873" customWidth="1"/>
    <col min="9493" max="9493" width="2.42578125" style="873" customWidth="1"/>
    <col min="9494" max="9494" width="11.5703125" style="873" customWidth="1"/>
    <col min="9495" max="9495" width="2.42578125" style="873" customWidth="1"/>
    <col min="9496" max="9496" width="10.85546875" style="873" customWidth="1"/>
    <col min="9497" max="9497" width="2.42578125" style="873" customWidth="1"/>
    <col min="9498" max="9498" width="11.140625" style="873" customWidth="1"/>
    <col min="9499" max="9499" width="1.85546875" style="873" customWidth="1"/>
    <col min="9500" max="9500" width="11" style="873" customWidth="1"/>
    <col min="9501" max="9501" width="0.7109375" style="873" customWidth="1"/>
    <col min="9502" max="9502" width="1.85546875" style="873" customWidth="1"/>
    <col min="9503" max="9503" width="11.85546875" style="873" bestFit="1" customWidth="1"/>
    <col min="9504" max="9504" width="15.28515625" style="873" bestFit="1" customWidth="1"/>
    <col min="9505" max="9505" width="5" style="873" customWidth="1"/>
    <col min="9506" max="9506" width="10.42578125" style="873" bestFit="1" customWidth="1"/>
    <col min="9507" max="9507" width="5" style="873" customWidth="1"/>
    <col min="9508" max="9508" width="10.42578125" style="873" bestFit="1" customWidth="1"/>
    <col min="9509" max="9511" width="9" style="873"/>
    <col min="9512" max="9512" width="10.42578125" style="873" bestFit="1" customWidth="1"/>
    <col min="9513" max="9741" width="9" style="873"/>
    <col min="9742" max="9742" width="3.5703125" style="873" customWidth="1"/>
    <col min="9743" max="9743" width="4.85546875" style="873" customWidth="1"/>
    <col min="9744" max="9744" width="5.42578125" style="873" customWidth="1"/>
    <col min="9745" max="9745" width="31.28515625" style="873" customWidth="1"/>
    <col min="9746" max="9746" width="7.5703125" style="873" customWidth="1"/>
    <col min="9747" max="9747" width="2.42578125" style="873" customWidth="1"/>
    <col min="9748" max="9748" width="11.5703125" style="873" customWidth="1"/>
    <col min="9749" max="9749" width="2.42578125" style="873" customWidth="1"/>
    <col min="9750" max="9750" width="11.5703125" style="873" customWidth="1"/>
    <col min="9751" max="9751" width="2.42578125" style="873" customWidth="1"/>
    <col min="9752" max="9752" width="10.85546875" style="873" customWidth="1"/>
    <col min="9753" max="9753" width="2.42578125" style="873" customWidth="1"/>
    <col min="9754" max="9754" width="11.140625" style="873" customWidth="1"/>
    <col min="9755" max="9755" width="1.85546875" style="873" customWidth="1"/>
    <col min="9756" max="9756" width="11" style="873" customWidth="1"/>
    <col min="9757" max="9757" width="0.7109375" style="873" customWidth="1"/>
    <col min="9758" max="9758" width="1.85546875" style="873" customWidth="1"/>
    <col min="9759" max="9759" width="11.85546875" style="873" bestFit="1" customWidth="1"/>
    <col min="9760" max="9760" width="15.28515625" style="873" bestFit="1" customWidth="1"/>
    <col min="9761" max="9761" width="5" style="873" customWidth="1"/>
    <col min="9762" max="9762" width="10.42578125" style="873" bestFit="1" customWidth="1"/>
    <col min="9763" max="9763" width="5" style="873" customWidth="1"/>
    <col min="9764" max="9764" width="10.42578125" style="873" bestFit="1" customWidth="1"/>
    <col min="9765" max="9767" width="9" style="873"/>
    <col min="9768" max="9768" width="10.42578125" style="873" bestFit="1" customWidth="1"/>
    <col min="9769" max="9997" width="9" style="873"/>
    <col min="9998" max="9998" width="3.5703125" style="873" customWidth="1"/>
    <col min="9999" max="9999" width="4.85546875" style="873" customWidth="1"/>
    <col min="10000" max="10000" width="5.42578125" style="873" customWidth="1"/>
    <col min="10001" max="10001" width="31.28515625" style="873" customWidth="1"/>
    <col min="10002" max="10002" width="7.5703125" style="873" customWidth="1"/>
    <col min="10003" max="10003" width="2.42578125" style="873" customWidth="1"/>
    <col min="10004" max="10004" width="11.5703125" style="873" customWidth="1"/>
    <col min="10005" max="10005" width="2.42578125" style="873" customWidth="1"/>
    <col min="10006" max="10006" width="11.5703125" style="873" customWidth="1"/>
    <col min="10007" max="10007" width="2.42578125" style="873" customWidth="1"/>
    <col min="10008" max="10008" width="10.85546875" style="873" customWidth="1"/>
    <col min="10009" max="10009" width="2.42578125" style="873" customWidth="1"/>
    <col min="10010" max="10010" width="11.140625" style="873" customWidth="1"/>
    <col min="10011" max="10011" width="1.85546875" style="873" customWidth="1"/>
    <col min="10012" max="10012" width="11" style="873" customWidth="1"/>
    <col min="10013" max="10013" width="0.7109375" style="873" customWidth="1"/>
    <col min="10014" max="10014" width="1.85546875" style="873" customWidth="1"/>
    <col min="10015" max="10015" width="11.85546875" style="873" bestFit="1" customWidth="1"/>
    <col min="10016" max="10016" width="15.28515625" style="873" bestFit="1" customWidth="1"/>
    <col min="10017" max="10017" width="5" style="873" customWidth="1"/>
    <col min="10018" max="10018" width="10.42578125" style="873" bestFit="1" customWidth="1"/>
    <col min="10019" max="10019" width="5" style="873" customWidth="1"/>
    <col min="10020" max="10020" width="10.42578125" style="873" bestFit="1" customWidth="1"/>
    <col min="10021" max="10023" width="9" style="873"/>
    <col min="10024" max="10024" width="10.42578125" style="873" bestFit="1" customWidth="1"/>
    <col min="10025" max="10253" width="9" style="873"/>
    <col min="10254" max="10254" width="3.5703125" style="873" customWidth="1"/>
    <col min="10255" max="10255" width="4.85546875" style="873" customWidth="1"/>
    <col min="10256" max="10256" width="5.42578125" style="873" customWidth="1"/>
    <col min="10257" max="10257" width="31.28515625" style="873" customWidth="1"/>
    <col min="10258" max="10258" width="7.5703125" style="873" customWidth="1"/>
    <col min="10259" max="10259" width="2.42578125" style="873" customWidth="1"/>
    <col min="10260" max="10260" width="11.5703125" style="873" customWidth="1"/>
    <col min="10261" max="10261" width="2.42578125" style="873" customWidth="1"/>
    <col min="10262" max="10262" width="11.5703125" style="873" customWidth="1"/>
    <col min="10263" max="10263" width="2.42578125" style="873" customWidth="1"/>
    <col min="10264" max="10264" width="10.85546875" style="873" customWidth="1"/>
    <col min="10265" max="10265" width="2.42578125" style="873" customWidth="1"/>
    <col min="10266" max="10266" width="11.140625" style="873" customWidth="1"/>
    <col min="10267" max="10267" width="1.85546875" style="873" customWidth="1"/>
    <col min="10268" max="10268" width="11" style="873" customWidth="1"/>
    <col min="10269" max="10269" width="0.7109375" style="873" customWidth="1"/>
    <col min="10270" max="10270" width="1.85546875" style="873" customWidth="1"/>
    <col min="10271" max="10271" width="11.85546875" style="873" bestFit="1" customWidth="1"/>
    <col min="10272" max="10272" width="15.28515625" style="873" bestFit="1" customWidth="1"/>
    <col min="10273" max="10273" width="5" style="873" customWidth="1"/>
    <col min="10274" max="10274" width="10.42578125" style="873" bestFit="1" customWidth="1"/>
    <col min="10275" max="10275" width="5" style="873" customWidth="1"/>
    <col min="10276" max="10276" width="10.42578125" style="873" bestFit="1" customWidth="1"/>
    <col min="10277" max="10279" width="9" style="873"/>
    <col min="10280" max="10280" width="10.42578125" style="873" bestFit="1" customWidth="1"/>
    <col min="10281" max="10509" width="9" style="873"/>
    <col min="10510" max="10510" width="3.5703125" style="873" customWidth="1"/>
    <col min="10511" max="10511" width="4.85546875" style="873" customWidth="1"/>
    <col min="10512" max="10512" width="5.42578125" style="873" customWidth="1"/>
    <col min="10513" max="10513" width="31.28515625" style="873" customWidth="1"/>
    <col min="10514" max="10514" width="7.5703125" style="873" customWidth="1"/>
    <col min="10515" max="10515" width="2.42578125" style="873" customWidth="1"/>
    <col min="10516" max="10516" width="11.5703125" style="873" customWidth="1"/>
    <col min="10517" max="10517" width="2.42578125" style="873" customWidth="1"/>
    <col min="10518" max="10518" width="11.5703125" style="873" customWidth="1"/>
    <col min="10519" max="10519" width="2.42578125" style="873" customWidth="1"/>
    <col min="10520" max="10520" width="10.85546875" style="873" customWidth="1"/>
    <col min="10521" max="10521" width="2.42578125" style="873" customWidth="1"/>
    <col min="10522" max="10522" width="11.140625" style="873" customWidth="1"/>
    <col min="10523" max="10523" width="1.85546875" style="873" customWidth="1"/>
    <col min="10524" max="10524" width="11" style="873" customWidth="1"/>
    <col min="10525" max="10525" width="0.7109375" style="873" customWidth="1"/>
    <col min="10526" max="10526" width="1.85546875" style="873" customWidth="1"/>
    <col min="10527" max="10527" width="11.85546875" style="873" bestFit="1" customWidth="1"/>
    <col min="10528" max="10528" width="15.28515625" style="873" bestFit="1" customWidth="1"/>
    <col min="10529" max="10529" width="5" style="873" customWidth="1"/>
    <col min="10530" max="10530" width="10.42578125" style="873" bestFit="1" customWidth="1"/>
    <col min="10531" max="10531" width="5" style="873" customWidth="1"/>
    <col min="10532" max="10532" width="10.42578125" style="873" bestFit="1" customWidth="1"/>
    <col min="10533" max="10535" width="9" style="873"/>
    <col min="10536" max="10536" width="10.42578125" style="873" bestFit="1" customWidth="1"/>
    <col min="10537" max="10765" width="9" style="873"/>
    <col min="10766" max="10766" width="3.5703125" style="873" customWidth="1"/>
    <col min="10767" max="10767" width="4.85546875" style="873" customWidth="1"/>
    <col min="10768" max="10768" width="5.42578125" style="873" customWidth="1"/>
    <col min="10769" max="10769" width="31.28515625" style="873" customWidth="1"/>
    <col min="10770" max="10770" width="7.5703125" style="873" customWidth="1"/>
    <col min="10771" max="10771" width="2.42578125" style="873" customWidth="1"/>
    <col min="10772" max="10772" width="11.5703125" style="873" customWidth="1"/>
    <col min="10773" max="10773" width="2.42578125" style="873" customWidth="1"/>
    <col min="10774" max="10774" width="11.5703125" style="873" customWidth="1"/>
    <col min="10775" max="10775" width="2.42578125" style="873" customWidth="1"/>
    <col min="10776" max="10776" width="10.85546875" style="873" customWidth="1"/>
    <col min="10777" max="10777" width="2.42578125" style="873" customWidth="1"/>
    <col min="10778" max="10778" width="11.140625" style="873" customWidth="1"/>
    <col min="10779" max="10779" width="1.85546875" style="873" customWidth="1"/>
    <col min="10780" max="10780" width="11" style="873" customWidth="1"/>
    <col min="10781" max="10781" width="0.7109375" style="873" customWidth="1"/>
    <col min="10782" max="10782" width="1.85546875" style="873" customWidth="1"/>
    <col min="10783" max="10783" width="11.85546875" style="873" bestFit="1" customWidth="1"/>
    <col min="10784" max="10784" width="15.28515625" style="873" bestFit="1" customWidth="1"/>
    <col min="10785" max="10785" width="5" style="873" customWidth="1"/>
    <col min="10786" max="10786" width="10.42578125" style="873" bestFit="1" customWidth="1"/>
    <col min="10787" max="10787" width="5" style="873" customWidth="1"/>
    <col min="10788" max="10788" width="10.42578125" style="873" bestFit="1" customWidth="1"/>
    <col min="10789" max="10791" width="9" style="873"/>
    <col min="10792" max="10792" width="10.42578125" style="873" bestFit="1" customWidth="1"/>
    <col min="10793" max="11021" width="9" style="873"/>
    <col min="11022" max="11022" width="3.5703125" style="873" customWidth="1"/>
    <col min="11023" max="11023" width="4.85546875" style="873" customWidth="1"/>
    <col min="11024" max="11024" width="5.42578125" style="873" customWidth="1"/>
    <col min="11025" max="11025" width="31.28515625" style="873" customWidth="1"/>
    <col min="11026" max="11026" width="7.5703125" style="873" customWidth="1"/>
    <col min="11027" max="11027" width="2.42578125" style="873" customWidth="1"/>
    <col min="11028" max="11028" width="11.5703125" style="873" customWidth="1"/>
    <col min="11029" max="11029" width="2.42578125" style="873" customWidth="1"/>
    <col min="11030" max="11030" width="11.5703125" style="873" customWidth="1"/>
    <col min="11031" max="11031" width="2.42578125" style="873" customWidth="1"/>
    <col min="11032" max="11032" width="10.85546875" style="873" customWidth="1"/>
    <col min="11033" max="11033" width="2.42578125" style="873" customWidth="1"/>
    <col min="11034" max="11034" width="11.140625" style="873" customWidth="1"/>
    <col min="11035" max="11035" width="1.85546875" style="873" customWidth="1"/>
    <col min="11036" max="11036" width="11" style="873" customWidth="1"/>
    <col min="11037" max="11037" width="0.7109375" style="873" customWidth="1"/>
    <col min="11038" max="11038" width="1.85546875" style="873" customWidth="1"/>
    <col min="11039" max="11039" width="11.85546875" style="873" bestFit="1" customWidth="1"/>
    <col min="11040" max="11040" width="15.28515625" style="873" bestFit="1" customWidth="1"/>
    <col min="11041" max="11041" width="5" style="873" customWidth="1"/>
    <col min="11042" max="11042" width="10.42578125" style="873" bestFit="1" customWidth="1"/>
    <col min="11043" max="11043" width="5" style="873" customWidth="1"/>
    <col min="11044" max="11044" width="10.42578125" style="873" bestFit="1" customWidth="1"/>
    <col min="11045" max="11047" width="9" style="873"/>
    <col min="11048" max="11048" width="10.42578125" style="873" bestFit="1" customWidth="1"/>
    <col min="11049" max="11277" width="9" style="873"/>
    <col min="11278" max="11278" width="3.5703125" style="873" customWidth="1"/>
    <col min="11279" max="11279" width="4.85546875" style="873" customWidth="1"/>
    <col min="11280" max="11280" width="5.42578125" style="873" customWidth="1"/>
    <col min="11281" max="11281" width="31.28515625" style="873" customWidth="1"/>
    <col min="11282" max="11282" width="7.5703125" style="873" customWidth="1"/>
    <col min="11283" max="11283" width="2.42578125" style="873" customWidth="1"/>
    <col min="11284" max="11284" width="11.5703125" style="873" customWidth="1"/>
    <col min="11285" max="11285" width="2.42578125" style="873" customWidth="1"/>
    <col min="11286" max="11286" width="11.5703125" style="873" customWidth="1"/>
    <col min="11287" max="11287" width="2.42578125" style="873" customWidth="1"/>
    <col min="11288" max="11288" width="10.85546875" style="873" customWidth="1"/>
    <col min="11289" max="11289" width="2.42578125" style="873" customWidth="1"/>
    <col min="11290" max="11290" width="11.140625" style="873" customWidth="1"/>
    <col min="11291" max="11291" width="1.85546875" style="873" customWidth="1"/>
    <col min="11292" max="11292" width="11" style="873" customWidth="1"/>
    <col min="11293" max="11293" width="0.7109375" style="873" customWidth="1"/>
    <col min="11294" max="11294" width="1.85546875" style="873" customWidth="1"/>
    <col min="11295" max="11295" width="11.85546875" style="873" bestFit="1" customWidth="1"/>
    <col min="11296" max="11296" width="15.28515625" style="873" bestFit="1" customWidth="1"/>
    <col min="11297" max="11297" width="5" style="873" customWidth="1"/>
    <col min="11298" max="11298" width="10.42578125" style="873" bestFit="1" customWidth="1"/>
    <col min="11299" max="11299" width="5" style="873" customWidth="1"/>
    <col min="11300" max="11300" width="10.42578125" style="873" bestFit="1" customWidth="1"/>
    <col min="11301" max="11303" width="9" style="873"/>
    <col min="11304" max="11304" width="10.42578125" style="873" bestFit="1" customWidth="1"/>
    <col min="11305" max="11533" width="9" style="873"/>
    <col min="11534" max="11534" width="3.5703125" style="873" customWidth="1"/>
    <col min="11535" max="11535" width="4.85546875" style="873" customWidth="1"/>
    <col min="11536" max="11536" width="5.42578125" style="873" customWidth="1"/>
    <col min="11537" max="11537" width="31.28515625" style="873" customWidth="1"/>
    <col min="11538" max="11538" width="7.5703125" style="873" customWidth="1"/>
    <col min="11539" max="11539" width="2.42578125" style="873" customWidth="1"/>
    <col min="11540" max="11540" width="11.5703125" style="873" customWidth="1"/>
    <col min="11541" max="11541" width="2.42578125" style="873" customWidth="1"/>
    <col min="11542" max="11542" width="11.5703125" style="873" customWidth="1"/>
    <col min="11543" max="11543" width="2.42578125" style="873" customWidth="1"/>
    <col min="11544" max="11544" width="10.85546875" style="873" customWidth="1"/>
    <col min="11545" max="11545" width="2.42578125" style="873" customWidth="1"/>
    <col min="11546" max="11546" width="11.140625" style="873" customWidth="1"/>
    <col min="11547" max="11547" width="1.85546875" style="873" customWidth="1"/>
    <col min="11548" max="11548" width="11" style="873" customWidth="1"/>
    <col min="11549" max="11549" width="0.7109375" style="873" customWidth="1"/>
    <col min="11550" max="11550" width="1.85546875" style="873" customWidth="1"/>
    <col min="11551" max="11551" width="11.85546875" style="873" bestFit="1" customWidth="1"/>
    <col min="11552" max="11552" width="15.28515625" style="873" bestFit="1" customWidth="1"/>
    <col min="11553" max="11553" width="5" style="873" customWidth="1"/>
    <col min="11554" max="11554" width="10.42578125" style="873" bestFit="1" customWidth="1"/>
    <col min="11555" max="11555" width="5" style="873" customWidth="1"/>
    <col min="11556" max="11556" width="10.42578125" style="873" bestFit="1" customWidth="1"/>
    <col min="11557" max="11559" width="9" style="873"/>
    <col min="11560" max="11560" width="10.42578125" style="873" bestFit="1" customWidth="1"/>
    <col min="11561" max="11789" width="9" style="873"/>
    <col min="11790" max="11790" width="3.5703125" style="873" customWidth="1"/>
    <col min="11791" max="11791" width="4.85546875" style="873" customWidth="1"/>
    <col min="11792" max="11792" width="5.42578125" style="873" customWidth="1"/>
    <col min="11793" max="11793" width="31.28515625" style="873" customWidth="1"/>
    <col min="11794" max="11794" width="7.5703125" style="873" customWidth="1"/>
    <col min="11795" max="11795" width="2.42578125" style="873" customWidth="1"/>
    <col min="11796" max="11796" width="11.5703125" style="873" customWidth="1"/>
    <col min="11797" max="11797" width="2.42578125" style="873" customWidth="1"/>
    <col min="11798" max="11798" width="11.5703125" style="873" customWidth="1"/>
    <col min="11799" max="11799" width="2.42578125" style="873" customWidth="1"/>
    <col min="11800" max="11800" width="10.85546875" style="873" customWidth="1"/>
    <col min="11801" max="11801" width="2.42578125" style="873" customWidth="1"/>
    <col min="11802" max="11802" width="11.140625" style="873" customWidth="1"/>
    <col min="11803" max="11803" width="1.85546875" style="873" customWidth="1"/>
    <col min="11804" max="11804" width="11" style="873" customWidth="1"/>
    <col min="11805" max="11805" width="0.7109375" style="873" customWidth="1"/>
    <col min="11806" max="11806" width="1.85546875" style="873" customWidth="1"/>
    <col min="11807" max="11807" width="11.85546875" style="873" bestFit="1" customWidth="1"/>
    <col min="11808" max="11808" width="15.28515625" style="873" bestFit="1" customWidth="1"/>
    <col min="11809" max="11809" width="5" style="873" customWidth="1"/>
    <col min="11810" max="11810" width="10.42578125" style="873" bestFit="1" customWidth="1"/>
    <col min="11811" max="11811" width="5" style="873" customWidth="1"/>
    <col min="11812" max="11812" width="10.42578125" style="873" bestFit="1" customWidth="1"/>
    <col min="11813" max="11815" width="9" style="873"/>
    <col min="11816" max="11816" width="10.42578125" style="873" bestFit="1" customWidth="1"/>
    <col min="11817" max="12045" width="9" style="873"/>
    <col min="12046" max="12046" width="3.5703125" style="873" customWidth="1"/>
    <col min="12047" max="12047" width="4.85546875" style="873" customWidth="1"/>
    <col min="12048" max="12048" width="5.42578125" style="873" customWidth="1"/>
    <col min="12049" max="12049" width="31.28515625" style="873" customWidth="1"/>
    <col min="12050" max="12050" width="7.5703125" style="873" customWidth="1"/>
    <col min="12051" max="12051" width="2.42578125" style="873" customWidth="1"/>
    <col min="12052" max="12052" width="11.5703125" style="873" customWidth="1"/>
    <col min="12053" max="12053" width="2.42578125" style="873" customWidth="1"/>
    <col min="12054" max="12054" width="11.5703125" style="873" customWidth="1"/>
    <col min="12055" max="12055" width="2.42578125" style="873" customWidth="1"/>
    <col min="12056" max="12056" width="10.85546875" style="873" customWidth="1"/>
    <col min="12057" max="12057" width="2.42578125" style="873" customWidth="1"/>
    <col min="12058" max="12058" width="11.140625" style="873" customWidth="1"/>
    <col min="12059" max="12059" width="1.85546875" style="873" customWidth="1"/>
    <col min="12060" max="12060" width="11" style="873" customWidth="1"/>
    <col min="12061" max="12061" width="0.7109375" style="873" customWidth="1"/>
    <col min="12062" max="12062" width="1.85546875" style="873" customWidth="1"/>
    <col min="12063" max="12063" width="11.85546875" style="873" bestFit="1" customWidth="1"/>
    <col min="12064" max="12064" width="15.28515625" style="873" bestFit="1" customWidth="1"/>
    <col min="12065" max="12065" width="5" style="873" customWidth="1"/>
    <col min="12066" max="12066" width="10.42578125" style="873" bestFit="1" customWidth="1"/>
    <col min="12067" max="12067" width="5" style="873" customWidth="1"/>
    <col min="12068" max="12068" width="10.42578125" style="873" bestFit="1" customWidth="1"/>
    <col min="12069" max="12071" width="9" style="873"/>
    <col min="12072" max="12072" width="10.42578125" style="873" bestFit="1" customWidth="1"/>
    <col min="12073" max="12301" width="9" style="873"/>
    <col min="12302" max="12302" width="3.5703125" style="873" customWidth="1"/>
    <col min="12303" max="12303" width="4.85546875" style="873" customWidth="1"/>
    <col min="12304" max="12304" width="5.42578125" style="873" customWidth="1"/>
    <col min="12305" max="12305" width="31.28515625" style="873" customWidth="1"/>
    <col min="12306" max="12306" width="7.5703125" style="873" customWidth="1"/>
    <col min="12307" max="12307" width="2.42578125" style="873" customWidth="1"/>
    <col min="12308" max="12308" width="11.5703125" style="873" customWidth="1"/>
    <col min="12309" max="12309" width="2.42578125" style="873" customWidth="1"/>
    <col min="12310" max="12310" width="11.5703125" style="873" customWidth="1"/>
    <col min="12311" max="12311" width="2.42578125" style="873" customWidth="1"/>
    <col min="12312" max="12312" width="10.85546875" style="873" customWidth="1"/>
    <col min="12313" max="12313" width="2.42578125" style="873" customWidth="1"/>
    <col min="12314" max="12314" width="11.140625" style="873" customWidth="1"/>
    <col min="12315" max="12315" width="1.85546875" style="873" customWidth="1"/>
    <col min="12316" max="12316" width="11" style="873" customWidth="1"/>
    <col min="12317" max="12317" width="0.7109375" style="873" customWidth="1"/>
    <col min="12318" max="12318" width="1.85546875" style="873" customWidth="1"/>
    <col min="12319" max="12319" width="11.85546875" style="873" bestFit="1" customWidth="1"/>
    <col min="12320" max="12320" width="15.28515625" style="873" bestFit="1" customWidth="1"/>
    <col min="12321" max="12321" width="5" style="873" customWidth="1"/>
    <col min="12322" max="12322" width="10.42578125" style="873" bestFit="1" customWidth="1"/>
    <col min="12323" max="12323" width="5" style="873" customWidth="1"/>
    <col min="12324" max="12324" width="10.42578125" style="873" bestFit="1" customWidth="1"/>
    <col min="12325" max="12327" width="9" style="873"/>
    <col min="12328" max="12328" width="10.42578125" style="873" bestFit="1" customWidth="1"/>
    <col min="12329" max="12557" width="9" style="873"/>
    <col min="12558" max="12558" width="3.5703125" style="873" customWidth="1"/>
    <col min="12559" max="12559" width="4.85546875" style="873" customWidth="1"/>
    <col min="12560" max="12560" width="5.42578125" style="873" customWidth="1"/>
    <col min="12561" max="12561" width="31.28515625" style="873" customWidth="1"/>
    <col min="12562" max="12562" width="7.5703125" style="873" customWidth="1"/>
    <col min="12563" max="12563" width="2.42578125" style="873" customWidth="1"/>
    <col min="12564" max="12564" width="11.5703125" style="873" customWidth="1"/>
    <col min="12565" max="12565" width="2.42578125" style="873" customWidth="1"/>
    <col min="12566" max="12566" width="11.5703125" style="873" customWidth="1"/>
    <col min="12567" max="12567" width="2.42578125" style="873" customWidth="1"/>
    <col min="12568" max="12568" width="10.85546875" style="873" customWidth="1"/>
    <col min="12569" max="12569" width="2.42578125" style="873" customWidth="1"/>
    <col min="12570" max="12570" width="11.140625" style="873" customWidth="1"/>
    <col min="12571" max="12571" width="1.85546875" style="873" customWidth="1"/>
    <col min="12572" max="12572" width="11" style="873" customWidth="1"/>
    <col min="12573" max="12573" width="0.7109375" style="873" customWidth="1"/>
    <col min="12574" max="12574" width="1.85546875" style="873" customWidth="1"/>
    <col min="12575" max="12575" width="11.85546875" style="873" bestFit="1" customWidth="1"/>
    <col min="12576" max="12576" width="15.28515625" style="873" bestFit="1" customWidth="1"/>
    <col min="12577" max="12577" width="5" style="873" customWidth="1"/>
    <col min="12578" max="12578" width="10.42578125" style="873" bestFit="1" customWidth="1"/>
    <col min="12579" max="12579" width="5" style="873" customWidth="1"/>
    <col min="12580" max="12580" width="10.42578125" style="873" bestFit="1" customWidth="1"/>
    <col min="12581" max="12583" width="9" style="873"/>
    <col min="12584" max="12584" width="10.42578125" style="873" bestFit="1" customWidth="1"/>
    <col min="12585" max="12813" width="9" style="873"/>
    <col min="12814" max="12814" width="3.5703125" style="873" customWidth="1"/>
    <col min="12815" max="12815" width="4.85546875" style="873" customWidth="1"/>
    <col min="12816" max="12816" width="5.42578125" style="873" customWidth="1"/>
    <col min="12817" max="12817" width="31.28515625" style="873" customWidth="1"/>
    <col min="12818" max="12818" width="7.5703125" style="873" customWidth="1"/>
    <col min="12819" max="12819" width="2.42578125" style="873" customWidth="1"/>
    <col min="12820" max="12820" width="11.5703125" style="873" customWidth="1"/>
    <col min="12821" max="12821" width="2.42578125" style="873" customWidth="1"/>
    <col min="12822" max="12822" width="11.5703125" style="873" customWidth="1"/>
    <col min="12823" max="12823" width="2.42578125" style="873" customWidth="1"/>
    <col min="12824" max="12824" width="10.85546875" style="873" customWidth="1"/>
    <col min="12825" max="12825" width="2.42578125" style="873" customWidth="1"/>
    <col min="12826" max="12826" width="11.140625" style="873" customWidth="1"/>
    <col min="12827" max="12827" width="1.85546875" style="873" customWidth="1"/>
    <col min="12828" max="12828" width="11" style="873" customWidth="1"/>
    <col min="12829" max="12829" width="0.7109375" style="873" customWidth="1"/>
    <col min="12830" max="12830" width="1.85546875" style="873" customWidth="1"/>
    <col min="12831" max="12831" width="11.85546875" style="873" bestFit="1" customWidth="1"/>
    <col min="12832" max="12832" width="15.28515625" style="873" bestFit="1" customWidth="1"/>
    <col min="12833" max="12833" width="5" style="873" customWidth="1"/>
    <col min="12834" max="12834" width="10.42578125" style="873" bestFit="1" customWidth="1"/>
    <col min="12835" max="12835" width="5" style="873" customWidth="1"/>
    <col min="12836" max="12836" width="10.42578125" style="873" bestFit="1" customWidth="1"/>
    <col min="12837" max="12839" width="9" style="873"/>
    <col min="12840" max="12840" width="10.42578125" style="873" bestFit="1" customWidth="1"/>
    <col min="12841" max="13069" width="9" style="873"/>
    <col min="13070" max="13070" width="3.5703125" style="873" customWidth="1"/>
    <col min="13071" max="13071" width="4.85546875" style="873" customWidth="1"/>
    <col min="13072" max="13072" width="5.42578125" style="873" customWidth="1"/>
    <col min="13073" max="13073" width="31.28515625" style="873" customWidth="1"/>
    <col min="13074" max="13074" width="7.5703125" style="873" customWidth="1"/>
    <col min="13075" max="13075" width="2.42578125" style="873" customWidth="1"/>
    <col min="13076" max="13076" width="11.5703125" style="873" customWidth="1"/>
    <col min="13077" max="13077" width="2.42578125" style="873" customWidth="1"/>
    <col min="13078" max="13078" width="11.5703125" style="873" customWidth="1"/>
    <col min="13079" max="13079" width="2.42578125" style="873" customWidth="1"/>
    <col min="13080" max="13080" width="10.85546875" style="873" customWidth="1"/>
    <col min="13081" max="13081" width="2.42578125" style="873" customWidth="1"/>
    <col min="13082" max="13082" width="11.140625" style="873" customWidth="1"/>
    <col min="13083" max="13083" width="1.85546875" style="873" customWidth="1"/>
    <col min="13084" max="13084" width="11" style="873" customWidth="1"/>
    <col min="13085" max="13085" width="0.7109375" style="873" customWidth="1"/>
    <col min="13086" max="13086" width="1.85546875" style="873" customWidth="1"/>
    <col min="13087" max="13087" width="11.85546875" style="873" bestFit="1" customWidth="1"/>
    <col min="13088" max="13088" width="15.28515625" style="873" bestFit="1" customWidth="1"/>
    <col min="13089" max="13089" width="5" style="873" customWidth="1"/>
    <col min="13090" max="13090" width="10.42578125" style="873" bestFit="1" customWidth="1"/>
    <col min="13091" max="13091" width="5" style="873" customWidth="1"/>
    <col min="13092" max="13092" width="10.42578125" style="873" bestFit="1" customWidth="1"/>
    <col min="13093" max="13095" width="9" style="873"/>
    <col min="13096" max="13096" width="10.42578125" style="873" bestFit="1" customWidth="1"/>
    <col min="13097" max="13325" width="9" style="873"/>
    <col min="13326" max="13326" width="3.5703125" style="873" customWidth="1"/>
    <col min="13327" max="13327" width="4.85546875" style="873" customWidth="1"/>
    <col min="13328" max="13328" width="5.42578125" style="873" customWidth="1"/>
    <col min="13329" max="13329" width="31.28515625" style="873" customWidth="1"/>
    <col min="13330" max="13330" width="7.5703125" style="873" customWidth="1"/>
    <col min="13331" max="13331" width="2.42578125" style="873" customWidth="1"/>
    <col min="13332" max="13332" width="11.5703125" style="873" customWidth="1"/>
    <col min="13333" max="13333" width="2.42578125" style="873" customWidth="1"/>
    <col min="13334" max="13334" width="11.5703125" style="873" customWidth="1"/>
    <col min="13335" max="13335" width="2.42578125" style="873" customWidth="1"/>
    <col min="13336" max="13336" width="10.85546875" style="873" customWidth="1"/>
    <col min="13337" max="13337" width="2.42578125" style="873" customWidth="1"/>
    <col min="13338" max="13338" width="11.140625" style="873" customWidth="1"/>
    <col min="13339" max="13339" width="1.85546875" style="873" customWidth="1"/>
    <col min="13340" max="13340" width="11" style="873" customWidth="1"/>
    <col min="13341" max="13341" width="0.7109375" style="873" customWidth="1"/>
    <col min="13342" max="13342" width="1.85546875" style="873" customWidth="1"/>
    <col min="13343" max="13343" width="11.85546875" style="873" bestFit="1" customWidth="1"/>
    <col min="13344" max="13344" width="15.28515625" style="873" bestFit="1" customWidth="1"/>
    <col min="13345" max="13345" width="5" style="873" customWidth="1"/>
    <col min="13346" max="13346" width="10.42578125" style="873" bestFit="1" customWidth="1"/>
    <col min="13347" max="13347" width="5" style="873" customWidth="1"/>
    <col min="13348" max="13348" width="10.42578125" style="873" bestFit="1" customWidth="1"/>
    <col min="13349" max="13351" width="9" style="873"/>
    <col min="13352" max="13352" width="10.42578125" style="873" bestFit="1" customWidth="1"/>
    <col min="13353" max="13581" width="9" style="873"/>
    <col min="13582" max="13582" width="3.5703125" style="873" customWidth="1"/>
    <col min="13583" max="13583" width="4.85546875" style="873" customWidth="1"/>
    <col min="13584" max="13584" width="5.42578125" style="873" customWidth="1"/>
    <col min="13585" max="13585" width="31.28515625" style="873" customWidth="1"/>
    <col min="13586" max="13586" width="7.5703125" style="873" customWidth="1"/>
    <col min="13587" max="13587" width="2.42578125" style="873" customWidth="1"/>
    <col min="13588" max="13588" width="11.5703125" style="873" customWidth="1"/>
    <col min="13589" max="13589" width="2.42578125" style="873" customWidth="1"/>
    <col min="13590" max="13590" width="11.5703125" style="873" customWidth="1"/>
    <col min="13591" max="13591" width="2.42578125" style="873" customWidth="1"/>
    <col min="13592" max="13592" width="10.85546875" style="873" customWidth="1"/>
    <col min="13593" max="13593" width="2.42578125" style="873" customWidth="1"/>
    <col min="13594" max="13594" width="11.140625" style="873" customWidth="1"/>
    <col min="13595" max="13595" width="1.85546875" style="873" customWidth="1"/>
    <col min="13596" max="13596" width="11" style="873" customWidth="1"/>
    <col min="13597" max="13597" width="0.7109375" style="873" customWidth="1"/>
    <col min="13598" max="13598" width="1.85546875" style="873" customWidth="1"/>
    <col min="13599" max="13599" width="11.85546875" style="873" bestFit="1" customWidth="1"/>
    <col min="13600" max="13600" width="15.28515625" style="873" bestFit="1" customWidth="1"/>
    <col min="13601" max="13601" width="5" style="873" customWidth="1"/>
    <col min="13602" max="13602" width="10.42578125" style="873" bestFit="1" customWidth="1"/>
    <col min="13603" max="13603" width="5" style="873" customWidth="1"/>
    <col min="13604" max="13604" width="10.42578125" style="873" bestFit="1" customWidth="1"/>
    <col min="13605" max="13607" width="9" style="873"/>
    <col min="13608" max="13608" width="10.42578125" style="873" bestFit="1" customWidth="1"/>
    <col min="13609" max="13837" width="9" style="873"/>
    <col min="13838" max="13838" width="3.5703125" style="873" customWidth="1"/>
    <col min="13839" max="13839" width="4.85546875" style="873" customWidth="1"/>
    <col min="13840" max="13840" width="5.42578125" style="873" customWidth="1"/>
    <col min="13841" max="13841" width="31.28515625" style="873" customWidth="1"/>
    <col min="13842" max="13842" width="7.5703125" style="873" customWidth="1"/>
    <col min="13843" max="13843" width="2.42578125" style="873" customWidth="1"/>
    <col min="13844" max="13844" width="11.5703125" style="873" customWidth="1"/>
    <col min="13845" max="13845" width="2.42578125" style="873" customWidth="1"/>
    <col min="13846" max="13846" width="11.5703125" style="873" customWidth="1"/>
    <col min="13847" max="13847" width="2.42578125" style="873" customWidth="1"/>
    <col min="13848" max="13848" width="10.85546875" style="873" customWidth="1"/>
    <col min="13849" max="13849" width="2.42578125" style="873" customWidth="1"/>
    <col min="13850" max="13850" width="11.140625" style="873" customWidth="1"/>
    <col min="13851" max="13851" width="1.85546875" style="873" customWidth="1"/>
    <col min="13852" max="13852" width="11" style="873" customWidth="1"/>
    <col min="13853" max="13853" width="0.7109375" style="873" customWidth="1"/>
    <col min="13854" max="13854" width="1.85546875" style="873" customWidth="1"/>
    <col min="13855" max="13855" width="11.85546875" style="873" bestFit="1" customWidth="1"/>
    <col min="13856" max="13856" width="15.28515625" style="873" bestFit="1" customWidth="1"/>
    <col min="13857" max="13857" width="5" style="873" customWidth="1"/>
    <col min="13858" max="13858" width="10.42578125" style="873" bestFit="1" customWidth="1"/>
    <col min="13859" max="13859" width="5" style="873" customWidth="1"/>
    <col min="13860" max="13860" width="10.42578125" style="873" bestFit="1" customWidth="1"/>
    <col min="13861" max="13863" width="9" style="873"/>
    <col min="13864" max="13864" width="10.42578125" style="873" bestFit="1" customWidth="1"/>
    <col min="13865" max="14093" width="9" style="873"/>
    <col min="14094" max="14094" width="3.5703125" style="873" customWidth="1"/>
    <col min="14095" max="14095" width="4.85546875" style="873" customWidth="1"/>
    <col min="14096" max="14096" width="5.42578125" style="873" customWidth="1"/>
    <col min="14097" max="14097" width="31.28515625" style="873" customWidth="1"/>
    <col min="14098" max="14098" width="7.5703125" style="873" customWidth="1"/>
    <col min="14099" max="14099" width="2.42578125" style="873" customWidth="1"/>
    <col min="14100" max="14100" width="11.5703125" style="873" customWidth="1"/>
    <col min="14101" max="14101" width="2.42578125" style="873" customWidth="1"/>
    <col min="14102" max="14102" width="11.5703125" style="873" customWidth="1"/>
    <col min="14103" max="14103" width="2.42578125" style="873" customWidth="1"/>
    <col min="14104" max="14104" width="10.85546875" style="873" customWidth="1"/>
    <col min="14105" max="14105" width="2.42578125" style="873" customWidth="1"/>
    <col min="14106" max="14106" width="11.140625" style="873" customWidth="1"/>
    <col min="14107" max="14107" width="1.85546875" style="873" customWidth="1"/>
    <col min="14108" max="14108" width="11" style="873" customWidth="1"/>
    <col min="14109" max="14109" width="0.7109375" style="873" customWidth="1"/>
    <col min="14110" max="14110" width="1.85546875" style="873" customWidth="1"/>
    <col min="14111" max="14111" width="11.85546875" style="873" bestFit="1" customWidth="1"/>
    <col min="14112" max="14112" width="15.28515625" style="873" bestFit="1" customWidth="1"/>
    <col min="14113" max="14113" width="5" style="873" customWidth="1"/>
    <col min="14114" max="14114" width="10.42578125" style="873" bestFit="1" customWidth="1"/>
    <col min="14115" max="14115" width="5" style="873" customWidth="1"/>
    <col min="14116" max="14116" width="10.42578125" style="873" bestFit="1" customWidth="1"/>
    <col min="14117" max="14119" width="9" style="873"/>
    <col min="14120" max="14120" width="10.42578125" style="873" bestFit="1" customWidth="1"/>
    <col min="14121" max="14349" width="9" style="873"/>
    <col min="14350" max="14350" width="3.5703125" style="873" customWidth="1"/>
    <col min="14351" max="14351" width="4.85546875" style="873" customWidth="1"/>
    <col min="14352" max="14352" width="5.42578125" style="873" customWidth="1"/>
    <col min="14353" max="14353" width="31.28515625" style="873" customWidth="1"/>
    <col min="14354" max="14354" width="7.5703125" style="873" customWidth="1"/>
    <col min="14355" max="14355" width="2.42578125" style="873" customWidth="1"/>
    <col min="14356" max="14356" width="11.5703125" style="873" customWidth="1"/>
    <col min="14357" max="14357" width="2.42578125" style="873" customWidth="1"/>
    <col min="14358" max="14358" width="11.5703125" style="873" customWidth="1"/>
    <col min="14359" max="14359" width="2.42578125" style="873" customWidth="1"/>
    <col min="14360" max="14360" width="10.85546875" style="873" customWidth="1"/>
    <col min="14361" max="14361" width="2.42578125" style="873" customWidth="1"/>
    <col min="14362" max="14362" width="11.140625" style="873" customWidth="1"/>
    <col min="14363" max="14363" width="1.85546875" style="873" customWidth="1"/>
    <col min="14364" max="14364" width="11" style="873" customWidth="1"/>
    <col min="14365" max="14365" width="0.7109375" style="873" customWidth="1"/>
    <col min="14366" max="14366" width="1.85546875" style="873" customWidth="1"/>
    <col min="14367" max="14367" width="11.85546875" style="873" bestFit="1" customWidth="1"/>
    <col min="14368" max="14368" width="15.28515625" style="873" bestFit="1" customWidth="1"/>
    <col min="14369" max="14369" width="5" style="873" customWidth="1"/>
    <col min="14370" max="14370" width="10.42578125" style="873" bestFit="1" customWidth="1"/>
    <col min="14371" max="14371" width="5" style="873" customWidth="1"/>
    <col min="14372" max="14372" width="10.42578125" style="873" bestFit="1" customWidth="1"/>
    <col min="14373" max="14375" width="9" style="873"/>
    <col min="14376" max="14376" width="10.42578125" style="873" bestFit="1" customWidth="1"/>
    <col min="14377" max="14605" width="9" style="873"/>
    <col min="14606" max="14606" width="3.5703125" style="873" customWidth="1"/>
    <col min="14607" max="14607" width="4.85546875" style="873" customWidth="1"/>
    <col min="14608" max="14608" width="5.42578125" style="873" customWidth="1"/>
    <col min="14609" max="14609" width="31.28515625" style="873" customWidth="1"/>
    <col min="14610" max="14610" width="7.5703125" style="873" customWidth="1"/>
    <col min="14611" max="14611" width="2.42578125" style="873" customWidth="1"/>
    <col min="14612" max="14612" width="11.5703125" style="873" customWidth="1"/>
    <col min="14613" max="14613" width="2.42578125" style="873" customWidth="1"/>
    <col min="14614" max="14614" width="11.5703125" style="873" customWidth="1"/>
    <col min="14615" max="14615" width="2.42578125" style="873" customWidth="1"/>
    <col min="14616" max="14616" width="10.85546875" style="873" customWidth="1"/>
    <col min="14617" max="14617" width="2.42578125" style="873" customWidth="1"/>
    <col min="14618" max="14618" width="11.140625" style="873" customWidth="1"/>
    <col min="14619" max="14619" width="1.85546875" style="873" customWidth="1"/>
    <col min="14620" max="14620" width="11" style="873" customWidth="1"/>
    <col min="14621" max="14621" width="0.7109375" style="873" customWidth="1"/>
    <col min="14622" max="14622" width="1.85546875" style="873" customWidth="1"/>
    <col min="14623" max="14623" width="11.85546875" style="873" bestFit="1" customWidth="1"/>
    <col min="14624" max="14624" width="15.28515625" style="873" bestFit="1" customWidth="1"/>
    <col min="14625" max="14625" width="5" style="873" customWidth="1"/>
    <col min="14626" max="14626" width="10.42578125" style="873" bestFit="1" customWidth="1"/>
    <col min="14627" max="14627" width="5" style="873" customWidth="1"/>
    <col min="14628" max="14628" width="10.42578125" style="873" bestFit="1" customWidth="1"/>
    <col min="14629" max="14631" width="9" style="873"/>
    <col min="14632" max="14632" width="10.42578125" style="873" bestFit="1" customWidth="1"/>
    <col min="14633" max="14861" width="9" style="873"/>
    <col min="14862" max="14862" width="3.5703125" style="873" customWidth="1"/>
    <col min="14863" max="14863" width="4.85546875" style="873" customWidth="1"/>
    <col min="14864" max="14864" width="5.42578125" style="873" customWidth="1"/>
    <col min="14865" max="14865" width="31.28515625" style="873" customWidth="1"/>
    <col min="14866" max="14866" width="7.5703125" style="873" customWidth="1"/>
    <col min="14867" max="14867" width="2.42578125" style="873" customWidth="1"/>
    <col min="14868" max="14868" width="11.5703125" style="873" customWidth="1"/>
    <col min="14869" max="14869" width="2.42578125" style="873" customWidth="1"/>
    <col min="14870" max="14870" width="11.5703125" style="873" customWidth="1"/>
    <col min="14871" max="14871" width="2.42578125" style="873" customWidth="1"/>
    <col min="14872" max="14872" width="10.85546875" style="873" customWidth="1"/>
    <col min="14873" max="14873" width="2.42578125" style="873" customWidth="1"/>
    <col min="14874" max="14874" width="11.140625" style="873" customWidth="1"/>
    <col min="14875" max="14875" width="1.85546875" style="873" customWidth="1"/>
    <col min="14876" max="14876" width="11" style="873" customWidth="1"/>
    <col min="14877" max="14877" width="0.7109375" style="873" customWidth="1"/>
    <col min="14878" max="14878" width="1.85546875" style="873" customWidth="1"/>
    <col min="14879" max="14879" width="11.85546875" style="873" bestFit="1" customWidth="1"/>
    <col min="14880" max="14880" width="15.28515625" style="873" bestFit="1" customWidth="1"/>
    <col min="14881" max="14881" width="5" style="873" customWidth="1"/>
    <col min="14882" max="14882" width="10.42578125" style="873" bestFit="1" customWidth="1"/>
    <col min="14883" max="14883" width="5" style="873" customWidth="1"/>
    <col min="14884" max="14884" width="10.42578125" style="873" bestFit="1" customWidth="1"/>
    <col min="14885" max="14887" width="9" style="873"/>
    <col min="14888" max="14888" width="10.42578125" style="873" bestFit="1" customWidth="1"/>
    <col min="14889" max="15117" width="9" style="873"/>
    <col min="15118" max="15118" width="3.5703125" style="873" customWidth="1"/>
    <col min="15119" max="15119" width="4.85546875" style="873" customWidth="1"/>
    <col min="15120" max="15120" width="5.42578125" style="873" customWidth="1"/>
    <col min="15121" max="15121" width="31.28515625" style="873" customWidth="1"/>
    <col min="15122" max="15122" width="7.5703125" style="873" customWidth="1"/>
    <col min="15123" max="15123" width="2.42578125" style="873" customWidth="1"/>
    <col min="15124" max="15124" width="11.5703125" style="873" customWidth="1"/>
    <col min="15125" max="15125" width="2.42578125" style="873" customWidth="1"/>
    <col min="15126" max="15126" width="11.5703125" style="873" customWidth="1"/>
    <col min="15127" max="15127" width="2.42578125" style="873" customWidth="1"/>
    <col min="15128" max="15128" width="10.85546875" style="873" customWidth="1"/>
    <col min="15129" max="15129" width="2.42578125" style="873" customWidth="1"/>
    <col min="15130" max="15130" width="11.140625" style="873" customWidth="1"/>
    <col min="15131" max="15131" width="1.85546875" style="873" customWidth="1"/>
    <col min="15132" max="15132" width="11" style="873" customWidth="1"/>
    <col min="15133" max="15133" width="0.7109375" style="873" customWidth="1"/>
    <col min="15134" max="15134" width="1.85546875" style="873" customWidth="1"/>
    <col min="15135" max="15135" width="11.85546875" style="873" bestFit="1" customWidth="1"/>
    <col min="15136" max="15136" width="15.28515625" style="873" bestFit="1" customWidth="1"/>
    <col min="15137" max="15137" width="5" style="873" customWidth="1"/>
    <col min="15138" max="15138" width="10.42578125" style="873" bestFit="1" customWidth="1"/>
    <col min="15139" max="15139" width="5" style="873" customWidth="1"/>
    <col min="15140" max="15140" width="10.42578125" style="873" bestFit="1" customWidth="1"/>
    <col min="15141" max="15143" width="9" style="873"/>
    <col min="15144" max="15144" width="10.42578125" style="873" bestFit="1" customWidth="1"/>
    <col min="15145" max="15373" width="9" style="873"/>
    <col min="15374" max="15374" width="3.5703125" style="873" customWidth="1"/>
    <col min="15375" max="15375" width="4.85546875" style="873" customWidth="1"/>
    <col min="15376" max="15376" width="5.42578125" style="873" customWidth="1"/>
    <col min="15377" max="15377" width="31.28515625" style="873" customWidth="1"/>
    <col min="15378" max="15378" width="7.5703125" style="873" customWidth="1"/>
    <col min="15379" max="15379" width="2.42578125" style="873" customWidth="1"/>
    <col min="15380" max="15380" width="11.5703125" style="873" customWidth="1"/>
    <col min="15381" max="15381" width="2.42578125" style="873" customWidth="1"/>
    <col min="15382" max="15382" width="11.5703125" style="873" customWidth="1"/>
    <col min="15383" max="15383" width="2.42578125" style="873" customWidth="1"/>
    <col min="15384" max="15384" width="10.85546875" style="873" customWidth="1"/>
    <col min="15385" max="15385" width="2.42578125" style="873" customWidth="1"/>
    <col min="15386" max="15386" width="11.140625" style="873" customWidth="1"/>
    <col min="15387" max="15387" width="1.85546875" style="873" customWidth="1"/>
    <col min="15388" max="15388" width="11" style="873" customWidth="1"/>
    <col min="15389" max="15389" width="0.7109375" style="873" customWidth="1"/>
    <col min="15390" max="15390" width="1.85546875" style="873" customWidth="1"/>
    <col min="15391" max="15391" width="11.85546875" style="873" bestFit="1" customWidth="1"/>
    <col min="15392" max="15392" width="15.28515625" style="873" bestFit="1" customWidth="1"/>
    <col min="15393" max="15393" width="5" style="873" customWidth="1"/>
    <col min="15394" max="15394" width="10.42578125" style="873" bestFit="1" customWidth="1"/>
    <col min="15395" max="15395" width="5" style="873" customWidth="1"/>
    <col min="15396" max="15396" width="10.42578125" style="873" bestFit="1" customWidth="1"/>
    <col min="15397" max="15399" width="9" style="873"/>
    <col min="15400" max="15400" width="10.42578125" style="873" bestFit="1" customWidth="1"/>
    <col min="15401" max="15629" width="9" style="873"/>
    <col min="15630" max="15630" width="3.5703125" style="873" customWidth="1"/>
    <col min="15631" max="15631" width="4.85546875" style="873" customWidth="1"/>
    <col min="15632" max="15632" width="5.42578125" style="873" customWidth="1"/>
    <col min="15633" max="15633" width="31.28515625" style="873" customWidth="1"/>
    <col min="15634" max="15634" width="7.5703125" style="873" customWidth="1"/>
    <col min="15635" max="15635" width="2.42578125" style="873" customWidth="1"/>
    <col min="15636" max="15636" width="11.5703125" style="873" customWidth="1"/>
    <col min="15637" max="15637" width="2.42578125" style="873" customWidth="1"/>
    <col min="15638" max="15638" width="11.5703125" style="873" customWidth="1"/>
    <col min="15639" max="15639" width="2.42578125" style="873" customWidth="1"/>
    <col min="15640" max="15640" width="10.85546875" style="873" customWidth="1"/>
    <col min="15641" max="15641" width="2.42578125" style="873" customWidth="1"/>
    <col min="15642" max="15642" width="11.140625" style="873" customWidth="1"/>
    <col min="15643" max="15643" width="1.85546875" style="873" customWidth="1"/>
    <col min="15644" max="15644" width="11" style="873" customWidth="1"/>
    <col min="15645" max="15645" width="0.7109375" style="873" customWidth="1"/>
    <col min="15646" max="15646" width="1.85546875" style="873" customWidth="1"/>
    <col min="15647" max="15647" width="11.85546875" style="873" bestFit="1" customWidth="1"/>
    <col min="15648" max="15648" width="15.28515625" style="873" bestFit="1" customWidth="1"/>
    <col min="15649" max="15649" width="5" style="873" customWidth="1"/>
    <col min="15650" max="15650" width="10.42578125" style="873" bestFit="1" customWidth="1"/>
    <col min="15651" max="15651" width="5" style="873" customWidth="1"/>
    <col min="15652" max="15652" width="10.42578125" style="873" bestFit="1" customWidth="1"/>
    <col min="15653" max="15655" width="9" style="873"/>
    <col min="15656" max="15656" width="10.42578125" style="873" bestFit="1" customWidth="1"/>
    <col min="15657" max="15885" width="9" style="873"/>
    <col min="15886" max="15886" width="3.5703125" style="873" customWidth="1"/>
    <col min="15887" max="15887" width="4.85546875" style="873" customWidth="1"/>
    <col min="15888" max="15888" width="5.42578125" style="873" customWidth="1"/>
    <col min="15889" max="15889" width="31.28515625" style="873" customWidth="1"/>
    <col min="15890" max="15890" width="7.5703125" style="873" customWidth="1"/>
    <col min="15891" max="15891" width="2.42578125" style="873" customWidth="1"/>
    <col min="15892" max="15892" width="11.5703125" style="873" customWidth="1"/>
    <col min="15893" max="15893" width="2.42578125" style="873" customWidth="1"/>
    <col min="15894" max="15894" width="11.5703125" style="873" customWidth="1"/>
    <col min="15895" max="15895" width="2.42578125" style="873" customWidth="1"/>
    <col min="15896" max="15896" width="10.85546875" style="873" customWidth="1"/>
    <col min="15897" max="15897" width="2.42578125" style="873" customWidth="1"/>
    <col min="15898" max="15898" width="11.140625" style="873" customWidth="1"/>
    <col min="15899" max="15899" width="1.85546875" style="873" customWidth="1"/>
    <col min="15900" max="15900" width="11" style="873" customWidth="1"/>
    <col min="15901" max="15901" width="0.7109375" style="873" customWidth="1"/>
    <col min="15902" max="15902" width="1.85546875" style="873" customWidth="1"/>
    <col min="15903" max="15903" width="11.85546875" style="873" bestFit="1" customWidth="1"/>
    <col min="15904" max="15904" width="15.28515625" style="873" bestFit="1" customWidth="1"/>
    <col min="15905" max="15905" width="5" style="873" customWidth="1"/>
    <col min="15906" max="15906" width="10.42578125" style="873" bestFit="1" customWidth="1"/>
    <col min="15907" max="15907" width="5" style="873" customWidth="1"/>
    <col min="15908" max="15908" width="10.42578125" style="873" bestFit="1" customWidth="1"/>
    <col min="15909" max="15911" width="9" style="873"/>
    <col min="15912" max="15912" width="10.42578125" style="873" bestFit="1" customWidth="1"/>
    <col min="15913" max="16141" width="9" style="873"/>
    <col min="16142" max="16142" width="3.5703125" style="873" customWidth="1"/>
    <col min="16143" max="16143" width="4.85546875" style="873" customWidth="1"/>
    <col min="16144" max="16144" width="5.42578125" style="873" customWidth="1"/>
    <col min="16145" max="16145" width="31.28515625" style="873" customWidth="1"/>
    <col min="16146" max="16146" width="7.5703125" style="873" customWidth="1"/>
    <col min="16147" max="16147" width="2.42578125" style="873" customWidth="1"/>
    <col min="16148" max="16148" width="11.5703125" style="873" customWidth="1"/>
    <col min="16149" max="16149" width="2.42578125" style="873" customWidth="1"/>
    <col min="16150" max="16150" width="11.5703125" style="873" customWidth="1"/>
    <col min="16151" max="16151" width="2.42578125" style="873" customWidth="1"/>
    <col min="16152" max="16152" width="10.85546875" style="873" customWidth="1"/>
    <col min="16153" max="16153" width="2.42578125" style="873" customWidth="1"/>
    <col min="16154" max="16154" width="11.140625" style="873" customWidth="1"/>
    <col min="16155" max="16155" width="1.85546875" style="873" customWidth="1"/>
    <col min="16156" max="16156" width="11" style="873" customWidth="1"/>
    <col min="16157" max="16157" width="0.7109375" style="873" customWidth="1"/>
    <col min="16158" max="16158" width="1.85546875" style="873" customWidth="1"/>
    <col min="16159" max="16159" width="11.85546875" style="873" bestFit="1" customWidth="1"/>
    <col min="16160" max="16160" width="15.28515625" style="873" bestFit="1" customWidth="1"/>
    <col min="16161" max="16161" width="5" style="873" customWidth="1"/>
    <col min="16162" max="16162" width="10.42578125" style="873" bestFit="1" customWidth="1"/>
    <col min="16163" max="16163" width="5" style="873" customWidth="1"/>
    <col min="16164" max="16164" width="10.42578125" style="873" bestFit="1" customWidth="1"/>
    <col min="16165" max="16167" width="9" style="873"/>
    <col min="16168" max="16168" width="10.42578125" style="873" bestFit="1" customWidth="1"/>
    <col min="16169" max="16383" width="9" style="873"/>
    <col min="16384" max="16384" width="9" style="873" customWidth="1"/>
  </cols>
  <sheetData>
    <row r="1" spans="1:34" s="861" customFormat="1" ht="18.75" x14ac:dyDescent="0.45">
      <c r="A1" s="1476" t="s">
        <v>248</v>
      </c>
      <c r="B1" s="1476"/>
      <c r="C1" s="1476"/>
      <c r="D1" s="1476"/>
      <c r="E1" s="1476"/>
      <c r="F1" s="1476"/>
      <c r="G1" s="1476"/>
      <c r="H1" s="1476"/>
      <c r="I1" s="1476"/>
      <c r="J1" s="1476"/>
      <c r="K1" s="859"/>
      <c r="L1" s="859"/>
      <c r="M1" s="859"/>
      <c r="N1" s="859"/>
      <c r="O1" s="859"/>
      <c r="P1" s="859"/>
      <c r="Q1" s="859"/>
      <c r="R1" s="859"/>
      <c r="S1" s="859"/>
      <c r="T1" s="859"/>
      <c r="U1" s="859"/>
      <c r="V1" s="859"/>
      <c r="W1" s="859"/>
      <c r="X1" s="859"/>
      <c r="Y1" s="859"/>
      <c r="Z1" s="859"/>
      <c r="AA1" s="859"/>
      <c r="AB1" s="859"/>
      <c r="AC1" s="860"/>
      <c r="AD1" s="860"/>
      <c r="AE1" s="860"/>
      <c r="AF1" s="860"/>
      <c r="AG1" s="860"/>
      <c r="AH1" s="860"/>
    </row>
    <row r="2" spans="1:34" s="861" customFormat="1" ht="18.75" x14ac:dyDescent="0.45">
      <c r="A2" s="1495" t="str">
        <f>'12-1'!A2:AC2</f>
        <v>يادداشتهاي توضيحي صورتهاي مالي</v>
      </c>
      <c r="B2" s="1495"/>
      <c r="C2" s="1495"/>
      <c r="D2" s="1495"/>
      <c r="E2" s="1495"/>
      <c r="F2" s="1495"/>
      <c r="G2" s="1495"/>
      <c r="H2" s="1495"/>
      <c r="I2" s="1495"/>
      <c r="J2" s="1495"/>
      <c r="K2" s="859"/>
      <c r="L2" s="859"/>
      <c r="M2" s="859"/>
      <c r="N2" s="859"/>
      <c r="O2" s="859"/>
      <c r="P2" s="859"/>
      <c r="Q2" s="859"/>
      <c r="R2" s="859"/>
      <c r="S2" s="859"/>
      <c r="T2" s="859"/>
      <c r="U2" s="859"/>
      <c r="V2" s="859"/>
      <c r="W2" s="859"/>
      <c r="X2" s="859"/>
      <c r="Y2" s="859"/>
      <c r="Z2" s="859"/>
      <c r="AA2" s="859"/>
      <c r="AB2" s="859"/>
      <c r="AC2" s="860"/>
      <c r="AD2" s="860"/>
      <c r="AE2" s="860"/>
      <c r="AF2" s="860"/>
      <c r="AG2" s="860"/>
      <c r="AH2" s="860"/>
    </row>
    <row r="3" spans="1:34" s="861" customFormat="1" ht="24" customHeight="1" x14ac:dyDescent="0.45">
      <c r="A3" s="1495" t="str">
        <f>سودوزيان!A3</f>
        <v>سال مالی منتهی به 30 اسفند 1403</v>
      </c>
      <c r="B3" s="1495"/>
      <c r="C3" s="1495"/>
      <c r="D3" s="1495"/>
      <c r="E3" s="1495"/>
      <c r="F3" s="1495"/>
      <c r="G3" s="1495"/>
      <c r="H3" s="1495"/>
      <c r="I3" s="1495"/>
      <c r="J3" s="1495"/>
      <c r="K3" s="859"/>
      <c r="L3" s="859"/>
      <c r="M3" s="859"/>
      <c r="N3" s="859"/>
      <c r="O3" s="859"/>
      <c r="P3" s="859"/>
      <c r="Q3" s="859"/>
      <c r="R3" s="859"/>
      <c r="S3" s="859"/>
      <c r="T3" s="859"/>
      <c r="U3" s="859"/>
      <c r="V3" s="859"/>
      <c r="W3" s="859"/>
      <c r="X3" s="859"/>
      <c r="Y3" s="859"/>
      <c r="Z3" s="859"/>
      <c r="AA3" s="859"/>
      <c r="AB3" s="859"/>
      <c r="AC3" s="860"/>
      <c r="AD3" s="860"/>
      <c r="AE3" s="860"/>
      <c r="AF3" s="860"/>
      <c r="AG3" s="860"/>
      <c r="AH3" s="860"/>
    </row>
    <row r="4" spans="1:34" s="861" customFormat="1" ht="59.25" customHeight="1" x14ac:dyDescent="0.45">
      <c r="A4" s="862"/>
      <c r="B4" s="862"/>
      <c r="C4" s="862"/>
      <c r="D4" s="862"/>
      <c r="E4" s="862"/>
      <c r="F4" s="862"/>
      <c r="G4" s="862"/>
      <c r="H4" s="862"/>
      <c r="I4" s="862"/>
      <c r="J4" s="862"/>
      <c r="K4" s="859"/>
      <c r="L4" s="859"/>
      <c r="M4" s="859"/>
      <c r="N4" s="859"/>
      <c r="O4" s="859"/>
      <c r="P4" s="859"/>
      <c r="Q4" s="859"/>
      <c r="R4" s="859"/>
      <c r="S4" s="859"/>
      <c r="T4" s="859"/>
      <c r="U4" s="859"/>
      <c r="V4" s="859"/>
      <c r="W4" s="859"/>
      <c r="X4" s="859"/>
      <c r="Y4" s="859"/>
      <c r="Z4" s="859"/>
      <c r="AA4" s="859"/>
      <c r="AB4" s="859"/>
      <c r="AC4" s="860"/>
      <c r="AD4" s="860"/>
      <c r="AE4" s="860"/>
      <c r="AF4" s="860"/>
      <c r="AG4" s="860"/>
      <c r="AH4" s="860"/>
    </row>
    <row r="5" spans="1:34" s="871" customFormat="1" ht="46.5" customHeight="1" x14ac:dyDescent="0.55000000000000004">
      <c r="A5" s="863" t="s">
        <v>473</v>
      </c>
      <c r="B5" s="1493" t="s">
        <v>1114</v>
      </c>
      <c r="C5" s="1493"/>
      <c r="D5" s="1493"/>
      <c r="E5" s="1493"/>
      <c r="F5" s="1493"/>
      <c r="G5" s="1493"/>
      <c r="H5" s="1493"/>
      <c r="I5" s="865"/>
      <c r="J5" s="866"/>
      <c r="K5" s="867"/>
      <c r="L5" s="867"/>
      <c r="M5" s="867"/>
      <c r="N5" s="867"/>
      <c r="O5" s="867"/>
      <c r="P5" s="867"/>
      <c r="Q5" s="867"/>
      <c r="R5" s="867"/>
      <c r="S5" s="867"/>
      <c r="T5" s="867"/>
      <c r="U5" s="867"/>
      <c r="V5" s="867"/>
      <c r="W5" s="867"/>
      <c r="X5" s="867"/>
      <c r="Y5" s="867"/>
      <c r="Z5" s="868"/>
      <c r="AA5" s="868"/>
      <c r="AB5" s="868"/>
      <c r="AC5" s="869"/>
      <c r="AD5" s="869"/>
      <c r="AE5" s="870"/>
      <c r="AF5" s="870"/>
      <c r="AG5" s="869"/>
      <c r="AH5" s="869"/>
    </row>
    <row r="6" spans="1:34" s="871" customFormat="1" ht="14.25" customHeight="1" x14ac:dyDescent="0.55000000000000004">
      <c r="A6" s="245"/>
      <c r="B6" s="866"/>
      <c r="C6" s="866"/>
      <c r="D6" s="866"/>
      <c r="E6" s="866"/>
      <c r="F6" s="866"/>
      <c r="G6" s="866"/>
      <c r="H6" s="866"/>
      <c r="I6" s="865"/>
      <c r="J6" s="866"/>
      <c r="K6" s="867"/>
      <c r="L6" s="867"/>
      <c r="M6" s="867"/>
      <c r="N6" s="867"/>
      <c r="O6" s="867"/>
      <c r="P6" s="867"/>
      <c r="Q6" s="867"/>
      <c r="R6" s="867"/>
      <c r="S6" s="867"/>
      <c r="T6" s="867"/>
      <c r="U6" s="867"/>
      <c r="V6" s="867"/>
      <c r="W6" s="867"/>
      <c r="X6" s="867"/>
      <c r="Y6" s="867"/>
      <c r="Z6" s="868"/>
      <c r="AA6" s="868"/>
      <c r="AB6" s="868"/>
      <c r="AC6" s="869"/>
      <c r="AD6" s="869"/>
      <c r="AE6" s="870"/>
      <c r="AF6" s="870"/>
      <c r="AG6" s="869"/>
      <c r="AH6" s="869"/>
    </row>
    <row r="7" spans="1:34" s="871" customFormat="1" ht="36.75" customHeight="1" x14ac:dyDescent="0.55000000000000004">
      <c r="A7" s="954" t="s">
        <v>474</v>
      </c>
      <c r="B7" s="1494" t="s">
        <v>1304</v>
      </c>
      <c r="C7" s="1494"/>
      <c r="D7" s="1494"/>
      <c r="E7" s="1494"/>
      <c r="F7" s="1494"/>
      <c r="G7" s="1494"/>
      <c r="H7" s="1494"/>
      <c r="I7" s="955"/>
      <c r="J7" s="864"/>
      <c r="K7" s="867"/>
      <c r="L7" s="867"/>
      <c r="M7" s="867"/>
      <c r="N7" s="867"/>
      <c r="O7" s="867"/>
      <c r="P7" s="867"/>
      <c r="Q7" s="867"/>
      <c r="R7" s="867"/>
      <c r="S7" s="867"/>
      <c r="T7" s="867"/>
      <c r="U7" s="867"/>
      <c r="V7" s="867"/>
      <c r="W7" s="867"/>
      <c r="X7" s="867"/>
      <c r="Y7" s="867"/>
      <c r="Z7" s="868"/>
      <c r="AA7" s="868"/>
      <c r="AB7" s="868"/>
      <c r="AC7" s="869"/>
      <c r="AD7" s="869"/>
      <c r="AE7" s="870"/>
      <c r="AF7" s="870"/>
      <c r="AG7" s="869"/>
      <c r="AH7" s="869"/>
    </row>
    <row r="8" spans="1:34" s="871" customFormat="1" ht="14.25" customHeight="1" x14ac:dyDescent="0.55000000000000004">
      <c r="A8" s="954"/>
      <c r="B8" s="1010"/>
      <c r="C8" s="1010"/>
      <c r="D8" s="1010"/>
      <c r="E8" s="1010"/>
      <c r="F8" s="1010"/>
      <c r="G8" s="1010"/>
      <c r="H8" s="1010"/>
      <c r="I8" s="955"/>
      <c r="J8" s="864"/>
      <c r="K8" s="867"/>
      <c r="L8" s="867"/>
      <c r="M8" s="867"/>
      <c r="N8" s="867"/>
      <c r="O8" s="867"/>
      <c r="P8" s="867"/>
      <c r="Q8" s="867"/>
      <c r="R8" s="867"/>
      <c r="S8" s="867"/>
      <c r="T8" s="867"/>
      <c r="U8" s="867"/>
      <c r="V8" s="867"/>
      <c r="W8" s="867"/>
      <c r="X8" s="867"/>
      <c r="Y8" s="867"/>
      <c r="Z8" s="868"/>
      <c r="AA8" s="868"/>
      <c r="AB8" s="868"/>
      <c r="AC8" s="869"/>
      <c r="AD8" s="869"/>
      <c r="AE8" s="870"/>
      <c r="AF8" s="870"/>
      <c r="AG8" s="869"/>
      <c r="AH8" s="869"/>
    </row>
    <row r="9" spans="1:34" s="871" customFormat="1" ht="39.75" customHeight="1" x14ac:dyDescent="0.55000000000000004">
      <c r="A9" s="954" t="s">
        <v>475</v>
      </c>
      <c r="B9" s="1494" t="s">
        <v>1302</v>
      </c>
      <c r="C9" s="1494"/>
      <c r="D9" s="1494"/>
      <c r="E9" s="1494"/>
      <c r="F9" s="1494"/>
      <c r="G9" s="1494"/>
      <c r="H9" s="1494"/>
      <c r="I9" s="955"/>
      <c r="J9" s="864"/>
      <c r="K9" s="867"/>
      <c r="L9" s="867"/>
      <c r="M9" s="867"/>
      <c r="N9" s="867"/>
      <c r="O9" s="867"/>
      <c r="P9" s="867"/>
      <c r="Q9" s="867"/>
      <c r="R9" s="867"/>
      <c r="S9" s="867"/>
      <c r="T9" s="867"/>
      <c r="U9" s="867"/>
      <c r="V9" s="867"/>
      <c r="W9" s="867"/>
      <c r="X9" s="867"/>
      <c r="Y9" s="867"/>
      <c r="Z9" s="868"/>
      <c r="AA9" s="868"/>
      <c r="AB9" s="868"/>
      <c r="AC9" s="869"/>
      <c r="AD9" s="869"/>
      <c r="AE9" s="870"/>
      <c r="AF9" s="870"/>
      <c r="AG9" s="869"/>
      <c r="AH9" s="869"/>
    </row>
    <row r="10" spans="1:34" s="871" customFormat="1" ht="41.25" hidden="1" customHeight="1" x14ac:dyDescent="0.55000000000000004">
      <c r="A10" s="580"/>
      <c r="B10" s="1496"/>
      <c r="C10" s="1496"/>
      <c r="D10" s="1496"/>
      <c r="E10" s="1496"/>
      <c r="F10" s="1496"/>
      <c r="G10" s="1496"/>
      <c r="H10" s="1496"/>
      <c r="I10" s="1496"/>
      <c r="J10" s="864"/>
      <c r="K10" s="867"/>
      <c r="L10" s="867"/>
      <c r="M10" s="867"/>
      <c r="N10" s="867"/>
      <c r="O10" s="867"/>
      <c r="P10" s="867"/>
      <c r="Q10" s="867"/>
      <c r="R10" s="867"/>
      <c r="S10" s="867"/>
      <c r="T10" s="867"/>
      <c r="U10" s="867"/>
      <c r="V10" s="867"/>
      <c r="W10" s="867"/>
      <c r="X10" s="867"/>
      <c r="Y10" s="867"/>
      <c r="Z10" s="868"/>
      <c r="AA10" s="868"/>
      <c r="AB10" s="868"/>
      <c r="AC10" s="869"/>
      <c r="AD10" s="869"/>
      <c r="AE10" s="870"/>
      <c r="AF10" s="870"/>
      <c r="AG10" s="869"/>
      <c r="AH10" s="869"/>
    </row>
    <row r="11" spans="1:34" s="871" customFormat="1" ht="14.25" customHeight="1" x14ac:dyDescent="0.55000000000000004">
      <c r="A11" s="580"/>
      <c r="B11" s="955"/>
      <c r="C11" s="955"/>
      <c r="D11" s="955"/>
      <c r="E11" s="955"/>
      <c r="F11" s="955"/>
      <c r="G11" s="955"/>
      <c r="H11" s="955"/>
      <c r="I11" s="955"/>
      <c r="J11" s="864"/>
      <c r="K11" s="867"/>
      <c r="L11" s="867"/>
      <c r="M11" s="867"/>
      <c r="N11" s="867"/>
      <c r="O11" s="867"/>
      <c r="P11" s="867"/>
      <c r="Q11" s="867"/>
      <c r="R11" s="867"/>
      <c r="S11" s="867"/>
      <c r="T11" s="867"/>
      <c r="U11" s="867"/>
      <c r="V11" s="867"/>
      <c r="W11" s="867"/>
      <c r="X11" s="867"/>
      <c r="Y11" s="867"/>
      <c r="Z11" s="868"/>
      <c r="AA11" s="868"/>
      <c r="AB11" s="868"/>
      <c r="AC11" s="869"/>
      <c r="AD11" s="869"/>
      <c r="AE11" s="870"/>
      <c r="AF11" s="870"/>
      <c r="AG11" s="869"/>
      <c r="AH11" s="869"/>
    </row>
    <row r="12" spans="1:34" s="871" customFormat="1" ht="57" customHeight="1" x14ac:dyDescent="0.55000000000000004">
      <c r="A12" s="954" t="s">
        <v>514</v>
      </c>
      <c r="B12" s="1494" t="s">
        <v>1305</v>
      </c>
      <c r="C12" s="1494"/>
      <c r="D12" s="1494"/>
      <c r="E12" s="1494"/>
      <c r="F12" s="1494"/>
      <c r="G12" s="1494"/>
      <c r="H12" s="1494"/>
      <c r="I12" s="955"/>
      <c r="J12" s="864"/>
      <c r="K12" s="867"/>
      <c r="L12" s="867"/>
      <c r="M12" s="867"/>
      <c r="N12" s="867"/>
      <c r="O12" s="867"/>
      <c r="P12" s="867"/>
      <c r="Q12" s="867"/>
      <c r="R12" s="867"/>
      <c r="S12" s="867"/>
      <c r="T12" s="867"/>
      <c r="U12" s="867"/>
      <c r="V12" s="867"/>
      <c r="W12" s="867"/>
      <c r="X12" s="867"/>
      <c r="Y12" s="867"/>
      <c r="Z12" s="868"/>
      <c r="AA12" s="868"/>
      <c r="AB12" s="868"/>
      <c r="AC12" s="869"/>
      <c r="AD12" s="869"/>
      <c r="AE12" s="870"/>
      <c r="AF12" s="870"/>
      <c r="AG12" s="869"/>
      <c r="AH12" s="869"/>
    </row>
    <row r="13" spans="1:34" s="871" customFormat="1" ht="14.25" customHeight="1" x14ac:dyDescent="0.55000000000000004">
      <c r="A13" s="954"/>
      <c r="B13" s="1010"/>
      <c r="C13" s="1010"/>
      <c r="D13" s="1010"/>
      <c r="E13" s="1010"/>
      <c r="F13" s="1010"/>
      <c r="G13" s="1010"/>
      <c r="H13" s="1010"/>
      <c r="I13" s="955"/>
      <c r="J13" s="864"/>
      <c r="K13" s="867"/>
      <c r="L13" s="867"/>
      <c r="M13" s="867"/>
      <c r="N13" s="867"/>
      <c r="O13" s="867"/>
      <c r="P13" s="867"/>
      <c r="Q13" s="867"/>
      <c r="R13" s="867"/>
      <c r="S13" s="867"/>
      <c r="T13" s="867"/>
      <c r="U13" s="867"/>
      <c r="V13" s="867"/>
      <c r="W13" s="867"/>
      <c r="X13" s="867"/>
      <c r="Y13" s="867"/>
      <c r="Z13" s="868"/>
      <c r="AA13" s="868"/>
      <c r="AB13" s="868"/>
      <c r="AC13" s="869"/>
      <c r="AD13" s="869"/>
      <c r="AE13" s="870"/>
      <c r="AF13" s="870"/>
      <c r="AG13" s="869"/>
      <c r="AH13" s="869"/>
    </row>
    <row r="14" spans="1:34" s="871" customFormat="1" ht="36" customHeight="1" x14ac:dyDescent="0.55000000000000004">
      <c r="A14" s="1494" t="s">
        <v>1301</v>
      </c>
      <c r="B14" s="1494"/>
      <c r="C14" s="1494"/>
      <c r="D14" s="1494"/>
      <c r="E14" s="1494"/>
      <c r="F14" s="1494"/>
      <c r="G14" s="1494"/>
      <c r="H14" s="1494"/>
      <c r="I14" s="955"/>
      <c r="J14" s="864"/>
      <c r="K14" s="867"/>
      <c r="L14" s="867"/>
      <c r="M14" s="867"/>
      <c r="N14" s="867"/>
      <c r="O14" s="867"/>
      <c r="P14" s="867"/>
      <c r="Q14" s="867"/>
      <c r="R14" s="867"/>
      <c r="S14" s="867"/>
      <c r="T14" s="867"/>
      <c r="U14" s="867"/>
      <c r="V14" s="867"/>
      <c r="W14" s="867"/>
      <c r="X14" s="867"/>
      <c r="Y14" s="867"/>
      <c r="Z14" s="868"/>
      <c r="AA14" s="868"/>
      <c r="AB14" s="868"/>
      <c r="AC14" s="869"/>
      <c r="AD14" s="869"/>
      <c r="AE14" s="870"/>
      <c r="AF14" s="870"/>
      <c r="AG14" s="869"/>
      <c r="AH14" s="869"/>
    </row>
    <row r="15" spans="1:34" s="871" customFormat="1" ht="14.25" customHeight="1" x14ac:dyDescent="0.55000000000000004">
      <c r="A15" s="1010"/>
      <c r="B15" s="1010"/>
      <c r="C15" s="1010"/>
      <c r="D15" s="1010"/>
      <c r="E15" s="1010"/>
      <c r="F15" s="1010"/>
      <c r="G15" s="1010"/>
      <c r="H15" s="1010"/>
      <c r="I15" s="955"/>
      <c r="J15" s="864"/>
      <c r="K15" s="867"/>
      <c r="L15" s="867"/>
      <c r="M15" s="867"/>
      <c r="N15" s="867"/>
      <c r="O15" s="867"/>
      <c r="P15" s="867"/>
      <c r="Q15" s="867"/>
      <c r="R15" s="867"/>
      <c r="S15" s="867"/>
      <c r="T15" s="867"/>
      <c r="U15" s="867"/>
      <c r="V15" s="867"/>
      <c r="W15" s="867"/>
      <c r="X15" s="867"/>
      <c r="Y15" s="867"/>
      <c r="Z15" s="868"/>
      <c r="AA15" s="868"/>
      <c r="AB15" s="868"/>
      <c r="AC15" s="869"/>
      <c r="AD15" s="869"/>
      <c r="AE15" s="870"/>
      <c r="AF15" s="870"/>
      <c r="AG15" s="869"/>
      <c r="AH15" s="869"/>
    </row>
    <row r="16" spans="1:34" s="871" customFormat="1" ht="53.25" customHeight="1" x14ac:dyDescent="0.55000000000000004">
      <c r="A16" s="1494" t="s">
        <v>1300</v>
      </c>
      <c r="B16" s="1494"/>
      <c r="C16" s="1494"/>
      <c r="D16" s="1494"/>
      <c r="E16" s="1494"/>
      <c r="F16" s="1494"/>
      <c r="G16" s="1494"/>
      <c r="H16" s="1494"/>
      <c r="I16" s="955"/>
      <c r="J16" s="864"/>
      <c r="K16" s="867"/>
      <c r="L16" s="867"/>
      <c r="M16" s="867"/>
      <c r="N16" s="867"/>
      <c r="O16" s="867"/>
      <c r="P16" s="867"/>
      <c r="Q16" s="867"/>
      <c r="R16" s="867"/>
      <c r="S16" s="867"/>
      <c r="T16" s="867"/>
      <c r="U16" s="867"/>
      <c r="V16" s="867"/>
      <c r="W16" s="867"/>
      <c r="X16" s="867"/>
      <c r="Y16" s="867"/>
      <c r="Z16" s="868"/>
      <c r="AA16" s="868"/>
      <c r="AB16" s="868"/>
      <c r="AC16" s="869"/>
      <c r="AD16" s="869"/>
      <c r="AE16" s="870"/>
      <c r="AF16" s="870"/>
      <c r="AG16" s="869"/>
      <c r="AH16" s="869"/>
    </row>
    <row r="17" spans="1:10" ht="14.25" customHeight="1" x14ac:dyDescent="0.25">
      <c r="A17" s="1494"/>
      <c r="B17" s="1494"/>
      <c r="C17" s="1494"/>
      <c r="D17" s="1494"/>
      <c r="E17" s="1494"/>
      <c r="F17" s="1494"/>
      <c r="G17" s="1494"/>
      <c r="H17" s="1494"/>
      <c r="I17" s="872"/>
    </row>
    <row r="18" spans="1:10" ht="194.25" customHeight="1" x14ac:dyDescent="0.25">
      <c r="A18" s="1494" t="s">
        <v>1186</v>
      </c>
      <c r="B18" s="1494"/>
      <c r="C18" s="1494"/>
      <c r="D18" s="1494"/>
      <c r="E18" s="1494"/>
      <c r="F18" s="1494"/>
      <c r="G18" s="1494"/>
      <c r="H18" s="1494"/>
      <c r="I18" s="875"/>
      <c r="J18" s="500"/>
    </row>
    <row r="19" spans="1:10" ht="186" customHeight="1" x14ac:dyDescent="0.25">
      <c r="A19" s="1492">
        <v>17</v>
      </c>
      <c r="B19" s="1492"/>
      <c r="C19" s="1492"/>
      <c r="D19" s="1492"/>
      <c r="E19" s="1492"/>
      <c r="F19" s="1492"/>
      <c r="G19" s="1492"/>
      <c r="H19" s="1492"/>
      <c r="I19" s="1492"/>
    </row>
  </sheetData>
  <customSheetViews>
    <customSheetView guid="{39716EAB-185B-4ADF-90CF-1B1041867F58}" scale="90" showPageBreaks="1" printArea="1" view="pageBreakPreview" topLeftCell="A10">
      <selection activeCell="B7" sqref="B7:I7"/>
      <pageMargins left="0.39370078740157483" right="0.39370078740157483" top="0.39370078740157483" bottom="0.39370078740157483" header="0.31496062992125984" footer="0.31496062992125984"/>
      <printOptions horizontalCentered="1"/>
      <pageSetup paperSize="9" orientation="portrait" r:id="rId1"/>
    </customSheetView>
    <customSheetView guid="{5CB8382F-C212-4512-9396-17792C62978E}" scale="90" showPageBreaks="1" printArea="1" view="pageBreakPreview">
      <selection activeCell="B7" sqref="B7:I7"/>
      <pageMargins left="0.39370078740157483" right="0.39370078740157483" top="0.39370078740157483" bottom="0.39370078740157483" header="0.31496062992125984" footer="0.31496062992125984"/>
      <printOptions horizontalCentered="1"/>
      <pageSetup paperSize="9" orientation="portrait" r:id="rId2"/>
    </customSheetView>
    <customSheetView guid="{184BCED3-EADB-44CF-BFDA-DA8D3E7206C0}" scale="90" showPageBreaks="1" printArea="1" view="pageBreakPreview" topLeftCell="A12">
      <selection activeCell="A13" sqref="A13"/>
      <pageMargins left="0.39370078740157483" right="0.39370078740157483" top="0.39370078740157483" bottom="0.39370078740157483" header="0.31496062992125984" footer="0.31496062992125984"/>
      <printOptions horizontalCentered="1"/>
      <pageSetup paperSize="9" orientation="portrait" r:id="rId3"/>
    </customSheetView>
  </customSheetViews>
  <mergeCells count="13">
    <mergeCell ref="A1:J1"/>
    <mergeCell ref="A2:J2"/>
    <mergeCell ref="A3:J3"/>
    <mergeCell ref="B10:I10"/>
    <mergeCell ref="A14:H14"/>
    <mergeCell ref="A19:I19"/>
    <mergeCell ref="B5:H5"/>
    <mergeCell ref="B7:H7"/>
    <mergeCell ref="B9:H9"/>
    <mergeCell ref="B12:H12"/>
    <mergeCell ref="A16:H16"/>
    <mergeCell ref="A18:H18"/>
    <mergeCell ref="A17:H17"/>
  </mergeCells>
  <hyperlinks>
    <hyperlink ref="A1:XFD3" r:id="rId4" display="http://modiriatmali.com/" xr:uid="{00000000-0004-0000-1200-000000000000}"/>
  </hyperlinks>
  <printOptions horizontalCentered="1"/>
  <pageMargins left="0.143700787" right="0.143700787" top="0.39370078740157499" bottom="0.39370078740157499" header="0.31496062992126" footer="0.31496062992126"/>
  <pageSetup paperSize="9" scale="94" orientation="portrait"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AL33"/>
  <sheetViews>
    <sheetView rightToLeft="1" view="pageBreakPreview" topLeftCell="A13" zoomScale="70" zoomScaleNormal="100" zoomScaleSheetLayoutView="70" workbookViewId="0">
      <selection activeCell="B23" sqref="B23:K24"/>
    </sheetView>
  </sheetViews>
  <sheetFormatPr defaultRowHeight="26.25" x14ac:dyDescent="0.25"/>
  <cols>
    <col min="1" max="1" width="14" style="454" customWidth="1"/>
    <col min="2" max="2" width="46.42578125" style="852" customWidth="1"/>
    <col min="3" max="3" width="1.28515625" style="853" customWidth="1"/>
    <col min="4" max="4" width="24.85546875" style="852" bestFit="1" customWidth="1"/>
    <col min="5" max="5" width="1" style="852" customWidth="1"/>
    <col min="6" max="6" width="27.5703125" style="852" bestFit="1" customWidth="1"/>
    <col min="7" max="7" width="1" style="852" customWidth="1"/>
    <col min="8" max="8" width="27.85546875" style="852" bestFit="1" customWidth="1"/>
    <col min="9" max="9" width="1" style="852" customWidth="1"/>
    <col min="10" max="10" width="25.85546875" style="852" bestFit="1" customWidth="1"/>
    <col min="11" max="12" width="1" style="852" customWidth="1"/>
    <col min="13" max="13" width="8.7109375" style="852" customWidth="1"/>
    <col min="14" max="14" width="0.7109375" style="852" customWidth="1"/>
    <col min="15" max="15" width="30.140625" style="852" customWidth="1"/>
    <col min="16" max="16" width="2.85546875" style="852" customWidth="1"/>
    <col min="17" max="17" width="16.5703125" style="852" customWidth="1"/>
    <col min="18" max="18" width="0.7109375" style="852" customWidth="1"/>
    <col min="19" max="19" width="15.42578125" style="852" bestFit="1" customWidth="1"/>
    <col min="20" max="20" width="0.7109375" style="852" customWidth="1"/>
    <col min="21" max="21" width="11.5703125" style="852" customWidth="1"/>
    <col min="22" max="22" width="0.7109375" style="852" customWidth="1"/>
    <col min="23" max="23" width="11.5703125" style="852" customWidth="1"/>
    <col min="24" max="24" width="0.7109375" style="852" customWidth="1"/>
    <col min="25" max="25" width="11.5703125" style="852" customWidth="1"/>
    <col min="26" max="26" width="0.7109375" style="852" customWidth="1"/>
    <col min="27" max="27" width="11.5703125" style="852" customWidth="1"/>
    <col min="28" max="28" width="1" style="852" customWidth="1"/>
    <col min="29" max="29" width="9.85546875" style="852" customWidth="1"/>
    <col min="30" max="30" width="0.7109375" style="852" customWidth="1"/>
    <col min="31" max="31" width="11.5703125" style="852" customWidth="1"/>
    <col min="32" max="32" width="1" style="852" customWidth="1"/>
    <col min="33" max="33" width="11.5703125" style="852" customWidth="1"/>
    <col min="34" max="34" width="0.7109375" style="852" customWidth="1"/>
    <col min="35" max="35" width="11.5703125" style="852" customWidth="1"/>
    <col min="36" max="36" width="1.85546875" style="852" customWidth="1"/>
    <col min="37" max="37" width="11.5703125" style="854" customWidth="1"/>
    <col min="38" max="38" width="15.28515625" style="854" bestFit="1" customWidth="1"/>
    <col min="39" max="39" width="5" style="852" customWidth="1"/>
    <col min="40" max="40" width="10.42578125" style="852" bestFit="1" customWidth="1"/>
    <col min="41" max="41" width="5" style="852" customWidth="1"/>
    <col min="42" max="42" width="10.42578125" style="852" bestFit="1" customWidth="1"/>
    <col min="43" max="45" width="9" style="852"/>
    <col min="46" max="46" width="10.42578125" style="852" bestFit="1" customWidth="1"/>
    <col min="47" max="275" width="9" style="852"/>
    <col min="276" max="276" width="3.5703125" style="852" customWidth="1"/>
    <col min="277" max="277" width="4.85546875" style="852" customWidth="1"/>
    <col min="278" max="278" width="5.42578125" style="852" customWidth="1"/>
    <col min="279" max="279" width="31.28515625" style="852" customWidth="1"/>
    <col min="280" max="280" width="7.5703125" style="852" customWidth="1"/>
    <col min="281" max="281" width="2.42578125" style="852" customWidth="1"/>
    <col min="282" max="282" width="11.5703125" style="852" customWidth="1"/>
    <col min="283" max="283" width="2.42578125" style="852" customWidth="1"/>
    <col min="284" max="284" width="11.5703125" style="852" customWidth="1"/>
    <col min="285" max="285" width="2.42578125" style="852" customWidth="1"/>
    <col min="286" max="286" width="10.85546875" style="852" customWidth="1"/>
    <col min="287" max="287" width="2.42578125" style="852" customWidth="1"/>
    <col min="288" max="288" width="11.140625" style="852" customWidth="1"/>
    <col min="289" max="289" width="1.85546875" style="852" customWidth="1"/>
    <col min="290" max="290" width="11" style="852" customWidth="1"/>
    <col min="291" max="291" width="0.7109375" style="852" customWidth="1"/>
    <col min="292" max="292" width="1.85546875" style="852" customWidth="1"/>
    <col min="293" max="293" width="11.85546875" style="852" bestFit="1" customWidth="1"/>
    <col min="294" max="294" width="15.28515625" style="852" bestFit="1" customWidth="1"/>
    <col min="295" max="295" width="5" style="852" customWidth="1"/>
    <col min="296" max="296" width="10.42578125" style="852" bestFit="1" customWidth="1"/>
    <col min="297" max="297" width="5" style="852" customWidth="1"/>
    <col min="298" max="298" width="10.42578125" style="852" bestFit="1" customWidth="1"/>
    <col min="299" max="301" width="9" style="852"/>
    <col min="302" max="302" width="10.42578125" style="852" bestFit="1" customWidth="1"/>
    <col min="303" max="531" width="9" style="852"/>
    <col min="532" max="532" width="3.5703125" style="852" customWidth="1"/>
    <col min="533" max="533" width="4.85546875" style="852" customWidth="1"/>
    <col min="534" max="534" width="5.42578125" style="852" customWidth="1"/>
    <col min="535" max="535" width="31.28515625" style="852" customWidth="1"/>
    <col min="536" max="536" width="7.5703125" style="852" customWidth="1"/>
    <col min="537" max="537" width="2.42578125" style="852" customWidth="1"/>
    <col min="538" max="538" width="11.5703125" style="852" customWidth="1"/>
    <col min="539" max="539" width="2.42578125" style="852" customWidth="1"/>
    <col min="540" max="540" width="11.5703125" style="852" customWidth="1"/>
    <col min="541" max="541" width="2.42578125" style="852" customWidth="1"/>
    <col min="542" max="542" width="10.85546875" style="852" customWidth="1"/>
    <col min="543" max="543" width="2.42578125" style="852" customWidth="1"/>
    <col min="544" max="544" width="11.140625" style="852" customWidth="1"/>
    <col min="545" max="545" width="1.85546875" style="852" customWidth="1"/>
    <col min="546" max="546" width="11" style="852" customWidth="1"/>
    <col min="547" max="547" width="0.7109375" style="852" customWidth="1"/>
    <col min="548" max="548" width="1.85546875" style="852" customWidth="1"/>
    <col min="549" max="549" width="11.85546875" style="852" bestFit="1" customWidth="1"/>
    <col min="550" max="550" width="15.28515625" style="852" bestFit="1" customWidth="1"/>
    <col min="551" max="551" width="5" style="852" customWidth="1"/>
    <col min="552" max="552" width="10.42578125" style="852" bestFit="1" customWidth="1"/>
    <col min="553" max="553" width="5" style="852" customWidth="1"/>
    <col min="554" max="554" width="10.42578125" style="852" bestFit="1" customWidth="1"/>
    <col min="555" max="557" width="9" style="852"/>
    <col min="558" max="558" width="10.42578125" style="852" bestFit="1" customWidth="1"/>
    <col min="559" max="787" width="9" style="852"/>
    <col min="788" max="788" width="3.5703125" style="852" customWidth="1"/>
    <col min="789" max="789" width="4.85546875" style="852" customWidth="1"/>
    <col min="790" max="790" width="5.42578125" style="852" customWidth="1"/>
    <col min="791" max="791" width="31.28515625" style="852" customWidth="1"/>
    <col min="792" max="792" width="7.5703125" style="852" customWidth="1"/>
    <col min="793" max="793" width="2.42578125" style="852" customWidth="1"/>
    <col min="794" max="794" width="11.5703125" style="852" customWidth="1"/>
    <col min="795" max="795" width="2.42578125" style="852" customWidth="1"/>
    <col min="796" max="796" width="11.5703125" style="852" customWidth="1"/>
    <col min="797" max="797" width="2.42578125" style="852" customWidth="1"/>
    <col min="798" max="798" width="10.85546875" style="852" customWidth="1"/>
    <col min="799" max="799" width="2.42578125" style="852" customWidth="1"/>
    <col min="800" max="800" width="11.140625" style="852" customWidth="1"/>
    <col min="801" max="801" width="1.85546875" style="852" customWidth="1"/>
    <col min="802" max="802" width="11" style="852" customWidth="1"/>
    <col min="803" max="803" width="0.7109375" style="852" customWidth="1"/>
    <col min="804" max="804" width="1.85546875" style="852" customWidth="1"/>
    <col min="805" max="805" width="11.85546875" style="852" bestFit="1" customWidth="1"/>
    <col min="806" max="806" width="15.28515625" style="852" bestFit="1" customWidth="1"/>
    <col min="807" max="807" width="5" style="852" customWidth="1"/>
    <col min="808" max="808" width="10.42578125" style="852" bestFit="1" customWidth="1"/>
    <col min="809" max="809" width="5" style="852" customWidth="1"/>
    <col min="810" max="810" width="10.42578125" style="852" bestFit="1" customWidth="1"/>
    <col min="811" max="813" width="9" style="852"/>
    <col min="814" max="814" width="10.42578125" style="852" bestFit="1" customWidth="1"/>
    <col min="815" max="1043" width="9" style="852"/>
    <col min="1044" max="1044" width="3.5703125" style="852" customWidth="1"/>
    <col min="1045" max="1045" width="4.85546875" style="852" customWidth="1"/>
    <col min="1046" max="1046" width="5.42578125" style="852" customWidth="1"/>
    <col min="1047" max="1047" width="31.28515625" style="852" customWidth="1"/>
    <col min="1048" max="1048" width="7.5703125" style="852" customWidth="1"/>
    <col min="1049" max="1049" width="2.42578125" style="852" customWidth="1"/>
    <col min="1050" max="1050" width="11.5703125" style="852" customWidth="1"/>
    <col min="1051" max="1051" width="2.42578125" style="852" customWidth="1"/>
    <col min="1052" max="1052" width="11.5703125" style="852" customWidth="1"/>
    <col min="1053" max="1053" width="2.42578125" style="852" customWidth="1"/>
    <col min="1054" max="1054" width="10.85546875" style="852" customWidth="1"/>
    <col min="1055" max="1055" width="2.42578125" style="852" customWidth="1"/>
    <col min="1056" max="1056" width="11.140625" style="852" customWidth="1"/>
    <col min="1057" max="1057" width="1.85546875" style="852" customWidth="1"/>
    <col min="1058" max="1058" width="11" style="852" customWidth="1"/>
    <col min="1059" max="1059" width="0.7109375" style="852" customWidth="1"/>
    <col min="1060" max="1060" width="1.85546875" style="852" customWidth="1"/>
    <col min="1061" max="1061" width="11.85546875" style="852" bestFit="1" customWidth="1"/>
    <col min="1062" max="1062" width="15.28515625" style="852" bestFit="1" customWidth="1"/>
    <col min="1063" max="1063" width="5" style="852" customWidth="1"/>
    <col min="1064" max="1064" width="10.42578125" style="852" bestFit="1" customWidth="1"/>
    <col min="1065" max="1065" width="5" style="852" customWidth="1"/>
    <col min="1066" max="1066" width="10.42578125" style="852" bestFit="1" customWidth="1"/>
    <col min="1067" max="1069" width="9" style="852"/>
    <col min="1070" max="1070" width="10.42578125" style="852" bestFit="1" customWidth="1"/>
    <col min="1071" max="1299" width="9" style="852"/>
    <col min="1300" max="1300" width="3.5703125" style="852" customWidth="1"/>
    <col min="1301" max="1301" width="4.85546875" style="852" customWidth="1"/>
    <col min="1302" max="1302" width="5.42578125" style="852" customWidth="1"/>
    <col min="1303" max="1303" width="31.28515625" style="852" customWidth="1"/>
    <col min="1304" max="1304" width="7.5703125" style="852" customWidth="1"/>
    <col min="1305" max="1305" width="2.42578125" style="852" customWidth="1"/>
    <col min="1306" max="1306" width="11.5703125" style="852" customWidth="1"/>
    <col min="1307" max="1307" width="2.42578125" style="852" customWidth="1"/>
    <col min="1308" max="1308" width="11.5703125" style="852" customWidth="1"/>
    <col min="1309" max="1309" width="2.42578125" style="852" customWidth="1"/>
    <col min="1310" max="1310" width="10.85546875" style="852" customWidth="1"/>
    <col min="1311" max="1311" width="2.42578125" style="852" customWidth="1"/>
    <col min="1312" max="1312" width="11.140625" style="852" customWidth="1"/>
    <col min="1313" max="1313" width="1.85546875" style="852" customWidth="1"/>
    <col min="1314" max="1314" width="11" style="852" customWidth="1"/>
    <col min="1315" max="1315" width="0.7109375" style="852" customWidth="1"/>
    <col min="1316" max="1316" width="1.85546875" style="852" customWidth="1"/>
    <col min="1317" max="1317" width="11.85546875" style="852" bestFit="1" customWidth="1"/>
    <col min="1318" max="1318" width="15.28515625" style="852" bestFit="1" customWidth="1"/>
    <col min="1319" max="1319" width="5" style="852" customWidth="1"/>
    <col min="1320" max="1320" width="10.42578125" style="852" bestFit="1" customWidth="1"/>
    <col min="1321" max="1321" width="5" style="852" customWidth="1"/>
    <col min="1322" max="1322" width="10.42578125" style="852" bestFit="1" customWidth="1"/>
    <col min="1323" max="1325" width="9" style="852"/>
    <col min="1326" max="1326" width="10.42578125" style="852" bestFit="1" customWidth="1"/>
    <col min="1327" max="1555" width="9" style="852"/>
    <col min="1556" max="1556" width="3.5703125" style="852" customWidth="1"/>
    <col min="1557" max="1557" width="4.85546875" style="852" customWidth="1"/>
    <col min="1558" max="1558" width="5.42578125" style="852" customWidth="1"/>
    <col min="1559" max="1559" width="31.28515625" style="852" customWidth="1"/>
    <col min="1560" max="1560" width="7.5703125" style="852" customWidth="1"/>
    <col min="1561" max="1561" width="2.42578125" style="852" customWidth="1"/>
    <col min="1562" max="1562" width="11.5703125" style="852" customWidth="1"/>
    <col min="1563" max="1563" width="2.42578125" style="852" customWidth="1"/>
    <col min="1564" max="1564" width="11.5703125" style="852" customWidth="1"/>
    <col min="1565" max="1565" width="2.42578125" style="852" customWidth="1"/>
    <col min="1566" max="1566" width="10.85546875" style="852" customWidth="1"/>
    <col min="1567" max="1567" width="2.42578125" style="852" customWidth="1"/>
    <col min="1568" max="1568" width="11.140625" style="852" customWidth="1"/>
    <col min="1569" max="1569" width="1.85546875" style="852" customWidth="1"/>
    <col min="1570" max="1570" width="11" style="852" customWidth="1"/>
    <col min="1571" max="1571" width="0.7109375" style="852" customWidth="1"/>
    <col min="1572" max="1572" width="1.85546875" style="852" customWidth="1"/>
    <col min="1573" max="1573" width="11.85546875" style="852" bestFit="1" customWidth="1"/>
    <col min="1574" max="1574" width="15.28515625" style="852" bestFit="1" customWidth="1"/>
    <col min="1575" max="1575" width="5" style="852" customWidth="1"/>
    <col min="1576" max="1576" width="10.42578125" style="852" bestFit="1" customWidth="1"/>
    <col min="1577" max="1577" width="5" style="852" customWidth="1"/>
    <col min="1578" max="1578" width="10.42578125" style="852" bestFit="1" customWidth="1"/>
    <col min="1579" max="1581" width="9" style="852"/>
    <col min="1582" max="1582" width="10.42578125" style="852" bestFit="1" customWidth="1"/>
    <col min="1583" max="1811" width="9" style="852"/>
    <col min="1812" max="1812" width="3.5703125" style="852" customWidth="1"/>
    <col min="1813" max="1813" width="4.85546875" style="852" customWidth="1"/>
    <col min="1814" max="1814" width="5.42578125" style="852" customWidth="1"/>
    <col min="1815" max="1815" width="31.28515625" style="852" customWidth="1"/>
    <col min="1816" max="1816" width="7.5703125" style="852" customWidth="1"/>
    <col min="1817" max="1817" width="2.42578125" style="852" customWidth="1"/>
    <col min="1818" max="1818" width="11.5703125" style="852" customWidth="1"/>
    <col min="1819" max="1819" width="2.42578125" style="852" customWidth="1"/>
    <col min="1820" max="1820" width="11.5703125" style="852" customWidth="1"/>
    <col min="1821" max="1821" width="2.42578125" style="852" customWidth="1"/>
    <col min="1822" max="1822" width="10.85546875" style="852" customWidth="1"/>
    <col min="1823" max="1823" width="2.42578125" style="852" customWidth="1"/>
    <col min="1824" max="1824" width="11.140625" style="852" customWidth="1"/>
    <col min="1825" max="1825" width="1.85546875" style="852" customWidth="1"/>
    <col min="1826" max="1826" width="11" style="852" customWidth="1"/>
    <col min="1827" max="1827" width="0.7109375" style="852" customWidth="1"/>
    <col min="1828" max="1828" width="1.85546875" style="852" customWidth="1"/>
    <col min="1829" max="1829" width="11.85546875" style="852" bestFit="1" customWidth="1"/>
    <col min="1830" max="1830" width="15.28515625" style="852" bestFit="1" customWidth="1"/>
    <col min="1831" max="1831" width="5" style="852" customWidth="1"/>
    <col min="1832" max="1832" width="10.42578125" style="852" bestFit="1" customWidth="1"/>
    <col min="1833" max="1833" width="5" style="852" customWidth="1"/>
    <col min="1834" max="1834" width="10.42578125" style="852" bestFit="1" customWidth="1"/>
    <col min="1835" max="1837" width="9" style="852"/>
    <col min="1838" max="1838" width="10.42578125" style="852" bestFit="1" customWidth="1"/>
    <col min="1839" max="2067" width="9" style="852"/>
    <col min="2068" max="2068" width="3.5703125" style="852" customWidth="1"/>
    <col min="2069" max="2069" width="4.85546875" style="852" customWidth="1"/>
    <col min="2070" max="2070" width="5.42578125" style="852" customWidth="1"/>
    <col min="2071" max="2071" width="31.28515625" style="852" customWidth="1"/>
    <col min="2072" max="2072" width="7.5703125" style="852" customWidth="1"/>
    <col min="2073" max="2073" width="2.42578125" style="852" customWidth="1"/>
    <col min="2074" max="2074" width="11.5703125" style="852" customWidth="1"/>
    <col min="2075" max="2075" width="2.42578125" style="852" customWidth="1"/>
    <col min="2076" max="2076" width="11.5703125" style="852" customWidth="1"/>
    <col min="2077" max="2077" width="2.42578125" style="852" customWidth="1"/>
    <col min="2078" max="2078" width="10.85546875" style="852" customWidth="1"/>
    <col min="2079" max="2079" width="2.42578125" style="852" customWidth="1"/>
    <col min="2080" max="2080" width="11.140625" style="852" customWidth="1"/>
    <col min="2081" max="2081" width="1.85546875" style="852" customWidth="1"/>
    <col min="2082" max="2082" width="11" style="852" customWidth="1"/>
    <col min="2083" max="2083" width="0.7109375" style="852" customWidth="1"/>
    <col min="2084" max="2084" width="1.85546875" style="852" customWidth="1"/>
    <col min="2085" max="2085" width="11.85546875" style="852" bestFit="1" customWidth="1"/>
    <col min="2086" max="2086" width="15.28515625" style="852" bestFit="1" customWidth="1"/>
    <col min="2087" max="2087" width="5" style="852" customWidth="1"/>
    <col min="2088" max="2088" width="10.42578125" style="852" bestFit="1" customWidth="1"/>
    <col min="2089" max="2089" width="5" style="852" customWidth="1"/>
    <col min="2090" max="2090" width="10.42578125" style="852" bestFit="1" customWidth="1"/>
    <col min="2091" max="2093" width="9" style="852"/>
    <col min="2094" max="2094" width="10.42578125" style="852" bestFit="1" customWidth="1"/>
    <col min="2095" max="2323" width="9" style="852"/>
    <col min="2324" max="2324" width="3.5703125" style="852" customWidth="1"/>
    <col min="2325" max="2325" width="4.85546875" style="852" customWidth="1"/>
    <col min="2326" max="2326" width="5.42578125" style="852" customWidth="1"/>
    <col min="2327" max="2327" width="31.28515625" style="852" customWidth="1"/>
    <col min="2328" max="2328" width="7.5703125" style="852" customWidth="1"/>
    <col min="2329" max="2329" width="2.42578125" style="852" customWidth="1"/>
    <col min="2330" max="2330" width="11.5703125" style="852" customWidth="1"/>
    <col min="2331" max="2331" width="2.42578125" style="852" customWidth="1"/>
    <col min="2332" max="2332" width="11.5703125" style="852" customWidth="1"/>
    <col min="2333" max="2333" width="2.42578125" style="852" customWidth="1"/>
    <col min="2334" max="2334" width="10.85546875" style="852" customWidth="1"/>
    <col min="2335" max="2335" width="2.42578125" style="852" customWidth="1"/>
    <col min="2336" max="2336" width="11.140625" style="852" customWidth="1"/>
    <col min="2337" max="2337" width="1.85546875" style="852" customWidth="1"/>
    <col min="2338" max="2338" width="11" style="852" customWidth="1"/>
    <col min="2339" max="2339" width="0.7109375" style="852" customWidth="1"/>
    <col min="2340" max="2340" width="1.85546875" style="852" customWidth="1"/>
    <col min="2341" max="2341" width="11.85546875" style="852" bestFit="1" customWidth="1"/>
    <col min="2342" max="2342" width="15.28515625" style="852" bestFit="1" customWidth="1"/>
    <col min="2343" max="2343" width="5" style="852" customWidth="1"/>
    <col min="2344" max="2344" width="10.42578125" style="852" bestFit="1" customWidth="1"/>
    <col min="2345" max="2345" width="5" style="852" customWidth="1"/>
    <col min="2346" max="2346" width="10.42578125" style="852" bestFit="1" customWidth="1"/>
    <col min="2347" max="2349" width="9" style="852"/>
    <col min="2350" max="2350" width="10.42578125" style="852" bestFit="1" customWidth="1"/>
    <col min="2351" max="2579" width="9" style="852"/>
    <col min="2580" max="2580" width="3.5703125" style="852" customWidth="1"/>
    <col min="2581" max="2581" width="4.85546875" style="852" customWidth="1"/>
    <col min="2582" max="2582" width="5.42578125" style="852" customWidth="1"/>
    <col min="2583" max="2583" width="31.28515625" style="852" customWidth="1"/>
    <col min="2584" max="2584" width="7.5703125" style="852" customWidth="1"/>
    <col min="2585" max="2585" width="2.42578125" style="852" customWidth="1"/>
    <col min="2586" max="2586" width="11.5703125" style="852" customWidth="1"/>
    <col min="2587" max="2587" width="2.42578125" style="852" customWidth="1"/>
    <col min="2588" max="2588" width="11.5703125" style="852" customWidth="1"/>
    <col min="2589" max="2589" width="2.42578125" style="852" customWidth="1"/>
    <col min="2590" max="2590" width="10.85546875" style="852" customWidth="1"/>
    <col min="2591" max="2591" width="2.42578125" style="852" customWidth="1"/>
    <col min="2592" max="2592" width="11.140625" style="852" customWidth="1"/>
    <col min="2593" max="2593" width="1.85546875" style="852" customWidth="1"/>
    <col min="2594" max="2594" width="11" style="852" customWidth="1"/>
    <col min="2595" max="2595" width="0.7109375" style="852" customWidth="1"/>
    <col min="2596" max="2596" width="1.85546875" style="852" customWidth="1"/>
    <col min="2597" max="2597" width="11.85546875" style="852" bestFit="1" customWidth="1"/>
    <col min="2598" max="2598" width="15.28515625" style="852" bestFit="1" customWidth="1"/>
    <col min="2599" max="2599" width="5" style="852" customWidth="1"/>
    <col min="2600" max="2600" width="10.42578125" style="852" bestFit="1" customWidth="1"/>
    <col min="2601" max="2601" width="5" style="852" customWidth="1"/>
    <col min="2602" max="2602" width="10.42578125" style="852" bestFit="1" customWidth="1"/>
    <col min="2603" max="2605" width="9" style="852"/>
    <col min="2606" max="2606" width="10.42578125" style="852" bestFit="1" customWidth="1"/>
    <col min="2607" max="2835" width="9" style="852"/>
    <col min="2836" max="2836" width="3.5703125" style="852" customWidth="1"/>
    <col min="2837" max="2837" width="4.85546875" style="852" customWidth="1"/>
    <col min="2838" max="2838" width="5.42578125" style="852" customWidth="1"/>
    <col min="2839" max="2839" width="31.28515625" style="852" customWidth="1"/>
    <col min="2840" max="2840" width="7.5703125" style="852" customWidth="1"/>
    <col min="2841" max="2841" width="2.42578125" style="852" customWidth="1"/>
    <col min="2842" max="2842" width="11.5703125" style="852" customWidth="1"/>
    <col min="2843" max="2843" width="2.42578125" style="852" customWidth="1"/>
    <col min="2844" max="2844" width="11.5703125" style="852" customWidth="1"/>
    <col min="2845" max="2845" width="2.42578125" style="852" customWidth="1"/>
    <col min="2846" max="2846" width="10.85546875" style="852" customWidth="1"/>
    <col min="2847" max="2847" width="2.42578125" style="852" customWidth="1"/>
    <col min="2848" max="2848" width="11.140625" style="852" customWidth="1"/>
    <col min="2849" max="2849" width="1.85546875" style="852" customWidth="1"/>
    <col min="2850" max="2850" width="11" style="852" customWidth="1"/>
    <col min="2851" max="2851" width="0.7109375" style="852" customWidth="1"/>
    <col min="2852" max="2852" width="1.85546875" style="852" customWidth="1"/>
    <col min="2853" max="2853" width="11.85546875" style="852" bestFit="1" customWidth="1"/>
    <col min="2854" max="2854" width="15.28515625" style="852" bestFit="1" customWidth="1"/>
    <col min="2855" max="2855" width="5" style="852" customWidth="1"/>
    <col min="2856" max="2856" width="10.42578125" style="852" bestFit="1" customWidth="1"/>
    <col min="2857" max="2857" width="5" style="852" customWidth="1"/>
    <col min="2858" max="2858" width="10.42578125" style="852" bestFit="1" customWidth="1"/>
    <col min="2859" max="2861" width="9" style="852"/>
    <col min="2862" max="2862" width="10.42578125" style="852" bestFit="1" customWidth="1"/>
    <col min="2863" max="3091" width="9" style="852"/>
    <col min="3092" max="3092" width="3.5703125" style="852" customWidth="1"/>
    <col min="3093" max="3093" width="4.85546875" style="852" customWidth="1"/>
    <col min="3094" max="3094" width="5.42578125" style="852" customWidth="1"/>
    <col min="3095" max="3095" width="31.28515625" style="852" customWidth="1"/>
    <col min="3096" max="3096" width="7.5703125" style="852" customWidth="1"/>
    <col min="3097" max="3097" width="2.42578125" style="852" customWidth="1"/>
    <col min="3098" max="3098" width="11.5703125" style="852" customWidth="1"/>
    <col min="3099" max="3099" width="2.42578125" style="852" customWidth="1"/>
    <col min="3100" max="3100" width="11.5703125" style="852" customWidth="1"/>
    <col min="3101" max="3101" width="2.42578125" style="852" customWidth="1"/>
    <col min="3102" max="3102" width="10.85546875" style="852" customWidth="1"/>
    <col min="3103" max="3103" width="2.42578125" style="852" customWidth="1"/>
    <col min="3104" max="3104" width="11.140625" style="852" customWidth="1"/>
    <col min="3105" max="3105" width="1.85546875" style="852" customWidth="1"/>
    <col min="3106" max="3106" width="11" style="852" customWidth="1"/>
    <col min="3107" max="3107" width="0.7109375" style="852" customWidth="1"/>
    <col min="3108" max="3108" width="1.85546875" style="852" customWidth="1"/>
    <col min="3109" max="3109" width="11.85546875" style="852" bestFit="1" customWidth="1"/>
    <col min="3110" max="3110" width="15.28515625" style="852" bestFit="1" customWidth="1"/>
    <col min="3111" max="3111" width="5" style="852" customWidth="1"/>
    <col min="3112" max="3112" width="10.42578125" style="852" bestFit="1" customWidth="1"/>
    <col min="3113" max="3113" width="5" style="852" customWidth="1"/>
    <col min="3114" max="3114" width="10.42578125" style="852" bestFit="1" customWidth="1"/>
    <col min="3115" max="3117" width="9" style="852"/>
    <col min="3118" max="3118" width="10.42578125" style="852" bestFit="1" customWidth="1"/>
    <col min="3119" max="3347" width="9" style="852"/>
    <col min="3348" max="3348" width="3.5703125" style="852" customWidth="1"/>
    <col min="3349" max="3349" width="4.85546875" style="852" customWidth="1"/>
    <col min="3350" max="3350" width="5.42578125" style="852" customWidth="1"/>
    <col min="3351" max="3351" width="31.28515625" style="852" customWidth="1"/>
    <col min="3352" max="3352" width="7.5703125" style="852" customWidth="1"/>
    <col min="3353" max="3353" width="2.42578125" style="852" customWidth="1"/>
    <col min="3354" max="3354" width="11.5703125" style="852" customWidth="1"/>
    <col min="3355" max="3355" width="2.42578125" style="852" customWidth="1"/>
    <col min="3356" max="3356" width="11.5703125" style="852" customWidth="1"/>
    <col min="3357" max="3357" width="2.42578125" style="852" customWidth="1"/>
    <col min="3358" max="3358" width="10.85546875" style="852" customWidth="1"/>
    <col min="3359" max="3359" width="2.42578125" style="852" customWidth="1"/>
    <col min="3360" max="3360" width="11.140625" style="852" customWidth="1"/>
    <col min="3361" max="3361" width="1.85546875" style="852" customWidth="1"/>
    <col min="3362" max="3362" width="11" style="852" customWidth="1"/>
    <col min="3363" max="3363" width="0.7109375" style="852" customWidth="1"/>
    <col min="3364" max="3364" width="1.85546875" style="852" customWidth="1"/>
    <col min="3365" max="3365" width="11.85546875" style="852" bestFit="1" customWidth="1"/>
    <col min="3366" max="3366" width="15.28515625" style="852" bestFit="1" customWidth="1"/>
    <col min="3367" max="3367" width="5" style="852" customWidth="1"/>
    <col min="3368" max="3368" width="10.42578125" style="852" bestFit="1" customWidth="1"/>
    <col min="3369" max="3369" width="5" style="852" customWidth="1"/>
    <col min="3370" max="3370" width="10.42578125" style="852" bestFit="1" customWidth="1"/>
    <col min="3371" max="3373" width="9" style="852"/>
    <col min="3374" max="3374" width="10.42578125" style="852" bestFit="1" customWidth="1"/>
    <col min="3375" max="3603" width="9" style="852"/>
    <col min="3604" max="3604" width="3.5703125" style="852" customWidth="1"/>
    <col min="3605" max="3605" width="4.85546875" style="852" customWidth="1"/>
    <col min="3606" max="3606" width="5.42578125" style="852" customWidth="1"/>
    <col min="3607" max="3607" width="31.28515625" style="852" customWidth="1"/>
    <col min="3608" max="3608" width="7.5703125" style="852" customWidth="1"/>
    <col min="3609" max="3609" width="2.42578125" style="852" customWidth="1"/>
    <col min="3610" max="3610" width="11.5703125" style="852" customWidth="1"/>
    <col min="3611" max="3611" width="2.42578125" style="852" customWidth="1"/>
    <col min="3612" max="3612" width="11.5703125" style="852" customWidth="1"/>
    <col min="3613" max="3613" width="2.42578125" style="852" customWidth="1"/>
    <col min="3614" max="3614" width="10.85546875" style="852" customWidth="1"/>
    <col min="3615" max="3615" width="2.42578125" style="852" customWidth="1"/>
    <col min="3616" max="3616" width="11.140625" style="852" customWidth="1"/>
    <col min="3617" max="3617" width="1.85546875" style="852" customWidth="1"/>
    <col min="3618" max="3618" width="11" style="852" customWidth="1"/>
    <col min="3619" max="3619" width="0.7109375" style="852" customWidth="1"/>
    <col min="3620" max="3620" width="1.85546875" style="852" customWidth="1"/>
    <col min="3621" max="3621" width="11.85546875" style="852" bestFit="1" customWidth="1"/>
    <col min="3622" max="3622" width="15.28515625" style="852" bestFit="1" customWidth="1"/>
    <col min="3623" max="3623" width="5" style="852" customWidth="1"/>
    <col min="3624" max="3624" width="10.42578125" style="852" bestFit="1" customWidth="1"/>
    <col min="3625" max="3625" width="5" style="852" customWidth="1"/>
    <col min="3626" max="3626" width="10.42578125" style="852" bestFit="1" customWidth="1"/>
    <col min="3627" max="3629" width="9" style="852"/>
    <col min="3630" max="3630" width="10.42578125" style="852" bestFit="1" customWidth="1"/>
    <col min="3631" max="3859" width="9" style="852"/>
    <col min="3860" max="3860" width="3.5703125" style="852" customWidth="1"/>
    <col min="3861" max="3861" width="4.85546875" style="852" customWidth="1"/>
    <col min="3862" max="3862" width="5.42578125" style="852" customWidth="1"/>
    <col min="3863" max="3863" width="31.28515625" style="852" customWidth="1"/>
    <col min="3864" max="3864" width="7.5703125" style="852" customWidth="1"/>
    <col min="3865" max="3865" width="2.42578125" style="852" customWidth="1"/>
    <col min="3866" max="3866" width="11.5703125" style="852" customWidth="1"/>
    <col min="3867" max="3867" width="2.42578125" style="852" customWidth="1"/>
    <col min="3868" max="3868" width="11.5703125" style="852" customWidth="1"/>
    <col min="3869" max="3869" width="2.42578125" style="852" customWidth="1"/>
    <col min="3870" max="3870" width="10.85546875" style="852" customWidth="1"/>
    <col min="3871" max="3871" width="2.42578125" style="852" customWidth="1"/>
    <col min="3872" max="3872" width="11.140625" style="852" customWidth="1"/>
    <col min="3873" max="3873" width="1.85546875" style="852" customWidth="1"/>
    <col min="3874" max="3874" width="11" style="852" customWidth="1"/>
    <col min="3875" max="3875" width="0.7109375" style="852" customWidth="1"/>
    <col min="3876" max="3876" width="1.85546875" style="852" customWidth="1"/>
    <col min="3877" max="3877" width="11.85546875" style="852" bestFit="1" customWidth="1"/>
    <col min="3878" max="3878" width="15.28515625" style="852" bestFit="1" customWidth="1"/>
    <col min="3879" max="3879" width="5" style="852" customWidth="1"/>
    <col min="3880" max="3880" width="10.42578125" style="852" bestFit="1" customWidth="1"/>
    <col min="3881" max="3881" width="5" style="852" customWidth="1"/>
    <col min="3882" max="3882" width="10.42578125" style="852" bestFit="1" customWidth="1"/>
    <col min="3883" max="3885" width="9" style="852"/>
    <col min="3886" max="3886" width="10.42578125" style="852" bestFit="1" customWidth="1"/>
    <col min="3887" max="4115" width="9" style="852"/>
    <col min="4116" max="4116" width="3.5703125" style="852" customWidth="1"/>
    <col min="4117" max="4117" width="4.85546875" style="852" customWidth="1"/>
    <col min="4118" max="4118" width="5.42578125" style="852" customWidth="1"/>
    <col min="4119" max="4119" width="31.28515625" style="852" customWidth="1"/>
    <col min="4120" max="4120" width="7.5703125" style="852" customWidth="1"/>
    <col min="4121" max="4121" width="2.42578125" style="852" customWidth="1"/>
    <col min="4122" max="4122" width="11.5703125" style="852" customWidth="1"/>
    <col min="4123" max="4123" width="2.42578125" style="852" customWidth="1"/>
    <col min="4124" max="4124" width="11.5703125" style="852" customWidth="1"/>
    <col min="4125" max="4125" width="2.42578125" style="852" customWidth="1"/>
    <col min="4126" max="4126" width="10.85546875" style="852" customWidth="1"/>
    <col min="4127" max="4127" width="2.42578125" style="852" customWidth="1"/>
    <col min="4128" max="4128" width="11.140625" style="852" customWidth="1"/>
    <col min="4129" max="4129" width="1.85546875" style="852" customWidth="1"/>
    <col min="4130" max="4130" width="11" style="852" customWidth="1"/>
    <col min="4131" max="4131" width="0.7109375" style="852" customWidth="1"/>
    <col min="4132" max="4132" width="1.85546875" style="852" customWidth="1"/>
    <col min="4133" max="4133" width="11.85546875" style="852" bestFit="1" customWidth="1"/>
    <col min="4134" max="4134" width="15.28515625" style="852" bestFit="1" customWidth="1"/>
    <col min="4135" max="4135" width="5" style="852" customWidth="1"/>
    <col min="4136" max="4136" width="10.42578125" style="852" bestFit="1" customWidth="1"/>
    <col min="4137" max="4137" width="5" style="852" customWidth="1"/>
    <col min="4138" max="4138" width="10.42578125" style="852" bestFit="1" customWidth="1"/>
    <col min="4139" max="4141" width="9" style="852"/>
    <col min="4142" max="4142" width="10.42578125" style="852" bestFit="1" customWidth="1"/>
    <col min="4143" max="4371" width="9" style="852"/>
    <col min="4372" max="4372" width="3.5703125" style="852" customWidth="1"/>
    <col min="4373" max="4373" width="4.85546875" style="852" customWidth="1"/>
    <col min="4374" max="4374" width="5.42578125" style="852" customWidth="1"/>
    <col min="4375" max="4375" width="31.28515625" style="852" customWidth="1"/>
    <col min="4376" max="4376" width="7.5703125" style="852" customWidth="1"/>
    <col min="4377" max="4377" width="2.42578125" style="852" customWidth="1"/>
    <col min="4378" max="4378" width="11.5703125" style="852" customWidth="1"/>
    <col min="4379" max="4379" width="2.42578125" style="852" customWidth="1"/>
    <col min="4380" max="4380" width="11.5703125" style="852" customWidth="1"/>
    <col min="4381" max="4381" width="2.42578125" style="852" customWidth="1"/>
    <col min="4382" max="4382" width="10.85546875" style="852" customWidth="1"/>
    <col min="4383" max="4383" width="2.42578125" style="852" customWidth="1"/>
    <col min="4384" max="4384" width="11.140625" style="852" customWidth="1"/>
    <col min="4385" max="4385" width="1.85546875" style="852" customWidth="1"/>
    <col min="4386" max="4386" width="11" style="852" customWidth="1"/>
    <col min="4387" max="4387" width="0.7109375" style="852" customWidth="1"/>
    <col min="4388" max="4388" width="1.85546875" style="852" customWidth="1"/>
    <col min="4389" max="4389" width="11.85546875" style="852" bestFit="1" customWidth="1"/>
    <col min="4390" max="4390" width="15.28515625" style="852" bestFit="1" customWidth="1"/>
    <col min="4391" max="4391" width="5" style="852" customWidth="1"/>
    <col min="4392" max="4392" width="10.42578125" style="852" bestFit="1" customWidth="1"/>
    <col min="4393" max="4393" width="5" style="852" customWidth="1"/>
    <col min="4394" max="4394" width="10.42578125" style="852" bestFit="1" customWidth="1"/>
    <col min="4395" max="4397" width="9" style="852"/>
    <col min="4398" max="4398" width="10.42578125" style="852" bestFit="1" customWidth="1"/>
    <col min="4399" max="4627" width="9" style="852"/>
    <col min="4628" max="4628" width="3.5703125" style="852" customWidth="1"/>
    <col min="4629" max="4629" width="4.85546875" style="852" customWidth="1"/>
    <col min="4630" max="4630" width="5.42578125" style="852" customWidth="1"/>
    <col min="4631" max="4631" width="31.28515625" style="852" customWidth="1"/>
    <col min="4632" max="4632" width="7.5703125" style="852" customWidth="1"/>
    <col min="4633" max="4633" width="2.42578125" style="852" customWidth="1"/>
    <col min="4634" max="4634" width="11.5703125" style="852" customWidth="1"/>
    <col min="4635" max="4635" width="2.42578125" style="852" customWidth="1"/>
    <col min="4636" max="4636" width="11.5703125" style="852" customWidth="1"/>
    <col min="4637" max="4637" width="2.42578125" style="852" customWidth="1"/>
    <col min="4638" max="4638" width="10.85546875" style="852" customWidth="1"/>
    <col min="4639" max="4639" width="2.42578125" style="852" customWidth="1"/>
    <col min="4640" max="4640" width="11.140625" style="852" customWidth="1"/>
    <col min="4641" max="4641" width="1.85546875" style="852" customWidth="1"/>
    <col min="4642" max="4642" width="11" style="852" customWidth="1"/>
    <col min="4643" max="4643" width="0.7109375" style="852" customWidth="1"/>
    <col min="4644" max="4644" width="1.85546875" style="852" customWidth="1"/>
    <col min="4645" max="4645" width="11.85546875" style="852" bestFit="1" customWidth="1"/>
    <col min="4646" max="4646" width="15.28515625" style="852" bestFit="1" customWidth="1"/>
    <col min="4647" max="4647" width="5" style="852" customWidth="1"/>
    <col min="4648" max="4648" width="10.42578125" style="852" bestFit="1" customWidth="1"/>
    <col min="4649" max="4649" width="5" style="852" customWidth="1"/>
    <col min="4650" max="4650" width="10.42578125" style="852" bestFit="1" customWidth="1"/>
    <col min="4651" max="4653" width="9" style="852"/>
    <col min="4654" max="4654" width="10.42578125" style="852" bestFit="1" customWidth="1"/>
    <col min="4655" max="4883" width="9" style="852"/>
    <col min="4884" max="4884" width="3.5703125" style="852" customWidth="1"/>
    <col min="4885" max="4885" width="4.85546875" style="852" customWidth="1"/>
    <col min="4886" max="4886" width="5.42578125" style="852" customWidth="1"/>
    <col min="4887" max="4887" width="31.28515625" style="852" customWidth="1"/>
    <col min="4888" max="4888" width="7.5703125" style="852" customWidth="1"/>
    <col min="4889" max="4889" width="2.42578125" style="852" customWidth="1"/>
    <col min="4890" max="4890" width="11.5703125" style="852" customWidth="1"/>
    <col min="4891" max="4891" width="2.42578125" style="852" customWidth="1"/>
    <col min="4892" max="4892" width="11.5703125" style="852" customWidth="1"/>
    <col min="4893" max="4893" width="2.42578125" style="852" customWidth="1"/>
    <col min="4894" max="4894" width="10.85546875" style="852" customWidth="1"/>
    <col min="4895" max="4895" width="2.42578125" style="852" customWidth="1"/>
    <col min="4896" max="4896" width="11.140625" style="852" customWidth="1"/>
    <col min="4897" max="4897" width="1.85546875" style="852" customWidth="1"/>
    <col min="4898" max="4898" width="11" style="852" customWidth="1"/>
    <col min="4899" max="4899" width="0.7109375" style="852" customWidth="1"/>
    <col min="4900" max="4900" width="1.85546875" style="852" customWidth="1"/>
    <col min="4901" max="4901" width="11.85546875" style="852" bestFit="1" customWidth="1"/>
    <col min="4902" max="4902" width="15.28515625" style="852" bestFit="1" customWidth="1"/>
    <col min="4903" max="4903" width="5" style="852" customWidth="1"/>
    <col min="4904" max="4904" width="10.42578125" style="852" bestFit="1" customWidth="1"/>
    <col min="4905" max="4905" width="5" style="852" customWidth="1"/>
    <col min="4906" max="4906" width="10.42578125" style="852" bestFit="1" customWidth="1"/>
    <col min="4907" max="4909" width="9" style="852"/>
    <col min="4910" max="4910" width="10.42578125" style="852" bestFit="1" customWidth="1"/>
    <col min="4911" max="5139" width="9" style="852"/>
    <col min="5140" max="5140" width="3.5703125" style="852" customWidth="1"/>
    <col min="5141" max="5141" width="4.85546875" style="852" customWidth="1"/>
    <col min="5142" max="5142" width="5.42578125" style="852" customWidth="1"/>
    <col min="5143" max="5143" width="31.28515625" style="852" customWidth="1"/>
    <col min="5144" max="5144" width="7.5703125" style="852" customWidth="1"/>
    <col min="5145" max="5145" width="2.42578125" style="852" customWidth="1"/>
    <col min="5146" max="5146" width="11.5703125" style="852" customWidth="1"/>
    <col min="5147" max="5147" width="2.42578125" style="852" customWidth="1"/>
    <col min="5148" max="5148" width="11.5703125" style="852" customWidth="1"/>
    <col min="5149" max="5149" width="2.42578125" style="852" customWidth="1"/>
    <col min="5150" max="5150" width="10.85546875" style="852" customWidth="1"/>
    <col min="5151" max="5151" width="2.42578125" style="852" customWidth="1"/>
    <col min="5152" max="5152" width="11.140625" style="852" customWidth="1"/>
    <col min="5153" max="5153" width="1.85546875" style="852" customWidth="1"/>
    <col min="5154" max="5154" width="11" style="852" customWidth="1"/>
    <col min="5155" max="5155" width="0.7109375" style="852" customWidth="1"/>
    <col min="5156" max="5156" width="1.85546875" style="852" customWidth="1"/>
    <col min="5157" max="5157" width="11.85546875" style="852" bestFit="1" customWidth="1"/>
    <col min="5158" max="5158" width="15.28515625" style="852" bestFit="1" customWidth="1"/>
    <col min="5159" max="5159" width="5" style="852" customWidth="1"/>
    <col min="5160" max="5160" width="10.42578125" style="852" bestFit="1" customWidth="1"/>
    <col min="5161" max="5161" width="5" style="852" customWidth="1"/>
    <col min="5162" max="5162" width="10.42578125" style="852" bestFit="1" customWidth="1"/>
    <col min="5163" max="5165" width="9" style="852"/>
    <col min="5166" max="5166" width="10.42578125" style="852" bestFit="1" customWidth="1"/>
    <col min="5167" max="5395" width="9" style="852"/>
    <col min="5396" max="5396" width="3.5703125" style="852" customWidth="1"/>
    <col min="5397" max="5397" width="4.85546875" style="852" customWidth="1"/>
    <col min="5398" max="5398" width="5.42578125" style="852" customWidth="1"/>
    <col min="5399" max="5399" width="31.28515625" style="852" customWidth="1"/>
    <col min="5400" max="5400" width="7.5703125" style="852" customWidth="1"/>
    <col min="5401" max="5401" width="2.42578125" style="852" customWidth="1"/>
    <col min="5402" max="5402" width="11.5703125" style="852" customWidth="1"/>
    <col min="5403" max="5403" width="2.42578125" style="852" customWidth="1"/>
    <col min="5404" max="5404" width="11.5703125" style="852" customWidth="1"/>
    <col min="5405" max="5405" width="2.42578125" style="852" customWidth="1"/>
    <col min="5406" max="5406" width="10.85546875" style="852" customWidth="1"/>
    <col min="5407" max="5407" width="2.42578125" style="852" customWidth="1"/>
    <col min="5408" max="5408" width="11.140625" style="852" customWidth="1"/>
    <col min="5409" max="5409" width="1.85546875" style="852" customWidth="1"/>
    <col min="5410" max="5410" width="11" style="852" customWidth="1"/>
    <col min="5411" max="5411" width="0.7109375" style="852" customWidth="1"/>
    <col min="5412" max="5412" width="1.85546875" style="852" customWidth="1"/>
    <col min="5413" max="5413" width="11.85546875" style="852" bestFit="1" customWidth="1"/>
    <col min="5414" max="5414" width="15.28515625" style="852" bestFit="1" customWidth="1"/>
    <col min="5415" max="5415" width="5" style="852" customWidth="1"/>
    <col min="5416" max="5416" width="10.42578125" style="852" bestFit="1" customWidth="1"/>
    <col min="5417" max="5417" width="5" style="852" customWidth="1"/>
    <col min="5418" max="5418" width="10.42578125" style="852" bestFit="1" customWidth="1"/>
    <col min="5419" max="5421" width="9" style="852"/>
    <col min="5422" max="5422" width="10.42578125" style="852" bestFit="1" customWidth="1"/>
    <col min="5423" max="5651" width="9" style="852"/>
    <col min="5652" max="5652" width="3.5703125" style="852" customWidth="1"/>
    <col min="5653" max="5653" width="4.85546875" style="852" customWidth="1"/>
    <col min="5654" max="5654" width="5.42578125" style="852" customWidth="1"/>
    <col min="5655" max="5655" width="31.28515625" style="852" customWidth="1"/>
    <col min="5656" max="5656" width="7.5703125" style="852" customWidth="1"/>
    <col min="5657" max="5657" width="2.42578125" style="852" customWidth="1"/>
    <col min="5658" max="5658" width="11.5703125" style="852" customWidth="1"/>
    <col min="5659" max="5659" width="2.42578125" style="852" customWidth="1"/>
    <col min="5660" max="5660" width="11.5703125" style="852" customWidth="1"/>
    <col min="5661" max="5661" width="2.42578125" style="852" customWidth="1"/>
    <col min="5662" max="5662" width="10.85546875" style="852" customWidth="1"/>
    <col min="5663" max="5663" width="2.42578125" style="852" customWidth="1"/>
    <col min="5664" max="5664" width="11.140625" style="852" customWidth="1"/>
    <col min="5665" max="5665" width="1.85546875" style="852" customWidth="1"/>
    <col min="5666" max="5666" width="11" style="852" customWidth="1"/>
    <col min="5667" max="5667" width="0.7109375" style="852" customWidth="1"/>
    <col min="5668" max="5668" width="1.85546875" style="852" customWidth="1"/>
    <col min="5669" max="5669" width="11.85546875" style="852" bestFit="1" customWidth="1"/>
    <col min="5670" max="5670" width="15.28515625" style="852" bestFit="1" customWidth="1"/>
    <col min="5671" max="5671" width="5" style="852" customWidth="1"/>
    <col min="5672" max="5672" width="10.42578125" style="852" bestFit="1" customWidth="1"/>
    <col min="5673" max="5673" width="5" style="852" customWidth="1"/>
    <col min="5674" max="5674" width="10.42578125" style="852" bestFit="1" customWidth="1"/>
    <col min="5675" max="5677" width="9" style="852"/>
    <col min="5678" max="5678" width="10.42578125" style="852" bestFit="1" customWidth="1"/>
    <col min="5679" max="5907" width="9" style="852"/>
    <col min="5908" max="5908" width="3.5703125" style="852" customWidth="1"/>
    <col min="5909" max="5909" width="4.85546875" style="852" customWidth="1"/>
    <col min="5910" max="5910" width="5.42578125" style="852" customWidth="1"/>
    <col min="5911" max="5911" width="31.28515625" style="852" customWidth="1"/>
    <col min="5912" max="5912" width="7.5703125" style="852" customWidth="1"/>
    <col min="5913" max="5913" width="2.42578125" style="852" customWidth="1"/>
    <col min="5914" max="5914" width="11.5703125" style="852" customWidth="1"/>
    <col min="5915" max="5915" width="2.42578125" style="852" customWidth="1"/>
    <col min="5916" max="5916" width="11.5703125" style="852" customWidth="1"/>
    <col min="5917" max="5917" width="2.42578125" style="852" customWidth="1"/>
    <col min="5918" max="5918" width="10.85546875" style="852" customWidth="1"/>
    <col min="5919" max="5919" width="2.42578125" style="852" customWidth="1"/>
    <col min="5920" max="5920" width="11.140625" style="852" customWidth="1"/>
    <col min="5921" max="5921" width="1.85546875" style="852" customWidth="1"/>
    <col min="5922" max="5922" width="11" style="852" customWidth="1"/>
    <col min="5923" max="5923" width="0.7109375" style="852" customWidth="1"/>
    <col min="5924" max="5924" width="1.85546875" style="852" customWidth="1"/>
    <col min="5925" max="5925" width="11.85546875" style="852" bestFit="1" customWidth="1"/>
    <col min="5926" max="5926" width="15.28515625" style="852" bestFit="1" customWidth="1"/>
    <col min="5927" max="5927" width="5" style="852" customWidth="1"/>
    <col min="5928" max="5928" width="10.42578125" style="852" bestFit="1" customWidth="1"/>
    <col min="5929" max="5929" width="5" style="852" customWidth="1"/>
    <col min="5930" max="5930" width="10.42578125" style="852" bestFit="1" customWidth="1"/>
    <col min="5931" max="5933" width="9" style="852"/>
    <col min="5934" max="5934" width="10.42578125" style="852" bestFit="1" customWidth="1"/>
    <col min="5935" max="6163" width="9" style="852"/>
    <col min="6164" max="6164" width="3.5703125" style="852" customWidth="1"/>
    <col min="6165" max="6165" width="4.85546875" style="852" customWidth="1"/>
    <col min="6166" max="6166" width="5.42578125" style="852" customWidth="1"/>
    <col min="6167" max="6167" width="31.28515625" style="852" customWidth="1"/>
    <col min="6168" max="6168" width="7.5703125" style="852" customWidth="1"/>
    <col min="6169" max="6169" width="2.42578125" style="852" customWidth="1"/>
    <col min="6170" max="6170" width="11.5703125" style="852" customWidth="1"/>
    <col min="6171" max="6171" width="2.42578125" style="852" customWidth="1"/>
    <col min="6172" max="6172" width="11.5703125" style="852" customWidth="1"/>
    <col min="6173" max="6173" width="2.42578125" style="852" customWidth="1"/>
    <col min="6174" max="6174" width="10.85546875" style="852" customWidth="1"/>
    <col min="6175" max="6175" width="2.42578125" style="852" customWidth="1"/>
    <col min="6176" max="6176" width="11.140625" style="852" customWidth="1"/>
    <col min="6177" max="6177" width="1.85546875" style="852" customWidth="1"/>
    <col min="6178" max="6178" width="11" style="852" customWidth="1"/>
    <col min="6179" max="6179" width="0.7109375" style="852" customWidth="1"/>
    <col min="6180" max="6180" width="1.85546875" style="852" customWidth="1"/>
    <col min="6181" max="6181" width="11.85546875" style="852" bestFit="1" customWidth="1"/>
    <col min="6182" max="6182" width="15.28515625" style="852" bestFit="1" customWidth="1"/>
    <col min="6183" max="6183" width="5" style="852" customWidth="1"/>
    <col min="6184" max="6184" width="10.42578125" style="852" bestFit="1" customWidth="1"/>
    <col min="6185" max="6185" width="5" style="852" customWidth="1"/>
    <col min="6186" max="6186" width="10.42578125" style="852" bestFit="1" customWidth="1"/>
    <col min="6187" max="6189" width="9" style="852"/>
    <col min="6190" max="6190" width="10.42578125" style="852" bestFit="1" customWidth="1"/>
    <col min="6191" max="6419" width="9" style="852"/>
    <col min="6420" max="6420" width="3.5703125" style="852" customWidth="1"/>
    <col min="6421" max="6421" width="4.85546875" style="852" customWidth="1"/>
    <col min="6422" max="6422" width="5.42578125" style="852" customWidth="1"/>
    <col min="6423" max="6423" width="31.28515625" style="852" customWidth="1"/>
    <col min="6424" max="6424" width="7.5703125" style="852" customWidth="1"/>
    <col min="6425" max="6425" width="2.42578125" style="852" customWidth="1"/>
    <col min="6426" max="6426" width="11.5703125" style="852" customWidth="1"/>
    <col min="6427" max="6427" width="2.42578125" style="852" customWidth="1"/>
    <col min="6428" max="6428" width="11.5703125" style="852" customWidth="1"/>
    <col min="6429" max="6429" width="2.42578125" style="852" customWidth="1"/>
    <col min="6430" max="6430" width="10.85546875" style="852" customWidth="1"/>
    <col min="6431" max="6431" width="2.42578125" style="852" customWidth="1"/>
    <col min="6432" max="6432" width="11.140625" style="852" customWidth="1"/>
    <col min="6433" max="6433" width="1.85546875" style="852" customWidth="1"/>
    <col min="6434" max="6434" width="11" style="852" customWidth="1"/>
    <col min="6435" max="6435" width="0.7109375" style="852" customWidth="1"/>
    <col min="6436" max="6436" width="1.85546875" style="852" customWidth="1"/>
    <col min="6437" max="6437" width="11.85546875" style="852" bestFit="1" customWidth="1"/>
    <col min="6438" max="6438" width="15.28515625" style="852" bestFit="1" customWidth="1"/>
    <col min="6439" max="6439" width="5" style="852" customWidth="1"/>
    <col min="6440" max="6440" width="10.42578125" style="852" bestFit="1" customWidth="1"/>
    <col min="6441" max="6441" width="5" style="852" customWidth="1"/>
    <col min="6442" max="6442" width="10.42578125" style="852" bestFit="1" customWidth="1"/>
    <col min="6443" max="6445" width="9" style="852"/>
    <col min="6446" max="6446" width="10.42578125" style="852" bestFit="1" customWidth="1"/>
    <col min="6447" max="6675" width="9" style="852"/>
    <col min="6676" max="6676" width="3.5703125" style="852" customWidth="1"/>
    <col min="6677" max="6677" width="4.85546875" style="852" customWidth="1"/>
    <col min="6678" max="6678" width="5.42578125" style="852" customWidth="1"/>
    <col min="6679" max="6679" width="31.28515625" style="852" customWidth="1"/>
    <col min="6680" max="6680" width="7.5703125" style="852" customWidth="1"/>
    <col min="6681" max="6681" width="2.42578125" style="852" customWidth="1"/>
    <col min="6682" max="6682" width="11.5703125" style="852" customWidth="1"/>
    <col min="6683" max="6683" width="2.42578125" style="852" customWidth="1"/>
    <col min="6684" max="6684" width="11.5703125" style="852" customWidth="1"/>
    <col min="6685" max="6685" width="2.42578125" style="852" customWidth="1"/>
    <col min="6686" max="6686" width="10.85546875" style="852" customWidth="1"/>
    <col min="6687" max="6687" width="2.42578125" style="852" customWidth="1"/>
    <col min="6688" max="6688" width="11.140625" style="852" customWidth="1"/>
    <col min="6689" max="6689" width="1.85546875" style="852" customWidth="1"/>
    <col min="6690" max="6690" width="11" style="852" customWidth="1"/>
    <col min="6691" max="6691" width="0.7109375" style="852" customWidth="1"/>
    <col min="6692" max="6692" width="1.85546875" style="852" customWidth="1"/>
    <col min="6693" max="6693" width="11.85546875" style="852" bestFit="1" customWidth="1"/>
    <col min="6694" max="6694" width="15.28515625" style="852" bestFit="1" customWidth="1"/>
    <col min="6695" max="6695" width="5" style="852" customWidth="1"/>
    <col min="6696" max="6696" width="10.42578125" style="852" bestFit="1" customWidth="1"/>
    <col min="6697" max="6697" width="5" style="852" customWidth="1"/>
    <col min="6698" max="6698" width="10.42578125" style="852" bestFit="1" customWidth="1"/>
    <col min="6699" max="6701" width="9" style="852"/>
    <col min="6702" max="6702" width="10.42578125" style="852" bestFit="1" customWidth="1"/>
    <col min="6703" max="6931" width="9" style="852"/>
    <col min="6932" max="6932" width="3.5703125" style="852" customWidth="1"/>
    <col min="6933" max="6933" width="4.85546875" style="852" customWidth="1"/>
    <col min="6934" max="6934" width="5.42578125" style="852" customWidth="1"/>
    <col min="6935" max="6935" width="31.28515625" style="852" customWidth="1"/>
    <col min="6936" max="6936" width="7.5703125" style="852" customWidth="1"/>
    <col min="6937" max="6937" width="2.42578125" style="852" customWidth="1"/>
    <col min="6938" max="6938" width="11.5703125" style="852" customWidth="1"/>
    <col min="6939" max="6939" width="2.42578125" style="852" customWidth="1"/>
    <col min="6940" max="6940" width="11.5703125" style="852" customWidth="1"/>
    <col min="6941" max="6941" width="2.42578125" style="852" customWidth="1"/>
    <col min="6942" max="6942" width="10.85546875" style="852" customWidth="1"/>
    <col min="6943" max="6943" width="2.42578125" style="852" customWidth="1"/>
    <col min="6944" max="6944" width="11.140625" style="852" customWidth="1"/>
    <col min="6945" max="6945" width="1.85546875" style="852" customWidth="1"/>
    <col min="6946" max="6946" width="11" style="852" customWidth="1"/>
    <col min="6947" max="6947" width="0.7109375" style="852" customWidth="1"/>
    <col min="6948" max="6948" width="1.85546875" style="852" customWidth="1"/>
    <col min="6949" max="6949" width="11.85546875" style="852" bestFit="1" customWidth="1"/>
    <col min="6950" max="6950" width="15.28515625" style="852" bestFit="1" customWidth="1"/>
    <col min="6951" max="6951" width="5" style="852" customWidth="1"/>
    <col min="6952" max="6952" width="10.42578125" style="852" bestFit="1" customWidth="1"/>
    <col min="6953" max="6953" width="5" style="852" customWidth="1"/>
    <col min="6954" max="6954" width="10.42578125" style="852" bestFit="1" customWidth="1"/>
    <col min="6955" max="6957" width="9" style="852"/>
    <col min="6958" max="6958" width="10.42578125" style="852" bestFit="1" customWidth="1"/>
    <col min="6959" max="7187" width="9" style="852"/>
    <col min="7188" max="7188" width="3.5703125" style="852" customWidth="1"/>
    <col min="7189" max="7189" width="4.85546875" style="852" customWidth="1"/>
    <col min="7190" max="7190" width="5.42578125" style="852" customWidth="1"/>
    <col min="7191" max="7191" width="31.28515625" style="852" customWidth="1"/>
    <col min="7192" max="7192" width="7.5703125" style="852" customWidth="1"/>
    <col min="7193" max="7193" width="2.42578125" style="852" customWidth="1"/>
    <col min="7194" max="7194" width="11.5703125" style="852" customWidth="1"/>
    <col min="7195" max="7195" width="2.42578125" style="852" customWidth="1"/>
    <col min="7196" max="7196" width="11.5703125" style="852" customWidth="1"/>
    <col min="7197" max="7197" width="2.42578125" style="852" customWidth="1"/>
    <col min="7198" max="7198" width="10.85546875" style="852" customWidth="1"/>
    <col min="7199" max="7199" width="2.42578125" style="852" customWidth="1"/>
    <col min="7200" max="7200" width="11.140625" style="852" customWidth="1"/>
    <col min="7201" max="7201" width="1.85546875" style="852" customWidth="1"/>
    <col min="7202" max="7202" width="11" style="852" customWidth="1"/>
    <col min="7203" max="7203" width="0.7109375" style="852" customWidth="1"/>
    <col min="7204" max="7204" width="1.85546875" style="852" customWidth="1"/>
    <col min="7205" max="7205" width="11.85546875" style="852" bestFit="1" customWidth="1"/>
    <col min="7206" max="7206" width="15.28515625" style="852" bestFit="1" customWidth="1"/>
    <col min="7207" max="7207" width="5" style="852" customWidth="1"/>
    <col min="7208" max="7208" width="10.42578125" style="852" bestFit="1" customWidth="1"/>
    <col min="7209" max="7209" width="5" style="852" customWidth="1"/>
    <col min="7210" max="7210" width="10.42578125" style="852" bestFit="1" customWidth="1"/>
    <col min="7211" max="7213" width="9" style="852"/>
    <col min="7214" max="7214" width="10.42578125" style="852" bestFit="1" customWidth="1"/>
    <col min="7215" max="7443" width="9" style="852"/>
    <col min="7444" max="7444" width="3.5703125" style="852" customWidth="1"/>
    <col min="7445" max="7445" width="4.85546875" style="852" customWidth="1"/>
    <col min="7446" max="7446" width="5.42578125" style="852" customWidth="1"/>
    <col min="7447" max="7447" width="31.28515625" style="852" customWidth="1"/>
    <col min="7448" max="7448" width="7.5703125" style="852" customWidth="1"/>
    <col min="7449" max="7449" width="2.42578125" style="852" customWidth="1"/>
    <col min="7450" max="7450" width="11.5703125" style="852" customWidth="1"/>
    <col min="7451" max="7451" width="2.42578125" style="852" customWidth="1"/>
    <col min="7452" max="7452" width="11.5703125" style="852" customWidth="1"/>
    <col min="7453" max="7453" width="2.42578125" style="852" customWidth="1"/>
    <col min="7454" max="7454" width="10.85546875" style="852" customWidth="1"/>
    <col min="7455" max="7455" width="2.42578125" style="852" customWidth="1"/>
    <col min="7456" max="7456" width="11.140625" style="852" customWidth="1"/>
    <col min="7457" max="7457" width="1.85546875" style="852" customWidth="1"/>
    <col min="7458" max="7458" width="11" style="852" customWidth="1"/>
    <col min="7459" max="7459" width="0.7109375" style="852" customWidth="1"/>
    <col min="7460" max="7460" width="1.85546875" style="852" customWidth="1"/>
    <col min="7461" max="7461" width="11.85546875" style="852" bestFit="1" customWidth="1"/>
    <col min="7462" max="7462" width="15.28515625" style="852" bestFit="1" customWidth="1"/>
    <col min="7463" max="7463" width="5" style="852" customWidth="1"/>
    <col min="7464" max="7464" width="10.42578125" style="852" bestFit="1" customWidth="1"/>
    <col min="7465" max="7465" width="5" style="852" customWidth="1"/>
    <col min="7466" max="7466" width="10.42578125" style="852" bestFit="1" customWidth="1"/>
    <col min="7467" max="7469" width="9" style="852"/>
    <col min="7470" max="7470" width="10.42578125" style="852" bestFit="1" customWidth="1"/>
    <col min="7471" max="7699" width="9" style="852"/>
    <col min="7700" max="7700" width="3.5703125" style="852" customWidth="1"/>
    <col min="7701" max="7701" width="4.85546875" style="852" customWidth="1"/>
    <col min="7702" max="7702" width="5.42578125" style="852" customWidth="1"/>
    <col min="7703" max="7703" width="31.28515625" style="852" customWidth="1"/>
    <col min="7704" max="7704" width="7.5703125" style="852" customWidth="1"/>
    <col min="7705" max="7705" width="2.42578125" style="852" customWidth="1"/>
    <col min="7706" max="7706" width="11.5703125" style="852" customWidth="1"/>
    <col min="7707" max="7707" width="2.42578125" style="852" customWidth="1"/>
    <col min="7708" max="7708" width="11.5703125" style="852" customWidth="1"/>
    <col min="7709" max="7709" width="2.42578125" style="852" customWidth="1"/>
    <col min="7710" max="7710" width="10.85546875" style="852" customWidth="1"/>
    <col min="7711" max="7711" width="2.42578125" style="852" customWidth="1"/>
    <col min="7712" max="7712" width="11.140625" style="852" customWidth="1"/>
    <col min="7713" max="7713" width="1.85546875" style="852" customWidth="1"/>
    <col min="7714" max="7714" width="11" style="852" customWidth="1"/>
    <col min="7715" max="7715" width="0.7109375" style="852" customWidth="1"/>
    <col min="7716" max="7716" width="1.85546875" style="852" customWidth="1"/>
    <col min="7717" max="7717" width="11.85546875" style="852" bestFit="1" customWidth="1"/>
    <col min="7718" max="7718" width="15.28515625" style="852" bestFit="1" customWidth="1"/>
    <col min="7719" max="7719" width="5" style="852" customWidth="1"/>
    <col min="7720" max="7720" width="10.42578125" style="852" bestFit="1" customWidth="1"/>
    <col min="7721" max="7721" width="5" style="852" customWidth="1"/>
    <col min="7722" max="7722" width="10.42578125" style="852" bestFit="1" customWidth="1"/>
    <col min="7723" max="7725" width="9" style="852"/>
    <col min="7726" max="7726" width="10.42578125" style="852" bestFit="1" customWidth="1"/>
    <col min="7727" max="7955" width="9" style="852"/>
    <col min="7956" max="7956" width="3.5703125" style="852" customWidth="1"/>
    <col min="7957" max="7957" width="4.85546875" style="852" customWidth="1"/>
    <col min="7958" max="7958" width="5.42578125" style="852" customWidth="1"/>
    <col min="7959" max="7959" width="31.28515625" style="852" customWidth="1"/>
    <col min="7960" max="7960" width="7.5703125" style="852" customWidth="1"/>
    <col min="7961" max="7961" width="2.42578125" style="852" customWidth="1"/>
    <col min="7962" max="7962" width="11.5703125" style="852" customWidth="1"/>
    <col min="7963" max="7963" width="2.42578125" style="852" customWidth="1"/>
    <col min="7964" max="7964" width="11.5703125" style="852" customWidth="1"/>
    <col min="7965" max="7965" width="2.42578125" style="852" customWidth="1"/>
    <col min="7966" max="7966" width="10.85546875" style="852" customWidth="1"/>
    <col min="7967" max="7967" width="2.42578125" style="852" customWidth="1"/>
    <col min="7968" max="7968" width="11.140625" style="852" customWidth="1"/>
    <col min="7969" max="7969" width="1.85546875" style="852" customWidth="1"/>
    <col min="7970" max="7970" width="11" style="852" customWidth="1"/>
    <col min="7971" max="7971" width="0.7109375" style="852" customWidth="1"/>
    <col min="7972" max="7972" width="1.85546875" style="852" customWidth="1"/>
    <col min="7973" max="7973" width="11.85546875" style="852" bestFit="1" customWidth="1"/>
    <col min="7974" max="7974" width="15.28515625" style="852" bestFit="1" customWidth="1"/>
    <col min="7975" max="7975" width="5" style="852" customWidth="1"/>
    <col min="7976" max="7976" width="10.42578125" style="852" bestFit="1" customWidth="1"/>
    <col min="7977" max="7977" width="5" style="852" customWidth="1"/>
    <col min="7978" max="7978" width="10.42578125" style="852" bestFit="1" customWidth="1"/>
    <col min="7979" max="7981" width="9" style="852"/>
    <col min="7982" max="7982" width="10.42578125" style="852" bestFit="1" customWidth="1"/>
    <col min="7983" max="8211" width="9" style="852"/>
    <col min="8212" max="8212" width="3.5703125" style="852" customWidth="1"/>
    <col min="8213" max="8213" width="4.85546875" style="852" customWidth="1"/>
    <col min="8214" max="8214" width="5.42578125" style="852" customWidth="1"/>
    <col min="8215" max="8215" width="31.28515625" style="852" customWidth="1"/>
    <col min="8216" max="8216" width="7.5703125" style="852" customWidth="1"/>
    <col min="8217" max="8217" width="2.42578125" style="852" customWidth="1"/>
    <col min="8218" max="8218" width="11.5703125" style="852" customWidth="1"/>
    <col min="8219" max="8219" width="2.42578125" style="852" customWidth="1"/>
    <col min="8220" max="8220" width="11.5703125" style="852" customWidth="1"/>
    <col min="8221" max="8221" width="2.42578125" style="852" customWidth="1"/>
    <col min="8222" max="8222" width="10.85546875" style="852" customWidth="1"/>
    <col min="8223" max="8223" width="2.42578125" style="852" customWidth="1"/>
    <col min="8224" max="8224" width="11.140625" style="852" customWidth="1"/>
    <col min="8225" max="8225" width="1.85546875" style="852" customWidth="1"/>
    <col min="8226" max="8226" width="11" style="852" customWidth="1"/>
    <col min="8227" max="8227" width="0.7109375" style="852" customWidth="1"/>
    <col min="8228" max="8228" width="1.85546875" style="852" customWidth="1"/>
    <col min="8229" max="8229" width="11.85546875" style="852" bestFit="1" customWidth="1"/>
    <col min="8230" max="8230" width="15.28515625" style="852" bestFit="1" customWidth="1"/>
    <col min="8231" max="8231" width="5" style="852" customWidth="1"/>
    <col min="8232" max="8232" width="10.42578125" style="852" bestFit="1" customWidth="1"/>
    <col min="8233" max="8233" width="5" style="852" customWidth="1"/>
    <col min="8234" max="8234" width="10.42578125" style="852" bestFit="1" customWidth="1"/>
    <col min="8235" max="8237" width="9" style="852"/>
    <col min="8238" max="8238" width="10.42578125" style="852" bestFit="1" customWidth="1"/>
    <col min="8239" max="8467" width="9" style="852"/>
    <col min="8468" max="8468" width="3.5703125" style="852" customWidth="1"/>
    <col min="8469" max="8469" width="4.85546875" style="852" customWidth="1"/>
    <col min="8470" max="8470" width="5.42578125" style="852" customWidth="1"/>
    <col min="8471" max="8471" width="31.28515625" style="852" customWidth="1"/>
    <col min="8472" max="8472" width="7.5703125" style="852" customWidth="1"/>
    <col min="8473" max="8473" width="2.42578125" style="852" customWidth="1"/>
    <col min="8474" max="8474" width="11.5703125" style="852" customWidth="1"/>
    <col min="8475" max="8475" width="2.42578125" style="852" customWidth="1"/>
    <col min="8476" max="8476" width="11.5703125" style="852" customWidth="1"/>
    <col min="8477" max="8477" width="2.42578125" style="852" customWidth="1"/>
    <col min="8478" max="8478" width="10.85546875" style="852" customWidth="1"/>
    <col min="8479" max="8479" width="2.42578125" style="852" customWidth="1"/>
    <col min="8480" max="8480" width="11.140625" style="852" customWidth="1"/>
    <col min="8481" max="8481" width="1.85546875" style="852" customWidth="1"/>
    <col min="8482" max="8482" width="11" style="852" customWidth="1"/>
    <col min="8483" max="8483" width="0.7109375" style="852" customWidth="1"/>
    <col min="8484" max="8484" width="1.85546875" style="852" customWidth="1"/>
    <col min="8485" max="8485" width="11.85546875" style="852" bestFit="1" customWidth="1"/>
    <col min="8486" max="8486" width="15.28515625" style="852" bestFit="1" customWidth="1"/>
    <col min="8487" max="8487" width="5" style="852" customWidth="1"/>
    <col min="8488" max="8488" width="10.42578125" style="852" bestFit="1" customWidth="1"/>
    <col min="8489" max="8489" width="5" style="852" customWidth="1"/>
    <col min="8490" max="8490" width="10.42578125" style="852" bestFit="1" customWidth="1"/>
    <col min="8491" max="8493" width="9" style="852"/>
    <col min="8494" max="8494" width="10.42578125" style="852" bestFit="1" customWidth="1"/>
    <col min="8495" max="8723" width="9" style="852"/>
    <col min="8724" max="8724" width="3.5703125" style="852" customWidth="1"/>
    <col min="8725" max="8725" width="4.85546875" style="852" customWidth="1"/>
    <col min="8726" max="8726" width="5.42578125" style="852" customWidth="1"/>
    <col min="8727" max="8727" width="31.28515625" style="852" customWidth="1"/>
    <col min="8728" max="8728" width="7.5703125" style="852" customWidth="1"/>
    <col min="8729" max="8729" width="2.42578125" style="852" customWidth="1"/>
    <col min="8730" max="8730" width="11.5703125" style="852" customWidth="1"/>
    <col min="8731" max="8731" width="2.42578125" style="852" customWidth="1"/>
    <col min="8732" max="8732" width="11.5703125" style="852" customWidth="1"/>
    <col min="8733" max="8733" width="2.42578125" style="852" customWidth="1"/>
    <col min="8734" max="8734" width="10.85546875" style="852" customWidth="1"/>
    <col min="8735" max="8735" width="2.42578125" style="852" customWidth="1"/>
    <col min="8736" max="8736" width="11.140625" style="852" customWidth="1"/>
    <col min="8737" max="8737" width="1.85546875" style="852" customWidth="1"/>
    <col min="8738" max="8738" width="11" style="852" customWidth="1"/>
    <col min="8739" max="8739" width="0.7109375" style="852" customWidth="1"/>
    <col min="8740" max="8740" width="1.85546875" style="852" customWidth="1"/>
    <col min="8741" max="8741" width="11.85546875" style="852" bestFit="1" customWidth="1"/>
    <col min="8742" max="8742" width="15.28515625" style="852" bestFit="1" customWidth="1"/>
    <col min="8743" max="8743" width="5" style="852" customWidth="1"/>
    <col min="8744" max="8744" width="10.42578125" style="852" bestFit="1" customWidth="1"/>
    <col min="8745" max="8745" width="5" style="852" customWidth="1"/>
    <col min="8746" max="8746" width="10.42578125" style="852" bestFit="1" customWidth="1"/>
    <col min="8747" max="8749" width="9" style="852"/>
    <col min="8750" max="8750" width="10.42578125" style="852" bestFit="1" customWidth="1"/>
    <col min="8751" max="8979" width="9" style="852"/>
    <col min="8980" max="8980" width="3.5703125" style="852" customWidth="1"/>
    <col min="8981" max="8981" width="4.85546875" style="852" customWidth="1"/>
    <col min="8982" max="8982" width="5.42578125" style="852" customWidth="1"/>
    <col min="8983" max="8983" width="31.28515625" style="852" customWidth="1"/>
    <col min="8984" max="8984" width="7.5703125" style="852" customWidth="1"/>
    <col min="8985" max="8985" width="2.42578125" style="852" customWidth="1"/>
    <col min="8986" max="8986" width="11.5703125" style="852" customWidth="1"/>
    <col min="8987" max="8987" width="2.42578125" style="852" customWidth="1"/>
    <col min="8988" max="8988" width="11.5703125" style="852" customWidth="1"/>
    <col min="8989" max="8989" width="2.42578125" style="852" customWidth="1"/>
    <col min="8990" max="8990" width="10.85546875" style="852" customWidth="1"/>
    <col min="8991" max="8991" width="2.42578125" style="852" customWidth="1"/>
    <col min="8992" max="8992" width="11.140625" style="852" customWidth="1"/>
    <col min="8993" max="8993" width="1.85546875" style="852" customWidth="1"/>
    <col min="8994" max="8994" width="11" style="852" customWidth="1"/>
    <col min="8995" max="8995" width="0.7109375" style="852" customWidth="1"/>
    <col min="8996" max="8996" width="1.85546875" style="852" customWidth="1"/>
    <col min="8997" max="8997" width="11.85546875" style="852" bestFit="1" customWidth="1"/>
    <col min="8998" max="8998" width="15.28515625" style="852" bestFit="1" customWidth="1"/>
    <col min="8999" max="8999" width="5" style="852" customWidth="1"/>
    <col min="9000" max="9000" width="10.42578125" style="852" bestFit="1" customWidth="1"/>
    <col min="9001" max="9001" width="5" style="852" customWidth="1"/>
    <col min="9002" max="9002" width="10.42578125" style="852" bestFit="1" customWidth="1"/>
    <col min="9003" max="9005" width="9" style="852"/>
    <col min="9006" max="9006" width="10.42578125" style="852" bestFit="1" customWidth="1"/>
    <col min="9007" max="9235" width="9" style="852"/>
    <col min="9236" max="9236" width="3.5703125" style="852" customWidth="1"/>
    <col min="9237" max="9237" width="4.85546875" style="852" customWidth="1"/>
    <col min="9238" max="9238" width="5.42578125" style="852" customWidth="1"/>
    <col min="9239" max="9239" width="31.28515625" style="852" customWidth="1"/>
    <col min="9240" max="9240" width="7.5703125" style="852" customWidth="1"/>
    <col min="9241" max="9241" width="2.42578125" style="852" customWidth="1"/>
    <col min="9242" max="9242" width="11.5703125" style="852" customWidth="1"/>
    <col min="9243" max="9243" width="2.42578125" style="852" customWidth="1"/>
    <col min="9244" max="9244" width="11.5703125" style="852" customWidth="1"/>
    <col min="9245" max="9245" width="2.42578125" style="852" customWidth="1"/>
    <col min="9246" max="9246" width="10.85546875" style="852" customWidth="1"/>
    <col min="9247" max="9247" width="2.42578125" style="852" customWidth="1"/>
    <col min="9248" max="9248" width="11.140625" style="852" customWidth="1"/>
    <col min="9249" max="9249" width="1.85546875" style="852" customWidth="1"/>
    <col min="9250" max="9250" width="11" style="852" customWidth="1"/>
    <col min="9251" max="9251" width="0.7109375" style="852" customWidth="1"/>
    <col min="9252" max="9252" width="1.85546875" style="852" customWidth="1"/>
    <col min="9253" max="9253" width="11.85546875" style="852" bestFit="1" customWidth="1"/>
    <col min="9254" max="9254" width="15.28515625" style="852" bestFit="1" customWidth="1"/>
    <col min="9255" max="9255" width="5" style="852" customWidth="1"/>
    <col min="9256" max="9256" width="10.42578125" style="852" bestFit="1" customWidth="1"/>
    <col min="9257" max="9257" width="5" style="852" customWidth="1"/>
    <col min="9258" max="9258" width="10.42578125" style="852" bestFit="1" customWidth="1"/>
    <col min="9259" max="9261" width="9" style="852"/>
    <col min="9262" max="9262" width="10.42578125" style="852" bestFit="1" customWidth="1"/>
    <col min="9263" max="9491" width="9" style="852"/>
    <col min="9492" max="9492" width="3.5703125" style="852" customWidth="1"/>
    <col min="9493" max="9493" width="4.85546875" style="852" customWidth="1"/>
    <col min="9494" max="9494" width="5.42578125" style="852" customWidth="1"/>
    <col min="9495" max="9495" width="31.28515625" style="852" customWidth="1"/>
    <col min="9496" max="9496" width="7.5703125" style="852" customWidth="1"/>
    <col min="9497" max="9497" width="2.42578125" style="852" customWidth="1"/>
    <col min="9498" max="9498" width="11.5703125" style="852" customWidth="1"/>
    <col min="9499" max="9499" width="2.42578125" style="852" customWidth="1"/>
    <col min="9500" max="9500" width="11.5703125" style="852" customWidth="1"/>
    <col min="9501" max="9501" width="2.42578125" style="852" customWidth="1"/>
    <col min="9502" max="9502" width="10.85546875" style="852" customWidth="1"/>
    <col min="9503" max="9503" width="2.42578125" style="852" customWidth="1"/>
    <col min="9504" max="9504" width="11.140625" style="852" customWidth="1"/>
    <col min="9505" max="9505" width="1.85546875" style="852" customWidth="1"/>
    <col min="9506" max="9506" width="11" style="852" customWidth="1"/>
    <col min="9507" max="9507" width="0.7109375" style="852" customWidth="1"/>
    <col min="9508" max="9508" width="1.85546875" style="852" customWidth="1"/>
    <col min="9509" max="9509" width="11.85546875" style="852" bestFit="1" customWidth="1"/>
    <col min="9510" max="9510" width="15.28515625" style="852" bestFit="1" customWidth="1"/>
    <col min="9511" max="9511" width="5" style="852" customWidth="1"/>
    <col min="9512" max="9512" width="10.42578125" style="852" bestFit="1" customWidth="1"/>
    <col min="9513" max="9513" width="5" style="852" customWidth="1"/>
    <col min="9514" max="9514" width="10.42578125" style="852" bestFit="1" customWidth="1"/>
    <col min="9515" max="9517" width="9" style="852"/>
    <col min="9518" max="9518" width="10.42578125" style="852" bestFit="1" customWidth="1"/>
    <col min="9519" max="9747" width="9" style="852"/>
    <col min="9748" max="9748" width="3.5703125" style="852" customWidth="1"/>
    <col min="9749" max="9749" width="4.85546875" style="852" customWidth="1"/>
    <col min="9750" max="9750" width="5.42578125" style="852" customWidth="1"/>
    <col min="9751" max="9751" width="31.28515625" style="852" customWidth="1"/>
    <col min="9752" max="9752" width="7.5703125" style="852" customWidth="1"/>
    <col min="9753" max="9753" width="2.42578125" style="852" customWidth="1"/>
    <col min="9754" max="9754" width="11.5703125" style="852" customWidth="1"/>
    <col min="9755" max="9755" width="2.42578125" style="852" customWidth="1"/>
    <col min="9756" max="9756" width="11.5703125" style="852" customWidth="1"/>
    <col min="9757" max="9757" width="2.42578125" style="852" customWidth="1"/>
    <col min="9758" max="9758" width="10.85546875" style="852" customWidth="1"/>
    <col min="9759" max="9759" width="2.42578125" style="852" customWidth="1"/>
    <col min="9760" max="9760" width="11.140625" style="852" customWidth="1"/>
    <col min="9761" max="9761" width="1.85546875" style="852" customWidth="1"/>
    <col min="9762" max="9762" width="11" style="852" customWidth="1"/>
    <col min="9763" max="9763" width="0.7109375" style="852" customWidth="1"/>
    <col min="9764" max="9764" width="1.85546875" style="852" customWidth="1"/>
    <col min="9765" max="9765" width="11.85546875" style="852" bestFit="1" customWidth="1"/>
    <col min="9766" max="9766" width="15.28515625" style="852" bestFit="1" customWidth="1"/>
    <col min="9767" max="9767" width="5" style="852" customWidth="1"/>
    <col min="9768" max="9768" width="10.42578125" style="852" bestFit="1" customWidth="1"/>
    <col min="9769" max="9769" width="5" style="852" customWidth="1"/>
    <col min="9770" max="9770" width="10.42578125" style="852" bestFit="1" customWidth="1"/>
    <col min="9771" max="9773" width="9" style="852"/>
    <col min="9774" max="9774" width="10.42578125" style="852" bestFit="1" customWidth="1"/>
    <col min="9775" max="10003" width="9" style="852"/>
    <col min="10004" max="10004" width="3.5703125" style="852" customWidth="1"/>
    <col min="10005" max="10005" width="4.85546875" style="852" customWidth="1"/>
    <col min="10006" max="10006" width="5.42578125" style="852" customWidth="1"/>
    <col min="10007" max="10007" width="31.28515625" style="852" customWidth="1"/>
    <col min="10008" max="10008" width="7.5703125" style="852" customWidth="1"/>
    <col min="10009" max="10009" width="2.42578125" style="852" customWidth="1"/>
    <col min="10010" max="10010" width="11.5703125" style="852" customWidth="1"/>
    <col min="10011" max="10011" width="2.42578125" style="852" customWidth="1"/>
    <col min="10012" max="10012" width="11.5703125" style="852" customWidth="1"/>
    <col min="10013" max="10013" width="2.42578125" style="852" customWidth="1"/>
    <col min="10014" max="10014" width="10.85546875" style="852" customWidth="1"/>
    <col min="10015" max="10015" width="2.42578125" style="852" customWidth="1"/>
    <col min="10016" max="10016" width="11.140625" style="852" customWidth="1"/>
    <col min="10017" max="10017" width="1.85546875" style="852" customWidth="1"/>
    <col min="10018" max="10018" width="11" style="852" customWidth="1"/>
    <col min="10019" max="10019" width="0.7109375" style="852" customWidth="1"/>
    <col min="10020" max="10020" width="1.85546875" style="852" customWidth="1"/>
    <col min="10021" max="10021" width="11.85546875" style="852" bestFit="1" customWidth="1"/>
    <col min="10022" max="10022" width="15.28515625" style="852" bestFit="1" customWidth="1"/>
    <col min="10023" max="10023" width="5" style="852" customWidth="1"/>
    <col min="10024" max="10024" width="10.42578125" style="852" bestFit="1" customWidth="1"/>
    <col min="10025" max="10025" width="5" style="852" customWidth="1"/>
    <col min="10026" max="10026" width="10.42578125" style="852" bestFit="1" customWidth="1"/>
    <col min="10027" max="10029" width="9" style="852"/>
    <col min="10030" max="10030" width="10.42578125" style="852" bestFit="1" customWidth="1"/>
    <col min="10031" max="10259" width="9" style="852"/>
    <col min="10260" max="10260" width="3.5703125" style="852" customWidth="1"/>
    <col min="10261" max="10261" width="4.85546875" style="852" customWidth="1"/>
    <col min="10262" max="10262" width="5.42578125" style="852" customWidth="1"/>
    <col min="10263" max="10263" width="31.28515625" style="852" customWidth="1"/>
    <col min="10264" max="10264" width="7.5703125" style="852" customWidth="1"/>
    <col min="10265" max="10265" width="2.42578125" style="852" customWidth="1"/>
    <col min="10266" max="10266" width="11.5703125" style="852" customWidth="1"/>
    <col min="10267" max="10267" width="2.42578125" style="852" customWidth="1"/>
    <col min="10268" max="10268" width="11.5703125" style="852" customWidth="1"/>
    <col min="10269" max="10269" width="2.42578125" style="852" customWidth="1"/>
    <col min="10270" max="10270" width="10.85546875" style="852" customWidth="1"/>
    <col min="10271" max="10271" width="2.42578125" style="852" customWidth="1"/>
    <col min="10272" max="10272" width="11.140625" style="852" customWidth="1"/>
    <col min="10273" max="10273" width="1.85546875" style="852" customWidth="1"/>
    <col min="10274" max="10274" width="11" style="852" customWidth="1"/>
    <col min="10275" max="10275" width="0.7109375" style="852" customWidth="1"/>
    <col min="10276" max="10276" width="1.85546875" style="852" customWidth="1"/>
    <col min="10277" max="10277" width="11.85546875" style="852" bestFit="1" customWidth="1"/>
    <col min="10278" max="10278" width="15.28515625" style="852" bestFit="1" customWidth="1"/>
    <col min="10279" max="10279" width="5" style="852" customWidth="1"/>
    <col min="10280" max="10280" width="10.42578125" style="852" bestFit="1" customWidth="1"/>
    <col min="10281" max="10281" width="5" style="852" customWidth="1"/>
    <col min="10282" max="10282" width="10.42578125" style="852" bestFit="1" customWidth="1"/>
    <col min="10283" max="10285" width="9" style="852"/>
    <col min="10286" max="10286" width="10.42578125" style="852" bestFit="1" customWidth="1"/>
    <col min="10287" max="10515" width="9" style="852"/>
    <col min="10516" max="10516" width="3.5703125" style="852" customWidth="1"/>
    <col min="10517" max="10517" width="4.85546875" style="852" customWidth="1"/>
    <col min="10518" max="10518" width="5.42578125" style="852" customWidth="1"/>
    <col min="10519" max="10519" width="31.28515625" style="852" customWidth="1"/>
    <col min="10520" max="10520" width="7.5703125" style="852" customWidth="1"/>
    <col min="10521" max="10521" width="2.42578125" style="852" customWidth="1"/>
    <col min="10522" max="10522" width="11.5703125" style="852" customWidth="1"/>
    <col min="10523" max="10523" width="2.42578125" style="852" customWidth="1"/>
    <col min="10524" max="10524" width="11.5703125" style="852" customWidth="1"/>
    <col min="10525" max="10525" width="2.42578125" style="852" customWidth="1"/>
    <col min="10526" max="10526" width="10.85546875" style="852" customWidth="1"/>
    <col min="10527" max="10527" width="2.42578125" style="852" customWidth="1"/>
    <col min="10528" max="10528" width="11.140625" style="852" customWidth="1"/>
    <col min="10529" max="10529" width="1.85546875" style="852" customWidth="1"/>
    <col min="10530" max="10530" width="11" style="852" customWidth="1"/>
    <col min="10531" max="10531" width="0.7109375" style="852" customWidth="1"/>
    <col min="10532" max="10532" width="1.85546875" style="852" customWidth="1"/>
    <col min="10533" max="10533" width="11.85546875" style="852" bestFit="1" customWidth="1"/>
    <col min="10534" max="10534" width="15.28515625" style="852" bestFit="1" customWidth="1"/>
    <col min="10535" max="10535" width="5" style="852" customWidth="1"/>
    <col min="10536" max="10536" width="10.42578125" style="852" bestFit="1" customWidth="1"/>
    <col min="10537" max="10537" width="5" style="852" customWidth="1"/>
    <col min="10538" max="10538" width="10.42578125" style="852" bestFit="1" customWidth="1"/>
    <col min="10539" max="10541" width="9" style="852"/>
    <col min="10542" max="10542" width="10.42578125" style="852" bestFit="1" customWidth="1"/>
    <col min="10543" max="10771" width="9" style="852"/>
    <col min="10772" max="10772" width="3.5703125" style="852" customWidth="1"/>
    <col min="10773" max="10773" width="4.85546875" style="852" customWidth="1"/>
    <col min="10774" max="10774" width="5.42578125" style="852" customWidth="1"/>
    <col min="10775" max="10775" width="31.28515625" style="852" customWidth="1"/>
    <col min="10776" max="10776" width="7.5703125" style="852" customWidth="1"/>
    <col min="10777" max="10777" width="2.42578125" style="852" customWidth="1"/>
    <col min="10778" max="10778" width="11.5703125" style="852" customWidth="1"/>
    <col min="10779" max="10779" width="2.42578125" style="852" customWidth="1"/>
    <col min="10780" max="10780" width="11.5703125" style="852" customWidth="1"/>
    <col min="10781" max="10781" width="2.42578125" style="852" customWidth="1"/>
    <col min="10782" max="10782" width="10.85546875" style="852" customWidth="1"/>
    <col min="10783" max="10783" width="2.42578125" style="852" customWidth="1"/>
    <col min="10784" max="10784" width="11.140625" style="852" customWidth="1"/>
    <col min="10785" max="10785" width="1.85546875" style="852" customWidth="1"/>
    <col min="10786" max="10786" width="11" style="852" customWidth="1"/>
    <col min="10787" max="10787" width="0.7109375" style="852" customWidth="1"/>
    <col min="10788" max="10788" width="1.85546875" style="852" customWidth="1"/>
    <col min="10789" max="10789" width="11.85546875" style="852" bestFit="1" customWidth="1"/>
    <col min="10790" max="10790" width="15.28515625" style="852" bestFit="1" customWidth="1"/>
    <col min="10791" max="10791" width="5" style="852" customWidth="1"/>
    <col min="10792" max="10792" width="10.42578125" style="852" bestFit="1" customWidth="1"/>
    <col min="10793" max="10793" width="5" style="852" customWidth="1"/>
    <col min="10794" max="10794" width="10.42578125" style="852" bestFit="1" customWidth="1"/>
    <col min="10795" max="10797" width="9" style="852"/>
    <col min="10798" max="10798" width="10.42578125" style="852" bestFit="1" customWidth="1"/>
    <col min="10799" max="11027" width="9" style="852"/>
    <col min="11028" max="11028" width="3.5703125" style="852" customWidth="1"/>
    <col min="11029" max="11029" width="4.85546875" style="852" customWidth="1"/>
    <col min="11030" max="11030" width="5.42578125" style="852" customWidth="1"/>
    <col min="11031" max="11031" width="31.28515625" style="852" customWidth="1"/>
    <col min="11032" max="11032" width="7.5703125" style="852" customWidth="1"/>
    <col min="11033" max="11033" width="2.42578125" style="852" customWidth="1"/>
    <col min="11034" max="11034" width="11.5703125" style="852" customWidth="1"/>
    <col min="11035" max="11035" width="2.42578125" style="852" customWidth="1"/>
    <col min="11036" max="11036" width="11.5703125" style="852" customWidth="1"/>
    <col min="11037" max="11037" width="2.42578125" style="852" customWidth="1"/>
    <col min="11038" max="11038" width="10.85546875" style="852" customWidth="1"/>
    <col min="11039" max="11039" width="2.42578125" style="852" customWidth="1"/>
    <col min="11040" max="11040" width="11.140625" style="852" customWidth="1"/>
    <col min="11041" max="11041" width="1.85546875" style="852" customWidth="1"/>
    <col min="11042" max="11042" width="11" style="852" customWidth="1"/>
    <col min="11043" max="11043" width="0.7109375" style="852" customWidth="1"/>
    <col min="11044" max="11044" width="1.85546875" style="852" customWidth="1"/>
    <col min="11045" max="11045" width="11.85546875" style="852" bestFit="1" customWidth="1"/>
    <col min="11046" max="11046" width="15.28515625" style="852" bestFit="1" customWidth="1"/>
    <col min="11047" max="11047" width="5" style="852" customWidth="1"/>
    <col min="11048" max="11048" width="10.42578125" style="852" bestFit="1" customWidth="1"/>
    <col min="11049" max="11049" width="5" style="852" customWidth="1"/>
    <col min="11050" max="11050" width="10.42578125" style="852" bestFit="1" customWidth="1"/>
    <col min="11051" max="11053" width="9" style="852"/>
    <col min="11054" max="11054" width="10.42578125" style="852" bestFit="1" customWidth="1"/>
    <col min="11055" max="11283" width="9" style="852"/>
    <col min="11284" max="11284" width="3.5703125" style="852" customWidth="1"/>
    <col min="11285" max="11285" width="4.85546875" style="852" customWidth="1"/>
    <col min="11286" max="11286" width="5.42578125" style="852" customWidth="1"/>
    <col min="11287" max="11287" width="31.28515625" style="852" customWidth="1"/>
    <col min="11288" max="11288" width="7.5703125" style="852" customWidth="1"/>
    <col min="11289" max="11289" width="2.42578125" style="852" customWidth="1"/>
    <col min="11290" max="11290" width="11.5703125" style="852" customWidth="1"/>
    <col min="11291" max="11291" width="2.42578125" style="852" customWidth="1"/>
    <col min="11292" max="11292" width="11.5703125" style="852" customWidth="1"/>
    <col min="11293" max="11293" width="2.42578125" style="852" customWidth="1"/>
    <col min="11294" max="11294" width="10.85546875" style="852" customWidth="1"/>
    <col min="11295" max="11295" width="2.42578125" style="852" customWidth="1"/>
    <col min="11296" max="11296" width="11.140625" style="852" customWidth="1"/>
    <col min="11297" max="11297" width="1.85546875" style="852" customWidth="1"/>
    <col min="11298" max="11298" width="11" style="852" customWidth="1"/>
    <col min="11299" max="11299" width="0.7109375" style="852" customWidth="1"/>
    <col min="11300" max="11300" width="1.85546875" style="852" customWidth="1"/>
    <col min="11301" max="11301" width="11.85546875" style="852" bestFit="1" customWidth="1"/>
    <col min="11302" max="11302" width="15.28515625" style="852" bestFit="1" customWidth="1"/>
    <col min="11303" max="11303" width="5" style="852" customWidth="1"/>
    <col min="11304" max="11304" width="10.42578125" style="852" bestFit="1" customWidth="1"/>
    <col min="11305" max="11305" width="5" style="852" customWidth="1"/>
    <col min="11306" max="11306" width="10.42578125" style="852" bestFit="1" customWidth="1"/>
    <col min="11307" max="11309" width="9" style="852"/>
    <col min="11310" max="11310" width="10.42578125" style="852" bestFit="1" customWidth="1"/>
    <col min="11311" max="11539" width="9" style="852"/>
    <col min="11540" max="11540" width="3.5703125" style="852" customWidth="1"/>
    <col min="11541" max="11541" width="4.85546875" style="852" customWidth="1"/>
    <col min="11542" max="11542" width="5.42578125" style="852" customWidth="1"/>
    <col min="11543" max="11543" width="31.28515625" style="852" customWidth="1"/>
    <col min="11544" max="11544" width="7.5703125" style="852" customWidth="1"/>
    <col min="11545" max="11545" width="2.42578125" style="852" customWidth="1"/>
    <col min="11546" max="11546" width="11.5703125" style="852" customWidth="1"/>
    <col min="11547" max="11547" width="2.42578125" style="852" customWidth="1"/>
    <col min="11548" max="11548" width="11.5703125" style="852" customWidth="1"/>
    <col min="11549" max="11549" width="2.42578125" style="852" customWidth="1"/>
    <col min="11550" max="11550" width="10.85546875" style="852" customWidth="1"/>
    <col min="11551" max="11551" width="2.42578125" style="852" customWidth="1"/>
    <col min="11552" max="11552" width="11.140625" style="852" customWidth="1"/>
    <col min="11553" max="11553" width="1.85546875" style="852" customWidth="1"/>
    <col min="11554" max="11554" width="11" style="852" customWidth="1"/>
    <col min="11555" max="11555" width="0.7109375" style="852" customWidth="1"/>
    <col min="11556" max="11556" width="1.85546875" style="852" customWidth="1"/>
    <col min="11557" max="11557" width="11.85546875" style="852" bestFit="1" customWidth="1"/>
    <col min="11558" max="11558" width="15.28515625" style="852" bestFit="1" customWidth="1"/>
    <col min="11559" max="11559" width="5" style="852" customWidth="1"/>
    <col min="11560" max="11560" width="10.42578125" style="852" bestFit="1" customWidth="1"/>
    <col min="11561" max="11561" width="5" style="852" customWidth="1"/>
    <col min="11562" max="11562" width="10.42578125" style="852" bestFit="1" customWidth="1"/>
    <col min="11563" max="11565" width="9" style="852"/>
    <col min="11566" max="11566" width="10.42578125" style="852" bestFit="1" customWidth="1"/>
    <col min="11567" max="11795" width="9" style="852"/>
    <col min="11796" max="11796" width="3.5703125" style="852" customWidth="1"/>
    <col min="11797" max="11797" width="4.85546875" style="852" customWidth="1"/>
    <col min="11798" max="11798" width="5.42578125" style="852" customWidth="1"/>
    <col min="11799" max="11799" width="31.28515625" style="852" customWidth="1"/>
    <col min="11800" max="11800" width="7.5703125" style="852" customWidth="1"/>
    <col min="11801" max="11801" width="2.42578125" style="852" customWidth="1"/>
    <col min="11802" max="11802" width="11.5703125" style="852" customWidth="1"/>
    <col min="11803" max="11803" width="2.42578125" style="852" customWidth="1"/>
    <col min="11804" max="11804" width="11.5703125" style="852" customWidth="1"/>
    <col min="11805" max="11805" width="2.42578125" style="852" customWidth="1"/>
    <col min="11806" max="11806" width="10.85546875" style="852" customWidth="1"/>
    <col min="11807" max="11807" width="2.42578125" style="852" customWidth="1"/>
    <col min="11808" max="11808" width="11.140625" style="852" customWidth="1"/>
    <col min="11809" max="11809" width="1.85546875" style="852" customWidth="1"/>
    <col min="11810" max="11810" width="11" style="852" customWidth="1"/>
    <col min="11811" max="11811" width="0.7109375" style="852" customWidth="1"/>
    <col min="11812" max="11812" width="1.85546875" style="852" customWidth="1"/>
    <col min="11813" max="11813" width="11.85546875" style="852" bestFit="1" customWidth="1"/>
    <col min="11814" max="11814" width="15.28515625" style="852" bestFit="1" customWidth="1"/>
    <col min="11815" max="11815" width="5" style="852" customWidth="1"/>
    <col min="11816" max="11816" width="10.42578125" style="852" bestFit="1" customWidth="1"/>
    <col min="11817" max="11817" width="5" style="852" customWidth="1"/>
    <col min="11818" max="11818" width="10.42578125" style="852" bestFit="1" customWidth="1"/>
    <col min="11819" max="11821" width="9" style="852"/>
    <col min="11822" max="11822" width="10.42578125" style="852" bestFit="1" customWidth="1"/>
    <col min="11823" max="12051" width="9" style="852"/>
    <col min="12052" max="12052" width="3.5703125" style="852" customWidth="1"/>
    <col min="12053" max="12053" width="4.85546875" style="852" customWidth="1"/>
    <col min="12054" max="12054" width="5.42578125" style="852" customWidth="1"/>
    <col min="12055" max="12055" width="31.28515625" style="852" customWidth="1"/>
    <col min="12056" max="12056" width="7.5703125" style="852" customWidth="1"/>
    <col min="12057" max="12057" width="2.42578125" style="852" customWidth="1"/>
    <col min="12058" max="12058" width="11.5703125" style="852" customWidth="1"/>
    <col min="12059" max="12059" width="2.42578125" style="852" customWidth="1"/>
    <col min="12060" max="12060" width="11.5703125" style="852" customWidth="1"/>
    <col min="12061" max="12061" width="2.42578125" style="852" customWidth="1"/>
    <col min="12062" max="12062" width="10.85546875" style="852" customWidth="1"/>
    <col min="12063" max="12063" width="2.42578125" style="852" customWidth="1"/>
    <col min="12064" max="12064" width="11.140625" style="852" customWidth="1"/>
    <col min="12065" max="12065" width="1.85546875" style="852" customWidth="1"/>
    <col min="12066" max="12066" width="11" style="852" customWidth="1"/>
    <col min="12067" max="12067" width="0.7109375" style="852" customWidth="1"/>
    <col min="12068" max="12068" width="1.85546875" style="852" customWidth="1"/>
    <col min="12069" max="12069" width="11.85546875" style="852" bestFit="1" customWidth="1"/>
    <col min="12070" max="12070" width="15.28515625" style="852" bestFit="1" customWidth="1"/>
    <col min="12071" max="12071" width="5" style="852" customWidth="1"/>
    <col min="12072" max="12072" width="10.42578125" style="852" bestFit="1" customWidth="1"/>
    <col min="12073" max="12073" width="5" style="852" customWidth="1"/>
    <col min="12074" max="12074" width="10.42578125" style="852" bestFit="1" customWidth="1"/>
    <col min="12075" max="12077" width="9" style="852"/>
    <col min="12078" max="12078" width="10.42578125" style="852" bestFit="1" customWidth="1"/>
    <col min="12079" max="12307" width="9" style="852"/>
    <col min="12308" max="12308" width="3.5703125" style="852" customWidth="1"/>
    <col min="12309" max="12309" width="4.85546875" style="852" customWidth="1"/>
    <col min="12310" max="12310" width="5.42578125" style="852" customWidth="1"/>
    <col min="12311" max="12311" width="31.28515625" style="852" customWidth="1"/>
    <col min="12312" max="12312" width="7.5703125" style="852" customWidth="1"/>
    <col min="12313" max="12313" width="2.42578125" style="852" customWidth="1"/>
    <col min="12314" max="12314" width="11.5703125" style="852" customWidth="1"/>
    <col min="12315" max="12315" width="2.42578125" style="852" customWidth="1"/>
    <col min="12316" max="12316" width="11.5703125" style="852" customWidth="1"/>
    <col min="12317" max="12317" width="2.42578125" style="852" customWidth="1"/>
    <col min="12318" max="12318" width="10.85546875" style="852" customWidth="1"/>
    <col min="12319" max="12319" width="2.42578125" style="852" customWidth="1"/>
    <col min="12320" max="12320" width="11.140625" style="852" customWidth="1"/>
    <col min="12321" max="12321" width="1.85546875" style="852" customWidth="1"/>
    <col min="12322" max="12322" width="11" style="852" customWidth="1"/>
    <col min="12323" max="12323" width="0.7109375" style="852" customWidth="1"/>
    <col min="12324" max="12324" width="1.85546875" style="852" customWidth="1"/>
    <col min="12325" max="12325" width="11.85546875" style="852" bestFit="1" customWidth="1"/>
    <col min="12326" max="12326" width="15.28515625" style="852" bestFit="1" customWidth="1"/>
    <col min="12327" max="12327" width="5" style="852" customWidth="1"/>
    <col min="12328" max="12328" width="10.42578125" style="852" bestFit="1" customWidth="1"/>
    <col min="12329" max="12329" width="5" style="852" customWidth="1"/>
    <col min="12330" max="12330" width="10.42578125" style="852" bestFit="1" customWidth="1"/>
    <col min="12331" max="12333" width="9" style="852"/>
    <col min="12334" max="12334" width="10.42578125" style="852" bestFit="1" customWidth="1"/>
    <col min="12335" max="12563" width="9" style="852"/>
    <col min="12564" max="12564" width="3.5703125" style="852" customWidth="1"/>
    <col min="12565" max="12565" width="4.85546875" style="852" customWidth="1"/>
    <col min="12566" max="12566" width="5.42578125" style="852" customWidth="1"/>
    <col min="12567" max="12567" width="31.28515625" style="852" customWidth="1"/>
    <col min="12568" max="12568" width="7.5703125" style="852" customWidth="1"/>
    <col min="12569" max="12569" width="2.42578125" style="852" customWidth="1"/>
    <col min="12570" max="12570" width="11.5703125" style="852" customWidth="1"/>
    <col min="12571" max="12571" width="2.42578125" style="852" customWidth="1"/>
    <col min="12572" max="12572" width="11.5703125" style="852" customWidth="1"/>
    <col min="12573" max="12573" width="2.42578125" style="852" customWidth="1"/>
    <col min="12574" max="12574" width="10.85546875" style="852" customWidth="1"/>
    <col min="12575" max="12575" width="2.42578125" style="852" customWidth="1"/>
    <col min="12576" max="12576" width="11.140625" style="852" customWidth="1"/>
    <col min="12577" max="12577" width="1.85546875" style="852" customWidth="1"/>
    <col min="12578" max="12578" width="11" style="852" customWidth="1"/>
    <col min="12579" max="12579" width="0.7109375" style="852" customWidth="1"/>
    <col min="12580" max="12580" width="1.85546875" style="852" customWidth="1"/>
    <col min="12581" max="12581" width="11.85546875" style="852" bestFit="1" customWidth="1"/>
    <col min="12582" max="12582" width="15.28515625" style="852" bestFit="1" customWidth="1"/>
    <col min="12583" max="12583" width="5" style="852" customWidth="1"/>
    <col min="12584" max="12584" width="10.42578125" style="852" bestFit="1" customWidth="1"/>
    <col min="12585" max="12585" width="5" style="852" customWidth="1"/>
    <col min="12586" max="12586" width="10.42578125" style="852" bestFit="1" customWidth="1"/>
    <col min="12587" max="12589" width="9" style="852"/>
    <col min="12590" max="12590" width="10.42578125" style="852" bestFit="1" customWidth="1"/>
    <col min="12591" max="12819" width="9" style="852"/>
    <col min="12820" max="12820" width="3.5703125" style="852" customWidth="1"/>
    <col min="12821" max="12821" width="4.85546875" style="852" customWidth="1"/>
    <col min="12822" max="12822" width="5.42578125" style="852" customWidth="1"/>
    <col min="12823" max="12823" width="31.28515625" style="852" customWidth="1"/>
    <col min="12824" max="12824" width="7.5703125" style="852" customWidth="1"/>
    <col min="12825" max="12825" width="2.42578125" style="852" customWidth="1"/>
    <col min="12826" max="12826" width="11.5703125" style="852" customWidth="1"/>
    <col min="12827" max="12827" width="2.42578125" style="852" customWidth="1"/>
    <col min="12828" max="12828" width="11.5703125" style="852" customWidth="1"/>
    <col min="12829" max="12829" width="2.42578125" style="852" customWidth="1"/>
    <col min="12830" max="12830" width="10.85546875" style="852" customWidth="1"/>
    <col min="12831" max="12831" width="2.42578125" style="852" customWidth="1"/>
    <col min="12832" max="12832" width="11.140625" style="852" customWidth="1"/>
    <col min="12833" max="12833" width="1.85546875" style="852" customWidth="1"/>
    <col min="12834" max="12834" width="11" style="852" customWidth="1"/>
    <col min="12835" max="12835" width="0.7109375" style="852" customWidth="1"/>
    <col min="12836" max="12836" width="1.85546875" style="852" customWidth="1"/>
    <col min="12837" max="12837" width="11.85546875" style="852" bestFit="1" customWidth="1"/>
    <col min="12838" max="12838" width="15.28515625" style="852" bestFit="1" customWidth="1"/>
    <col min="12839" max="12839" width="5" style="852" customWidth="1"/>
    <col min="12840" max="12840" width="10.42578125" style="852" bestFit="1" customWidth="1"/>
    <col min="12841" max="12841" width="5" style="852" customWidth="1"/>
    <col min="12842" max="12842" width="10.42578125" style="852" bestFit="1" customWidth="1"/>
    <col min="12843" max="12845" width="9" style="852"/>
    <col min="12846" max="12846" width="10.42578125" style="852" bestFit="1" customWidth="1"/>
    <col min="12847" max="13075" width="9" style="852"/>
    <col min="13076" max="13076" width="3.5703125" style="852" customWidth="1"/>
    <col min="13077" max="13077" width="4.85546875" style="852" customWidth="1"/>
    <col min="13078" max="13078" width="5.42578125" style="852" customWidth="1"/>
    <col min="13079" max="13079" width="31.28515625" style="852" customWidth="1"/>
    <col min="13080" max="13080" width="7.5703125" style="852" customWidth="1"/>
    <col min="13081" max="13081" width="2.42578125" style="852" customWidth="1"/>
    <col min="13082" max="13082" width="11.5703125" style="852" customWidth="1"/>
    <col min="13083" max="13083" width="2.42578125" style="852" customWidth="1"/>
    <col min="13084" max="13084" width="11.5703125" style="852" customWidth="1"/>
    <col min="13085" max="13085" width="2.42578125" style="852" customWidth="1"/>
    <col min="13086" max="13086" width="10.85546875" style="852" customWidth="1"/>
    <col min="13087" max="13087" width="2.42578125" style="852" customWidth="1"/>
    <col min="13088" max="13088" width="11.140625" style="852" customWidth="1"/>
    <col min="13089" max="13089" width="1.85546875" style="852" customWidth="1"/>
    <col min="13090" max="13090" width="11" style="852" customWidth="1"/>
    <col min="13091" max="13091" width="0.7109375" style="852" customWidth="1"/>
    <col min="13092" max="13092" width="1.85546875" style="852" customWidth="1"/>
    <col min="13093" max="13093" width="11.85546875" style="852" bestFit="1" customWidth="1"/>
    <col min="13094" max="13094" width="15.28515625" style="852" bestFit="1" customWidth="1"/>
    <col min="13095" max="13095" width="5" style="852" customWidth="1"/>
    <col min="13096" max="13096" width="10.42578125" style="852" bestFit="1" customWidth="1"/>
    <col min="13097" max="13097" width="5" style="852" customWidth="1"/>
    <col min="13098" max="13098" width="10.42578125" style="852" bestFit="1" customWidth="1"/>
    <col min="13099" max="13101" width="9" style="852"/>
    <col min="13102" max="13102" width="10.42578125" style="852" bestFit="1" customWidth="1"/>
    <col min="13103" max="13331" width="9" style="852"/>
    <col min="13332" max="13332" width="3.5703125" style="852" customWidth="1"/>
    <col min="13333" max="13333" width="4.85546875" style="852" customWidth="1"/>
    <col min="13334" max="13334" width="5.42578125" style="852" customWidth="1"/>
    <col min="13335" max="13335" width="31.28515625" style="852" customWidth="1"/>
    <col min="13336" max="13336" width="7.5703125" style="852" customWidth="1"/>
    <col min="13337" max="13337" width="2.42578125" style="852" customWidth="1"/>
    <col min="13338" max="13338" width="11.5703125" style="852" customWidth="1"/>
    <col min="13339" max="13339" width="2.42578125" style="852" customWidth="1"/>
    <col min="13340" max="13340" width="11.5703125" style="852" customWidth="1"/>
    <col min="13341" max="13341" width="2.42578125" style="852" customWidth="1"/>
    <col min="13342" max="13342" width="10.85546875" style="852" customWidth="1"/>
    <col min="13343" max="13343" width="2.42578125" style="852" customWidth="1"/>
    <col min="13344" max="13344" width="11.140625" style="852" customWidth="1"/>
    <col min="13345" max="13345" width="1.85546875" style="852" customWidth="1"/>
    <col min="13346" max="13346" width="11" style="852" customWidth="1"/>
    <col min="13347" max="13347" width="0.7109375" style="852" customWidth="1"/>
    <col min="13348" max="13348" width="1.85546875" style="852" customWidth="1"/>
    <col min="13349" max="13349" width="11.85546875" style="852" bestFit="1" customWidth="1"/>
    <col min="13350" max="13350" width="15.28515625" style="852" bestFit="1" customWidth="1"/>
    <col min="13351" max="13351" width="5" style="852" customWidth="1"/>
    <col min="13352" max="13352" width="10.42578125" style="852" bestFit="1" customWidth="1"/>
    <col min="13353" max="13353" width="5" style="852" customWidth="1"/>
    <col min="13354" max="13354" width="10.42578125" style="852" bestFit="1" customWidth="1"/>
    <col min="13355" max="13357" width="9" style="852"/>
    <col min="13358" max="13358" width="10.42578125" style="852" bestFit="1" customWidth="1"/>
    <col min="13359" max="13587" width="9" style="852"/>
    <col min="13588" max="13588" width="3.5703125" style="852" customWidth="1"/>
    <col min="13589" max="13589" width="4.85546875" style="852" customWidth="1"/>
    <col min="13590" max="13590" width="5.42578125" style="852" customWidth="1"/>
    <col min="13591" max="13591" width="31.28515625" style="852" customWidth="1"/>
    <col min="13592" max="13592" width="7.5703125" style="852" customWidth="1"/>
    <col min="13593" max="13593" width="2.42578125" style="852" customWidth="1"/>
    <col min="13594" max="13594" width="11.5703125" style="852" customWidth="1"/>
    <col min="13595" max="13595" width="2.42578125" style="852" customWidth="1"/>
    <col min="13596" max="13596" width="11.5703125" style="852" customWidth="1"/>
    <col min="13597" max="13597" width="2.42578125" style="852" customWidth="1"/>
    <col min="13598" max="13598" width="10.85546875" style="852" customWidth="1"/>
    <col min="13599" max="13599" width="2.42578125" style="852" customWidth="1"/>
    <col min="13600" max="13600" width="11.140625" style="852" customWidth="1"/>
    <col min="13601" max="13601" width="1.85546875" style="852" customWidth="1"/>
    <col min="13602" max="13602" width="11" style="852" customWidth="1"/>
    <col min="13603" max="13603" width="0.7109375" style="852" customWidth="1"/>
    <col min="13604" max="13604" width="1.85546875" style="852" customWidth="1"/>
    <col min="13605" max="13605" width="11.85546875" style="852" bestFit="1" customWidth="1"/>
    <col min="13606" max="13606" width="15.28515625" style="852" bestFit="1" customWidth="1"/>
    <col min="13607" max="13607" width="5" style="852" customWidth="1"/>
    <col min="13608" max="13608" width="10.42578125" style="852" bestFit="1" customWidth="1"/>
    <col min="13609" max="13609" width="5" style="852" customWidth="1"/>
    <col min="13610" max="13610" width="10.42578125" style="852" bestFit="1" customWidth="1"/>
    <col min="13611" max="13613" width="9" style="852"/>
    <col min="13614" max="13614" width="10.42578125" style="852" bestFit="1" customWidth="1"/>
    <col min="13615" max="13843" width="9" style="852"/>
    <col min="13844" max="13844" width="3.5703125" style="852" customWidth="1"/>
    <col min="13845" max="13845" width="4.85546875" style="852" customWidth="1"/>
    <col min="13846" max="13846" width="5.42578125" style="852" customWidth="1"/>
    <col min="13847" max="13847" width="31.28515625" style="852" customWidth="1"/>
    <col min="13848" max="13848" width="7.5703125" style="852" customWidth="1"/>
    <col min="13849" max="13849" width="2.42578125" style="852" customWidth="1"/>
    <col min="13850" max="13850" width="11.5703125" style="852" customWidth="1"/>
    <col min="13851" max="13851" width="2.42578125" style="852" customWidth="1"/>
    <col min="13852" max="13852" width="11.5703125" style="852" customWidth="1"/>
    <col min="13853" max="13853" width="2.42578125" style="852" customWidth="1"/>
    <col min="13854" max="13854" width="10.85546875" style="852" customWidth="1"/>
    <col min="13855" max="13855" width="2.42578125" style="852" customWidth="1"/>
    <col min="13856" max="13856" width="11.140625" style="852" customWidth="1"/>
    <col min="13857" max="13857" width="1.85546875" style="852" customWidth="1"/>
    <col min="13858" max="13858" width="11" style="852" customWidth="1"/>
    <col min="13859" max="13859" width="0.7109375" style="852" customWidth="1"/>
    <col min="13860" max="13860" width="1.85546875" style="852" customWidth="1"/>
    <col min="13861" max="13861" width="11.85546875" style="852" bestFit="1" customWidth="1"/>
    <col min="13862" max="13862" width="15.28515625" style="852" bestFit="1" customWidth="1"/>
    <col min="13863" max="13863" width="5" style="852" customWidth="1"/>
    <col min="13864" max="13864" width="10.42578125" style="852" bestFit="1" customWidth="1"/>
    <col min="13865" max="13865" width="5" style="852" customWidth="1"/>
    <col min="13866" max="13866" width="10.42578125" style="852" bestFit="1" customWidth="1"/>
    <col min="13867" max="13869" width="9" style="852"/>
    <col min="13870" max="13870" width="10.42578125" style="852" bestFit="1" customWidth="1"/>
    <col min="13871" max="14099" width="9" style="852"/>
    <col min="14100" max="14100" width="3.5703125" style="852" customWidth="1"/>
    <col min="14101" max="14101" width="4.85546875" style="852" customWidth="1"/>
    <col min="14102" max="14102" width="5.42578125" style="852" customWidth="1"/>
    <col min="14103" max="14103" width="31.28515625" style="852" customWidth="1"/>
    <col min="14104" max="14104" width="7.5703125" style="852" customWidth="1"/>
    <col min="14105" max="14105" width="2.42578125" style="852" customWidth="1"/>
    <col min="14106" max="14106" width="11.5703125" style="852" customWidth="1"/>
    <col min="14107" max="14107" width="2.42578125" style="852" customWidth="1"/>
    <col min="14108" max="14108" width="11.5703125" style="852" customWidth="1"/>
    <col min="14109" max="14109" width="2.42578125" style="852" customWidth="1"/>
    <col min="14110" max="14110" width="10.85546875" style="852" customWidth="1"/>
    <col min="14111" max="14111" width="2.42578125" style="852" customWidth="1"/>
    <col min="14112" max="14112" width="11.140625" style="852" customWidth="1"/>
    <col min="14113" max="14113" width="1.85546875" style="852" customWidth="1"/>
    <col min="14114" max="14114" width="11" style="852" customWidth="1"/>
    <col min="14115" max="14115" width="0.7109375" style="852" customWidth="1"/>
    <col min="14116" max="14116" width="1.85546875" style="852" customWidth="1"/>
    <col min="14117" max="14117" width="11.85546875" style="852" bestFit="1" customWidth="1"/>
    <col min="14118" max="14118" width="15.28515625" style="852" bestFit="1" customWidth="1"/>
    <col min="14119" max="14119" width="5" style="852" customWidth="1"/>
    <col min="14120" max="14120" width="10.42578125" style="852" bestFit="1" customWidth="1"/>
    <col min="14121" max="14121" width="5" style="852" customWidth="1"/>
    <col min="14122" max="14122" width="10.42578125" style="852" bestFit="1" customWidth="1"/>
    <col min="14123" max="14125" width="9" style="852"/>
    <col min="14126" max="14126" width="10.42578125" style="852" bestFit="1" customWidth="1"/>
    <col min="14127" max="14355" width="9" style="852"/>
    <col min="14356" max="14356" width="3.5703125" style="852" customWidth="1"/>
    <col min="14357" max="14357" width="4.85546875" style="852" customWidth="1"/>
    <col min="14358" max="14358" width="5.42578125" style="852" customWidth="1"/>
    <col min="14359" max="14359" width="31.28515625" style="852" customWidth="1"/>
    <col min="14360" max="14360" width="7.5703125" style="852" customWidth="1"/>
    <col min="14361" max="14361" width="2.42578125" style="852" customWidth="1"/>
    <col min="14362" max="14362" width="11.5703125" style="852" customWidth="1"/>
    <col min="14363" max="14363" width="2.42578125" style="852" customWidth="1"/>
    <col min="14364" max="14364" width="11.5703125" style="852" customWidth="1"/>
    <col min="14365" max="14365" width="2.42578125" style="852" customWidth="1"/>
    <col min="14366" max="14366" width="10.85546875" style="852" customWidth="1"/>
    <col min="14367" max="14367" width="2.42578125" style="852" customWidth="1"/>
    <col min="14368" max="14368" width="11.140625" style="852" customWidth="1"/>
    <col min="14369" max="14369" width="1.85546875" style="852" customWidth="1"/>
    <col min="14370" max="14370" width="11" style="852" customWidth="1"/>
    <col min="14371" max="14371" width="0.7109375" style="852" customWidth="1"/>
    <col min="14372" max="14372" width="1.85546875" style="852" customWidth="1"/>
    <col min="14373" max="14373" width="11.85546875" style="852" bestFit="1" customWidth="1"/>
    <col min="14374" max="14374" width="15.28515625" style="852" bestFit="1" customWidth="1"/>
    <col min="14375" max="14375" width="5" style="852" customWidth="1"/>
    <col min="14376" max="14376" width="10.42578125" style="852" bestFit="1" customWidth="1"/>
    <col min="14377" max="14377" width="5" style="852" customWidth="1"/>
    <col min="14378" max="14378" width="10.42578125" style="852" bestFit="1" customWidth="1"/>
    <col min="14379" max="14381" width="9" style="852"/>
    <col min="14382" max="14382" width="10.42578125" style="852" bestFit="1" customWidth="1"/>
    <col min="14383" max="14611" width="9" style="852"/>
    <col min="14612" max="14612" width="3.5703125" style="852" customWidth="1"/>
    <col min="14613" max="14613" width="4.85546875" style="852" customWidth="1"/>
    <col min="14614" max="14614" width="5.42578125" style="852" customWidth="1"/>
    <col min="14615" max="14615" width="31.28515625" style="852" customWidth="1"/>
    <col min="14616" max="14616" width="7.5703125" style="852" customWidth="1"/>
    <col min="14617" max="14617" width="2.42578125" style="852" customWidth="1"/>
    <col min="14618" max="14618" width="11.5703125" style="852" customWidth="1"/>
    <col min="14619" max="14619" width="2.42578125" style="852" customWidth="1"/>
    <col min="14620" max="14620" width="11.5703125" style="852" customWidth="1"/>
    <col min="14621" max="14621" width="2.42578125" style="852" customWidth="1"/>
    <col min="14622" max="14622" width="10.85546875" style="852" customWidth="1"/>
    <col min="14623" max="14623" width="2.42578125" style="852" customWidth="1"/>
    <col min="14624" max="14624" width="11.140625" style="852" customWidth="1"/>
    <col min="14625" max="14625" width="1.85546875" style="852" customWidth="1"/>
    <col min="14626" max="14626" width="11" style="852" customWidth="1"/>
    <col min="14627" max="14627" width="0.7109375" style="852" customWidth="1"/>
    <col min="14628" max="14628" width="1.85546875" style="852" customWidth="1"/>
    <col min="14629" max="14629" width="11.85546875" style="852" bestFit="1" customWidth="1"/>
    <col min="14630" max="14630" width="15.28515625" style="852" bestFit="1" customWidth="1"/>
    <col min="14631" max="14631" width="5" style="852" customWidth="1"/>
    <col min="14632" max="14632" width="10.42578125" style="852" bestFit="1" customWidth="1"/>
    <col min="14633" max="14633" width="5" style="852" customWidth="1"/>
    <col min="14634" max="14634" width="10.42578125" style="852" bestFit="1" customWidth="1"/>
    <col min="14635" max="14637" width="9" style="852"/>
    <col min="14638" max="14638" width="10.42578125" style="852" bestFit="1" customWidth="1"/>
    <col min="14639" max="14867" width="9" style="852"/>
    <col min="14868" max="14868" width="3.5703125" style="852" customWidth="1"/>
    <col min="14869" max="14869" width="4.85546875" style="852" customWidth="1"/>
    <col min="14870" max="14870" width="5.42578125" style="852" customWidth="1"/>
    <col min="14871" max="14871" width="31.28515625" style="852" customWidth="1"/>
    <col min="14872" max="14872" width="7.5703125" style="852" customWidth="1"/>
    <col min="14873" max="14873" width="2.42578125" style="852" customWidth="1"/>
    <col min="14874" max="14874" width="11.5703125" style="852" customWidth="1"/>
    <col min="14875" max="14875" width="2.42578125" style="852" customWidth="1"/>
    <col min="14876" max="14876" width="11.5703125" style="852" customWidth="1"/>
    <col min="14877" max="14877" width="2.42578125" style="852" customWidth="1"/>
    <col min="14878" max="14878" width="10.85546875" style="852" customWidth="1"/>
    <col min="14879" max="14879" width="2.42578125" style="852" customWidth="1"/>
    <col min="14880" max="14880" width="11.140625" style="852" customWidth="1"/>
    <col min="14881" max="14881" width="1.85546875" style="852" customWidth="1"/>
    <col min="14882" max="14882" width="11" style="852" customWidth="1"/>
    <col min="14883" max="14883" width="0.7109375" style="852" customWidth="1"/>
    <col min="14884" max="14884" width="1.85546875" style="852" customWidth="1"/>
    <col min="14885" max="14885" width="11.85546875" style="852" bestFit="1" customWidth="1"/>
    <col min="14886" max="14886" width="15.28515625" style="852" bestFit="1" customWidth="1"/>
    <col min="14887" max="14887" width="5" style="852" customWidth="1"/>
    <col min="14888" max="14888" width="10.42578125" style="852" bestFit="1" customWidth="1"/>
    <col min="14889" max="14889" width="5" style="852" customWidth="1"/>
    <col min="14890" max="14890" width="10.42578125" style="852" bestFit="1" customWidth="1"/>
    <col min="14891" max="14893" width="9" style="852"/>
    <col min="14894" max="14894" width="10.42578125" style="852" bestFit="1" customWidth="1"/>
    <col min="14895" max="15123" width="9" style="852"/>
    <col min="15124" max="15124" width="3.5703125" style="852" customWidth="1"/>
    <col min="15125" max="15125" width="4.85546875" style="852" customWidth="1"/>
    <col min="15126" max="15126" width="5.42578125" style="852" customWidth="1"/>
    <col min="15127" max="15127" width="31.28515625" style="852" customWidth="1"/>
    <col min="15128" max="15128" width="7.5703125" style="852" customWidth="1"/>
    <col min="15129" max="15129" width="2.42578125" style="852" customWidth="1"/>
    <col min="15130" max="15130" width="11.5703125" style="852" customWidth="1"/>
    <col min="15131" max="15131" width="2.42578125" style="852" customWidth="1"/>
    <col min="15132" max="15132" width="11.5703125" style="852" customWidth="1"/>
    <col min="15133" max="15133" width="2.42578125" style="852" customWidth="1"/>
    <col min="15134" max="15134" width="10.85546875" style="852" customWidth="1"/>
    <col min="15135" max="15135" width="2.42578125" style="852" customWidth="1"/>
    <col min="15136" max="15136" width="11.140625" style="852" customWidth="1"/>
    <col min="15137" max="15137" width="1.85546875" style="852" customWidth="1"/>
    <col min="15138" max="15138" width="11" style="852" customWidth="1"/>
    <col min="15139" max="15139" width="0.7109375" style="852" customWidth="1"/>
    <col min="15140" max="15140" width="1.85546875" style="852" customWidth="1"/>
    <col min="15141" max="15141" width="11.85546875" style="852" bestFit="1" customWidth="1"/>
    <col min="15142" max="15142" width="15.28515625" style="852" bestFit="1" customWidth="1"/>
    <col min="15143" max="15143" width="5" style="852" customWidth="1"/>
    <col min="15144" max="15144" width="10.42578125" style="852" bestFit="1" customWidth="1"/>
    <col min="15145" max="15145" width="5" style="852" customWidth="1"/>
    <col min="15146" max="15146" width="10.42578125" style="852" bestFit="1" customWidth="1"/>
    <col min="15147" max="15149" width="9" style="852"/>
    <col min="15150" max="15150" width="10.42578125" style="852" bestFit="1" customWidth="1"/>
    <col min="15151" max="15379" width="9" style="852"/>
    <col min="15380" max="15380" width="3.5703125" style="852" customWidth="1"/>
    <col min="15381" max="15381" width="4.85546875" style="852" customWidth="1"/>
    <col min="15382" max="15382" width="5.42578125" style="852" customWidth="1"/>
    <col min="15383" max="15383" width="31.28515625" style="852" customWidth="1"/>
    <col min="15384" max="15384" width="7.5703125" style="852" customWidth="1"/>
    <col min="15385" max="15385" width="2.42578125" style="852" customWidth="1"/>
    <col min="15386" max="15386" width="11.5703125" style="852" customWidth="1"/>
    <col min="15387" max="15387" width="2.42578125" style="852" customWidth="1"/>
    <col min="15388" max="15388" width="11.5703125" style="852" customWidth="1"/>
    <col min="15389" max="15389" width="2.42578125" style="852" customWidth="1"/>
    <col min="15390" max="15390" width="10.85546875" style="852" customWidth="1"/>
    <col min="15391" max="15391" width="2.42578125" style="852" customWidth="1"/>
    <col min="15392" max="15392" width="11.140625" style="852" customWidth="1"/>
    <col min="15393" max="15393" width="1.85546875" style="852" customWidth="1"/>
    <col min="15394" max="15394" width="11" style="852" customWidth="1"/>
    <col min="15395" max="15395" width="0.7109375" style="852" customWidth="1"/>
    <col min="15396" max="15396" width="1.85546875" style="852" customWidth="1"/>
    <col min="15397" max="15397" width="11.85546875" style="852" bestFit="1" customWidth="1"/>
    <col min="15398" max="15398" width="15.28515625" style="852" bestFit="1" customWidth="1"/>
    <col min="15399" max="15399" width="5" style="852" customWidth="1"/>
    <col min="15400" max="15400" width="10.42578125" style="852" bestFit="1" customWidth="1"/>
    <col min="15401" max="15401" width="5" style="852" customWidth="1"/>
    <col min="15402" max="15402" width="10.42578125" style="852" bestFit="1" customWidth="1"/>
    <col min="15403" max="15405" width="9" style="852"/>
    <col min="15406" max="15406" width="10.42578125" style="852" bestFit="1" customWidth="1"/>
    <col min="15407" max="15635" width="9" style="852"/>
    <col min="15636" max="15636" width="3.5703125" style="852" customWidth="1"/>
    <col min="15637" max="15637" width="4.85546875" style="852" customWidth="1"/>
    <col min="15638" max="15638" width="5.42578125" style="852" customWidth="1"/>
    <col min="15639" max="15639" width="31.28515625" style="852" customWidth="1"/>
    <col min="15640" max="15640" width="7.5703125" style="852" customWidth="1"/>
    <col min="15641" max="15641" width="2.42578125" style="852" customWidth="1"/>
    <col min="15642" max="15642" width="11.5703125" style="852" customWidth="1"/>
    <col min="15643" max="15643" width="2.42578125" style="852" customWidth="1"/>
    <col min="15644" max="15644" width="11.5703125" style="852" customWidth="1"/>
    <col min="15645" max="15645" width="2.42578125" style="852" customWidth="1"/>
    <col min="15646" max="15646" width="10.85546875" style="852" customWidth="1"/>
    <col min="15647" max="15647" width="2.42578125" style="852" customWidth="1"/>
    <col min="15648" max="15648" width="11.140625" style="852" customWidth="1"/>
    <col min="15649" max="15649" width="1.85546875" style="852" customWidth="1"/>
    <col min="15650" max="15650" width="11" style="852" customWidth="1"/>
    <col min="15651" max="15651" width="0.7109375" style="852" customWidth="1"/>
    <col min="15652" max="15652" width="1.85546875" style="852" customWidth="1"/>
    <col min="15653" max="15653" width="11.85546875" style="852" bestFit="1" customWidth="1"/>
    <col min="15654" max="15654" width="15.28515625" style="852" bestFit="1" customWidth="1"/>
    <col min="15655" max="15655" width="5" style="852" customWidth="1"/>
    <col min="15656" max="15656" width="10.42578125" style="852" bestFit="1" customWidth="1"/>
    <col min="15657" max="15657" width="5" style="852" customWidth="1"/>
    <col min="15658" max="15658" width="10.42578125" style="852" bestFit="1" customWidth="1"/>
    <col min="15659" max="15661" width="9" style="852"/>
    <col min="15662" max="15662" width="10.42578125" style="852" bestFit="1" customWidth="1"/>
    <col min="15663" max="15891" width="9" style="852"/>
    <col min="15892" max="15892" width="3.5703125" style="852" customWidth="1"/>
    <col min="15893" max="15893" width="4.85546875" style="852" customWidth="1"/>
    <col min="15894" max="15894" width="5.42578125" style="852" customWidth="1"/>
    <col min="15895" max="15895" width="31.28515625" style="852" customWidth="1"/>
    <col min="15896" max="15896" width="7.5703125" style="852" customWidth="1"/>
    <col min="15897" max="15897" width="2.42578125" style="852" customWidth="1"/>
    <col min="15898" max="15898" width="11.5703125" style="852" customWidth="1"/>
    <col min="15899" max="15899" width="2.42578125" style="852" customWidth="1"/>
    <col min="15900" max="15900" width="11.5703125" style="852" customWidth="1"/>
    <col min="15901" max="15901" width="2.42578125" style="852" customWidth="1"/>
    <col min="15902" max="15902" width="10.85546875" style="852" customWidth="1"/>
    <col min="15903" max="15903" width="2.42578125" style="852" customWidth="1"/>
    <col min="15904" max="15904" width="11.140625" style="852" customWidth="1"/>
    <col min="15905" max="15905" width="1.85546875" style="852" customWidth="1"/>
    <col min="15906" max="15906" width="11" style="852" customWidth="1"/>
    <col min="15907" max="15907" width="0.7109375" style="852" customWidth="1"/>
    <col min="15908" max="15908" width="1.85546875" style="852" customWidth="1"/>
    <col min="15909" max="15909" width="11.85546875" style="852" bestFit="1" customWidth="1"/>
    <col min="15910" max="15910" width="15.28515625" style="852" bestFit="1" customWidth="1"/>
    <col min="15911" max="15911" width="5" style="852" customWidth="1"/>
    <col min="15912" max="15912" width="10.42578125" style="852" bestFit="1" customWidth="1"/>
    <col min="15913" max="15913" width="5" style="852" customWidth="1"/>
    <col min="15914" max="15914" width="10.42578125" style="852" bestFit="1" customWidth="1"/>
    <col min="15915" max="15917" width="9" style="852"/>
    <col min="15918" max="15918" width="10.42578125" style="852" bestFit="1" customWidth="1"/>
    <col min="15919" max="16147" width="9" style="852"/>
    <col min="16148" max="16148" width="3.5703125" style="852" customWidth="1"/>
    <col min="16149" max="16149" width="4.85546875" style="852" customWidth="1"/>
    <col min="16150" max="16150" width="5.42578125" style="852" customWidth="1"/>
    <col min="16151" max="16151" width="31.28515625" style="852" customWidth="1"/>
    <col min="16152" max="16152" width="7.5703125" style="852" customWidth="1"/>
    <col min="16153" max="16153" width="2.42578125" style="852" customWidth="1"/>
    <col min="16154" max="16154" width="11.5703125" style="852" customWidth="1"/>
    <col min="16155" max="16155" width="2.42578125" style="852" customWidth="1"/>
    <col min="16156" max="16156" width="11.5703125" style="852" customWidth="1"/>
    <col min="16157" max="16157" width="2.42578125" style="852" customWidth="1"/>
    <col min="16158" max="16158" width="10.85546875" style="852" customWidth="1"/>
    <col min="16159" max="16159" width="2.42578125" style="852" customWidth="1"/>
    <col min="16160" max="16160" width="11.140625" style="852" customWidth="1"/>
    <col min="16161" max="16161" width="1.85546875" style="852" customWidth="1"/>
    <col min="16162" max="16162" width="11" style="852" customWidth="1"/>
    <col min="16163" max="16163" width="0.7109375" style="852" customWidth="1"/>
    <col min="16164" max="16164" width="1.85546875" style="852" customWidth="1"/>
    <col min="16165" max="16165" width="11.85546875" style="852" bestFit="1" customWidth="1"/>
    <col min="16166" max="16166" width="15.28515625" style="852" bestFit="1" customWidth="1"/>
    <col min="16167" max="16167" width="5" style="852" customWidth="1"/>
    <col min="16168" max="16168" width="10.42578125" style="852" bestFit="1" customWidth="1"/>
    <col min="16169" max="16169" width="5" style="852" customWidth="1"/>
    <col min="16170" max="16170" width="10.42578125" style="852" bestFit="1" customWidth="1"/>
    <col min="16171" max="16173" width="9" style="852"/>
    <col min="16174" max="16174" width="10.42578125" style="852" bestFit="1" customWidth="1"/>
    <col min="16175" max="16382" width="9" style="852"/>
    <col min="16383" max="16384" width="9" style="852" customWidth="1"/>
  </cols>
  <sheetData>
    <row r="1" spans="1:10" s="830" customFormat="1" ht="27" customHeight="1" x14ac:dyDescent="0.25">
      <c r="A1" s="1383" t="s">
        <v>244</v>
      </c>
      <c r="B1" s="1383"/>
      <c r="C1" s="1383"/>
      <c r="D1" s="1383"/>
      <c r="E1" s="1383"/>
      <c r="F1" s="1383"/>
      <c r="G1" s="1383"/>
      <c r="H1" s="1383"/>
      <c r="I1" s="1383"/>
      <c r="J1" s="1383"/>
    </row>
    <row r="2" spans="1:10" s="830" customFormat="1" ht="27" customHeight="1" x14ac:dyDescent="0.25">
      <c r="A2" s="1383" t="s">
        <v>492</v>
      </c>
      <c r="B2" s="1383"/>
      <c r="C2" s="1383"/>
      <c r="D2" s="1383"/>
      <c r="E2" s="1383"/>
      <c r="F2" s="1383"/>
      <c r="G2" s="1383"/>
      <c r="H2" s="1383"/>
      <c r="I2" s="1383"/>
      <c r="J2" s="1383"/>
    </row>
    <row r="3" spans="1:10" s="830" customFormat="1" ht="27" customHeight="1" x14ac:dyDescent="0.25">
      <c r="A3" s="1383" t="str">
        <f>سودوزيان!A3</f>
        <v>سال مالی منتهی به 30 اسفند 1403</v>
      </c>
      <c r="B3" s="1383"/>
      <c r="C3" s="1383"/>
      <c r="D3" s="1383"/>
      <c r="E3" s="1383"/>
      <c r="F3" s="1383"/>
      <c r="G3" s="1383"/>
      <c r="H3" s="1383"/>
      <c r="I3" s="1383"/>
      <c r="J3" s="1383"/>
    </row>
    <row r="5" spans="1:10" ht="33.75" customHeight="1" x14ac:dyDescent="0.25">
      <c r="A5" s="855" t="s">
        <v>1062</v>
      </c>
      <c r="B5" s="1092" t="s">
        <v>1249</v>
      </c>
    </row>
    <row r="6" spans="1:10" ht="38.25" customHeight="1" thickBot="1" x14ac:dyDescent="0.3">
      <c r="C6"/>
      <c r="D6" s="1074" t="s">
        <v>956</v>
      </c>
      <c r="E6" s="853"/>
      <c r="F6" s="856" t="s">
        <v>110</v>
      </c>
      <c r="G6" s="853"/>
      <c r="H6" s="856" t="s">
        <v>744</v>
      </c>
      <c r="I6" s="853"/>
      <c r="J6" s="1074" t="s">
        <v>1110</v>
      </c>
    </row>
    <row r="7" spans="1:10" ht="34.5" customHeight="1" x14ac:dyDescent="0.25">
      <c r="B7" s="852" t="s">
        <v>675</v>
      </c>
      <c r="C7" s="852"/>
      <c r="D7" s="414">
        <v>3535674000</v>
      </c>
      <c r="E7" s="427"/>
      <c r="F7" s="414">
        <v>0</v>
      </c>
      <c r="G7" s="414"/>
      <c r="H7" s="414">
        <v>0</v>
      </c>
      <c r="I7" s="414"/>
      <c r="J7" s="414">
        <f t="shared" ref="J7:J19" si="0">D7+F7-H7</f>
        <v>3535674000</v>
      </c>
    </row>
    <row r="8" spans="1:10" ht="34.5" customHeight="1" x14ac:dyDescent="0.25">
      <c r="B8" s="852" t="s">
        <v>745</v>
      </c>
      <c r="C8" s="857"/>
      <c r="D8" s="414">
        <v>3360000000</v>
      </c>
      <c r="E8" s="427"/>
      <c r="F8" s="414"/>
      <c r="G8" s="414"/>
      <c r="H8" s="414"/>
      <c r="I8" s="414"/>
      <c r="J8" s="414">
        <f t="shared" si="0"/>
        <v>3360000000</v>
      </c>
    </row>
    <row r="9" spans="1:10" ht="34.5" customHeight="1" x14ac:dyDescent="0.25">
      <c r="B9" s="852" t="s">
        <v>746</v>
      </c>
      <c r="C9" s="852"/>
      <c r="D9" s="414">
        <v>2519283360</v>
      </c>
      <c r="E9" s="427"/>
      <c r="F9" s="414"/>
      <c r="G9" s="414"/>
      <c r="H9" s="414"/>
      <c r="I9" s="414"/>
      <c r="J9" s="414">
        <f t="shared" si="0"/>
        <v>2519283360</v>
      </c>
    </row>
    <row r="10" spans="1:10" ht="34.5" customHeight="1" x14ac:dyDescent="0.25">
      <c r="B10" s="852" t="s">
        <v>677</v>
      </c>
      <c r="C10" s="852"/>
      <c r="D10" s="414">
        <v>1091362500</v>
      </c>
      <c r="E10" s="427"/>
      <c r="F10" s="414">
        <v>1042312500</v>
      </c>
      <c r="G10" s="414"/>
      <c r="H10" s="414">
        <v>2133675000</v>
      </c>
      <c r="I10" s="414"/>
      <c r="J10" s="414">
        <f t="shared" si="0"/>
        <v>0</v>
      </c>
    </row>
    <row r="11" spans="1:10" ht="34.5" customHeight="1" x14ac:dyDescent="0.25">
      <c r="B11" s="852" t="s">
        <v>747</v>
      </c>
      <c r="C11" s="857"/>
      <c r="D11" s="414">
        <v>708445500</v>
      </c>
      <c r="E11" s="427"/>
      <c r="F11" s="414">
        <v>0</v>
      </c>
      <c r="G11" s="414"/>
      <c r="H11" s="414">
        <v>0</v>
      </c>
      <c r="I11" s="414"/>
      <c r="J11" s="414">
        <f t="shared" si="0"/>
        <v>708445500</v>
      </c>
    </row>
    <row r="12" spans="1:10" ht="34.5" customHeight="1" x14ac:dyDescent="0.25">
      <c r="B12" s="852" t="s">
        <v>961</v>
      </c>
      <c r="C12" s="857"/>
      <c r="D12" s="414">
        <v>240000000</v>
      </c>
      <c r="E12" s="427"/>
      <c r="F12" s="414">
        <v>0</v>
      </c>
      <c r="G12" s="414"/>
      <c r="H12" s="414">
        <v>240000000</v>
      </c>
      <c r="I12" s="414"/>
      <c r="J12" s="414">
        <f t="shared" si="0"/>
        <v>0</v>
      </c>
    </row>
    <row r="13" spans="1:10" ht="34.5" customHeight="1" x14ac:dyDescent="0.25">
      <c r="B13" s="852" t="s">
        <v>748</v>
      </c>
      <c r="C13" s="857"/>
      <c r="D13" s="414">
        <v>30000000</v>
      </c>
      <c r="E13" s="427"/>
      <c r="F13" s="414">
        <v>0</v>
      </c>
      <c r="G13" s="414"/>
      <c r="H13" s="414">
        <v>30000000</v>
      </c>
      <c r="I13" s="414"/>
      <c r="J13" s="414">
        <f t="shared" si="0"/>
        <v>0</v>
      </c>
    </row>
    <row r="14" spans="1:10" ht="34.5" customHeight="1" x14ac:dyDescent="0.25">
      <c r="B14" s="1092" t="s">
        <v>1124</v>
      </c>
      <c r="C14" s="857"/>
      <c r="D14" s="414">
        <v>0</v>
      </c>
      <c r="E14" s="427"/>
      <c r="F14" s="414">
        <v>847000000</v>
      </c>
      <c r="G14" s="414"/>
      <c r="H14" s="414">
        <v>0</v>
      </c>
      <c r="I14" s="414"/>
      <c r="J14" s="414">
        <f t="shared" si="0"/>
        <v>847000000</v>
      </c>
    </row>
    <row r="15" spans="1:10" ht="34.5" customHeight="1" x14ac:dyDescent="0.25">
      <c r="B15" s="1092" t="s">
        <v>1125</v>
      </c>
      <c r="C15" s="857"/>
      <c r="D15" s="414">
        <v>0</v>
      </c>
      <c r="E15" s="427"/>
      <c r="F15" s="414">
        <v>831457440</v>
      </c>
      <c r="G15" s="414"/>
      <c r="H15" s="414">
        <v>0</v>
      </c>
      <c r="I15" s="414"/>
      <c r="J15" s="414">
        <f t="shared" si="0"/>
        <v>831457440</v>
      </c>
    </row>
    <row r="16" spans="1:10" ht="34.5" customHeight="1" x14ac:dyDescent="0.25">
      <c r="B16" s="1092" t="s">
        <v>1126</v>
      </c>
      <c r="C16" s="857"/>
      <c r="D16" s="414">
        <v>0</v>
      </c>
      <c r="E16" s="427"/>
      <c r="F16" s="414">
        <v>3085500000</v>
      </c>
      <c r="G16" s="414"/>
      <c r="H16" s="414">
        <v>0</v>
      </c>
      <c r="I16" s="414"/>
      <c r="J16" s="414">
        <f t="shared" si="0"/>
        <v>3085500000</v>
      </c>
    </row>
    <row r="17" spans="1:19" ht="34.5" customHeight="1" x14ac:dyDescent="0.25">
      <c r="B17" s="1092" t="s">
        <v>1127</v>
      </c>
      <c r="C17" s="1087"/>
      <c r="D17" s="414">
        <v>0</v>
      </c>
      <c r="E17" s="427"/>
      <c r="F17" s="414">
        <v>4334000000</v>
      </c>
      <c r="G17" s="414"/>
      <c r="H17" s="414">
        <v>4334000000</v>
      </c>
      <c r="I17" s="414"/>
      <c r="J17" s="414">
        <f t="shared" si="0"/>
        <v>0</v>
      </c>
    </row>
    <row r="18" spans="1:19" ht="34.5" customHeight="1" x14ac:dyDescent="0.25">
      <c r="B18" s="1092" t="s">
        <v>678</v>
      </c>
      <c r="C18" s="1087"/>
      <c r="D18" s="414">
        <v>0</v>
      </c>
      <c r="E18" s="427"/>
      <c r="F18" s="414">
        <v>4565000000</v>
      </c>
      <c r="G18" s="414"/>
      <c r="H18" s="414">
        <v>4565000000</v>
      </c>
      <c r="I18" s="414"/>
      <c r="J18" s="414">
        <f t="shared" si="0"/>
        <v>0</v>
      </c>
    </row>
    <row r="19" spans="1:19" ht="34.5" customHeight="1" x14ac:dyDescent="0.25">
      <c r="B19" s="1092" t="s">
        <v>1128</v>
      </c>
      <c r="C19" s="857"/>
      <c r="D19" s="414">
        <v>0</v>
      </c>
      <c r="E19" s="427"/>
      <c r="F19" s="414">
        <v>1104730000</v>
      </c>
      <c r="G19" s="414"/>
      <c r="H19" s="414">
        <v>1104730000</v>
      </c>
      <c r="I19" s="414"/>
      <c r="J19" s="414">
        <f t="shared" si="0"/>
        <v>0</v>
      </c>
    </row>
    <row r="20" spans="1:19" ht="34.5" customHeight="1" x14ac:dyDescent="0.25">
      <c r="B20" s="1092" t="s">
        <v>130</v>
      </c>
      <c r="C20" s="1157"/>
      <c r="D20" s="414">
        <v>904031500</v>
      </c>
      <c r="E20" s="427"/>
      <c r="F20" s="414">
        <v>0</v>
      </c>
      <c r="G20" s="414"/>
      <c r="H20" s="414"/>
      <c r="I20" s="414"/>
      <c r="J20" s="414">
        <f>D20+F20-H20</f>
        <v>904031500</v>
      </c>
    </row>
    <row r="21" spans="1:19" ht="34.5" customHeight="1" thickBot="1" x14ac:dyDescent="0.3">
      <c r="D21" s="1323">
        <f>SUM(D7:D20)</f>
        <v>12388796860</v>
      </c>
      <c r="E21" s="427"/>
      <c r="F21" s="858">
        <f>SUM(F7:F20)</f>
        <v>15809999940</v>
      </c>
      <c r="G21" s="414"/>
      <c r="H21" s="858">
        <f>SUM(H7:H19)</f>
        <v>12407405000</v>
      </c>
      <c r="I21" s="414"/>
      <c r="J21" s="858">
        <f>SUM(J7:J20)</f>
        <v>15791391800</v>
      </c>
      <c r="Q21" s="852" t="b">
        <f>D21='12-1'!X17</f>
        <v>1</v>
      </c>
      <c r="S21" s="852" t="b">
        <f>J21='12-1'!X16</f>
        <v>1</v>
      </c>
    </row>
    <row r="22" spans="1:19" ht="27" thickTop="1" x14ac:dyDescent="0.25">
      <c r="B22" s="1500"/>
      <c r="C22" s="1500"/>
      <c r="D22" s="1500"/>
      <c r="E22" s="1500"/>
      <c r="F22" s="1500"/>
      <c r="G22" s="1500"/>
      <c r="H22" s="1500"/>
      <c r="I22" s="1500"/>
      <c r="J22" s="1500"/>
      <c r="K22" s="1500"/>
      <c r="L22" s="1500"/>
      <c r="M22" s="1500"/>
      <c r="N22" s="1500"/>
      <c r="O22" s="1500"/>
    </row>
    <row r="23" spans="1:19" ht="49.5" customHeight="1" x14ac:dyDescent="0.25">
      <c r="A23" s="1499" t="s">
        <v>1063</v>
      </c>
      <c r="B23" s="1501" t="s">
        <v>1306</v>
      </c>
      <c r="C23" s="1502"/>
      <c r="D23" s="1502"/>
      <c r="E23" s="1502"/>
      <c r="F23" s="1502"/>
      <c r="G23" s="1502"/>
      <c r="H23" s="1502"/>
      <c r="I23" s="1502"/>
      <c r="J23" s="1502"/>
      <c r="K23" s="1502"/>
    </row>
    <row r="24" spans="1:19" ht="30.75" customHeight="1" x14ac:dyDescent="0.25">
      <c r="A24" s="1499"/>
      <c r="B24" s="1502"/>
      <c r="C24" s="1502"/>
      <c r="D24" s="1502"/>
      <c r="E24" s="1502"/>
      <c r="F24" s="1502"/>
      <c r="G24" s="1502"/>
      <c r="H24" s="1502"/>
      <c r="I24" s="1502"/>
      <c r="J24" s="1502"/>
      <c r="K24" s="1502"/>
    </row>
    <row r="25" spans="1:19" ht="30" customHeight="1" x14ac:dyDescent="0.25">
      <c r="B25" s="1498"/>
      <c r="C25" s="1498"/>
      <c r="D25" s="1498"/>
      <c r="E25" s="1498"/>
      <c r="F25" s="1498"/>
      <c r="G25" s="1498"/>
      <c r="H25" s="1498"/>
    </row>
    <row r="26" spans="1:19" ht="30" customHeight="1" x14ac:dyDescent="0.25">
      <c r="B26" s="1498"/>
      <c r="C26" s="1498"/>
      <c r="D26" s="1498"/>
      <c r="E26" s="1498"/>
      <c r="F26" s="1498"/>
      <c r="G26" s="1498"/>
      <c r="H26" s="1498"/>
    </row>
    <row r="27" spans="1:19" ht="33" customHeight="1" x14ac:dyDescent="0.25">
      <c r="B27" s="1498"/>
      <c r="C27" s="1498"/>
      <c r="D27" s="1498"/>
      <c r="E27" s="1498"/>
      <c r="F27" s="1498"/>
      <c r="G27" s="1498"/>
      <c r="H27" s="1498"/>
    </row>
    <row r="28" spans="1:19" ht="35.25" customHeight="1" x14ac:dyDescent="0.25">
      <c r="B28" s="1498"/>
      <c r="C28" s="1498"/>
      <c r="D28" s="1498"/>
      <c r="E28" s="1498"/>
      <c r="F28" s="1498"/>
      <c r="G28" s="1498"/>
      <c r="H28" s="1498"/>
    </row>
    <row r="29" spans="1:19" ht="33" customHeight="1" x14ac:dyDescent="0.25">
      <c r="B29" s="1498"/>
      <c r="C29" s="1498"/>
      <c r="D29" s="1498"/>
      <c r="E29" s="1498"/>
      <c r="F29" s="1498"/>
      <c r="G29" s="1498"/>
      <c r="H29" s="1498"/>
    </row>
    <row r="30" spans="1:19" x14ac:dyDescent="0.25">
      <c r="B30" s="1498"/>
      <c r="C30" s="1498"/>
      <c r="D30" s="1498"/>
      <c r="E30" s="1498"/>
      <c r="F30" s="1498"/>
      <c r="G30" s="1498"/>
      <c r="H30" s="1498"/>
    </row>
    <row r="33" spans="1:10" x14ac:dyDescent="0.25">
      <c r="A33" s="1497" t="s">
        <v>813</v>
      </c>
      <c r="B33" s="1497"/>
      <c r="C33" s="1497"/>
      <c r="D33" s="1497"/>
      <c r="E33" s="1497"/>
      <c r="F33" s="1497"/>
      <c r="G33" s="1497"/>
      <c r="H33" s="1497"/>
      <c r="I33" s="1497"/>
      <c r="J33" s="1497"/>
    </row>
  </sheetData>
  <customSheetViews>
    <customSheetView guid="{39716EAB-185B-4ADF-90CF-1B1041867F58}" scale="70" showPageBreaks="1" printArea="1" view="pageBreakPreview" topLeftCell="A10">
      <selection activeCell="A52" sqref="A52:I57"/>
      <colBreaks count="1" manualBreakCount="1">
        <brk id="14" max="114" man="1"/>
      </colBreaks>
      <pageMargins left="0" right="0" top="0" bottom="0" header="0" footer="0"/>
      <printOptions horizontalCentered="1" verticalCentered="1"/>
      <pageSetup paperSize="9" scale="42" orientation="portrait" r:id="rId1"/>
    </customSheetView>
    <customSheetView guid="{5CB8382F-C212-4512-9396-17792C62978E}" scale="70" showPageBreaks="1" printArea="1" view="pageBreakPreview" topLeftCell="A10">
      <selection activeCell="A52" sqref="A52:I57"/>
      <colBreaks count="1" manualBreakCount="1">
        <brk id="14" max="114" man="1"/>
      </colBreaks>
      <pageMargins left="0" right="0" top="0" bottom="0" header="0" footer="0"/>
      <printOptions horizontalCentered="1" verticalCentered="1"/>
      <pageSetup paperSize="9" scale="42" orientation="portrait" r:id="rId2"/>
    </customSheetView>
    <customSheetView guid="{184BCED3-EADB-44CF-BFDA-DA8D3E7206C0}" scale="70" showPageBreaks="1" printArea="1" view="pageBreakPreview" topLeftCell="B43">
      <selection activeCell="I47" sqref="I47"/>
      <colBreaks count="1" manualBreakCount="1">
        <brk id="14" max="114" man="1"/>
      </colBreaks>
      <pageMargins left="0" right="0" top="0" bottom="0" header="0" footer="0"/>
      <printOptions horizontalCentered="1" verticalCentered="1"/>
      <pageSetup paperSize="9" scale="42" orientation="portrait" r:id="rId3"/>
    </customSheetView>
  </customSheetViews>
  <mergeCells count="13">
    <mergeCell ref="A23:A24"/>
    <mergeCell ref="A1:J1"/>
    <mergeCell ref="B22:O22"/>
    <mergeCell ref="A3:J3"/>
    <mergeCell ref="A2:J2"/>
    <mergeCell ref="B23:K24"/>
    <mergeCell ref="A33:J33"/>
    <mergeCell ref="B29:H29"/>
    <mergeCell ref="B30:H30"/>
    <mergeCell ref="B25:H25"/>
    <mergeCell ref="B26:H26"/>
    <mergeCell ref="B27:H27"/>
    <mergeCell ref="B28:H28"/>
  </mergeCells>
  <conditionalFormatting sqref="D7:D21">
    <cfRule type="cellIs" dxfId="92" priority="3" stopIfTrue="1" operator="lessThan">
      <formula>0</formula>
    </cfRule>
  </conditionalFormatting>
  <conditionalFormatting sqref="F7:J21">
    <cfRule type="cellIs" dxfId="91" priority="1" stopIfTrue="1" operator="lessThan">
      <formula>0</formula>
    </cfRule>
  </conditionalFormatting>
  <printOptions horizontalCentered="1" verticalCentered="1"/>
  <pageMargins left="0" right="0" top="0" bottom="3.5" header="0" footer="0"/>
  <pageSetup paperSize="9" scale="55" orientation="portrait" r:id="rId4"/>
  <colBreaks count="1" manualBreakCount="1">
    <brk id="12" max="114"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W46"/>
  <sheetViews>
    <sheetView rightToLeft="1" view="pageBreakPreview" topLeftCell="A12" zoomScale="72" zoomScaleSheetLayoutView="72" workbookViewId="0">
      <selection activeCell="O21" sqref="O21"/>
    </sheetView>
  </sheetViews>
  <sheetFormatPr defaultRowHeight="24" x14ac:dyDescent="0.25"/>
  <cols>
    <col min="1" max="1" width="11.5703125" style="491" customWidth="1"/>
    <col min="2" max="2" width="7.140625" style="440" customWidth="1"/>
    <col min="3" max="3" width="0.7109375" style="440" customWidth="1"/>
    <col min="4" max="4" width="15" style="440" customWidth="1"/>
    <col min="5" max="5" width="14.5703125" style="440" customWidth="1"/>
    <col min="6" max="6" width="1" style="440" customWidth="1"/>
    <col min="7" max="7" width="12.7109375" style="346" customWidth="1"/>
    <col min="8" max="8" width="1" style="440" customWidth="1"/>
    <col min="9" max="9" width="25.140625" style="440" bestFit="1" customWidth="1"/>
    <col min="10" max="10" width="0.7109375" style="440" customWidth="1"/>
    <col min="11" max="11" width="24.5703125" style="440" bestFit="1" customWidth="1"/>
    <col min="12" max="12" width="0.7109375" style="440" customWidth="1"/>
    <col min="13" max="13" width="20.7109375" style="440" bestFit="1" customWidth="1"/>
    <col min="14" max="14" width="0.7109375" style="440" customWidth="1"/>
    <col min="15" max="15" width="24.5703125" style="440" bestFit="1" customWidth="1"/>
    <col min="16" max="16" width="0.140625" style="440" customWidth="1"/>
    <col min="17" max="17" width="22" style="440" hidden="1" customWidth="1"/>
    <col min="18" max="18" width="0.85546875" style="440" hidden="1" customWidth="1"/>
    <col min="19" max="19" width="23.5703125" style="440" hidden="1" customWidth="1"/>
    <col min="20" max="20" width="0.7109375" style="565" customWidth="1"/>
    <col min="21" max="21" width="22.140625" style="565" bestFit="1" customWidth="1"/>
    <col min="22" max="22" width="1.28515625" style="440" customWidth="1"/>
    <col min="23" max="23" width="10.42578125" style="440" bestFit="1" customWidth="1"/>
    <col min="24" max="24" width="5" style="440" customWidth="1"/>
    <col min="25" max="25" width="10.42578125" style="440" bestFit="1" customWidth="1"/>
    <col min="26" max="28" width="9" style="440"/>
    <col min="29" max="29" width="10.42578125" style="440" bestFit="1" customWidth="1"/>
    <col min="30" max="258" width="9" style="440"/>
    <col min="259" max="259" width="3.5703125" style="440" customWidth="1"/>
    <col min="260" max="260" width="4.85546875" style="440" customWidth="1"/>
    <col min="261" max="261" width="5.42578125" style="440" customWidth="1"/>
    <col min="262" max="262" width="31.28515625" style="440" customWidth="1"/>
    <col min="263" max="263" width="7.5703125" style="440" customWidth="1"/>
    <col min="264" max="264" width="2.42578125" style="440" customWidth="1"/>
    <col min="265" max="265" width="11.5703125" style="440" customWidth="1"/>
    <col min="266" max="266" width="2.42578125" style="440" customWidth="1"/>
    <col min="267" max="267" width="11.5703125" style="440" customWidth="1"/>
    <col min="268" max="268" width="2.42578125" style="440" customWidth="1"/>
    <col min="269" max="269" width="10.85546875" style="440" customWidth="1"/>
    <col min="270" max="270" width="2.42578125" style="440" customWidth="1"/>
    <col min="271" max="271" width="11.140625" style="440" customWidth="1"/>
    <col min="272" max="272" width="1.85546875" style="440" customWidth="1"/>
    <col min="273" max="273" width="11" style="440" customWidth="1"/>
    <col min="274" max="274" width="0.7109375" style="440" customWidth="1"/>
    <col min="275" max="275" width="1.85546875" style="440" customWidth="1"/>
    <col min="276" max="276" width="11.85546875" style="440" bestFit="1" customWidth="1"/>
    <col min="277" max="277" width="15.28515625" style="440" bestFit="1" customWidth="1"/>
    <col min="278" max="278" width="5" style="440" customWidth="1"/>
    <col min="279" max="279" width="10.42578125" style="440" bestFit="1" customWidth="1"/>
    <col min="280" max="280" width="5" style="440" customWidth="1"/>
    <col min="281" max="281" width="10.42578125" style="440" bestFit="1" customWidth="1"/>
    <col min="282" max="284" width="9" style="440"/>
    <col min="285" max="285" width="10.42578125" style="440" bestFit="1" customWidth="1"/>
    <col min="286" max="514" width="9" style="440"/>
    <col min="515" max="515" width="3.5703125" style="440" customWidth="1"/>
    <col min="516" max="516" width="4.85546875" style="440" customWidth="1"/>
    <col min="517" max="517" width="5.42578125" style="440" customWidth="1"/>
    <col min="518" max="518" width="31.28515625" style="440" customWidth="1"/>
    <col min="519" max="519" width="7.5703125" style="440" customWidth="1"/>
    <col min="520" max="520" width="2.42578125" style="440" customWidth="1"/>
    <col min="521" max="521" width="11.5703125" style="440" customWidth="1"/>
    <col min="522" max="522" width="2.42578125" style="440" customWidth="1"/>
    <col min="523" max="523" width="11.5703125" style="440" customWidth="1"/>
    <col min="524" max="524" width="2.42578125" style="440" customWidth="1"/>
    <col min="525" max="525" width="10.85546875" style="440" customWidth="1"/>
    <col min="526" max="526" width="2.42578125" style="440" customWidth="1"/>
    <col min="527" max="527" width="11.140625" style="440" customWidth="1"/>
    <col min="528" max="528" width="1.85546875" style="440" customWidth="1"/>
    <col min="529" max="529" width="11" style="440" customWidth="1"/>
    <col min="530" max="530" width="0.7109375" style="440" customWidth="1"/>
    <col min="531" max="531" width="1.85546875" style="440" customWidth="1"/>
    <col min="532" max="532" width="11.85546875" style="440" bestFit="1" customWidth="1"/>
    <col min="533" max="533" width="15.28515625" style="440" bestFit="1" customWidth="1"/>
    <col min="534" max="534" width="5" style="440" customWidth="1"/>
    <col min="535" max="535" width="10.42578125" style="440" bestFit="1" customWidth="1"/>
    <col min="536" max="536" width="5" style="440" customWidth="1"/>
    <col min="537" max="537" width="10.42578125" style="440" bestFit="1" customWidth="1"/>
    <col min="538" max="540" width="9" style="440"/>
    <col min="541" max="541" width="10.42578125" style="440" bestFit="1" customWidth="1"/>
    <col min="542" max="770" width="9" style="440"/>
    <col min="771" max="771" width="3.5703125" style="440" customWidth="1"/>
    <col min="772" max="772" width="4.85546875" style="440" customWidth="1"/>
    <col min="773" max="773" width="5.42578125" style="440" customWidth="1"/>
    <col min="774" max="774" width="31.28515625" style="440" customWidth="1"/>
    <col min="775" max="775" width="7.5703125" style="440" customWidth="1"/>
    <col min="776" max="776" width="2.42578125" style="440" customWidth="1"/>
    <col min="777" max="777" width="11.5703125" style="440" customWidth="1"/>
    <col min="778" max="778" width="2.42578125" style="440" customWidth="1"/>
    <col min="779" max="779" width="11.5703125" style="440" customWidth="1"/>
    <col min="780" max="780" width="2.42578125" style="440" customWidth="1"/>
    <col min="781" max="781" width="10.85546875" style="440" customWidth="1"/>
    <col min="782" max="782" width="2.42578125" style="440" customWidth="1"/>
    <col min="783" max="783" width="11.140625" style="440" customWidth="1"/>
    <col min="784" max="784" width="1.85546875" style="440" customWidth="1"/>
    <col min="785" max="785" width="11" style="440" customWidth="1"/>
    <col min="786" max="786" width="0.7109375" style="440" customWidth="1"/>
    <col min="787" max="787" width="1.85546875" style="440" customWidth="1"/>
    <col min="788" max="788" width="11.85546875" style="440" bestFit="1" customWidth="1"/>
    <col min="789" max="789" width="15.28515625" style="440" bestFit="1" customWidth="1"/>
    <col min="790" max="790" width="5" style="440" customWidth="1"/>
    <col min="791" max="791" width="10.42578125" style="440" bestFit="1" customWidth="1"/>
    <col min="792" max="792" width="5" style="440" customWidth="1"/>
    <col min="793" max="793" width="10.42578125" style="440" bestFit="1" customWidth="1"/>
    <col min="794" max="796" width="9" style="440"/>
    <col min="797" max="797" width="10.42578125" style="440" bestFit="1" customWidth="1"/>
    <col min="798" max="1026" width="9" style="440"/>
    <col min="1027" max="1027" width="3.5703125" style="440" customWidth="1"/>
    <col min="1028" max="1028" width="4.85546875" style="440" customWidth="1"/>
    <col min="1029" max="1029" width="5.42578125" style="440" customWidth="1"/>
    <col min="1030" max="1030" width="31.28515625" style="440" customWidth="1"/>
    <col min="1031" max="1031" width="7.5703125" style="440" customWidth="1"/>
    <col min="1032" max="1032" width="2.42578125" style="440" customWidth="1"/>
    <col min="1033" max="1033" width="11.5703125" style="440" customWidth="1"/>
    <col min="1034" max="1034" width="2.42578125" style="440" customWidth="1"/>
    <col min="1035" max="1035" width="11.5703125" style="440" customWidth="1"/>
    <col min="1036" max="1036" width="2.42578125" style="440" customWidth="1"/>
    <col min="1037" max="1037" width="10.85546875" style="440" customWidth="1"/>
    <col min="1038" max="1038" width="2.42578125" style="440" customWidth="1"/>
    <col min="1039" max="1039" width="11.140625" style="440" customWidth="1"/>
    <col min="1040" max="1040" width="1.85546875" style="440" customWidth="1"/>
    <col min="1041" max="1041" width="11" style="440" customWidth="1"/>
    <col min="1042" max="1042" width="0.7109375" style="440" customWidth="1"/>
    <col min="1043" max="1043" width="1.85546875" style="440" customWidth="1"/>
    <col min="1044" max="1044" width="11.85546875" style="440" bestFit="1" customWidth="1"/>
    <col min="1045" max="1045" width="15.28515625" style="440" bestFit="1" customWidth="1"/>
    <col min="1046" max="1046" width="5" style="440" customWidth="1"/>
    <col min="1047" max="1047" width="10.42578125" style="440" bestFit="1" customWidth="1"/>
    <col min="1048" max="1048" width="5" style="440" customWidth="1"/>
    <col min="1049" max="1049" width="10.42578125" style="440" bestFit="1" customWidth="1"/>
    <col min="1050" max="1052" width="9" style="440"/>
    <col min="1053" max="1053" width="10.42578125" style="440" bestFit="1" customWidth="1"/>
    <col min="1054" max="1282" width="9" style="440"/>
    <col min="1283" max="1283" width="3.5703125" style="440" customWidth="1"/>
    <col min="1284" max="1284" width="4.85546875" style="440" customWidth="1"/>
    <col min="1285" max="1285" width="5.42578125" style="440" customWidth="1"/>
    <col min="1286" max="1286" width="31.28515625" style="440" customWidth="1"/>
    <col min="1287" max="1287" width="7.5703125" style="440" customWidth="1"/>
    <col min="1288" max="1288" width="2.42578125" style="440" customWidth="1"/>
    <col min="1289" max="1289" width="11.5703125" style="440" customWidth="1"/>
    <col min="1290" max="1290" width="2.42578125" style="440" customWidth="1"/>
    <col min="1291" max="1291" width="11.5703125" style="440" customWidth="1"/>
    <col min="1292" max="1292" width="2.42578125" style="440" customWidth="1"/>
    <col min="1293" max="1293" width="10.85546875" style="440" customWidth="1"/>
    <col min="1294" max="1294" width="2.42578125" style="440" customWidth="1"/>
    <col min="1295" max="1295" width="11.140625" style="440" customWidth="1"/>
    <col min="1296" max="1296" width="1.85546875" style="440" customWidth="1"/>
    <col min="1297" max="1297" width="11" style="440" customWidth="1"/>
    <col min="1298" max="1298" width="0.7109375" style="440" customWidth="1"/>
    <col min="1299" max="1299" width="1.85546875" style="440" customWidth="1"/>
    <col min="1300" max="1300" width="11.85546875" style="440" bestFit="1" customWidth="1"/>
    <col min="1301" max="1301" width="15.28515625" style="440" bestFit="1" customWidth="1"/>
    <col min="1302" max="1302" width="5" style="440" customWidth="1"/>
    <col min="1303" max="1303" width="10.42578125" style="440" bestFit="1" customWidth="1"/>
    <col min="1304" max="1304" width="5" style="440" customWidth="1"/>
    <col min="1305" max="1305" width="10.42578125" style="440" bestFit="1" customWidth="1"/>
    <col min="1306" max="1308" width="9" style="440"/>
    <col min="1309" max="1309" width="10.42578125" style="440" bestFit="1" customWidth="1"/>
    <col min="1310" max="1538" width="9" style="440"/>
    <col min="1539" max="1539" width="3.5703125" style="440" customWidth="1"/>
    <col min="1540" max="1540" width="4.85546875" style="440" customWidth="1"/>
    <col min="1541" max="1541" width="5.42578125" style="440" customWidth="1"/>
    <col min="1542" max="1542" width="31.28515625" style="440" customWidth="1"/>
    <col min="1543" max="1543" width="7.5703125" style="440" customWidth="1"/>
    <col min="1544" max="1544" width="2.42578125" style="440" customWidth="1"/>
    <col min="1545" max="1545" width="11.5703125" style="440" customWidth="1"/>
    <col min="1546" max="1546" width="2.42578125" style="440" customWidth="1"/>
    <col min="1547" max="1547" width="11.5703125" style="440" customWidth="1"/>
    <col min="1548" max="1548" width="2.42578125" style="440" customWidth="1"/>
    <col min="1549" max="1549" width="10.85546875" style="440" customWidth="1"/>
    <col min="1550" max="1550" width="2.42578125" style="440" customWidth="1"/>
    <col min="1551" max="1551" width="11.140625" style="440" customWidth="1"/>
    <col min="1552" max="1552" width="1.85546875" style="440" customWidth="1"/>
    <col min="1553" max="1553" width="11" style="440" customWidth="1"/>
    <col min="1554" max="1554" width="0.7109375" style="440" customWidth="1"/>
    <col min="1555" max="1555" width="1.85546875" style="440" customWidth="1"/>
    <col min="1556" max="1556" width="11.85546875" style="440" bestFit="1" customWidth="1"/>
    <col min="1557" max="1557" width="15.28515625" style="440" bestFit="1" customWidth="1"/>
    <col min="1558" max="1558" width="5" style="440" customWidth="1"/>
    <col min="1559" max="1559" width="10.42578125" style="440" bestFit="1" customWidth="1"/>
    <col min="1560" max="1560" width="5" style="440" customWidth="1"/>
    <col min="1561" max="1561" width="10.42578125" style="440" bestFit="1" customWidth="1"/>
    <col min="1562" max="1564" width="9" style="440"/>
    <col min="1565" max="1565" width="10.42578125" style="440" bestFit="1" customWidth="1"/>
    <col min="1566" max="1794" width="9" style="440"/>
    <col min="1795" max="1795" width="3.5703125" style="440" customWidth="1"/>
    <col min="1796" max="1796" width="4.85546875" style="440" customWidth="1"/>
    <col min="1797" max="1797" width="5.42578125" style="440" customWidth="1"/>
    <col min="1798" max="1798" width="31.28515625" style="440" customWidth="1"/>
    <col min="1799" max="1799" width="7.5703125" style="440" customWidth="1"/>
    <col min="1800" max="1800" width="2.42578125" style="440" customWidth="1"/>
    <col min="1801" max="1801" width="11.5703125" style="440" customWidth="1"/>
    <col min="1802" max="1802" width="2.42578125" style="440" customWidth="1"/>
    <col min="1803" max="1803" width="11.5703125" style="440" customWidth="1"/>
    <col min="1804" max="1804" width="2.42578125" style="440" customWidth="1"/>
    <col min="1805" max="1805" width="10.85546875" style="440" customWidth="1"/>
    <col min="1806" max="1806" width="2.42578125" style="440" customWidth="1"/>
    <col min="1807" max="1807" width="11.140625" style="440" customWidth="1"/>
    <col min="1808" max="1808" width="1.85546875" style="440" customWidth="1"/>
    <col min="1809" max="1809" width="11" style="440" customWidth="1"/>
    <col min="1810" max="1810" width="0.7109375" style="440" customWidth="1"/>
    <col min="1811" max="1811" width="1.85546875" style="440" customWidth="1"/>
    <col min="1812" max="1812" width="11.85546875" style="440" bestFit="1" customWidth="1"/>
    <col min="1813" max="1813" width="15.28515625" style="440" bestFit="1" customWidth="1"/>
    <col min="1814" max="1814" width="5" style="440" customWidth="1"/>
    <col min="1815" max="1815" width="10.42578125" style="440" bestFit="1" customWidth="1"/>
    <col min="1816" max="1816" width="5" style="440" customWidth="1"/>
    <col min="1817" max="1817" width="10.42578125" style="440" bestFit="1" customWidth="1"/>
    <col min="1818" max="1820" width="9" style="440"/>
    <col min="1821" max="1821" width="10.42578125" style="440" bestFit="1" customWidth="1"/>
    <col min="1822" max="2050" width="9" style="440"/>
    <col min="2051" max="2051" width="3.5703125" style="440" customWidth="1"/>
    <col min="2052" max="2052" width="4.85546875" style="440" customWidth="1"/>
    <col min="2053" max="2053" width="5.42578125" style="440" customWidth="1"/>
    <col min="2054" max="2054" width="31.28515625" style="440" customWidth="1"/>
    <col min="2055" max="2055" width="7.5703125" style="440" customWidth="1"/>
    <col min="2056" max="2056" width="2.42578125" style="440" customWidth="1"/>
    <col min="2057" max="2057" width="11.5703125" style="440" customWidth="1"/>
    <col min="2058" max="2058" width="2.42578125" style="440" customWidth="1"/>
    <col min="2059" max="2059" width="11.5703125" style="440" customWidth="1"/>
    <col min="2060" max="2060" width="2.42578125" style="440" customWidth="1"/>
    <col min="2061" max="2061" width="10.85546875" style="440" customWidth="1"/>
    <col min="2062" max="2062" width="2.42578125" style="440" customWidth="1"/>
    <col min="2063" max="2063" width="11.140625" style="440" customWidth="1"/>
    <col min="2064" max="2064" width="1.85546875" style="440" customWidth="1"/>
    <col min="2065" max="2065" width="11" style="440" customWidth="1"/>
    <col min="2066" max="2066" width="0.7109375" style="440" customWidth="1"/>
    <col min="2067" max="2067" width="1.85546875" style="440" customWidth="1"/>
    <col min="2068" max="2068" width="11.85546875" style="440" bestFit="1" customWidth="1"/>
    <col min="2069" max="2069" width="15.28515625" style="440" bestFit="1" customWidth="1"/>
    <col min="2070" max="2070" width="5" style="440" customWidth="1"/>
    <col min="2071" max="2071" width="10.42578125" style="440" bestFit="1" customWidth="1"/>
    <col min="2072" max="2072" width="5" style="440" customWidth="1"/>
    <col min="2073" max="2073" width="10.42578125" style="440" bestFit="1" customWidth="1"/>
    <col min="2074" max="2076" width="9" style="440"/>
    <col min="2077" max="2077" width="10.42578125" style="440" bestFit="1" customWidth="1"/>
    <col min="2078" max="2306" width="9" style="440"/>
    <col min="2307" max="2307" width="3.5703125" style="440" customWidth="1"/>
    <col min="2308" max="2308" width="4.85546875" style="440" customWidth="1"/>
    <col min="2309" max="2309" width="5.42578125" style="440" customWidth="1"/>
    <col min="2310" max="2310" width="31.28515625" style="440" customWidth="1"/>
    <col min="2311" max="2311" width="7.5703125" style="440" customWidth="1"/>
    <col min="2312" max="2312" width="2.42578125" style="440" customWidth="1"/>
    <col min="2313" max="2313" width="11.5703125" style="440" customWidth="1"/>
    <col min="2314" max="2314" width="2.42578125" style="440" customWidth="1"/>
    <col min="2315" max="2315" width="11.5703125" style="440" customWidth="1"/>
    <col min="2316" max="2316" width="2.42578125" style="440" customWidth="1"/>
    <col min="2317" max="2317" width="10.85546875" style="440" customWidth="1"/>
    <col min="2318" max="2318" width="2.42578125" style="440" customWidth="1"/>
    <col min="2319" max="2319" width="11.140625" style="440" customWidth="1"/>
    <col min="2320" max="2320" width="1.85546875" style="440" customWidth="1"/>
    <col min="2321" max="2321" width="11" style="440" customWidth="1"/>
    <col min="2322" max="2322" width="0.7109375" style="440" customWidth="1"/>
    <col min="2323" max="2323" width="1.85546875" style="440" customWidth="1"/>
    <col min="2324" max="2324" width="11.85546875" style="440" bestFit="1" customWidth="1"/>
    <col min="2325" max="2325" width="15.28515625" style="440" bestFit="1" customWidth="1"/>
    <col min="2326" max="2326" width="5" style="440" customWidth="1"/>
    <col min="2327" max="2327" width="10.42578125" style="440" bestFit="1" customWidth="1"/>
    <col min="2328" max="2328" width="5" style="440" customWidth="1"/>
    <col min="2329" max="2329" width="10.42578125" style="440" bestFit="1" customWidth="1"/>
    <col min="2330" max="2332" width="9" style="440"/>
    <col min="2333" max="2333" width="10.42578125" style="440" bestFit="1" customWidth="1"/>
    <col min="2334" max="2562" width="9" style="440"/>
    <col min="2563" max="2563" width="3.5703125" style="440" customWidth="1"/>
    <col min="2564" max="2564" width="4.85546875" style="440" customWidth="1"/>
    <col min="2565" max="2565" width="5.42578125" style="440" customWidth="1"/>
    <col min="2566" max="2566" width="31.28515625" style="440" customWidth="1"/>
    <col min="2567" max="2567" width="7.5703125" style="440" customWidth="1"/>
    <col min="2568" max="2568" width="2.42578125" style="440" customWidth="1"/>
    <col min="2569" max="2569" width="11.5703125" style="440" customWidth="1"/>
    <col min="2570" max="2570" width="2.42578125" style="440" customWidth="1"/>
    <col min="2571" max="2571" width="11.5703125" style="440" customWidth="1"/>
    <col min="2572" max="2572" width="2.42578125" style="440" customWidth="1"/>
    <col min="2573" max="2573" width="10.85546875" style="440" customWidth="1"/>
    <col min="2574" max="2574" width="2.42578125" style="440" customWidth="1"/>
    <col min="2575" max="2575" width="11.140625" style="440" customWidth="1"/>
    <col min="2576" max="2576" width="1.85546875" style="440" customWidth="1"/>
    <col min="2577" max="2577" width="11" style="440" customWidth="1"/>
    <col min="2578" max="2578" width="0.7109375" style="440" customWidth="1"/>
    <col min="2579" max="2579" width="1.85546875" style="440" customWidth="1"/>
    <col min="2580" max="2580" width="11.85546875" style="440" bestFit="1" customWidth="1"/>
    <col min="2581" max="2581" width="15.28515625" style="440" bestFit="1" customWidth="1"/>
    <col min="2582" max="2582" width="5" style="440" customWidth="1"/>
    <col min="2583" max="2583" width="10.42578125" style="440" bestFit="1" customWidth="1"/>
    <col min="2584" max="2584" width="5" style="440" customWidth="1"/>
    <col min="2585" max="2585" width="10.42578125" style="440" bestFit="1" customWidth="1"/>
    <col min="2586" max="2588" width="9" style="440"/>
    <col min="2589" max="2589" width="10.42578125" style="440" bestFit="1" customWidth="1"/>
    <col min="2590" max="2818" width="9" style="440"/>
    <col min="2819" max="2819" width="3.5703125" style="440" customWidth="1"/>
    <col min="2820" max="2820" width="4.85546875" style="440" customWidth="1"/>
    <col min="2821" max="2821" width="5.42578125" style="440" customWidth="1"/>
    <col min="2822" max="2822" width="31.28515625" style="440" customWidth="1"/>
    <col min="2823" max="2823" width="7.5703125" style="440" customWidth="1"/>
    <col min="2824" max="2824" width="2.42578125" style="440" customWidth="1"/>
    <col min="2825" max="2825" width="11.5703125" style="440" customWidth="1"/>
    <col min="2826" max="2826" width="2.42578125" style="440" customWidth="1"/>
    <col min="2827" max="2827" width="11.5703125" style="440" customWidth="1"/>
    <col min="2828" max="2828" width="2.42578125" style="440" customWidth="1"/>
    <col min="2829" max="2829" width="10.85546875" style="440" customWidth="1"/>
    <col min="2830" max="2830" width="2.42578125" style="440" customWidth="1"/>
    <col min="2831" max="2831" width="11.140625" style="440" customWidth="1"/>
    <col min="2832" max="2832" width="1.85546875" style="440" customWidth="1"/>
    <col min="2833" max="2833" width="11" style="440" customWidth="1"/>
    <col min="2834" max="2834" width="0.7109375" style="440" customWidth="1"/>
    <col min="2835" max="2835" width="1.85546875" style="440" customWidth="1"/>
    <col min="2836" max="2836" width="11.85546875" style="440" bestFit="1" customWidth="1"/>
    <col min="2837" max="2837" width="15.28515625" style="440" bestFit="1" customWidth="1"/>
    <col min="2838" max="2838" width="5" style="440" customWidth="1"/>
    <col min="2839" max="2839" width="10.42578125" style="440" bestFit="1" customWidth="1"/>
    <col min="2840" max="2840" width="5" style="440" customWidth="1"/>
    <col min="2841" max="2841" width="10.42578125" style="440" bestFit="1" customWidth="1"/>
    <col min="2842" max="2844" width="9" style="440"/>
    <col min="2845" max="2845" width="10.42578125" style="440" bestFit="1" customWidth="1"/>
    <col min="2846" max="3074" width="9" style="440"/>
    <col min="3075" max="3075" width="3.5703125" style="440" customWidth="1"/>
    <col min="3076" max="3076" width="4.85546875" style="440" customWidth="1"/>
    <col min="3077" max="3077" width="5.42578125" style="440" customWidth="1"/>
    <col min="3078" max="3078" width="31.28515625" style="440" customWidth="1"/>
    <col min="3079" max="3079" width="7.5703125" style="440" customWidth="1"/>
    <col min="3080" max="3080" width="2.42578125" style="440" customWidth="1"/>
    <col min="3081" max="3081" width="11.5703125" style="440" customWidth="1"/>
    <col min="3082" max="3082" width="2.42578125" style="440" customWidth="1"/>
    <col min="3083" max="3083" width="11.5703125" style="440" customWidth="1"/>
    <col min="3084" max="3084" width="2.42578125" style="440" customWidth="1"/>
    <col min="3085" max="3085" width="10.85546875" style="440" customWidth="1"/>
    <col min="3086" max="3086" width="2.42578125" style="440" customWidth="1"/>
    <col min="3087" max="3087" width="11.140625" style="440" customWidth="1"/>
    <col min="3088" max="3088" width="1.85546875" style="440" customWidth="1"/>
    <col min="3089" max="3089" width="11" style="440" customWidth="1"/>
    <col min="3090" max="3090" width="0.7109375" style="440" customWidth="1"/>
    <col min="3091" max="3091" width="1.85546875" style="440" customWidth="1"/>
    <col min="3092" max="3092" width="11.85546875" style="440" bestFit="1" customWidth="1"/>
    <col min="3093" max="3093" width="15.28515625" style="440" bestFit="1" customWidth="1"/>
    <col min="3094" max="3094" width="5" style="440" customWidth="1"/>
    <col min="3095" max="3095" width="10.42578125" style="440" bestFit="1" customWidth="1"/>
    <col min="3096" max="3096" width="5" style="440" customWidth="1"/>
    <col min="3097" max="3097" width="10.42578125" style="440" bestFit="1" customWidth="1"/>
    <col min="3098" max="3100" width="9" style="440"/>
    <col min="3101" max="3101" width="10.42578125" style="440" bestFit="1" customWidth="1"/>
    <col min="3102" max="3330" width="9" style="440"/>
    <col min="3331" max="3331" width="3.5703125" style="440" customWidth="1"/>
    <col min="3332" max="3332" width="4.85546875" style="440" customWidth="1"/>
    <col min="3333" max="3333" width="5.42578125" style="440" customWidth="1"/>
    <col min="3334" max="3334" width="31.28515625" style="440" customWidth="1"/>
    <col min="3335" max="3335" width="7.5703125" style="440" customWidth="1"/>
    <col min="3336" max="3336" width="2.42578125" style="440" customWidth="1"/>
    <col min="3337" max="3337" width="11.5703125" style="440" customWidth="1"/>
    <col min="3338" max="3338" width="2.42578125" style="440" customWidth="1"/>
    <col min="3339" max="3339" width="11.5703125" style="440" customWidth="1"/>
    <col min="3340" max="3340" width="2.42578125" style="440" customWidth="1"/>
    <col min="3341" max="3341" width="10.85546875" style="440" customWidth="1"/>
    <col min="3342" max="3342" width="2.42578125" style="440" customWidth="1"/>
    <col min="3343" max="3343" width="11.140625" style="440" customWidth="1"/>
    <col min="3344" max="3344" width="1.85546875" style="440" customWidth="1"/>
    <col min="3345" max="3345" width="11" style="440" customWidth="1"/>
    <col min="3346" max="3346" width="0.7109375" style="440" customWidth="1"/>
    <col min="3347" max="3347" width="1.85546875" style="440" customWidth="1"/>
    <col min="3348" max="3348" width="11.85546875" style="440" bestFit="1" customWidth="1"/>
    <col min="3349" max="3349" width="15.28515625" style="440" bestFit="1" customWidth="1"/>
    <col min="3350" max="3350" width="5" style="440" customWidth="1"/>
    <col min="3351" max="3351" width="10.42578125" style="440" bestFit="1" customWidth="1"/>
    <col min="3352" max="3352" width="5" style="440" customWidth="1"/>
    <col min="3353" max="3353" width="10.42578125" style="440" bestFit="1" customWidth="1"/>
    <col min="3354" max="3356" width="9" style="440"/>
    <col min="3357" max="3357" width="10.42578125" style="440" bestFit="1" customWidth="1"/>
    <col min="3358" max="3586" width="9" style="440"/>
    <col min="3587" max="3587" width="3.5703125" style="440" customWidth="1"/>
    <col min="3588" max="3588" width="4.85546875" style="440" customWidth="1"/>
    <col min="3589" max="3589" width="5.42578125" style="440" customWidth="1"/>
    <col min="3590" max="3590" width="31.28515625" style="440" customWidth="1"/>
    <col min="3591" max="3591" width="7.5703125" style="440" customWidth="1"/>
    <col min="3592" max="3592" width="2.42578125" style="440" customWidth="1"/>
    <col min="3593" max="3593" width="11.5703125" style="440" customWidth="1"/>
    <col min="3594" max="3594" width="2.42578125" style="440" customWidth="1"/>
    <col min="3595" max="3595" width="11.5703125" style="440" customWidth="1"/>
    <col min="3596" max="3596" width="2.42578125" style="440" customWidth="1"/>
    <col min="3597" max="3597" width="10.85546875" style="440" customWidth="1"/>
    <col min="3598" max="3598" width="2.42578125" style="440" customWidth="1"/>
    <col min="3599" max="3599" width="11.140625" style="440" customWidth="1"/>
    <col min="3600" max="3600" width="1.85546875" style="440" customWidth="1"/>
    <col min="3601" max="3601" width="11" style="440" customWidth="1"/>
    <col min="3602" max="3602" width="0.7109375" style="440" customWidth="1"/>
    <col min="3603" max="3603" width="1.85546875" style="440" customWidth="1"/>
    <col min="3604" max="3604" width="11.85546875" style="440" bestFit="1" customWidth="1"/>
    <col min="3605" max="3605" width="15.28515625" style="440" bestFit="1" customWidth="1"/>
    <col min="3606" max="3606" width="5" style="440" customWidth="1"/>
    <col min="3607" max="3607" width="10.42578125" style="440" bestFit="1" customWidth="1"/>
    <col min="3608" max="3608" width="5" style="440" customWidth="1"/>
    <col min="3609" max="3609" width="10.42578125" style="440" bestFit="1" customWidth="1"/>
    <col min="3610" max="3612" width="9" style="440"/>
    <col min="3613" max="3613" width="10.42578125" style="440" bestFit="1" customWidth="1"/>
    <col min="3614" max="3842" width="9" style="440"/>
    <col min="3843" max="3843" width="3.5703125" style="440" customWidth="1"/>
    <col min="3844" max="3844" width="4.85546875" style="440" customWidth="1"/>
    <col min="3845" max="3845" width="5.42578125" style="440" customWidth="1"/>
    <col min="3846" max="3846" width="31.28515625" style="440" customWidth="1"/>
    <col min="3847" max="3847" width="7.5703125" style="440" customWidth="1"/>
    <col min="3848" max="3848" width="2.42578125" style="440" customWidth="1"/>
    <col min="3849" max="3849" width="11.5703125" style="440" customWidth="1"/>
    <col min="3850" max="3850" width="2.42578125" style="440" customWidth="1"/>
    <col min="3851" max="3851" width="11.5703125" style="440" customWidth="1"/>
    <col min="3852" max="3852" width="2.42578125" style="440" customWidth="1"/>
    <col min="3853" max="3853" width="10.85546875" style="440" customWidth="1"/>
    <col min="3854" max="3854" width="2.42578125" style="440" customWidth="1"/>
    <col min="3855" max="3855" width="11.140625" style="440" customWidth="1"/>
    <col min="3856" max="3856" width="1.85546875" style="440" customWidth="1"/>
    <col min="3857" max="3857" width="11" style="440" customWidth="1"/>
    <col min="3858" max="3858" width="0.7109375" style="440" customWidth="1"/>
    <col min="3859" max="3859" width="1.85546875" style="440" customWidth="1"/>
    <col min="3860" max="3860" width="11.85546875" style="440" bestFit="1" customWidth="1"/>
    <col min="3861" max="3861" width="15.28515625" style="440" bestFit="1" customWidth="1"/>
    <col min="3862" max="3862" width="5" style="440" customWidth="1"/>
    <col min="3863" max="3863" width="10.42578125" style="440" bestFit="1" customWidth="1"/>
    <col min="3864" max="3864" width="5" style="440" customWidth="1"/>
    <col min="3865" max="3865" width="10.42578125" style="440" bestFit="1" customWidth="1"/>
    <col min="3866" max="3868" width="9" style="440"/>
    <col min="3869" max="3869" width="10.42578125" style="440" bestFit="1" customWidth="1"/>
    <col min="3870" max="4098" width="9" style="440"/>
    <col min="4099" max="4099" width="3.5703125" style="440" customWidth="1"/>
    <col min="4100" max="4100" width="4.85546875" style="440" customWidth="1"/>
    <col min="4101" max="4101" width="5.42578125" style="440" customWidth="1"/>
    <col min="4102" max="4102" width="31.28515625" style="440" customWidth="1"/>
    <col min="4103" max="4103" width="7.5703125" style="440" customWidth="1"/>
    <col min="4104" max="4104" width="2.42578125" style="440" customWidth="1"/>
    <col min="4105" max="4105" width="11.5703125" style="440" customWidth="1"/>
    <col min="4106" max="4106" width="2.42578125" style="440" customWidth="1"/>
    <col min="4107" max="4107" width="11.5703125" style="440" customWidth="1"/>
    <col min="4108" max="4108" width="2.42578125" style="440" customWidth="1"/>
    <col min="4109" max="4109" width="10.85546875" style="440" customWidth="1"/>
    <col min="4110" max="4110" width="2.42578125" style="440" customWidth="1"/>
    <col min="4111" max="4111" width="11.140625" style="440" customWidth="1"/>
    <col min="4112" max="4112" width="1.85546875" style="440" customWidth="1"/>
    <col min="4113" max="4113" width="11" style="440" customWidth="1"/>
    <col min="4114" max="4114" width="0.7109375" style="440" customWidth="1"/>
    <col min="4115" max="4115" width="1.85546875" style="440" customWidth="1"/>
    <col min="4116" max="4116" width="11.85546875" style="440" bestFit="1" customWidth="1"/>
    <col min="4117" max="4117" width="15.28515625" style="440" bestFit="1" customWidth="1"/>
    <col min="4118" max="4118" width="5" style="440" customWidth="1"/>
    <col min="4119" max="4119" width="10.42578125" style="440" bestFit="1" customWidth="1"/>
    <col min="4120" max="4120" width="5" style="440" customWidth="1"/>
    <col min="4121" max="4121" width="10.42578125" style="440" bestFit="1" customWidth="1"/>
    <col min="4122" max="4124" width="9" style="440"/>
    <col min="4125" max="4125" width="10.42578125" style="440" bestFit="1" customWidth="1"/>
    <col min="4126" max="4354" width="9" style="440"/>
    <col min="4355" max="4355" width="3.5703125" style="440" customWidth="1"/>
    <col min="4356" max="4356" width="4.85546875" style="440" customWidth="1"/>
    <col min="4357" max="4357" width="5.42578125" style="440" customWidth="1"/>
    <col min="4358" max="4358" width="31.28515625" style="440" customWidth="1"/>
    <col min="4359" max="4359" width="7.5703125" style="440" customWidth="1"/>
    <col min="4360" max="4360" width="2.42578125" style="440" customWidth="1"/>
    <col min="4361" max="4361" width="11.5703125" style="440" customWidth="1"/>
    <col min="4362" max="4362" width="2.42578125" style="440" customWidth="1"/>
    <col min="4363" max="4363" width="11.5703125" style="440" customWidth="1"/>
    <col min="4364" max="4364" width="2.42578125" style="440" customWidth="1"/>
    <col min="4365" max="4365" width="10.85546875" style="440" customWidth="1"/>
    <col min="4366" max="4366" width="2.42578125" style="440" customWidth="1"/>
    <col min="4367" max="4367" width="11.140625" style="440" customWidth="1"/>
    <col min="4368" max="4368" width="1.85546875" style="440" customWidth="1"/>
    <col min="4369" max="4369" width="11" style="440" customWidth="1"/>
    <col min="4370" max="4370" width="0.7109375" style="440" customWidth="1"/>
    <col min="4371" max="4371" width="1.85546875" style="440" customWidth="1"/>
    <col min="4372" max="4372" width="11.85546875" style="440" bestFit="1" customWidth="1"/>
    <col min="4373" max="4373" width="15.28515625" style="440" bestFit="1" customWidth="1"/>
    <col min="4374" max="4374" width="5" style="440" customWidth="1"/>
    <col min="4375" max="4375" width="10.42578125" style="440" bestFit="1" customWidth="1"/>
    <col min="4376" max="4376" width="5" style="440" customWidth="1"/>
    <col min="4377" max="4377" width="10.42578125" style="440" bestFit="1" customWidth="1"/>
    <col min="4378" max="4380" width="9" style="440"/>
    <col min="4381" max="4381" width="10.42578125" style="440" bestFit="1" customWidth="1"/>
    <col min="4382" max="4610" width="9" style="440"/>
    <col min="4611" max="4611" width="3.5703125" style="440" customWidth="1"/>
    <col min="4612" max="4612" width="4.85546875" style="440" customWidth="1"/>
    <col min="4613" max="4613" width="5.42578125" style="440" customWidth="1"/>
    <col min="4614" max="4614" width="31.28515625" style="440" customWidth="1"/>
    <col min="4615" max="4615" width="7.5703125" style="440" customWidth="1"/>
    <col min="4616" max="4616" width="2.42578125" style="440" customWidth="1"/>
    <col min="4617" max="4617" width="11.5703125" style="440" customWidth="1"/>
    <col min="4618" max="4618" width="2.42578125" style="440" customWidth="1"/>
    <col min="4619" max="4619" width="11.5703125" style="440" customWidth="1"/>
    <col min="4620" max="4620" width="2.42578125" style="440" customWidth="1"/>
    <col min="4621" max="4621" width="10.85546875" style="440" customWidth="1"/>
    <col min="4622" max="4622" width="2.42578125" style="440" customWidth="1"/>
    <col min="4623" max="4623" width="11.140625" style="440" customWidth="1"/>
    <col min="4624" max="4624" width="1.85546875" style="440" customWidth="1"/>
    <col min="4625" max="4625" width="11" style="440" customWidth="1"/>
    <col min="4626" max="4626" width="0.7109375" style="440" customWidth="1"/>
    <col min="4627" max="4627" width="1.85546875" style="440" customWidth="1"/>
    <col min="4628" max="4628" width="11.85546875" style="440" bestFit="1" customWidth="1"/>
    <col min="4629" max="4629" width="15.28515625" style="440" bestFit="1" customWidth="1"/>
    <col min="4630" max="4630" width="5" style="440" customWidth="1"/>
    <col min="4631" max="4631" width="10.42578125" style="440" bestFit="1" customWidth="1"/>
    <col min="4632" max="4632" width="5" style="440" customWidth="1"/>
    <col min="4633" max="4633" width="10.42578125" style="440" bestFit="1" customWidth="1"/>
    <col min="4634" max="4636" width="9" style="440"/>
    <col min="4637" max="4637" width="10.42578125" style="440" bestFit="1" customWidth="1"/>
    <col min="4638" max="4866" width="9" style="440"/>
    <col min="4867" max="4867" width="3.5703125" style="440" customWidth="1"/>
    <col min="4868" max="4868" width="4.85546875" style="440" customWidth="1"/>
    <col min="4869" max="4869" width="5.42578125" style="440" customWidth="1"/>
    <col min="4870" max="4870" width="31.28515625" style="440" customWidth="1"/>
    <col min="4871" max="4871" width="7.5703125" style="440" customWidth="1"/>
    <col min="4872" max="4872" width="2.42578125" style="440" customWidth="1"/>
    <col min="4873" max="4873" width="11.5703125" style="440" customWidth="1"/>
    <col min="4874" max="4874" width="2.42578125" style="440" customWidth="1"/>
    <col min="4875" max="4875" width="11.5703125" style="440" customWidth="1"/>
    <col min="4876" max="4876" width="2.42578125" style="440" customWidth="1"/>
    <col min="4877" max="4877" width="10.85546875" style="440" customWidth="1"/>
    <col min="4878" max="4878" width="2.42578125" style="440" customWidth="1"/>
    <col min="4879" max="4879" width="11.140625" style="440" customWidth="1"/>
    <col min="4880" max="4880" width="1.85546875" style="440" customWidth="1"/>
    <col min="4881" max="4881" width="11" style="440" customWidth="1"/>
    <col min="4882" max="4882" width="0.7109375" style="440" customWidth="1"/>
    <col min="4883" max="4883" width="1.85546875" style="440" customWidth="1"/>
    <col min="4884" max="4884" width="11.85546875" style="440" bestFit="1" customWidth="1"/>
    <col min="4885" max="4885" width="15.28515625" style="440" bestFit="1" customWidth="1"/>
    <col min="4886" max="4886" width="5" style="440" customWidth="1"/>
    <col min="4887" max="4887" width="10.42578125" style="440" bestFit="1" customWidth="1"/>
    <col min="4888" max="4888" width="5" style="440" customWidth="1"/>
    <col min="4889" max="4889" width="10.42578125" style="440" bestFit="1" customWidth="1"/>
    <col min="4890" max="4892" width="9" style="440"/>
    <col min="4893" max="4893" width="10.42578125" style="440" bestFit="1" customWidth="1"/>
    <col min="4894" max="5122" width="9" style="440"/>
    <col min="5123" max="5123" width="3.5703125" style="440" customWidth="1"/>
    <col min="5124" max="5124" width="4.85546875" style="440" customWidth="1"/>
    <col min="5125" max="5125" width="5.42578125" style="440" customWidth="1"/>
    <col min="5126" max="5126" width="31.28515625" style="440" customWidth="1"/>
    <col min="5127" max="5127" width="7.5703125" style="440" customWidth="1"/>
    <col min="5128" max="5128" width="2.42578125" style="440" customWidth="1"/>
    <col min="5129" max="5129" width="11.5703125" style="440" customWidth="1"/>
    <col min="5130" max="5130" width="2.42578125" style="440" customWidth="1"/>
    <col min="5131" max="5131" width="11.5703125" style="440" customWidth="1"/>
    <col min="5132" max="5132" width="2.42578125" style="440" customWidth="1"/>
    <col min="5133" max="5133" width="10.85546875" style="440" customWidth="1"/>
    <col min="5134" max="5134" width="2.42578125" style="440" customWidth="1"/>
    <col min="5135" max="5135" width="11.140625" style="440" customWidth="1"/>
    <col min="5136" max="5136" width="1.85546875" style="440" customWidth="1"/>
    <col min="5137" max="5137" width="11" style="440" customWidth="1"/>
    <col min="5138" max="5138" width="0.7109375" style="440" customWidth="1"/>
    <col min="5139" max="5139" width="1.85546875" style="440" customWidth="1"/>
    <col min="5140" max="5140" width="11.85546875" style="440" bestFit="1" customWidth="1"/>
    <col min="5141" max="5141" width="15.28515625" style="440" bestFit="1" customWidth="1"/>
    <col min="5142" max="5142" width="5" style="440" customWidth="1"/>
    <col min="5143" max="5143" width="10.42578125" style="440" bestFit="1" customWidth="1"/>
    <col min="5144" max="5144" width="5" style="440" customWidth="1"/>
    <col min="5145" max="5145" width="10.42578125" style="440" bestFit="1" customWidth="1"/>
    <col min="5146" max="5148" width="9" style="440"/>
    <col min="5149" max="5149" width="10.42578125" style="440" bestFit="1" customWidth="1"/>
    <col min="5150" max="5378" width="9" style="440"/>
    <col min="5379" max="5379" width="3.5703125" style="440" customWidth="1"/>
    <col min="5380" max="5380" width="4.85546875" style="440" customWidth="1"/>
    <col min="5381" max="5381" width="5.42578125" style="440" customWidth="1"/>
    <col min="5382" max="5382" width="31.28515625" style="440" customWidth="1"/>
    <col min="5383" max="5383" width="7.5703125" style="440" customWidth="1"/>
    <col min="5384" max="5384" width="2.42578125" style="440" customWidth="1"/>
    <col min="5385" max="5385" width="11.5703125" style="440" customWidth="1"/>
    <col min="5386" max="5386" width="2.42578125" style="440" customWidth="1"/>
    <col min="5387" max="5387" width="11.5703125" style="440" customWidth="1"/>
    <col min="5388" max="5388" width="2.42578125" style="440" customWidth="1"/>
    <col min="5389" max="5389" width="10.85546875" style="440" customWidth="1"/>
    <col min="5390" max="5390" width="2.42578125" style="440" customWidth="1"/>
    <col min="5391" max="5391" width="11.140625" style="440" customWidth="1"/>
    <col min="5392" max="5392" width="1.85546875" style="440" customWidth="1"/>
    <col min="5393" max="5393" width="11" style="440" customWidth="1"/>
    <col min="5394" max="5394" width="0.7109375" style="440" customWidth="1"/>
    <col min="5395" max="5395" width="1.85546875" style="440" customWidth="1"/>
    <col min="5396" max="5396" width="11.85546875" style="440" bestFit="1" customWidth="1"/>
    <col min="5397" max="5397" width="15.28515625" style="440" bestFit="1" customWidth="1"/>
    <col min="5398" max="5398" width="5" style="440" customWidth="1"/>
    <col min="5399" max="5399" width="10.42578125" style="440" bestFit="1" customWidth="1"/>
    <col min="5400" max="5400" width="5" style="440" customWidth="1"/>
    <col min="5401" max="5401" width="10.42578125" style="440" bestFit="1" customWidth="1"/>
    <col min="5402" max="5404" width="9" style="440"/>
    <col min="5405" max="5405" width="10.42578125" style="440" bestFit="1" customWidth="1"/>
    <col min="5406" max="5634" width="9" style="440"/>
    <col min="5635" max="5635" width="3.5703125" style="440" customWidth="1"/>
    <col min="5636" max="5636" width="4.85546875" style="440" customWidth="1"/>
    <col min="5637" max="5637" width="5.42578125" style="440" customWidth="1"/>
    <col min="5638" max="5638" width="31.28515625" style="440" customWidth="1"/>
    <col min="5639" max="5639" width="7.5703125" style="440" customWidth="1"/>
    <col min="5640" max="5640" width="2.42578125" style="440" customWidth="1"/>
    <col min="5641" max="5641" width="11.5703125" style="440" customWidth="1"/>
    <col min="5642" max="5642" width="2.42578125" style="440" customWidth="1"/>
    <col min="5643" max="5643" width="11.5703125" style="440" customWidth="1"/>
    <col min="5644" max="5644" width="2.42578125" style="440" customWidth="1"/>
    <col min="5645" max="5645" width="10.85546875" style="440" customWidth="1"/>
    <col min="5646" max="5646" width="2.42578125" style="440" customWidth="1"/>
    <col min="5647" max="5647" width="11.140625" style="440" customWidth="1"/>
    <col min="5648" max="5648" width="1.85546875" style="440" customWidth="1"/>
    <col min="5649" max="5649" width="11" style="440" customWidth="1"/>
    <col min="5650" max="5650" width="0.7109375" style="440" customWidth="1"/>
    <col min="5651" max="5651" width="1.85546875" style="440" customWidth="1"/>
    <col min="5652" max="5652" width="11.85546875" style="440" bestFit="1" customWidth="1"/>
    <col min="5653" max="5653" width="15.28515625" style="440" bestFit="1" customWidth="1"/>
    <col min="5654" max="5654" width="5" style="440" customWidth="1"/>
    <col min="5655" max="5655" width="10.42578125" style="440" bestFit="1" customWidth="1"/>
    <col min="5656" max="5656" width="5" style="440" customWidth="1"/>
    <col min="5657" max="5657" width="10.42578125" style="440" bestFit="1" customWidth="1"/>
    <col min="5658" max="5660" width="9" style="440"/>
    <col min="5661" max="5661" width="10.42578125" style="440" bestFit="1" customWidth="1"/>
    <col min="5662" max="5890" width="9" style="440"/>
    <col min="5891" max="5891" width="3.5703125" style="440" customWidth="1"/>
    <col min="5892" max="5892" width="4.85546875" style="440" customWidth="1"/>
    <col min="5893" max="5893" width="5.42578125" style="440" customWidth="1"/>
    <col min="5894" max="5894" width="31.28515625" style="440" customWidth="1"/>
    <col min="5895" max="5895" width="7.5703125" style="440" customWidth="1"/>
    <col min="5896" max="5896" width="2.42578125" style="440" customWidth="1"/>
    <col min="5897" max="5897" width="11.5703125" style="440" customWidth="1"/>
    <col min="5898" max="5898" width="2.42578125" style="440" customWidth="1"/>
    <col min="5899" max="5899" width="11.5703125" style="440" customWidth="1"/>
    <col min="5900" max="5900" width="2.42578125" style="440" customWidth="1"/>
    <col min="5901" max="5901" width="10.85546875" style="440" customWidth="1"/>
    <col min="5902" max="5902" width="2.42578125" style="440" customWidth="1"/>
    <col min="5903" max="5903" width="11.140625" style="440" customWidth="1"/>
    <col min="5904" max="5904" width="1.85546875" style="440" customWidth="1"/>
    <col min="5905" max="5905" width="11" style="440" customWidth="1"/>
    <col min="5906" max="5906" width="0.7109375" style="440" customWidth="1"/>
    <col min="5907" max="5907" width="1.85546875" style="440" customWidth="1"/>
    <col min="5908" max="5908" width="11.85546875" style="440" bestFit="1" customWidth="1"/>
    <col min="5909" max="5909" width="15.28515625" style="440" bestFit="1" customWidth="1"/>
    <col min="5910" max="5910" width="5" style="440" customWidth="1"/>
    <col min="5911" max="5911" width="10.42578125" style="440" bestFit="1" customWidth="1"/>
    <col min="5912" max="5912" width="5" style="440" customWidth="1"/>
    <col min="5913" max="5913" width="10.42578125" style="440" bestFit="1" customWidth="1"/>
    <col min="5914" max="5916" width="9" style="440"/>
    <col min="5917" max="5917" width="10.42578125" style="440" bestFit="1" customWidth="1"/>
    <col min="5918" max="6146" width="9" style="440"/>
    <col min="6147" max="6147" width="3.5703125" style="440" customWidth="1"/>
    <col min="6148" max="6148" width="4.85546875" style="440" customWidth="1"/>
    <col min="6149" max="6149" width="5.42578125" style="440" customWidth="1"/>
    <col min="6150" max="6150" width="31.28515625" style="440" customWidth="1"/>
    <col min="6151" max="6151" width="7.5703125" style="440" customWidth="1"/>
    <col min="6152" max="6152" width="2.42578125" style="440" customWidth="1"/>
    <col min="6153" max="6153" width="11.5703125" style="440" customWidth="1"/>
    <col min="6154" max="6154" width="2.42578125" style="440" customWidth="1"/>
    <col min="6155" max="6155" width="11.5703125" style="440" customWidth="1"/>
    <col min="6156" max="6156" width="2.42578125" style="440" customWidth="1"/>
    <col min="6157" max="6157" width="10.85546875" style="440" customWidth="1"/>
    <col min="6158" max="6158" width="2.42578125" style="440" customWidth="1"/>
    <col min="6159" max="6159" width="11.140625" style="440" customWidth="1"/>
    <col min="6160" max="6160" width="1.85546875" style="440" customWidth="1"/>
    <col min="6161" max="6161" width="11" style="440" customWidth="1"/>
    <col min="6162" max="6162" width="0.7109375" style="440" customWidth="1"/>
    <col min="6163" max="6163" width="1.85546875" style="440" customWidth="1"/>
    <col min="6164" max="6164" width="11.85546875" style="440" bestFit="1" customWidth="1"/>
    <col min="6165" max="6165" width="15.28515625" style="440" bestFit="1" customWidth="1"/>
    <col min="6166" max="6166" width="5" style="440" customWidth="1"/>
    <col min="6167" max="6167" width="10.42578125" style="440" bestFit="1" customWidth="1"/>
    <col min="6168" max="6168" width="5" style="440" customWidth="1"/>
    <col min="6169" max="6169" width="10.42578125" style="440" bestFit="1" customWidth="1"/>
    <col min="6170" max="6172" width="9" style="440"/>
    <col min="6173" max="6173" width="10.42578125" style="440" bestFit="1" customWidth="1"/>
    <col min="6174" max="6402" width="9" style="440"/>
    <col min="6403" max="6403" width="3.5703125" style="440" customWidth="1"/>
    <col min="6404" max="6404" width="4.85546875" style="440" customWidth="1"/>
    <col min="6405" max="6405" width="5.42578125" style="440" customWidth="1"/>
    <col min="6406" max="6406" width="31.28515625" style="440" customWidth="1"/>
    <col min="6407" max="6407" width="7.5703125" style="440" customWidth="1"/>
    <col min="6408" max="6408" width="2.42578125" style="440" customWidth="1"/>
    <col min="6409" max="6409" width="11.5703125" style="440" customWidth="1"/>
    <col min="6410" max="6410" width="2.42578125" style="440" customWidth="1"/>
    <col min="6411" max="6411" width="11.5703125" style="440" customWidth="1"/>
    <col min="6412" max="6412" width="2.42578125" style="440" customWidth="1"/>
    <col min="6413" max="6413" width="10.85546875" style="440" customWidth="1"/>
    <col min="6414" max="6414" width="2.42578125" style="440" customWidth="1"/>
    <col min="6415" max="6415" width="11.140625" style="440" customWidth="1"/>
    <col min="6416" max="6416" width="1.85546875" style="440" customWidth="1"/>
    <col min="6417" max="6417" width="11" style="440" customWidth="1"/>
    <col min="6418" max="6418" width="0.7109375" style="440" customWidth="1"/>
    <col min="6419" max="6419" width="1.85546875" style="440" customWidth="1"/>
    <col min="6420" max="6420" width="11.85546875" style="440" bestFit="1" customWidth="1"/>
    <col min="6421" max="6421" width="15.28515625" style="440" bestFit="1" customWidth="1"/>
    <col min="6422" max="6422" width="5" style="440" customWidth="1"/>
    <col min="6423" max="6423" width="10.42578125" style="440" bestFit="1" customWidth="1"/>
    <col min="6424" max="6424" width="5" style="440" customWidth="1"/>
    <col min="6425" max="6425" width="10.42578125" style="440" bestFit="1" customWidth="1"/>
    <col min="6426" max="6428" width="9" style="440"/>
    <col min="6429" max="6429" width="10.42578125" style="440" bestFit="1" customWidth="1"/>
    <col min="6430" max="6658" width="9" style="440"/>
    <col min="6659" max="6659" width="3.5703125" style="440" customWidth="1"/>
    <col min="6660" max="6660" width="4.85546875" style="440" customWidth="1"/>
    <col min="6661" max="6661" width="5.42578125" style="440" customWidth="1"/>
    <col min="6662" max="6662" width="31.28515625" style="440" customWidth="1"/>
    <col min="6663" max="6663" width="7.5703125" style="440" customWidth="1"/>
    <col min="6664" max="6664" width="2.42578125" style="440" customWidth="1"/>
    <col min="6665" max="6665" width="11.5703125" style="440" customWidth="1"/>
    <col min="6666" max="6666" width="2.42578125" style="440" customWidth="1"/>
    <col min="6667" max="6667" width="11.5703125" style="440" customWidth="1"/>
    <col min="6668" max="6668" width="2.42578125" style="440" customWidth="1"/>
    <col min="6669" max="6669" width="10.85546875" style="440" customWidth="1"/>
    <col min="6670" max="6670" width="2.42578125" style="440" customWidth="1"/>
    <col min="6671" max="6671" width="11.140625" style="440" customWidth="1"/>
    <col min="6672" max="6672" width="1.85546875" style="440" customWidth="1"/>
    <col min="6673" max="6673" width="11" style="440" customWidth="1"/>
    <col min="6674" max="6674" width="0.7109375" style="440" customWidth="1"/>
    <col min="6675" max="6675" width="1.85546875" style="440" customWidth="1"/>
    <col min="6676" max="6676" width="11.85546875" style="440" bestFit="1" customWidth="1"/>
    <col min="6677" max="6677" width="15.28515625" style="440" bestFit="1" customWidth="1"/>
    <col min="6678" max="6678" width="5" style="440" customWidth="1"/>
    <col min="6679" max="6679" width="10.42578125" style="440" bestFit="1" customWidth="1"/>
    <col min="6680" max="6680" width="5" style="440" customWidth="1"/>
    <col min="6681" max="6681" width="10.42578125" style="440" bestFit="1" customWidth="1"/>
    <col min="6682" max="6684" width="9" style="440"/>
    <col min="6685" max="6685" width="10.42578125" style="440" bestFit="1" customWidth="1"/>
    <col min="6686" max="6914" width="9" style="440"/>
    <col min="6915" max="6915" width="3.5703125" style="440" customWidth="1"/>
    <col min="6916" max="6916" width="4.85546875" style="440" customWidth="1"/>
    <col min="6917" max="6917" width="5.42578125" style="440" customWidth="1"/>
    <col min="6918" max="6918" width="31.28515625" style="440" customWidth="1"/>
    <col min="6919" max="6919" width="7.5703125" style="440" customWidth="1"/>
    <col min="6920" max="6920" width="2.42578125" style="440" customWidth="1"/>
    <col min="6921" max="6921" width="11.5703125" style="440" customWidth="1"/>
    <col min="6922" max="6922" width="2.42578125" style="440" customWidth="1"/>
    <col min="6923" max="6923" width="11.5703125" style="440" customWidth="1"/>
    <col min="6924" max="6924" width="2.42578125" style="440" customWidth="1"/>
    <col min="6925" max="6925" width="10.85546875" style="440" customWidth="1"/>
    <col min="6926" max="6926" width="2.42578125" style="440" customWidth="1"/>
    <col min="6927" max="6927" width="11.140625" style="440" customWidth="1"/>
    <col min="6928" max="6928" width="1.85546875" style="440" customWidth="1"/>
    <col min="6929" max="6929" width="11" style="440" customWidth="1"/>
    <col min="6930" max="6930" width="0.7109375" style="440" customWidth="1"/>
    <col min="6931" max="6931" width="1.85546875" style="440" customWidth="1"/>
    <col min="6932" max="6932" width="11.85546875" style="440" bestFit="1" customWidth="1"/>
    <col min="6933" max="6933" width="15.28515625" style="440" bestFit="1" customWidth="1"/>
    <col min="6934" max="6934" width="5" style="440" customWidth="1"/>
    <col min="6935" max="6935" width="10.42578125" style="440" bestFit="1" customWidth="1"/>
    <col min="6936" max="6936" width="5" style="440" customWidth="1"/>
    <col min="6937" max="6937" width="10.42578125" style="440" bestFit="1" customWidth="1"/>
    <col min="6938" max="6940" width="9" style="440"/>
    <col min="6941" max="6941" width="10.42578125" style="440" bestFit="1" customWidth="1"/>
    <col min="6942" max="7170" width="9" style="440"/>
    <col min="7171" max="7171" width="3.5703125" style="440" customWidth="1"/>
    <col min="7172" max="7172" width="4.85546875" style="440" customWidth="1"/>
    <col min="7173" max="7173" width="5.42578125" style="440" customWidth="1"/>
    <col min="7174" max="7174" width="31.28515625" style="440" customWidth="1"/>
    <col min="7175" max="7175" width="7.5703125" style="440" customWidth="1"/>
    <col min="7176" max="7176" width="2.42578125" style="440" customWidth="1"/>
    <col min="7177" max="7177" width="11.5703125" style="440" customWidth="1"/>
    <col min="7178" max="7178" width="2.42578125" style="440" customWidth="1"/>
    <col min="7179" max="7179" width="11.5703125" style="440" customWidth="1"/>
    <col min="7180" max="7180" width="2.42578125" style="440" customWidth="1"/>
    <col min="7181" max="7181" width="10.85546875" style="440" customWidth="1"/>
    <col min="7182" max="7182" width="2.42578125" style="440" customWidth="1"/>
    <col min="7183" max="7183" width="11.140625" style="440" customWidth="1"/>
    <col min="7184" max="7184" width="1.85546875" style="440" customWidth="1"/>
    <col min="7185" max="7185" width="11" style="440" customWidth="1"/>
    <col min="7186" max="7186" width="0.7109375" style="440" customWidth="1"/>
    <col min="7187" max="7187" width="1.85546875" style="440" customWidth="1"/>
    <col min="7188" max="7188" width="11.85546875" style="440" bestFit="1" customWidth="1"/>
    <col min="7189" max="7189" width="15.28515625" style="440" bestFit="1" customWidth="1"/>
    <col min="7190" max="7190" width="5" style="440" customWidth="1"/>
    <col min="7191" max="7191" width="10.42578125" style="440" bestFit="1" customWidth="1"/>
    <col min="7192" max="7192" width="5" style="440" customWidth="1"/>
    <col min="7193" max="7193" width="10.42578125" style="440" bestFit="1" customWidth="1"/>
    <col min="7194" max="7196" width="9" style="440"/>
    <col min="7197" max="7197" width="10.42578125" style="440" bestFit="1" customWidth="1"/>
    <col min="7198" max="7426" width="9" style="440"/>
    <col min="7427" max="7427" width="3.5703125" style="440" customWidth="1"/>
    <col min="7428" max="7428" width="4.85546875" style="440" customWidth="1"/>
    <col min="7429" max="7429" width="5.42578125" style="440" customWidth="1"/>
    <col min="7430" max="7430" width="31.28515625" style="440" customWidth="1"/>
    <col min="7431" max="7431" width="7.5703125" style="440" customWidth="1"/>
    <col min="7432" max="7432" width="2.42578125" style="440" customWidth="1"/>
    <col min="7433" max="7433" width="11.5703125" style="440" customWidth="1"/>
    <col min="7434" max="7434" width="2.42578125" style="440" customWidth="1"/>
    <col min="7435" max="7435" width="11.5703125" style="440" customWidth="1"/>
    <col min="7436" max="7436" width="2.42578125" style="440" customWidth="1"/>
    <col min="7437" max="7437" width="10.85546875" style="440" customWidth="1"/>
    <col min="7438" max="7438" width="2.42578125" style="440" customWidth="1"/>
    <col min="7439" max="7439" width="11.140625" style="440" customWidth="1"/>
    <col min="7440" max="7440" width="1.85546875" style="440" customWidth="1"/>
    <col min="7441" max="7441" width="11" style="440" customWidth="1"/>
    <col min="7442" max="7442" width="0.7109375" style="440" customWidth="1"/>
    <col min="7443" max="7443" width="1.85546875" style="440" customWidth="1"/>
    <col min="7444" max="7444" width="11.85546875" style="440" bestFit="1" customWidth="1"/>
    <col min="7445" max="7445" width="15.28515625" style="440" bestFit="1" customWidth="1"/>
    <col min="7446" max="7446" width="5" style="440" customWidth="1"/>
    <col min="7447" max="7447" width="10.42578125" style="440" bestFit="1" customWidth="1"/>
    <col min="7448" max="7448" width="5" style="440" customWidth="1"/>
    <col min="7449" max="7449" width="10.42578125" style="440" bestFit="1" customWidth="1"/>
    <col min="7450" max="7452" width="9" style="440"/>
    <col min="7453" max="7453" width="10.42578125" style="440" bestFit="1" customWidth="1"/>
    <col min="7454" max="7682" width="9" style="440"/>
    <col min="7683" max="7683" width="3.5703125" style="440" customWidth="1"/>
    <col min="7684" max="7684" width="4.85546875" style="440" customWidth="1"/>
    <col min="7685" max="7685" width="5.42578125" style="440" customWidth="1"/>
    <col min="7686" max="7686" width="31.28515625" style="440" customWidth="1"/>
    <col min="7687" max="7687" width="7.5703125" style="440" customWidth="1"/>
    <col min="7688" max="7688" width="2.42578125" style="440" customWidth="1"/>
    <col min="7689" max="7689" width="11.5703125" style="440" customWidth="1"/>
    <col min="7690" max="7690" width="2.42578125" style="440" customWidth="1"/>
    <col min="7691" max="7691" width="11.5703125" style="440" customWidth="1"/>
    <col min="7692" max="7692" width="2.42578125" style="440" customWidth="1"/>
    <col min="7693" max="7693" width="10.85546875" style="440" customWidth="1"/>
    <col min="7694" max="7694" width="2.42578125" style="440" customWidth="1"/>
    <col min="7695" max="7695" width="11.140625" style="440" customWidth="1"/>
    <col min="7696" max="7696" width="1.85546875" style="440" customWidth="1"/>
    <col min="7697" max="7697" width="11" style="440" customWidth="1"/>
    <col min="7698" max="7698" width="0.7109375" style="440" customWidth="1"/>
    <col min="7699" max="7699" width="1.85546875" style="440" customWidth="1"/>
    <col min="7700" max="7700" width="11.85546875" style="440" bestFit="1" customWidth="1"/>
    <col min="7701" max="7701" width="15.28515625" style="440" bestFit="1" customWidth="1"/>
    <col min="7702" max="7702" width="5" style="440" customWidth="1"/>
    <col min="7703" max="7703" width="10.42578125" style="440" bestFit="1" customWidth="1"/>
    <col min="7704" max="7704" width="5" style="440" customWidth="1"/>
    <col min="7705" max="7705" width="10.42578125" style="440" bestFit="1" customWidth="1"/>
    <col min="7706" max="7708" width="9" style="440"/>
    <col min="7709" max="7709" width="10.42578125" style="440" bestFit="1" customWidth="1"/>
    <col min="7710" max="7938" width="9" style="440"/>
    <col min="7939" max="7939" width="3.5703125" style="440" customWidth="1"/>
    <col min="7940" max="7940" width="4.85546875" style="440" customWidth="1"/>
    <col min="7941" max="7941" width="5.42578125" style="440" customWidth="1"/>
    <col min="7942" max="7942" width="31.28515625" style="440" customWidth="1"/>
    <col min="7943" max="7943" width="7.5703125" style="440" customWidth="1"/>
    <col min="7944" max="7944" width="2.42578125" style="440" customWidth="1"/>
    <col min="7945" max="7945" width="11.5703125" style="440" customWidth="1"/>
    <col min="7946" max="7946" width="2.42578125" style="440" customWidth="1"/>
    <col min="7947" max="7947" width="11.5703125" style="440" customWidth="1"/>
    <col min="7948" max="7948" width="2.42578125" style="440" customWidth="1"/>
    <col min="7949" max="7949" width="10.85546875" style="440" customWidth="1"/>
    <col min="7950" max="7950" width="2.42578125" style="440" customWidth="1"/>
    <col min="7951" max="7951" width="11.140625" style="440" customWidth="1"/>
    <col min="7952" max="7952" width="1.85546875" style="440" customWidth="1"/>
    <col min="7953" max="7953" width="11" style="440" customWidth="1"/>
    <col min="7954" max="7954" width="0.7109375" style="440" customWidth="1"/>
    <col min="7955" max="7955" width="1.85546875" style="440" customWidth="1"/>
    <col min="7956" max="7956" width="11.85546875" style="440" bestFit="1" customWidth="1"/>
    <col min="7957" max="7957" width="15.28515625" style="440" bestFit="1" customWidth="1"/>
    <col min="7958" max="7958" width="5" style="440" customWidth="1"/>
    <col min="7959" max="7959" width="10.42578125" style="440" bestFit="1" customWidth="1"/>
    <col min="7960" max="7960" width="5" style="440" customWidth="1"/>
    <col min="7961" max="7961" width="10.42578125" style="440" bestFit="1" customWidth="1"/>
    <col min="7962" max="7964" width="9" style="440"/>
    <col min="7965" max="7965" width="10.42578125" style="440" bestFit="1" customWidth="1"/>
    <col min="7966" max="8194" width="9" style="440"/>
    <col min="8195" max="8195" width="3.5703125" style="440" customWidth="1"/>
    <col min="8196" max="8196" width="4.85546875" style="440" customWidth="1"/>
    <col min="8197" max="8197" width="5.42578125" style="440" customWidth="1"/>
    <col min="8198" max="8198" width="31.28515625" style="440" customWidth="1"/>
    <col min="8199" max="8199" width="7.5703125" style="440" customWidth="1"/>
    <col min="8200" max="8200" width="2.42578125" style="440" customWidth="1"/>
    <col min="8201" max="8201" width="11.5703125" style="440" customWidth="1"/>
    <col min="8202" max="8202" width="2.42578125" style="440" customWidth="1"/>
    <col min="8203" max="8203" width="11.5703125" style="440" customWidth="1"/>
    <col min="8204" max="8204" width="2.42578125" style="440" customWidth="1"/>
    <col min="8205" max="8205" width="10.85546875" style="440" customWidth="1"/>
    <col min="8206" max="8206" width="2.42578125" style="440" customWidth="1"/>
    <col min="8207" max="8207" width="11.140625" style="440" customWidth="1"/>
    <col min="8208" max="8208" width="1.85546875" style="440" customWidth="1"/>
    <col min="8209" max="8209" width="11" style="440" customWidth="1"/>
    <col min="8210" max="8210" width="0.7109375" style="440" customWidth="1"/>
    <col min="8211" max="8211" width="1.85546875" style="440" customWidth="1"/>
    <col min="8212" max="8212" width="11.85546875" style="440" bestFit="1" customWidth="1"/>
    <col min="8213" max="8213" width="15.28515625" style="440" bestFit="1" customWidth="1"/>
    <col min="8214" max="8214" width="5" style="440" customWidth="1"/>
    <col min="8215" max="8215" width="10.42578125" style="440" bestFit="1" customWidth="1"/>
    <col min="8216" max="8216" width="5" style="440" customWidth="1"/>
    <col min="8217" max="8217" width="10.42578125" style="440" bestFit="1" customWidth="1"/>
    <col min="8218" max="8220" width="9" style="440"/>
    <col min="8221" max="8221" width="10.42578125" style="440" bestFit="1" customWidth="1"/>
    <col min="8222" max="8450" width="9" style="440"/>
    <col min="8451" max="8451" width="3.5703125" style="440" customWidth="1"/>
    <col min="8452" max="8452" width="4.85546875" style="440" customWidth="1"/>
    <col min="8453" max="8453" width="5.42578125" style="440" customWidth="1"/>
    <col min="8454" max="8454" width="31.28515625" style="440" customWidth="1"/>
    <col min="8455" max="8455" width="7.5703125" style="440" customWidth="1"/>
    <col min="8456" max="8456" width="2.42578125" style="440" customWidth="1"/>
    <col min="8457" max="8457" width="11.5703125" style="440" customWidth="1"/>
    <col min="8458" max="8458" width="2.42578125" style="440" customWidth="1"/>
    <col min="8459" max="8459" width="11.5703125" style="440" customWidth="1"/>
    <col min="8460" max="8460" width="2.42578125" style="440" customWidth="1"/>
    <col min="8461" max="8461" width="10.85546875" style="440" customWidth="1"/>
    <col min="8462" max="8462" width="2.42578125" style="440" customWidth="1"/>
    <col min="8463" max="8463" width="11.140625" style="440" customWidth="1"/>
    <col min="8464" max="8464" width="1.85546875" style="440" customWidth="1"/>
    <col min="8465" max="8465" width="11" style="440" customWidth="1"/>
    <col min="8466" max="8466" width="0.7109375" style="440" customWidth="1"/>
    <col min="8467" max="8467" width="1.85546875" style="440" customWidth="1"/>
    <col min="8468" max="8468" width="11.85546875" style="440" bestFit="1" customWidth="1"/>
    <col min="8469" max="8469" width="15.28515625" style="440" bestFit="1" customWidth="1"/>
    <col min="8470" max="8470" width="5" style="440" customWidth="1"/>
    <col min="8471" max="8471" width="10.42578125" style="440" bestFit="1" customWidth="1"/>
    <col min="8472" max="8472" width="5" style="440" customWidth="1"/>
    <col min="8473" max="8473" width="10.42578125" style="440" bestFit="1" customWidth="1"/>
    <col min="8474" max="8476" width="9" style="440"/>
    <col min="8477" max="8477" width="10.42578125" style="440" bestFit="1" customWidth="1"/>
    <col min="8478" max="8706" width="9" style="440"/>
    <col min="8707" max="8707" width="3.5703125" style="440" customWidth="1"/>
    <col min="8708" max="8708" width="4.85546875" style="440" customWidth="1"/>
    <col min="8709" max="8709" width="5.42578125" style="440" customWidth="1"/>
    <col min="8710" max="8710" width="31.28515625" style="440" customWidth="1"/>
    <col min="8711" max="8711" width="7.5703125" style="440" customWidth="1"/>
    <col min="8712" max="8712" width="2.42578125" style="440" customWidth="1"/>
    <col min="8713" max="8713" width="11.5703125" style="440" customWidth="1"/>
    <col min="8714" max="8714" width="2.42578125" style="440" customWidth="1"/>
    <col min="8715" max="8715" width="11.5703125" style="440" customWidth="1"/>
    <col min="8716" max="8716" width="2.42578125" style="440" customWidth="1"/>
    <col min="8717" max="8717" width="10.85546875" style="440" customWidth="1"/>
    <col min="8718" max="8718" width="2.42578125" style="440" customWidth="1"/>
    <col min="8719" max="8719" width="11.140625" style="440" customWidth="1"/>
    <col min="8720" max="8720" width="1.85546875" style="440" customWidth="1"/>
    <col min="8721" max="8721" width="11" style="440" customWidth="1"/>
    <col min="8722" max="8722" width="0.7109375" style="440" customWidth="1"/>
    <col min="8723" max="8723" width="1.85546875" style="440" customWidth="1"/>
    <col min="8724" max="8724" width="11.85546875" style="440" bestFit="1" customWidth="1"/>
    <col min="8725" max="8725" width="15.28515625" style="440" bestFit="1" customWidth="1"/>
    <col min="8726" max="8726" width="5" style="440" customWidth="1"/>
    <col min="8727" max="8727" width="10.42578125" style="440" bestFit="1" customWidth="1"/>
    <col min="8728" max="8728" width="5" style="440" customWidth="1"/>
    <col min="8729" max="8729" width="10.42578125" style="440" bestFit="1" customWidth="1"/>
    <col min="8730" max="8732" width="9" style="440"/>
    <col min="8733" max="8733" width="10.42578125" style="440" bestFit="1" customWidth="1"/>
    <col min="8734" max="8962" width="9" style="440"/>
    <col min="8963" max="8963" width="3.5703125" style="440" customWidth="1"/>
    <col min="8964" max="8964" width="4.85546875" style="440" customWidth="1"/>
    <col min="8965" max="8965" width="5.42578125" style="440" customWidth="1"/>
    <col min="8966" max="8966" width="31.28515625" style="440" customWidth="1"/>
    <col min="8967" max="8967" width="7.5703125" style="440" customWidth="1"/>
    <col min="8968" max="8968" width="2.42578125" style="440" customWidth="1"/>
    <col min="8969" max="8969" width="11.5703125" style="440" customWidth="1"/>
    <col min="8970" max="8970" width="2.42578125" style="440" customWidth="1"/>
    <col min="8971" max="8971" width="11.5703125" style="440" customWidth="1"/>
    <col min="8972" max="8972" width="2.42578125" style="440" customWidth="1"/>
    <col min="8973" max="8973" width="10.85546875" style="440" customWidth="1"/>
    <col min="8974" max="8974" width="2.42578125" style="440" customWidth="1"/>
    <col min="8975" max="8975" width="11.140625" style="440" customWidth="1"/>
    <col min="8976" max="8976" width="1.85546875" style="440" customWidth="1"/>
    <col min="8977" max="8977" width="11" style="440" customWidth="1"/>
    <col min="8978" max="8978" width="0.7109375" style="440" customWidth="1"/>
    <col min="8979" max="8979" width="1.85546875" style="440" customWidth="1"/>
    <col min="8980" max="8980" width="11.85546875" style="440" bestFit="1" customWidth="1"/>
    <col min="8981" max="8981" width="15.28515625" style="440" bestFit="1" customWidth="1"/>
    <col min="8982" max="8982" width="5" style="440" customWidth="1"/>
    <col min="8983" max="8983" width="10.42578125" style="440" bestFit="1" customWidth="1"/>
    <col min="8984" max="8984" width="5" style="440" customWidth="1"/>
    <col min="8985" max="8985" width="10.42578125" style="440" bestFit="1" customWidth="1"/>
    <col min="8986" max="8988" width="9" style="440"/>
    <col min="8989" max="8989" width="10.42578125" style="440" bestFit="1" customWidth="1"/>
    <col min="8990" max="9218" width="9" style="440"/>
    <col min="9219" max="9219" width="3.5703125" style="440" customWidth="1"/>
    <col min="9220" max="9220" width="4.85546875" style="440" customWidth="1"/>
    <col min="9221" max="9221" width="5.42578125" style="440" customWidth="1"/>
    <col min="9222" max="9222" width="31.28515625" style="440" customWidth="1"/>
    <col min="9223" max="9223" width="7.5703125" style="440" customWidth="1"/>
    <col min="9224" max="9224" width="2.42578125" style="440" customWidth="1"/>
    <col min="9225" max="9225" width="11.5703125" style="440" customWidth="1"/>
    <col min="9226" max="9226" width="2.42578125" style="440" customWidth="1"/>
    <col min="9227" max="9227" width="11.5703125" style="440" customWidth="1"/>
    <col min="9228" max="9228" width="2.42578125" style="440" customWidth="1"/>
    <col min="9229" max="9229" width="10.85546875" style="440" customWidth="1"/>
    <col min="9230" max="9230" width="2.42578125" style="440" customWidth="1"/>
    <col min="9231" max="9231" width="11.140625" style="440" customWidth="1"/>
    <col min="9232" max="9232" width="1.85546875" style="440" customWidth="1"/>
    <col min="9233" max="9233" width="11" style="440" customWidth="1"/>
    <col min="9234" max="9234" width="0.7109375" style="440" customWidth="1"/>
    <col min="9235" max="9235" width="1.85546875" style="440" customWidth="1"/>
    <col min="9236" max="9236" width="11.85546875" style="440" bestFit="1" customWidth="1"/>
    <col min="9237" max="9237" width="15.28515625" style="440" bestFit="1" customWidth="1"/>
    <col min="9238" max="9238" width="5" style="440" customWidth="1"/>
    <col min="9239" max="9239" width="10.42578125" style="440" bestFit="1" customWidth="1"/>
    <col min="9240" max="9240" width="5" style="440" customWidth="1"/>
    <col min="9241" max="9241" width="10.42578125" style="440" bestFit="1" customWidth="1"/>
    <col min="9242" max="9244" width="9" style="440"/>
    <col min="9245" max="9245" width="10.42578125" style="440" bestFit="1" customWidth="1"/>
    <col min="9246" max="9474" width="9" style="440"/>
    <col min="9475" max="9475" width="3.5703125" style="440" customWidth="1"/>
    <col min="9476" max="9476" width="4.85546875" style="440" customWidth="1"/>
    <col min="9477" max="9477" width="5.42578125" style="440" customWidth="1"/>
    <col min="9478" max="9478" width="31.28515625" style="440" customWidth="1"/>
    <col min="9479" max="9479" width="7.5703125" style="440" customWidth="1"/>
    <col min="9480" max="9480" width="2.42578125" style="440" customWidth="1"/>
    <col min="9481" max="9481" width="11.5703125" style="440" customWidth="1"/>
    <col min="9482" max="9482" width="2.42578125" style="440" customWidth="1"/>
    <col min="9483" max="9483" width="11.5703125" style="440" customWidth="1"/>
    <col min="9484" max="9484" width="2.42578125" style="440" customWidth="1"/>
    <col min="9485" max="9485" width="10.85546875" style="440" customWidth="1"/>
    <col min="9486" max="9486" width="2.42578125" style="440" customWidth="1"/>
    <col min="9487" max="9487" width="11.140625" style="440" customWidth="1"/>
    <col min="9488" max="9488" width="1.85546875" style="440" customWidth="1"/>
    <col min="9489" max="9489" width="11" style="440" customWidth="1"/>
    <col min="9490" max="9490" width="0.7109375" style="440" customWidth="1"/>
    <col min="9491" max="9491" width="1.85546875" style="440" customWidth="1"/>
    <col min="9492" max="9492" width="11.85546875" style="440" bestFit="1" customWidth="1"/>
    <col min="9493" max="9493" width="15.28515625" style="440" bestFit="1" customWidth="1"/>
    <col min="9494" max="9494" width="5" style="440" customWidth="1"/>
    <col min="9495" max="9495" width="10.42578125" style="440" bestFit="1" customWidth="1"/>
    <col min="9496" max="9496" width="5" style="440" customWidth="1"/>
    <col min="9497" max="9497" width="10.42578125" style="440" bestFit="1" customWidth="1"/>
    <col min="9498" max="9500" width="9" style="440"/>
    <col min="9501" max="9501" width="10.42578125" style="440" bestFit="1" customWidth="1"/>
    <col min="9502" max="9730" width="9" style="440"/>
    <col min="9731" max="9731" width="3.5703125" style="440" customWidth="1"/>
    <col min="9732" max="9732" width="4.85546875" style="440" customWidth="1"/>
    <col min="9733" max="9733" width="5.42578125" style="440" customWidth="1"/>
    <col min="9734" max="9734" width="31.28515625" style="440" customWidth="1"/>
    <col min="9735" max="9735" width="7.5703125" style="440" customWidth="1"/>
    <col min="9736" max="9736" width="2.42578125" style="440" customWidth="1"/>
    <col min="9737" max="9737" width="11.5703125" style="440" customWidth="1"/>
    <col min="9738" max="9738" width="2.42578125" style="440" customWidth="1"/>
    <col min="9739" max="9739" width="11.5703125" style="440" customWidth="1"/>
    <col min="9740" max="9740" width="2.42578125" style="440" customWidth="1"/>
    <col min="9741" max="9741" width="10.85546875" style="440" customWidth="1"/>
    <col min="9742" max="9742" width="2.42578125" style="440" customWidth="1"/>
    <col min="9743" max="9743" width="11.140625" style="440" customWidth="1"/>
    <col min="9744" max="9744" width="1.85546875" style="440" customWidth="1"/>
    <col min="9745" max="9745" width="11" style="440" customWidth="1"/>
    <col min="9746" max="9746" width="0.7109375" style="440" customWidth="1"/>
    <col min="9747" max="9747" width="1.85546875" style="440" customWidth="1"/>
    <col min="9748" max="9748" width="11.85546875" style="440" bestFit="1" customWidth="1"/>
    <col min="9749" max="9749" width="15.28515625" style="440" bestFit="1" customWidth="1"/>
    <col min="9750" max="9750" width="5" style="440" customWidth="1"/>
    <col min="9751" max="9751" width="10.42578125" style="440" bestFit="1" customWidth="1"/>
    <col min="9752" max="9752" width="5" style="440" customWidth="1"/>
    <col min="9753" max="9753" width="10.42578125" style="440" bestFit="1" customWidth="1"/>
    <col min="9754" max="9756" width="9" style="440"/>
    <col min="9757" max="9757" width="10.42578125" style="440" bestFit="1" customWidth="1"/>
    <col min="9758" max="9986" width="9" style="440"/>
    <col min="9987" max="9987" width="3.5703125" style="440" customWidth="1"/>
    <col min="9988" max="9988" width="4.85546875" style="440" customWidth="1"/>
    <col min="9989" max="9989" width="5.42578125" style="440" customWidth="1"/>
    <col min="9990" max="9990" width="31.28515625" style="440" customWidth="1"/>
    <col min="9991" max="9991" width="7.5703125" style="440" customWidth="1"/>
    <col min="9992" max="9992" width="2.42578125" style="440" customWidth="1"/>
    <col min="9993" max="9993" width="11.5703125" style="440" customWidth="1"/>
    <col min="9994" max="9994" width="2.42578125" style="440" customWidth="1"/>
    <col min="9995" max="9995" width="11.5703125" style="440" customWidth="1"/>
    <col min="9996" max="9996" width="2.42578125" style="440" customWidth="1"/>
    <col min="9997" max="9997" width="10.85546875" style="440" customWidth="1"/>
    <col min="9998" max="9998" width="2.42578125" style="440" customWidth="1"/>
    <col min="9999" max="9999" width="11.140625" style="440" customWidth="1"/>
    <col min="10000" max="10000" width="1.85546875" style="440" customWidth="1"/>
    <col min="10001" max="10001" width="11" style="440" customWidth="1"/>
    <col min="10002" max="10002" width="0.7109375" style="440" customWidth="1"/>
    <col min="10003" max="10003" width="1.85546875" style="440" customWidth="1"/>
    <col min="10004" max="10004" width="11.85546875" style="440" bestFit="1" customWidth="1"/>
    <col min="10005" max="10005" width="15.28515625" style="440" bestFit="1" customWidth="1"/>
    <col min="10006" max="10006" width="5" style="440" customWidth="1"/>
    <col min="10007" max="10007" width="10.42578125" style="440" bestFit="1" customWidth="1"/>
    <col min="10008" max="10008" width="5" style="440" customWidth="1"/>
    <col min="10009" max="10009" width="10.42578125" style="440" bestFit="1" customWidth="1"/>
    <col min="10010" max="10012" width="9" style="440"/>
    <col min="10013" max="10013" width="10.42578125" style="440" bestFit="1" customWidth="1"/>
    <col min="10014" max="10242" width="9" style="440"/>
    <col min="10243" max="10243" width="3.5703125" style="440" customWidth="1"/>
    <col min="10244" max="10244" width="4.85546875" style="440" customWidth="1"/>
    <col min="10245" max="10245" width="5.42578125" style="440" customWidth="1"/>
    <col min="10246" max="10246" width="31.28515625" style="440" customWidth="1"/>
    <col min="10247" max="10247" width="7.5703125" style="440" customWidth="1"/>
    <col min="10248" max="10248" width="2.42578125" style="440" customWidth="1"/>
    <col min="10249" max="10249" width="11.5703125" style="440" customWidth="1"/>
    <col min="10250" max="10250" width="2.42578125" style="440" customWidth="1"/>
    <col min="10251" max="10251" width="11.5703125" style="440" customWidth="1"/>
    <col min="10252" max="10252" width="2.42578125" style="440" customWidth="1"/>
    <col min="10253" max="10253" width="10.85546875" style="440" customWidth="1"/>
    <col min="10254" max="10254" width="2.42578125" style="440" customWidth="1"/>
    <col min="10255" max="10255" width="11.140625" style="440" customWidth="1"/>
    <col min="10256" max="10256" width="1.85546875" style="440" customWidth="1"/>
    <col min="10257" max="10257" width="11" style="440" customWidth="1"/>
    <col min="10258" max="10258" width="0.7109375" style="440" customWidth="1"/>
    <col min="10259" max="10259" width="1.85546875" style="440" customWidth="1"/>
    <col min="10260" max="10260" width="11.85546875" style="440" bestFit="1" customWidth="1"/>
    <col min="10261" max="10261" width="15.28515625" style="440" bestFit="1" customWidth="1"/>
    <col min="10262" max="10262" width="5" style="440" customWidth="1"/>
    <col min="10263" max="10263" width="10.42578125" style="440" bestFit="1" customWidth="1"/>
    <col min="10264" max="10264" width="5" style="440" customWidth="1"/>
    <col min="10265" max="10265" width="10.42578125" style="440" bestFit="1" customWidth="1"/>
    <col min="10266" max="10268" width="9" style="440"/>
    <col min="10269" max="10269" width="10.42578125" style="440" bestFit="1" customWidth="1"/>
    <col min="10270" max="10498" width="9" style="440"/>
    <col min="10499" max="10499" width="3.5703125" style="440" customWidth="1"/>
    <col min="10500" max="10500" width="4.85546875" style="440" customWidth="1"/>
    <col min="10501" max="10501" width="5.42578125" style="440" customWidth="1"/>
    <col min="10502" max="10502" width="31.28515625" style="440" customWidth="1"/>
    <col min="10503" max="10503" width="7.5703125" style="440" customWidth="1"/>
    <col min="10504" max="10504" width="2.42578125" style="440" customWidth="1"/>
    <col min="10505" max="10505" width="11.5703125" style="440" customWidth="1"/>
    <col min="10506" max="10506" width="2.42578125" style="440" customWidth="1"/>
    <col min="10507" max="10507" width="11.5703125" style="440" customWidth="1"/>
    <col min="10508" max="10508" width="2.42578125" style="440" customWidth="1"/>
    <col min="10509" max="10509" width="10.85546875" style="440" customWidth="1"/>
    <col min="10510" max="10510" width="2.42578125" style="440" customWidth="1"/>
    <col min="10511" max="10511" width="11.140625" style="440" customWidth="1"/>
    <col min="10512" max="10512" width="1.85546875" style="440" customWidth="1"/>
    <col min="10513" max="10513" width="11" style="440" customWidth="1"/>
    <col min="10514" max="10514" width="0.7109375" style="440" customWidth="1"/>
    <col min="10515" max="10515" width="1.85546875" style="440" customWidth="1"/>
    <col min="10516" max="10516" width="11.85546875" style="440" bestFit="1" customWidth="1"/>
    <col min="10517" max="10517" width="15.28515625" style="440" bestFit="1" customWidth="1"/>
    <col min="10518" max="10518" width="5" style="440" customWidth="1"/>
    <col min="10519" max="10519" width="10.42578125" style="440" bestFit="1" customWidth="1"/>
    <col min="10520" max="10520" width="5" style="440" customWidth="1"/>
    <col min="10521" max="10521" width="10.42578125" style="440" bestFit="1" customWidth="1"/>
    <col min="10522" max="10524" width="9" style="440"/>
    <col min="10525" max="10525" width="10.42578125" style="440" bestFit="1" customWidth="1"/>
    <col min="10526" max="10754" width="9" style="440"/>
    <col min="10755" max="10755" width="3.5703125" style="440" customWidth="1"/>
    <col min="10756" max="10756" width="4.85546875" style="440" customWidth="1"/>
    <col min="10757" max="10757" width="5.42578125" style="440" customWidth="1"/>
    <col min="10758" max="10758" width="31.28515625" style="440" customWidth="1"/>
    <col min="10759" max="10759" width="7.5703125" style="440" customWidth="1"/>
    <col min="10760" max="10760" width="2.42578125" style="440" customWidth="1"/>
    <col min="10761" max="10761" width="11.5703125" style="440" customWidth="1"/>
    <col min="10762" max="10762" width="2.42578125" style="440" customWidth="1"/>
    <col min="10763" max="10763" width="11.5703125" style="440" customWidth="1"/>
    <col min="10764" max="10764" width="2.42578125" style="440" customWidth="1"/>
    <col min="10765" max="10765" width="10.85546875" style="440" customWidth="1"/>
    <col min="10766" max="10766" width="2.42578125" style="440" customWidth="1"/>
    <col min="10767" max="10767" width="11.140625" style="440" customWidth="1"/>
    <col min="10768" max="10768" width="1.85546875" style="440" customWidth="1"/>
    <col min="10769" max="10769" width="11" style="440" customWidth="1"/>
    <col min="10770" max="10770" width="0.7109375" style="440" customWidth="1"/>
    <col min="10771" max="10771" width="1.85546875" style="440" customWidth="1"/>
    <col min="10772" max="10772" width="11.85546875" style="440" bestFit="1" customWidth="1"/>
    <col min="10773" max="10773" width="15.28515625" style="440" bestFit="1" customWidth="1"/>
    <col min="10774" max="10774" width="5" style="440" customWidth="1"/>
    <col min="10775" max="10775" width="10.42578125" style="440" bestFit="1" customWidth="1"/>
    <col min="10776" max="10776" width="5" style="440" customWidth="1"/>
    <col min="10777" max="10777" width="10.42578125" style="440" bestFit="1" customWidth="1"/>
    <col min="10778" max="10780" width="9" style="440"/>
    <col min="10781" max="10781" width="10.42578125" style="440" bestFit="1" customWidth="1"/>
    <col min="10782" max="11010" width="9" style="440"/>
    <col min="11011" max="11011" width="3.5703125" style="440" customWidth="1"/>
    <col min="11012" max="11012" width="4.85546875" style="440" customWidth="1"/>
    <col min="11013" max="11013" width="5.42578125" style="440" customWidth="1"/>
    <col min="11014" max="11014" width="31.28515625" style="440" customWidth="1"/>
    <col min="11015" max="11015" width="7.5703125" style="440" customWidth="1"/>
    <col min="11016" max="11016" width="2.42578125" style="440" customWidth="1"/>
    <col min="11017" max="11017" width="11.5703125" style="440" customWidth="1"/>
    <col min="11018" max="11018" width="2.42578125" style="440" customWidth="1"/>
    <col min="11019" max="11019" width="11.5703125" style="440" customWidth="1"/>
    <col min="11020" max="11020" width="2.42578125" style="440" customWidth="1"/>
    <col min="11021" max="11021" width="10.85546875" style="440" customWidth="1"/>
    <col min="11022" max="11022" width="2.42578125" style="440" customWidth="1"/>
    <col min="11023" max="11023" width="11.140625" style="440" customWidth="1"/>
    <col min="11024" max="11024" width="1.85546875" style="440" customWidth="1"/>
    <col min="11025" max="11025" width="11" style="440" customWidth="1"/>
    <col min="11026" max="11026" width="0.7109375" style="440" customWidth="1"/>
    <col min="11027" max="11027" width="1.85546875" style="440" customWidth="1"/>
    <col min="11028" max="11028" width="11.85546875" style="440" bestFit="1" customWidth="1"/>
    <col min="11029" max="11029" width="15.28515625" style="440" bestFit="1" customWidth="1"/>
    <col min="11030" max="11030" width="5" style="440" customWidth="1"/>
    <col min="11031" max="11031" width="10.42578125" style="440" bestFit="1" customWidth="1"/>
    <col min="11032" max="11032" width="5" style="440" customWidth="1"/>
    <col min="11033" max="11033" width="10.42578125" style="440" bestFit="1" customWidth="1"/>
    <col min="11034" max="11036" width="9" style="440"/>
    <col min="11037" max="11037" width="10.42578125" style="440" bestFit="1" customWidth="1"/>
    <col min="11038" max="11266" width="9" style="440"/>
    <col min="11267" max="11267" width="3.5703125" style="440" customWidth="1"/>
    <col min="11268" max="11268" width="4.85546875" style="440" customWidth="1"/>
    <col min="11269" max="11269" width="5.42578125" style="440" customWidth="1"/>
    <col min="11270" max="11270" width="31.28515625" style="440" customWidth="1"/>
    <col min="11271" max="11271" width="7.5703125" style="440" customWidth="1"/>
    <col min="11272" max="11272" width="2.42578125" style="440" customWidth="1"/>
    <col min="11273" max="11273" width="11.5703125" style="440" customWidth="1"/>
    <col min="11274" max="11274" width="2.42578125" style="440" customWidth="1"/>
    <col min="11275" max="11275" width="11.5703125" style="440" customWidth="1"/>
    <col min="11276" max="11276" width="2.42578125" style="440" customWidth="1"/>
    <col min="11277" max="11277" width="10.85546875" style="440" customWidth="1"/>
    <col min="11278" max="11278" width="2.42578125" style="440" customWidth="1"/>
    <col min="11279" max="11279" width="11.140625" style="440" customWidth="1"/>
    <col min="11280" max="11280" width="1.85546875" style="440" customWidth="1"/>
    <col min="11281" max="11281" width="11" style="440" customWidth="1"/>
    <col min="11282" max="11282" width="0.7109375" style="440" customWidth="1"/>
    <col min="11283" max="11283" width="1.85546875" style="440" customWidth="1"/>
    <col min="11284" max="11284" width="11.85546875" style="440" bestFit="1" customWidth="1"/>
    <col min="11285" max="11285" width="15.28515625" style="440" bestFit="1" customWidth="1"/>
    <col min="11286" max="11286" width="5" style="440" customWidth="1"/>
    <col min="11287" max="11287" width="10.42578125" style="440" bestFit="1" customWidth="1"/>
    <col min="11288" max="11288" width="5" style="440" customWidth="1"/>
    <col min="11289" max="11289" width="10.42578125" style="440" bestFit="1" customWidth="1"/>
    <col min="11290" max="11292" width="9" style="440"/>
    <col min="11293" max="11293" width="10.42578125" style="440" bestFit="1" customWidth="1"/>
    <col min="11294" max="11522" width="9" style="440"/>
    <col min="11523" max="11523" width="3.5703125" style="440" customWidth="1"/>
    <col min="11524" max="11524" width="4.85546875" style="440" customWidth="1"/>
    <col min="11525" max="11525" width="5.42578125" style="440" customWidth="1"/>
    <col min="11526" max="11526" width="31.28515625" style="440" customWidth="1"/>
    <col min="11527" max="11527" width="7.5703125" style="440" customWidth="1"/>
    <col min="11528" max="11528" width="2.42578125" style="440" customWidth="1"/>
    <col min="11529" max="11529" width="11.5703125" style="440" customWidth="1"/>
    <col min="11530" max="11530" width="2.42578125" style="440" customWidth="1"/>
    <col min="11531" max="11531" width="11.5703125" style="440" customWidth="1"/>
    <col min="11532" max="11532" width="2.42578125" style="440" customWidth="1"/>
    <col min="11533" max="11533" width="10.85546875" style="440" customWidth="1"/>
    <col min="11534" max="11534" width="2.42578125" style="440" customWidth="1"/>
    <col min="11535" max="11535" width="11.140625" style="440" customWidth="1"/>
    <col min="11536" max="11536" width="1.85546875" style="440" customWidth="1"/>
    <col min="11537" max="11537" width="11" style="440" customWidth="1"/>
    <col min="11538" max="11538" width="0.7109375" style="440" customWidth="1"/>
    <col min="11539" max="11539" width="1.85546875" style="440" customWidth="1"/>
    <col min="11540" max="11540" width="11.85546875" style="440" bestFit="1" customWidth="1"/>
    <col min="11541" max="11541" width="15.28515625" style="440" bestFit="1" customWidth="1"/>
    <col min="11542" max="11542" width="5" style="440" customWidth="1"/>
    <col min="11543" max="11543" width="10.42578125" style="440" bestFit="1" customWidth="1"/>
    <col min="11544" max="11544" width="5" style="440" customWidth="1"/>
    <col min="11545" max="11545" width="10.42578125" style="440" bestFit="1" customWidth="1"/>
    <col min="11546" max="11548" width="9" style="440"/>
    <col min="11549" max="11549" width="10.42578125" style="440" bestFit="1" customWidth="1"/>
    <col min="11550" max="11778" width="9" style="440"/>
    <col min="11779" max="11779" width="3.5703125" style="440" customWidth="1"/>
    <col min="11780" max="11780" width="4.85546875" style="440" customWidth="1"/>
    <col min="11781" max="11781" width="5.42578125" style="440" customWidth="1"/>
    <col min="11782" max="11782" width="31.28515625" style="440" customWidth="1"/>
    <col min="11783" max="11783" width="7.5703125" style="440" customWidth="1"/>
    <col min="11784" max="11784" width="2.42578125" style="440" customWidth="1"/>
    <col min="11785" max="11785" width="11.5703125" style="440" customWidth="1"/>
    <col min="11786" max="11786" width="2.42578125" style="440" customWidth="1"/>
    <col min="11787" max="11787" width="11.5703125" style="440" customWidth="1"/>
    <col min="11788" max="11788" width="2.42578125" style="440" customWidth="1"/>
    <col min="11789" max="11789" width="10.85546875" style="440" customWidth="1"/>
    <col min="11790" max="11790" width="2.42578125" style="440" customWidth="1"/>
    <col min="11791" max="11791" width="11.140625" style="440" customWidth="1"/>
    <col min="11792" max="11792" width="1.85546875" style="440" customWidth="1"/>
    <col min="11793" max="11793" width="11" style="440" customWidth="1"/>
    <col min="11794" max="11794" width="0.7109375" style="440" customWidth="1"/>
    <col min="11795" max="11795" width="1.85546875" style="440" customWidth="1"/>
    <col min="11796" max="11796" width="11.85546875" style="440" bestFit="1" customWidth="1"/>
    <col min="11797" max="11797" width="15.28515625" style="440" bestFit="1" customWidth="1"/>
    <col min="11798" max="11798" width="5" style="440" customWidth="1"/>
    <col min="11799" max="11799" width="10.42578125" style="440" bestFit="1" customWidth="1"/>
    <col min="11800" max="11800" width="5" style="440" customWidth="1"/>
    <col min="11801" max="11801" width="10.42578125" style="440" bestFit="1" customWidth="1"/>
    <col min="11802" max="11804" width="9" style="440"/>
    <col min="11805" max="11805" width="10.42578125" style="440" bestFit="1" customWidth="1"/>
    <col min="11806" max="12034" width="9" style="440"/>
    <col min="12035" max="12035" width="3.5703125" style="440" customWidth="1"/>
    <col min="12036" max="12036" width="4.85546875" style="440" customWidth="1"/>
    <col min="12037" max="12037" width="5.42578125" style="440" customWidth="1"/>
    <col min="12038" max="12038" width="31.28515625" style="440" customWidth="1"/>
    <col min="12039" max="12039" width="7.5703125" style="440" customWidth="1"/>
    <col min="12040" max="12040" width="2.42578125" style="440" customWidth="1"/>
    <col min="12041" max="12041" width="11.5703125" style="440" customWidth="1"/>
    <col min="12042" max="12042" width="2.42578125" style="440" customWidth="1"/>
    <col min="12043" max="12043" width="11.5703125" style="440" customWidth="1"/>
    <col min="12044" max="12044" width="2.42578125" style="440" customWidth="1"/>
    <col min="12045" max="12045" width="10.85546875" style="440" customWidth="1"/>
    <col min="12046" max="12046" width="2.42578125" style="440" customWidth="1"/>
    <col min="12047" max="12047" width="11.140625" style="440" customWidth="1"/>
    <col min="12048" max="12048" width="1.85546875" style="440" customWidth="1"/>
    <col min="12049" max="12049" width="11" style="440" customWidth="1"/>
    <col min="12050" max="12050" width="0.7109375" style="440" customWidth="1"/>
    <col min="12051" max="12051" width="1.85546875" style="440" customWidth="1"/>
    <col min="12052" max="12052" width="11.85546875" style="440" bestFit="1" customWidth="1"/>
    <col min="12053" max="12053" width="15.28515625" style="440" bestFit="1" customWidth="1"/>
    <col min="12054" max="12054" width="5" style="440" customWidth="1"/>
    <col min="12055" max="12055" width="10.42578125" style="440" bestFit="1" customWidth="1"/>
    <col min="12056" max="12056" width="5" style="440" customWidth="1"/>
    <col min="12057" max="12057" width="10.42578125" style="440" bestFit="1" customWidth="1"/>
    <col min="12058" max="12060" width="9" style="440"/>
    <col min="12061" max="12061" width="10.42578125" style="440" bestFit="1" customWidth="1"/>
    <col min="12062" max="12290" width="9" style="440"/>
    <col min="12291" max="12291" width="3.5703125" style="440" customWidth="1"/>
    <col min="12292" max="12292" width="4.85546875" style="440" customWidth="1"/>
    <col min="12293" max="12293" width="5.42578125" style="440" customWidth="1"/>
    <col min="12294" max="12294" width="31.28515625" style="440" customWidth="1"/>
    <col min="12295" max="12295" width="7.5703125" style="440" customWidth="1"/>
    <col min="12296" max="12296" width="2.42578125" style="440" customWidth="1"/>
    <col min="12297" max="12297" width="11.5703125" style="440" customWidth="1"/>
    <col min="12298" max="12298" width="2.42578125" style="440" customWidth="1"/>
    <col min="12299" max="12299" width="11.5703125" style="440" customWidth="1"/>
    <col min="12300" max="12300" width="2.42578125" style="440" customWidth="1"/>
    <col min="12301" max="12301" width="10.85546875" style="440" customWidth="1"/>
    <col min="12302" max="12302" width="2.42578125" style="440" customWidth="1"/>
    <col min="12303" max="12303" width="11.140625" style="440" customWidth="1"/>
    <col min="12304" max="12304" width="1.85546875" style="440" customWidth="1"/>
    <col min="12305" max="12305" width="11" style="440" customWidth="1"/>
    <col min="12306" max="12306" width="0.7109375" style="440" customWidth="1"/>
    <col min="12307" max="12307" width="1.85546875" style="440" customWidth="1"/>
    <col min="12308" max="12308" width="11.85546875" style="440" bestFit="1" customWidth="1"/>
    <col min="12309" max="12309" width="15.28515625" style="440" bestFit="1" customWidth="1"/>
    <col min="12310" max="12310" width="5" style="440" customWidth="1"/>
    <col min="12311" max="12311" width="10.42578125" style="440" bestFit="1" customWidth="1"/>
    <col min="12312" max="12312" width="5" style="440" customWidth="1"/>
    <col min="12313" max="12313" width="10.42578125" style="440" bestFit="1" customWidth="1"/>
    <col min="12314" max="12316" width="9" style="440"/>
    <col min="12317" max="12317" width="10.42578125" style="440" bestFit="1" customWidth="1"/>
    <col min="12318" max="12546" width="9" style="440"/>
    <col min="12547" max="12547" width="3.5703125" style="440" customWidth="1"/>
    <col min="12548" max="12548" width="4.85546875" style="440" customWidth="1"/>
    <col min="12549" max="12549" width="5.42578125" style="440" customWidth="1"/>
    <col min="12550" max="12550" width="31.28515625" style="440" customWidth="1"/>
    <col min="12551" max="12551" width="7.5703125" style="440" customWidth="1"/>
    <col min="12552" max="12552" width="2.42578125" style="440" customWidth="1"/>
    <col min="12553" max="12553" width="11.5703125" style="440" customWidth="1"/>
    <col min="12554" max="12554" width="2.42578125" style="440" customWidth="1"/>
    <col min="12555" max="12555" width="11.5703125" style="440" customWidth="1"/>
    <col min="12556" max="12556" width="2.42578125" style="440" customWidth="1"/>
    <col min="12557" max="12557" width="10.85546875" style="440" customWidth="1"/>
    <col min="12558" max="12558" width="2.42578125" style="440" customWidth="1"/>
    <col min="12559" max="12559" width="11.140625" style="440" customWidth="1"/>
    <col min="12560" max="12560" width="1.85546875" style="440" customWidth="1"/>
    <col min="12561" max="12561" width="11" style="440" customWidth="1"/>
    <col min="12562" max="12562" width="0.7109375" style="440" customWidth="1"/>
    <col min="12563" max="12563" width="1.85546875" style="440" customWidth="1"/>
    <col min="12564" max="12564" width="11.85546875" style="440" bestFit="1" customWidth="1"/>
    <col min="12565" max="12565" width="15.28515625" style="440" bestFit="1" customWidth="1"/>
    <col min="12566" max="12566" width="5" style="440" customWidth="1"/>
    <col min="12567" max="12567" width="10.42578125" style="440" bestFit="1" customWidth="1"/>
    <col min="12568" max="12568" width="5" style="440" customWidth="1"/>
    <col min="12569" max="12569" width="10.42578125" style="440" bestFit="1" customWidth="1"/>
    <col min="12570" max="12572" width="9" style="440"/>
    <col min="12573" max="12573" width="10.42578125" style="440" bestFit="1" customWidth="1"/>
    <col min="12574" max="12802" width="9" style="440"/>
    <col min="12803" max="12803" width="3.5703125" style="440" customWidth="1"/>
    <col min="12804" max="12804" width="4.85546875" style="440" customWidth="1"/>
    <col min="12805" max="12805" width="5.42578125" style="440" customWidth="1"/>
    <col min="12806" max="12806" width="31.28515625" style="440" customWidth="1"/>
    <col min="12807" max="12807" width="7.5703125" style="440" customWidth="1"/>
    <col min="12808" max="12808" width="2.42578125" style="440" customWidth="1"/>
    <col min="12809" max="12809" width="11.5703125" style="440" customWidth="1"/>
    <col min="12810" max="12810" width="2.42578125" style="440" customWidth="1"/>
    <col min="12811" max="12811" width="11.5703125" style="440" customWidth="1"/>
    <col min="12812" max="12812" width="2.42578125" style="440" customWidth="1"/>
    <col min="12813" max="12813" width="10.85546875" style="440" customWidth="1"/>
    <col min="12814" max="12814" width="2.42578125" style="440" customWidth="1"/>
    <col min="12815" max="12815" width="11.140625" style="440" customWidth="1"/>
    <col min="12816" max="12816" width="1.85546875" style="440" customWidth="1"/>
    <col min="12817" max="12817" width="11" style="440" customWidth="1"/>
    <col min="12818" max="12818" width="0.7109375" style="440" customWidth="1"/>
    <col min="12819" max="12819" width="1.85546875" style="440" customWidth="1"/>
    <col min="12820" max="12820" width="11.85546875" style="440" bestFit="1" customWidth="1"/>
    <col min="12821" max="12821" width="15.28515625" style="440" bestFit="1" customWidth="1"/>
    <col min="12822" max="12822" width="5" style="440" customWidth="1"/>
    <col min="12823" max="12823" width="10.42578125" style="440" bestFit="1" customWidth="1"/>
    <col min="12824" max="12824" width="5" style="440" customWidth="1"/>
    <col min="12825" max="12825" width="10.42578125" style="440" bestFit="1" customWidth="1"/>
    <col min="12826" max="12828" width="9" style="440"/>
    <col min="12829" max="12829" width="10.42578125" style="440" bestFit="1" customWidth="1"/>
    <col min="12830" max="13058" width="9" style="440"/>
    <col min="13059" max="13059" width="3.5703125" style="440" customWidth="1"/>
    <col min="13060" max="13060" width="4.85546875" style="440" customWidth="1"/>
    <col min="13061" max="13061" width="5.42578125" style="440" customWidth="1"/>
    <col min="13062" max="13062" width="31.28515625" style="440" customWidth="1"/>
    <col min="13063" max="13063" width="7.5703125" style="440" customWidth="1"/>
    <col min="13064" max="13064" width="2.42578125" style="440" customWidth="1"/>
    <col min="13065" max="13065" width="11.5703125" style="440" customWidth="1"/>
    <col min="13066" max="13066" width="2.42578125" style="440" customWidth="1"/>
    <col min="13067" max="13067" width="11.5703125" style="440" customWidth="1"/>
    <col min="13068" max="13068" width="2.42578125" style="440" customWidth="1"/>
    <col min="13069" max="13069" width="10.85546875" style="440" customWidth="1"/>
    <col min="13070" max="13070" width="2.42578125" style="440" customWidth="1"/>
    <col min="13071" max="13071" width="11.140625" style="440" customWidth="1"/>
    <col min="13072" max="13072" width="1.85546875" style="440" customWidth="1"/>
    <col min="13073" max="13073" width="11" style="440" customWidth="1"/>
    <col min="13074" max="13074" width="0.7109375" style="440" customWidth="1"/>
    <col min="13075" max="13075" width="1.85546875" style="440" customWidth="1"/>
    <col min="13076" max="13076" width="11.85546875" style="440" bestFit="1" customWidth="1"/>
    <col min="13077" max="13077" width="15.28515625" style="440" bestFit="1" customWidth="1"/>
    <col min="13078" max="13078" width="5" style="440" customWidth="1"/>
    <col min="13079" max="13079" width="10.42578125" style="440" bestFit="1" customWidth="1"/>
    <col min="13080" max="13080" width="5" style="440" customWidth="1"/>
    <col min="13081" max="13081" width="10.42578125" style="440" bestFit="1" customWidth="1"/>
    <col min="13082" max="13084" width="9" style="440"/>
    <col min="13085" max="13085" width="10.42578125" style="440" bestFit="1" customWidth="1"/>
    <col min="13086" max="13314" width="9" style="440"/>
    <col min="13315" max="13315" width="3.5703125" style="440" customWidth="1"/>
    <col min="13316" max="13316" width="4.85546875" style="440" customWidth="1"/>
    <col min="13317" max="13317" width="5.42578125" style="440" customWidth="1"/>
    <col min="13318" max="13318" width="31.28515625" style="440" customWidth="1"/>
    <col min="13319" max="13319" width="7.5703125" style="440" customWidth="1"/>
    <col min="13320" max="13320" width="2.42578125" style="440" customWidth="1"/>
    <col min="13321" max="13321" width="11.5703125" style="440" customWidth="1"/>
    <col min="13322" max="13322" width="2.42578125" style="440" customWidth="1"/>
    <col min="13323" max="13323" width="11.5703125" style="440" customWidth="1"/>
    <col min="13324" max="13324" width="2.42578125" style="440" customWidth="1"/>
    <col min="13325" max="13325" width="10.85546875" style="440" customWidth="1"/>
    <col min="13326" max="13326" width="2.42578125" style="440" customWidth="1"/>
    <col min="13327" max="13327" width="11.140625" style="440" customWidth="1"/>
    <col min="13328" max="13328" width="1.85546875" style="440" customWidth="1"/>
    <col min="13329" max="13329" width="11" style="440" customWidth="1"/>
    <col min="13330" max="13330" width="0.7109375" style="440" customWidth="1"/>
    <col min="13331" max="13331" width="1.85546875" style="440" customWidth="1"/>
    <col min="13332" max="13332" width="11.85546875" style="440" bestFit="1" customWidth="1"/>
    <col min="13333" max="13333" width="15.28515625" style="440" bestFit="1" customWidth="1"/>
    <col min="13334" max="13334" width="5" style="440" customWidth="1"/>
    <col min="13335" max="13335" width="10.42578125" style="440" bestFit="1" customWidth="1"/>
    <col min="13336" max="13336" width="5" style="440" customWidth="1"/>
    <col min="13337" max="13337" width="10.42578125" style="440" bestFit="1" customWidth="1"/>
    <col min="13338" max="13340" width="9" style="440"/>
    <col min="13341" max="13341" width="10.42578125" style="440" bestFit="1" customWidth="1"/>
    <col min="13342" max="13570" width="9" style="440"/>
    <col min="13571" max="13571" width="3.5703125" style="440" customWidth="1"/>
    <col min="13572" max="13572" width="4.85546875" style="440" customWidth="1"/>
    <col min="13573" max="13573" width="5.42578125" style="440" customWidth="1"/>
    <col min="13574" max="13574" width="31.28515625" style="440" customWidth="1"/>
    <col min="13575" max="13575" width="7.5703125" style="440" customWidth="1"/>
    <col min="13576" max="13576" width="2.42578125" style="440" customWidth="1"/>
    <col min="13577" max="13577" width="11.5703125" style="440" customWidth="1"/>
    <col min="13578" max="13578" width="2.42578125" style="440" customWidth="1"/>
    <col min="13579" max="13579" width="11.5703125" style="440" customWidth="1"/>
    <col min="13580" max="13580" width="2.42578125" style="440" customWidth="1"/>
    <col min="13581" max="13581" width="10.85546875" style="440" customWidth="1"/>
    <col min="13582" max="13582" width="2.42578125" style="440" customWidth="1"/>
    <col min="13583" max="13583" width="11.140625" style="440" customWidth="1"/>
    <col min="13584" max="13584" width="1.85546875" style="440" customWidth="1"/>
    <col min="13585" max="13585" width="11" style="440" customWidth="1"/>
    <col min="13586" max="13586" width="0.7109375" style="440" customWidth="1"/>
    <col min="13587" max="13587" width="1.85546875" style="440" customWidth="1"/>
    <col min="13588" max="13588" width="11.85546875" style="440" bestFit="1" customWidth="1"/>
    <col min="13589" max="13589" width="15.28515625" style="440" bestFit="1" customWidth="1"/>
    <col min="13590" max="13590" width="5" style="440" customWidth="1"/>
    <col min="13591" max="13591" width="10.42578125" style="440" bestFit="1" customWidth="1"/>
    <col min="13592" max="13592" width="5" style="440" customWidth="1"/>
    <col min="13593" max="13593" width="10.42578125" style="440" bestFit="1" customWidth="1"/>
    <col min="13594" max="13596" width="9" style="440"/>
    <col min="13597" max="13597" width="10.42578125" style="440" bestFit="1" customWidth="1"/>
    <col min="13598" max="13826" width="9" style="440"/>
    <col min="13827" max="13827" width="3.5703125" style="440" customWidth="1"/>
    <col min="13828" max="13828" width="4.85546875" style="440" customWidth="1"/>
    <col min="13829" max="13829" width="5.42578125" style="440" customWidth="1"/>
    <col min="13830" max="13830" width="31.28515625" style="440" customWidth="1"/>
    <col min="13831" max="13831" width="7.5703125" style="440" customWidth="1"/>
    <col min="13832" max="13832" width="2.42578125" style="440" customWidth="1"/>
    <col min="13833" max="13833" width="11.5703125" style="440" customWidth="1"/>
    <col min="13834" max="13834" width="2.42578125" style="440" customWidth="1"/>
    <col min="13835" max="13835" width="11.5703125" style="440" customWidth="1"/>
    <col min="13836" max="13836" width="2.42578125" style="440" customWidth="1"/>
    <col min="13837" max="13837" width="10.85546875" style="440" customWidth="1"/>
    <col min="13838" max="13838" width="2.42578125" style="440" customWidth="1"/>
    <col min="13839" max="13839" width="11.140625" style="440" customWidth="1"/>
    <col min="13840" max="13840" width="1.85546875" style="440" customWidth="1"/>
    <col min="13841" max="13841" width="11" style="440" customWidth="1"/>
    <col min="13842" max="13842" width="0.7109375" style="440" customWidth="1"/>
    <col min="13843" max="13843" width="1.85546875" style="440" customWidth="1"/>
    <col min="13844" max="13844" width="11.85546875" style="440" bestFit="1" customWidth="1"/>
    <col min="13845" max="13845" width="15.28515625" style="440" bestFit="1" customWidth="1"/>
    <col min="13846" max="13846" width="5" style="440" customWidth="1"/>
    <col min="13847" max="13847" width="10.42578125" style="440" bestFit="1" customWidth="1"/>
    <col min="13848" max="13848" width="5" style="440" customWidth="1"/>
    <col min="13849" max="13849" width="10.42578125" style="440" bestFit="1" customWidth="1"/>
    <col min="13850" max="13852" width="9" style="440"/>
    <col min="13853" max="13853" width="10.42578125" style="440" bestFit="1" customWidth="1"/>
    <col min="13854" max="14082" width="9" style="440"/>
    <col min="14083" max="14083" width="3.5703125" style="440" customWidth="1"/>
    <col min="14084" max="14084" width="4.85546875" style="440" customWidth="1"/>
    <col min="14085" max="14085" width="5.42578125" style="440" customWidth="1"/>
    <col min="14086" max="14086" width="31.28515625" style="440" customWidth="1"/>
    <col min="14087" max="14087" width="7.5703125" style="440" customWidth="1"/>
    <col min="14088" max="14088" width="2.42578125" style="440" customWidth="1"/>
    <col min="14089" max="14089" width="11.5703125" style="440" customWidth="1"/>
    <col min="14090" max="14090" width="2.42578125" style="440" customWidth="1"/>
    <col min="14091" max="14091" width="11.5703125" style="440" customWidth="1"/>
    <col min="14092" max="14092" width="2.42578125" style="440" customWidth="1"/>
    <col min="14093" max="14093" width="10.85546875" style="440" customWidth="1"/>
    <col min="14094" max="14094" width="2.42578125" style="440" customWidth="1"/>
    <col min="14095" max="14095" width="11.140625" style="440" customWidth="1"/>
    <col min="14096" max="14096" width="1.85546875" style="440" customWidth="1"/>
    <col min="14097" max="14097" width="11" style="440" customWidth="1"/>
    <col min="14098" max="14098" width="0.7109375" style="440" customWidth="1"/>
    <col min="14099" max="14099" width="1.85546875" style="440" customWidth="1"/>
    <col min="14100" max="14100" width="11.85546875" style="440" bestFit="1" customWidth="1"/>
    <col min="14101" max="14101" width="15.28515625" style="440" bestFit="1" customWidth="1"/>
    <col min="14102" max="14102" width="5" style="440" customWidth="1"/>
    <col min="14103" max="14103" width="10.42578125" style="440" bestFit="1" customWidth="1"/>
    <col min="14104" max="14104" width="5" style="440" customWidth="1"/>
    <col min="14105" max="14105" width="10.42578125" style="440" bestFit="1" customWidth="1"/>
    <col min="14106" max="14108" width="9" style="440"/>
    <col min="14109" max="14109" width="10.42578125" style="440" bestFit="1" customWidth="1"/>
    <col min="14110" max="14338" width="9" style="440"/>
    <col min="14339" max="14339" width="3.5703125" style="440" customWidth="1"/>
    <col min="14340" max="14340" width="4.85546875" style="440" customWidth="1"/>
    <col min="14341" max="14341" width="5.42578125" style="440" customWidth="1"/>
    <col min="14342" max="14342" width="31.28515625" style="440" customWidth="1"/>
    <col min="14343" max="14343" width="7.5703125" style="440" customWidth="1"/>
    <col min="14344" max="14344" width="2.42578125" style="440" customWidth="1"/>
    <col min="14345" max="14345" width="11.5703125" style="440" customWidth="1"/>
    <col min="14346" max="14346" width="2.42578125" style="440" customWidth="1"/>
    <col min="14347" max="14347" width="11.5703125" style="440" customWidth="1"/>
    <col min="14348" max="14348" width="2.42578125" style="440" customWidth="1"/>
    <col min="14349" max="14349" width="10.85546875" style="440" customWidth="1"/>
    <col min="14350" max="14350" width="2.42578125" style="440" customWidth="1"/>
    <col min="14351" max="14351" width="11.140625" style="440" customWidth="1"/>
    <col min="14352" max="14352" width="1.85546875" style="440" customWidth="1"/>
    <col min="14353" max="14353" width="11" style="440" customWidth="1"/>
    <col min="14354" max="14354" width="0.7109375" style="440" customWidth="1"/>
    <col min="14355" max="14355" width="1.85546875" style="440" customWidth="1"/>
    <col min="14356" max="14356" width="11.85546875" style="440" bestFit="1" customWidth="1"/>
    <col min="14357" max="14357" width="15.28515625" style="440" bestFit="1" customWidth="1"/>
    <col min="14358" max="14358" width="5" style="440" customWidth="1"/>
    <col min="14359" max="14359" width="10.42578125" style="440" bestFit="1" customWidth="1"/>
    <col min="14360" max="14360" width="5" style="440" customWidth="1"/>
    <col min="14361" max="14361" width="10.42578125" style="440" bestFit="1" customWidth="1"/>
    <col min="14362" max="14364" width="9" style="440"/>
    <col min="14365" max="14365" width="10.42578125" style="440" bestFit="1" customWidth="1"/>
    <col min="14366" max="14594" width="9" style="440"/>
    <col min="14595" max="14595" width="3.5703125" style="440" customWidth="1"/>
    <col min="14596" max="14596" width="4.85546875" style="440" customWidth="1"/>
    <col min="14597" max="14597" width="5.42578125" style="440" customWidth="1"/>
    <col min="14598" max="14598" width="31.28515625" style="440" customWidth="1"/>
    <col min="14599" max="14599" width="7.5703125" style="440" customWidth="1"/>
    <col min="14600" max="14600" width="2.42578125" style="440" customWidth="1"/>
    <col min="14601" max="14601" width="11.5703125" style="440" customWidth="1"/>
    <col min="14602" max="14602" width="2.42578125" style="440" customWidth="1"/>
    <col min="14603" max="14603" width="11.5703125" style="440" customWidth="1"/>
    <col min="14604" max="14604" width="2.42578125" style="440" customWidth="1"/>
    <col min="14605" max="14605" width="10.85546875" style="440" customWidth="1"/>
    <col min="14606" max="14606" width="2.42578125" style="440" customWidth="1"/>
    <col min="14607" max="14607" width="11.140625" style="440" customWidth="1"/>
    <col min="14608" max="14608" width="1.85546875" style="440" customWidth="1"/>
    <col min="14609" max="14609" width="11" style="440" customWidth="1"/>
    <col min="14610" max="14610" width="0.7109375" style="440" customWidth="1"/>
    <col min="14611" max="14611" width="1.85546875" style="440" customWidth="1"/>
    <col min="14612" max="14612" width="11.85546875" style="440" bestFit="1" customWidth="1"/>
    <col min="14613" max="14613" width="15.28515625" style="440" bestFit="1" customWidth="1"/>
    <col min="14614" max="14614" width="5" style="440" customWidth="1"/>
    <col min="14615" max="14615" width="10.42578125" style="440" bestFit="1" customWidth="1"/>
    <col min="14616" max="14616" width="5" style="440" customWidth="1"/>
    <col min="14617" max="14617" width="10.42578125" style="440" bestFit="1" customWidth="1"/>
    <col min="14618" max="14620" width="9" style="440"/>
    <col min="14621" max="14621" width="10.42578125" style="440" bestFit="1" customWidth="1"/>
    <col min="14622" max="14850" width="9" style="440"/>
    <col min="14851" max="14851" width="3.5703125" style="440" customWidth="1"/>
    <col min="14852" max="14852" width="4.85546875" style="440" customWidth="1"/>
    <col min="14853" max="14853" width="5.42578125" style="440" customWidth="1"/>
    <col min="14854" max="14854" width="31.28515625" style="440" customWidth="1"/>
    <col min="14855" max="14855" width="7.5703125" style="440" customWidth="1"/>
    <col min="14856" max="14856" width="2.42578125" style="440" customWidth="1"/>
    <col min="14857" max="14857" width="11.5703125" style="440" customWidth="1"/>
    <col min="14858" max="14858" width="2.42578125" style="440" customWidth="1"/>
    <col min="14859" max="14859" width="11.5703125" style="440" customWidth="1"/>
    <col min="14860" max="14860" width="2.42578125" style="440" customWidth="1"/>
    <col min="14861" max="14861" width="10.85546875" style="440" customWidth="1"/>
    <col min="14862" max="14862" width="2.42578125" style="440" customWidth="1"/>
    <col min="14863" max="14863" width="11.140625" style="440" customWidth="1"/>
    <col min="14864" max="14864" width="1.85546875" style="440" customWidth="1"/>
    <col min="14865" max="14865" width="11" style="440" customWidth="1"/>
    <col min="14866" max="14866" width="0.7109375" style="440" customWidth="1"/>
    <col min="14867" max="14867" width="1.85546875" style="440" customWidth="1"/>
    <col min="14868" max="14868" width="11.85546875" style="440" bestFit="1" customWidth="1"/>
    <col min="14869" max="14869" width="15.28515625" style="440" bestFit="1" customWidth="1"/>
    <col min="14870" max="14870" width="5" style="440" customWidth="1"/>
    <col min="14871" max="14871" width="10.42578125" style="440" bestFit="1" customWidth="1"/>
    <col min="14872" max="14872" width="5" style="440" customWidth="1"/>
    <col min="14873" max="14873" width="10.42578125" style="440" bestFit="1" customWidth="1"/>
    <col min="14874" max="14876" width="9" style="440"/>
    <col min="14877" max="14877" width="10.42578125" style="440" bestFit="1" customWidth="1"/>
    <col min="14878" max="15106" width="9" style="440"/>
    <col min="15107" max="15107" width="3.5703125" style="440" customWidth="1"/>
    <col min="15108" max="15108" width="4.85546875" style="440" customWidth="1"/>
    <col min="15109" max="15109" width="5.42578125" style="440" customWidth="1"/>
    <col min="15110" max="15110" width="31.28515625" style="440" customWidth="1"/>
    <col min="15111" max="15111" width="7.5703125" style="440" customWidth="1"/>
    <col min="15112" max="15112" width="2.42578125" style="440" customWidth="1"/>
    <col min="15113" max="15113" width="11.5703125" style="440" customWidth="1"/>
    <col min="15114" max="15114" width="2.42578125" style="440" customWidth="1"/>
    <col min="15115" max="15115" width="11.5703125" style="440" customWidth="1"/>
    <col min="15116" max="15116" width="2.42578125" style="440" customWidth="1"/>
    <col min="15117" max="15117" width="10.85546875" style="440" customWidth="1"/>
    <col min="15118" max="15118" width="2.42578125" style="440" customWidth="1"/>
    <col min="15119" max="15119" width="11.140625" style="440" customWidth="1"/>
    <col min="15120" max="15120" width="1.85546875" style="440" customWidth="1"/>
    <col min="15121" max="15121" width="11" style="440" customWidth="1"/>
    <col min="15122" max="15122" width="0.7109375" style="440" customWidth="1"/>
    <col min="15123" max="15123" width="1.85546875" style="440" customWidth="1"/>
    <col min="15124" max="15124" width="11.85546875" style="440" bestFit="1" customWidth="1"/>
    <col min="15125" max="15125" width="15.28515625" style="440" bestFit="1" customWidth="1"/>
    <col min="15126" max="15126" width="5" style="440" customWidth="1"/>
    <col min="15127" max="15127" width="10.42578125" style="440" bestFit="1" customWidth="1"/>
    <col min="15128" max="15128" width="5" style="440" customWidth="1"/>
    <col min="15129" max="15129" width="10.42578125" style="440" bestFit="1" customWidth="1"/>
    <col min="15130" max="15132" width="9" style="440"/>
    <col min="15133" max="15133" width="10.42578125" style="440" bestFit="1" customWidth="1"/>
    <col min="15134" max="15362" width="9" style="440"/>
    <col min="15363" max="15363" width="3.5703125" style="440" customWidth="1"/>
    <col min="15364" max="15364" width="4.85546875" style="440" customWidth="1"/>
    <col min="15365" max="15365" width="5.42578125" style="440" customWidth="1"/>
    <col min="15366" max="15366" width="31.28515625" style="440" customWidth="1"/>
    <col min="15367" max="15367" width="7.5703125" style="440" customWidth="1"/>
    <col min="15368" max="15368" width="2.42578125" style="440" customWidth="1"/>
    <col min="15369" max="15369" width="11.5703125" style="440" customWidth="1"/>
    <col min="15370" max="15370" width="2.42578125" style="440" customWidth="1"/>
    <col min="15371" max="15371" width="11.5703125" style="440" customWidth="1"/>
    <col min="15372" max="15372" width="2.42578125" style="440" customWidth="1"/>
    <col min="15373" max="15373" width="10.85546875" style="440" customWidth="1"/>
    <col min="15374" max="15374" width="2.42578125" style="440" customWidth="1"/>
    <col min="15375" max="15375" width="11.140625" style="440" customWidth="1"/>
    <col min="15376" max="15376" width="1.85546875" style="440" customWidth="1"/>
    <col min="15377" max="15377" width="11" style="440" customWidth="1"/>
    <col min="15378" max="15378" width="0.7109375" style="440" customWidth="1"/>
    <col min="15379" max="15379" width="1.85546875" style="440" customWidth="1"/>
    <col min="15380" max="15380" width="11.85546875" style="440" bestFit="1" customWidth="1"/>
    <col min="15381" max="15381" width="15.28515625" style="440" bestFit="1" customWidth="1"/>
    <col min="15382" max="15382" width="5" style="440" customWidth="1"/>
    <col min="15383" max="15383" width="10.42578125" style="440" bestFit="1" customWidth="1"/>
    <col min="15384" max="15384" width="5" style="440" customWidth="1"/>
    <col min="15385" max="15385" width="10.42578125" style="440" bestFit="1" customWidth="1"/>
    <col min="15386" max="15388" width="9" style="440"/>
    <col min="15389" max="15389" width="10.42578125" style="440" bestFit="1" customWidth="1"/>
    <col min="15390" max="15618" width="9" style="440"/>
    <col min="15619" max="15619" width="3.5703125" style="440" customWidth="1"/>
    <col min="15620" max="15620" width="4.85546875" style="440" customWidth="1"/>
    <col min="15621" max="15621" width="5.42578125" style="440" customWidth="1"/>
    <col min="15622" max="15622" width="31.28515625" style="440" customWidth="1"/>
    <col min="15623" max="15623" width="7.5703125" style="440" customWidth="1"/>
    <col min="15624" max="15624" width="2.42578125" style="440" customWidth="1"/>
    <col min="15625" max="15625" width="11.5703125" style="440" customWidth="1"/>
    <col min="15626" max="15626" width="2.42578125" style="440" customWidth="1"/>
    <col min="15627" max="15627" width="11.5703125" style="440" customWidth="1"/>
    <col min="15628" max="15628" width="2.42578125" style="440" customWidth="1"/>
    <col min="15629" max="15629" width="10.85546875" style="440" customWidth="1"/>
    <col min="15630" max="15630" width="2.42578125" style="440" customWidth="1"/>
    <col min="15631" max="15631" width="11.140625" style="440" customWidth="1"/>
    <col min="15632" max="15632" width="1.85546875" style="440" customWidth="1"/>
    <col min="15633" max="15633" width="11" style="440" customWidth="1"/>
    <col min="15634" max="15634" width="0.7109375" style="440" customWidth="1"/>
    <col min="15635" max="15635" width="1.85546875" style="440" customWidth="1"/>
    <col min="15636" max="15636" width="11.85546875" style="440" bestFit="1" customWidth="1"/>
    <col min="15637" max="15637" width="15.28515625" style="440" bestFit="1" customWidth="1"/>
    <col min="15638" max="15638" width="5" style="440" customWidth="1"/>
    <col min="15639" max="15639" width="10.42578125" style="440" bestFit="1" customWidth="1"/>
    <col min="15640" max="15640" width="5" style="440" customWidth="1"/>
    <col min="15641" max="15641" width="10.42578125" style="440" bestFit="1" customWidth="1"/>
    <col min="15642" max="15644" width="9" style="440"/>
    <col min="15645" max="15645" width="10.42578125" style="440" bestFit="1" customWidth="1"/>
    <col min="15646" max="15874" width="9" style="440"/>
    <col min="15875" max="15875" width="3.5703125" style="440" customWidth="1"/>
    <col min="15876" max="15876" width="4.85546875" style="440" customWidth="1"/>
    <col min="15877" max="15877" width="5.42578125" style="440" customWidth="1"/>
    <col min="15878" max="15878" width="31.28515625" style="440" customWidth="1"/>
    <col min="15879" max="15879" width="7.5703125" style="440" customWidth="1"/>
    <col min="15880" max="15880" width="2.42578125" style="440" customWidth="1"/>
    <col min="15881" max="15881" width="11.5703125" style="440" customWidth="1"/>
    <col min="15882" max="15882" width="2.42578125" style="440" customWidth="1"/>
    <col min="15883" max="15883" width="11.5703125" style="440" customWidth="1"/>
    <col min="15884" max="15884" width="2.42578125" style="440" customWidth="1"/>
    <col min="15885" max="15885" width="10.85546875" style="440" customWidth="1"/>
    <col min="15886" max="15886" width="2.42578125" style="440" customWidth="1"/>
    <col min="15887" max="15887" width="11.140625" style="440" customWidth="1"/>
    <col min="15888" max="15888" width="1.85546875" style="440" customWidth="1"/>
    <col min="15889" max="15889" width="11" style="440" customWidth="1"/>
    <col min="15890" max="15890" width="0.7109375" style="440" customWidth="1"/>
    <col min="15891" max="15891" width="1.85546875" style="440" customWidth="1"/>
    <col min="15892" max="15892" width="11.85546875" style="440" bestFit="1" customWidth="1"/>
    <col min="15893" max="15893" width="15.28515625" style="440" bestFit="1" customWidth="1"/>
    <col min="15894" max="15894" width="5" style="440" customWidth="1"/>
    <col min="15895" max="15895" width="10.42578125" style="440" bestFit="1" customWidth="1"/>
    <col min="15896" max="15896" width="5" style="440" customWidth="1"/>
    <col min="15897" max="15897" width="10.42578125" style="440" bestFit="1" customWidth="1"/>
    <col min="15898" max="15900" width="9" style="440"/>
    <col min="15901" max="15901" width="10.42578125" style="440" bestFit="1" customWidth="1"/>
    <col min="15902" max="16130" width="9" style="440"/>
    <col min="16131" max="16131" width="3.5703125" style="440" customWidth="1"/>
    <col min="16132" max="16132" width="4.85546875" style="440" customWidth="1"/>
    <col min="16133" max="16133" width="5.42578125" style="440" customWidth="1"/>
    <col min="16134" max="16134" width="31.28515625" style="440" customWidth="1"/>
    <col min="16135" max="16135" width="7.5703125" style="440" customWidth="1"/>
    <col min="16136" max="16136" width="2.42578125" style="440" customWidth="1"/>
    <col min="16137" max="16137" width="11.5703125" style="440" customWidth="1"/>
    <col min="16138" max="16138" width="2.42578125" style="440" customWidth="1"/>
    <col min="16139" max="16139" width="11.5703125" style="440" customWidth="1"/>
    <col min="16140" max="16140" width="2.42578125" style="440" customWidth="1"/>
    <col min="16141" max="16141" width="10.85546875" style="440" customWidth="1"/>
    <col min="16142" max="16142" width="2.42578125" style="440" customWidth="1"/>
    <col min="16143" max="16143" width="11.140625" style="440" customWidth="1"/>
    <col min="16144" max="16144" width="1.85546875" style="440" customWidth="1"/>
    <col min="16145" max="16145" width="11" style="440" customWidth="1"/>
    <col min="16146" max="16146" width="0.7109375" style="440" customWidth="1"/>
    <col min="16147" max="16147" width="1.85546875" style="440" customWidth="1"/>
    <col min="16148" max="16148" width="11.85546875" style="440" bestFit="1" customWidth="1"/>
    <col min="16149" max="16149" width="15.28515625" style="440" bestFit="1" customWidth="1"/>
    <col min="16150" max="16150" width="5" style="440" customWidth="1"/>
    <col min="16151" max="16151" width="10.42578125" style="440" bestFit="1" customWidth="1"/>
    <col min="16152" max="16152" width="5" style="440" customWidth="1"/>
    <col min="16153" max="16153" width="10.42578125" style="440" bestFit="1" customWidth="1"/>
    <col min="16154" max="16156" width="9" style="440"/>
    <col min="16157" max="16157" width="10.42578125" style="440" bestFit="1" customWidth="1"/>
    <col min="16158" max="16384" width="9" style="440"/>
  </cols>
  <sheetData>
    <row r="1" spans="1:23" s="563" customFormat="1" x14ac:dyDescent="0.6">
      <c r="A1" s="1504" t="s">
        <v>244</v>
      </c>
      <c r="B1" s="1504"/>
      <c r="C1" s="1504"/>
      <c r="D1" s="1504"/>
      <c r="E1" s="1504"/>
      <c r="F1" s="1504"/>
      <c r="G1" s="1504"/>
      <c r="H1" s="1504"/>
      <c r="I1" s="1504"/>
      <c r="J1" s="1504"/>
      <c r="K1" s="1504"/>
      <c r="L1" s="1504"/>
      <c r="M1" s="1504"/>
      <c r="N1" s="1504"/>
      <c r="O1" s="1504"/>
      <c r="P1" s="1504"/>
      <c r="Q1" s="1504"/>
      <c r="R1" s="1504"/>
      <c r="S1" s="562"/>
      <c r="T1" s="562"/>
      <c r="U1" s="562"/>
      <c r="V1" s="562"/>
      <c r="W1" s="562"/>
    </row>
    <row r="2" spans="1:23" s="563" customFormat="1" x14ac:dyDescent="0.6">
      <c r="A2" s="1505" t="str">
        <f>تاريخچه!A2</f>
        <v>يادداشتهاي توضيحي صورتهاي مالي</v>
      </c>
      <c r="B2" s="1505"/>
      <c r="C2" s="1505"/>
      <c r="D2" s="1505"/>
      <c r="E2" s="1505"/>
      <c r="F2" s="1505"/>
      <c r="G2" s="1505"/>
      <c r="H2" s="1505"/>
      <c r="I2" s="1505"/>
      <c r="J2" s="1505"/>
      <c r="K2" s="1505"/>
      <c r="L2" s="1505"/>
      <c r="M2" s="1505"/>
      <c r="N2" s="1505"/>
      <c r="O2" s="1505"/>
      <c r="P2" s="1505"/>
      <c r="Q2" s="1505"/>
      <c r="R2" s="1505"/>
      <c r="S2" s="562"/>
      <c r="T2" s="562"/>
      <c r="U2" s="562"/>
      <c r="V2" s="562"/>
      <c r="W2" s="562"/>
    </row>
    <row r="3" spans="1:23" s="563" customFormat="1" x14ac:dyDescent="0.6">
      <c r="A3" s="1505" t="str">
        <f>سودوزيان!A3</f>
        <v>سال مالی منتهی به 30 اسفند 1403</v>
      </c>
      <c r="B3" s="1505"/>
      <c r="C3" s="1505"/>
      <c r="D3" s="1505"/>
      <c r="E3" s="1505"/>
      <c r="F3" s="1505"/>
      <c r="G3" s="1505"/>
      <c r="H3" s="1505"/>
      <c r="I3" s="1505"/>
      <c r="J3" s="1505"/>
      <c r="K3" s="1505"/>
      <c r="L3" s="1505"/>
      <c r="M3" s="1505"/>
      <c r="N3" s="1505"/>
      <c r="O3" s="1505"/>
      <c r="P3" s="1505"/>
      <c r="Q3" s="1505"/>
      <c r="R3" s="1505"/>
      <c r="S3" s="562"/>
      <c r="T3" s="562"/>
      <c r="U3" s="562"/>
      <c r="V3" s="562"/>
      <c r="W3" s="562"/>
    </row>
    <row r="4" spans="1:23" s="563" customFormat="1" x14ac:dyDescent="0.6">
      <c r="A4" s="520"/>
      <c r="B4" s="520"/>
      <c r="C4" s="520"/>
      <c r="D4" s="520"/>
      <c r="E4" s="520"/>
      <c r="F4" s="520"/>
      <c r="G4" s="520"/>
      <c r="H4" s="520"/>
      <c r="I4" s="520"/>
      <c r="J4" s="520"/>
      <c r="K4" s="520"/>
      <c r="L4" s="520"/>
      <c r="M4" s="520"/>
      <c r="N4" s="520"/>
      <c r="O4" s="520"/>
      <c r="P4" s="520"/>
      <c r="Q4" s="520"/>
      <c r="R4" s="564"/>
      <c r="S4" s="562"/>
      <c r="T4" s="562"/>
      <c r="U4" s="562"/>
      <c r="V4" s="562"/>
      <c r="W4" s="562"/>
    </row>
    <row r="5" spans="1:23" s="226" customFormat="1" x14ac:dyDescent="0.6">
      <c r="A5" s="876" t="s">
        <v>95</v>
      </c>
      <c r="B5" s="1408" t="s">
        <v>451</v>
      </c>
      <c r="C5" s="1408"/>
      <c r="D5" s="1408"/>
      <c r="E5" s="1408"/>
      <c r="F5" s="1408"/>
      <c r="G5" s="1408"/>
      <c r="H5" s="1408"/>
      <c r="I5" s="1408"/>
      <c r="J5" s="1408"/>
      <c r="K5" s="1408"/>
      <c r="L5" s="1408"/>
      <c r="M5" s="1408"/>
      <c r="N5" s="238"/>
      <c r="O5" s="520"/>
      <c r="P5" s="520"/>
      <c r="Q5" s="520"/>
      <c r="R5" s="227"/>
      <c r="S5" s="229"/>
      <c r="T5" s="228"/>
      <c r="U5" s="228"/>
      <c r="V5" s="229"/>
      <c r="W5" s="229"/>
    </row>
    <row r="6" spans="1:23" s="226" customFormat="1" x14ac:dyDescent="0.6">
      <c r="A6" s="876"/>
      <c r="B6" s="239"/>
      <c r="C6" s="227"/>
      <c r="D6" s="227"/>
      <c r="I6" s="877"/>
      <c r="J6" s="878"/>
      <c r="K6" s="877"/>
      <c r="L6" s="877"/>
      <c r="M6" s="877"/>
      <c r="N6" s="729"/>
      <c r="O6" s="729" t="s">
        <v>750</v>
      </c>
      <c r="P6" s="729"/>
      <c r="Q6" s="562"/>
      <c r="R6" s="227"/>
      <c r="S6" s="229"/>
      <c r="T6" s="228"/>
      <c r="U6" s="228"/>
      <c r="V6" s="229"/>
      <c r="W6" s="229"/>
    </row>
    <row r="7" spans="1:23" s="741" customFormat="1" ht="24.75" customHeight="1" x14ac:dyDescent="0.25">
      <c r="A7" s="252"/>
      <c r="B7" s="235"/>
      <c r="C7" s="235"/>
      <c r="D7" s="505"/>
      <c r="I7" s="240" t="s">
        <v>114</v>
      </c>
      <c r="J7" s="505"/>
      <c r="K7" s="240" t="s">
        <v>115</v>
      </c>
      <c r="L7" s="505"/>
      <c r="M7" s="240" t="s">
        <v>250</v>
      </c>
      <c r="N7" s="505"/>
      <c r="O7" s="240" t="s">
        <v>72</v>
      </c>
      <c r="P7" s="505"/>
      <c r="Q7" s="562"/>
      <c r="S7" s="879"/>
      <c r="T7" s="879"/>
    </row>
    <row r="8" spans="1:23" x14ac:dyDescent="0.25">
      <c r="A8" s="880"/>
      <c r="B8" s="1507" t="s">
        <v>934</v>
      </c>
      <c r="C8" s="1507"/>
      <c r="D8" s="1507"/>
      <c r="E8" s="1507"/>
      <c r="F8" s="1507"/>
      <c r="G8" s="1507"/>
      <c r="I8" s="346"/>
      <c r="K8" s="881"/>
      <c r="L8" s="346"/>
      <c r="M8" s="881"/>
      <c r="Q8" s="562"/>
      <c r="S8" s="565"/>
      <c r="U8" s="440"/>
    </row>
    <row r="9" spans="1:23" ht="34.5" customHeight="1" x14ac:dyDescent="0.6">
      <c r="A9" s="882"/>
      <c r="B9" s="1507" t="s">
        <v>1102</v>
      </c>
      <c r="C9" s="1507"/>
      <c r="D9" s="1507"/>
      <c r="E9" s="1507"/>
      <c r="F9" s="1507"/>
      <c r="G9" s="1507"/>
      <c r="I9" s="437">
        <v>3768903919</v>
      </c>
      <c r="J9" s="883"/>
      <c r="K9" s="437">
        <v>21981130000</v>
      </c>
      <c r="L9" s="883"/>
      <c r="M9" s="437">
        <v>50000000</v>
      </c>
      <c r="N9" s="883"/>
      <c r="O9" s="437">
        <f>I9+K9+M9</f>
        <v>25800033919</v>
      </c>
      <c r="P9" s="520"/>
      <c r="Q9" s="562"/>
      <c r="R9" s="520"/>
      <c r="S9" s="884"/>
      <c r="T9" s="884"/>
      <c r="U9" s="520"/>
    </row>
    <row r="10" spans="1:23" ht="34.5" customHeight="1" x14ac:dyDescent="0.6">
      <c r="A10" s="882"/>
      <c r="B10" s="1507" t="s">
        <v>110</v>
      </c>
      <c r="C10" s="1507"/>
      <c r="D10" s="1507"/>
      <c r="E10" s="1507"/>
      <c r="F10" s="1507"/>
      <c r="G10" s="1507"/>
      <c r="I10" s="437">
        <v>0</v>
      </c>
      <c r="J10" s="885"/>
      <c r="K10" s="436">
        <v>3573000000</v>
      </c>
      <c r="L10" s="886"/>
      <c r="M10" s="437">
        <v>0</v>
      </c>
      <c r="N10" s="886"/>
      <c r="O10" s="436">
        <f>I10+K10+M10</f>
        <v>3573000000</v>
      </c>
      <c r="P10" s="520"/>
      <c r="Q10" s="562"/>
      <c r="R10" s="520"/>
      <c r="S10" s="884"/>
      <c r="T10" s="884"/>
      <c r="U10" s="520"/>
    </row>
    <row r="11" spans="1:23" ht="34.5" customHeight="1" thickBot="1" x14ac:dyDescent="0.65">
      <c r="A11" s="882"/>
      <c r="B11" s="1507" t="s">
        <v>954</v>
      </c>
      <c r="C11" s="1507"/>
      <c r="D11" s="1507"/>
      <c r="E11" s="1507"/>
      <c r="F11" s="1507"/>
      <c r="G11" s="1507"/>
      <c r="I11" s="858">
        <f>SUM(I9:I9)</f>
        <v>3768903919</v>
      </c>
      <c r="J11" s="885"/>
      <c r="K11" s="858">
        <f>SUM(K9:K10)</f>
        <v>25554130000</v>
      </c>
      <c r="L11" s="885"/>
      <c r="M11" s="858">
        <v>50000000</v>
      </c>
      <c r="N11" s="885"/>
      <c r="O11" s="858">
        <f>SUM(O9:O10)</f>
        <v>29373033919</v>
      </c>
      <c r="P11" s="520"/>
      <c r="Q11" s="562"/>
      <c r="R11" s="520"/>
      <c r="S11" s="884"/>
      <c r="T11" s="884"/>
      <c r="U11" s="520"/>
    </row>
    <row r="12" spans="1:23" ht="34.5" customHeight="1" thickTop="1" x14ac:dyDescent="0.6">
      <c r="A12" s="882"/>
      <c r="B12" s="1507" t="s">
        <v>110</v>
      </c>
      <c r="C12" s="1507"/>
      <c r="D12" s="1507"/>
      <c r="E12" s="1507"/>
      <c r="F12" s="1507"/>
      <c r="G12" s="1507"/>
      <c r="H12" s="570"/>
      <c r="I12" s="436">
        <v>0</v>
      </c>
      <c r="J12" s="885"/>
      <c r="K12" s="436">
        <v>0</v>
      </c>
      <c r="L12" s="886"/>
      <c r="M12" s="436">
        <v>0</v>
      </c>
      <c r="N12" s="886"/>
      <c r="O12" s="436">
        <f>I12+K12+M12</f>
        <v>0</v>
      </c>
      <c r="P12" s="520"/>
      <c r="Q12" s="562"/>
      <c r="R12" s="520"/>
      <c r="S12" s="884"/>
      <c r="T12" s="884"/>
      <c r="U12" s="520"/>
    </row>
    <row r="13" spans="1:23" ht="34.5" customHeight="1" thickBot="1" x14ac:dyDescent="0.65">
      <c r="A13" s="882"/>
      <c r="B13" s="1507" t="s">
        <v>1100</v>
      </c>
      <c r="C13" s="1507"/>
      <c r="D13" s="1507"/>
      <c r="E13" s="1507"/>
      <c r="F13" s="1507"/>
      <c r="G13" s="1507"/>
      <c r="I13" s="858">
        <f>SUM(I11:I12)</f>
        <v>3768903919</v>
      </c>
      <c r="J13" s="885"/>
      <c r="K13" s="858">
        <f>SUM(K11:K12)</f>
        <v>25554130000</v>
      </c>
      <c r="L13" s="885"/>
      <c r="M13" s="858">
        <f>SUM(M11:M12)</f>
        <v>50000000</v>
      </c>
      <c r="N13" s="885"/>
      <c r="O13" s="858">
        <f>SUM(I13:M13)</f>
        <v>29373033919</v>
      </c>
      <c r="P13" s="520"/>
      <c r="Q13" s="562"/>
      <c r="R13" s="520"/>
      <c r="S13" s="884"/>
      <c r="T13" s="884"/>
      <c r="U13" s="520"/>
    </row>
    <row r="14" spans="1:23" ht="34.5" customHeight="1" thickTop="1" x14ac:dyDescent="0.6">
      <c r="A14" s="882"/>
      <c r="B14" s="1507" t="s">
        <v>933</v>
      </c>
      <c r="C14" s="1507"/>
      <c r="D14" s="1507"/>
      <c r="E14" s="1507"/>
      <c r="F14" s="1507"/>
      <c r="G14" s="1507"/>
      <c r="I14" s="520"/>
      <c r="J14" s="520"/>
      <c r="K14" s="520"/>
      <c r="L14" s="520"/>
      <c r="M14" s="520"/>
      <c r="N14" s="520"/>
      <c r="P14" s="520"/>
      <c r="Q14" s="562"/>
      <c r="R14" s="520"/>
      <c r="S14" s="884"/>
      <c r="T14" s="884"/>
      <c r="U14" s="520"/>
    </row>
    <row r="15" spans="1:23" ht="34.5" customHeight="1" x14ac:dyDescent="0.6">
      <c r="A15" s="882"/>
      <c r="B15" s="1506" t="s">
        <v>1102</v>
      </c>
      <c r="C15" s="1506"/>
      <c r="D15" s="1506"/>
      <c r="E15" s="1506"/>
      <c r="F15" s="1506"/>
      <c r="G15" s="1506"/>
      <c r="I15" s="520">
        <v>0</v>
      </c>
      <c r="J15" s="520"/>
      <c r="K15" s="728">
        <v>9025673333</v>
      </c>
      <c r="L15" s="520"/>
      <c r="M15" s="520">
        <v>0</v>
      </c>
      <c r="N15" s="520"/>
      <c r="O15" s="437">
        <f>I15+K15+M15</f>
        <v>9025673333</v>
      </c>
      <c r="P15" s="520"/>
      <c r="Q15" s="562"/>
      <c r="R15" s="520"/>
      <c r="S15" s="884"/>
      <c r="T15" s="884"/>
      <c r="U15" s="520"/>
    </row>
    <row r="16" spans="1:23" ht="34.5" customHeight="1" x14ac:dyDescent="0.6">
      <c r="A16" s="882"/>
      <c r="B16" s="1506" t="s">
        <v>110</v>
      </c>
      <c r="C16" s="1506"/>
      <c r="D16" s="1506"/>
      <c r="E16" s="1506"/>
      <c r="F16" s="1506"/>
      <c r="G16" s="1506"/>
      <c r="I16" s="436">
        <v>0</v>
      </c>
      <c r="J16" s="520"/>
      <c r="K16" s="436">
        <v>8304404444</v>
      </c>
      <c r="L16" s="520"/>
      <c r="M16" s="436">
        <v>0</v>
      </c>
      <c r="N16" s="520"/>
      <c r="O16" s="437">
        <f>I16+K16+M16</f>
        <v>8304404444</v>
      </c>
      <c r="P16" s="520"/>
      <c r="Q16" s="562"/>
      <c r="R16" s="520"/>
      <c r="S16" s="884"/>
      <c r="T16" s="884"/>
      <c r="U16" s="520"/>
    </row>
    <row r="17" spans="1:23" ht="34.5" customHeight="1" thickBot="1" x14ac:dyDescent="0.65">
      <c r="A17" s="882"/>
      <c r="B17" s="1506" t="s">
        <v>954</v>
      </c>
      <c r="C17" s="1506"/>
      <c r="D17" s="1506"/>
      <c r="E17" s="1506"/>
      <c r="F17" s="1506"/>
      <c r="G17" s="1506"/>
      <c r="I17" s="858">
        <f>I16</f>
        <v>0</v>
      </c>
      <c r="J17" s="520"/>
      <c r="K17" s="858">
        <f>SUM(K15:K16)</f>
        <v>17330077777</v>
      </c>
      <c r="L17" s="520"/>
      <c r="M17" s="858">
        <f>M16</f>
        <v>0</v>
      </c>
      <c r="N17" s="520"/>
      <c r="O17" s="858">
        <f>SUM(O15:O16)</f>
        <v>17330077777</v>
      </c>
      <c r="P17" s="520"/>
      <c r="Q17" s="562"/>
      <c r="R17" s="520"/>
      <c r="S17" s="884"/>
      <c r="T17" s="884"/>
      <c r="U17" s="520"/>
    </row>
    <row r="18" spans="1:23" ht="34.5" customHeight="1" thickTop="1" thickBot="1" x14ac:dyDescent="0.65">
      <c r="A18" s="882"/>
      <c r="B18" s="1506" t="s">
        <v>110</v>
      </c>
      <c r="C18" s="1506"/>
      <c r="D18" s="1506"/>
      <c r="E18" s="1506"/>
      <c r="F18" s="1506"/>
      <c r="G18" s="1506"/>
      <c r="I18" s="858">
        <v>0</v>
      </c>
      <c r="J18" s="520"/>
      <c r="K18" s="858">
        <v>8224052223</v>
      </c>
      <c r="L18" s="520"/>
      <c r="M18" s="858">
        <v>0</v>
      </c>
      <c r="N18" s="520"/>
      <c r="O18" s="858">
        <f>K18</f>
        <v>8224052223</v>
      </c>
      <c r="P18" s="520"/>
      <c r="Q18" s="562"/>
      <c r="R18" s="520"/>
      <c r="S18" s="884"/>
      <c r="T18" s="884"/>
      <c r="U18" s="520"/>
    </row>
    <row r="19" spans="1:23" ht="34.5" customHeight="1" thickTop="1" thickBot="1" x14ac:dyDescent="0.65">
      <c r="A19" s="882"/>
      <c r="B19" s="1506" t="s">
        <v>1100</v>
      </c>
      <c r="C19" s="1506"/>
      <c r="D19" s="1506"/>
      <c r="E19" s="1506"/>
      <c r="F19" s="1506"/>
      <c r="G19" s="1506"/>
      <c r="I19" s="858">
        <v>0</v>
      </c>
      <c r="J19" s="520"/>
      <c r="K19" s="858">
        <f>K18+K17</f>
        <v>25554130000</v>
      </c>
      <c r="L19" s="520"/>
      <c r="M19" s="858">
        <v>0</v>
      </c>
      <c r="N19" s="520"/>
      <c r="O19" s="858">
        <f>O18+O17</f>
        <v>25554130000</v>
      </c>
      <c r="P19" s="520"/>
      <c r="Q19" s="562"/>
      <c r="R19" s="520"/>
      <c r="S19" s="884"/>
      <c r="T19" s="884"/>
      <c r="U19" s="520"/>
    </row>
    <row r="20" spans="1:23" ht="34.5" customHeight="1" thickTop="1" thickBot="1" x14ac:dyDescent="0.65">
      <c r="A20" s="440"/>
      <c r="B20" s="1506" t="s">
        <v>1103</v>
      </c>
      <c r="C20" s="1506"/>
      <c r="D20" s="1506"/>
      <c r="E20" s="1506"/>
      <c r="F20" s="1506"/>
      <c r="G20" s="1506"/>
      <c r="I20" s="415">
        <f>I13-I17</f>
        <v>3768903919</v>
      </c>
      <c r="J20" s="203">
        <f>J13</f>
        <v>0</v>
      </c>
      <c r="K20" s="415">
        <v>0</v>
      </c>
      <c r="L20" s="203">
        <f>L13</f>
        <v>0</v>
      </c>
      <c r="M20" s="415">
        <f>M13-M17</f>
        <v>50000000</v>
      </c>
      <c r="N20" s="203">
        <f>N13</f>
        <v>0</v>
      </c>
      <c r="O20" s="415">
        <f>O13-O19</f>
        <v>3818903919</v>
      </c>
      <c r="P20" s="203">
        <f>P13</f>
        <v>0</v>
      </c>
      <c r="Q20" s="562"/>
      <c r="R20" s="520"/>
      <c r="S20" s="884"/>
      <c r="T20" s="884"/>
      <c r="U20" s="520" t="b">
        <f>O20='وضعيت مالي'!F9</f>
        <v>1</v>
      </c>
    </row>
    <row r="21" spans="1:23" ht="34.5" customHeight="1" thickTop="1" thickBot="1" x14ac:dyDescent="0.65">
      <c r="A21" s="440"/>
      <c r="B21" s="1506" t="s">
        <v>955</v>
      </c>
      <c r="C21" s="1506"/>
      <c r="D21" s="1506"/>
      <c r="E21" s="1506"/>
      <c r="F21" s="1506"/>
      <c r="G21" s="1506"/>
      <c r="I21" s="415">
        <f>I13</f>
        <v>3768903919</v>
      </c>
      <c r="J21" s="203"/>
      <c r="K21" s="415">
        <f>K11-K17</f>
        <v>8224052223</v>
      </c>
      <c r="L21" s="203"/>
      <c r="M21" s="415">
        <f>M13</f>
        <v>50000000</v>
      </c>
      <c r="N21" s="203"/>
      <c r="O21" s="415">
        <f>SUM(I21:M21)</f>
        <v>12042956142</v>
      </c>
      <c r="P21" s="203"/>
      <c r="Q21" s="562"/>
      <c r="R21" s="520"/>
      <c r="S21" s="884"/>
      <c r="T21" s="884"/>
      <c r="U21" s="520"/>
    </row>
    <row r="22" spans="1:23" ht="24.75" thickTop="1" x14ac:dyDescent="0.6">
      <c r="A22" s="887"/>
      <c r="B22" s="520"/>
      <c r="C22" s="520"/>
      <c r="D22" s="520"/>
      <c r="E22" s="520"/>
      <c r="F22" s="520"/>
      <c r="G22" s="203"/>
      <c r="H22" s="203"/>
      <c r="I22" s="203"/>
      <c r="J22" s="203"/>
      <c r="K22" s="203"/>
      <c r="L22" s="203"/>
      <c r="M22" s="203"/>
      <c r="N22" s="203"/>
      <c r="O22" s="520"/>
      <c r="P22" s="888"/>
      <c r="Q22" s="520"/>
      <c r="R22" s="888"/>
      <c r="S22" s="520"/>
      <c r="T22" s="520"/>
      <c r="U22" s="884"/>
      <c r="V22" s="884"/>
      <c r="W22" s="520"/>
    </row>
    <row r="23" spans="1:23" x14ac:dyDescent="0.6">
      <c r="A23" s="887"/>
      <c r="B23" s="1290"/>
      <c r="C23" s="1290"/>
      <c r="D23" s="1290"/>
      <c r="E23" s="1290"/>
      <c r="F23" s="1290"/>
      <c r="G23" s="203"/>
      <c r="H23" s="203"/>
      <c r="I23" s="203"/>
      <c r="J23" s="203"/>
      <c r="K23" s="203"/>
      <c r="L23" s="203"/>
      <c r="M23" s="203"/>
      <c r="N23" s="203"/>
      <c r="O23" s="1290"/>
      <c r="P23" s="888"/>
      <c r="Q23" s="1290"/>
      <c r="R23" s="888"/>
      <c r="S23" s="1290"/>
      <c r="T23" s="1290"/>
      <c r="U23" s="884"/>
      <c r="V23" s="884"/>
      <c r="W23" s="1290"/>
    </row>
    <row r="24" spans="1:23" ht="17.25" customHeight="1" x14ac:dyDescent="0.6">
      <c r="A24" s="880"/>
      <c r="B24" s="1508"/>
      <c r="C24" s="1508"/>
      <c r="D24" s="1508"/>
      <c r="E24" s="1508"/>
      <c r="F24" s="1508"/>
      <c r="G24" s="1508"/>
      <c r="H24" s="1508"/>
      <c r="I24" s="1508"/>
      <c r="J24" s="1508"/>
      <c r="K24" s="1508"/>
      <c r="L24" s="1508"/>
      <c r="M24" s="1508"/>
      <c r="N24" s="1508"/>
      <c r="O24" s="1508"/>
      <c r="P24" s="735"/>
      <c r="Q24" s="520"/>
      <c r="R24" s="735"/>
      <c r="S24" s="520"/>
      <c r="T24" s="520"/>
      <c r="U24" s="884"/>
      <c r="V24" s="884"/>
      <c r="W24" s="520"/>
    </row>
    <row r="25" spans="1:23" x14ac:dyDescent="0.6">
      <c r="A25" s="889" t="s">
        <v>98</v>
      </c>
      <c r="B25" s="1011" t="s">
        <v>1064</v>
      </c>
      <c r="C25" s="1011"/>
      <c r="D25" s="1011"/>
      <c r="E25" s="888"/>
      <c r="F25" s="888"/>
      <c r="G25" s="888"/>
      <c r="H25" s="888"/>
      <c r="I25" s="888"/>
      <c r="J25" s="888"/>
      <c r="K25" s="888"/>
      <c r="L25" s="888"/>
      <c r="M25" s="888"/>
      <c r="N25" s="888"/>
      <c r="O25" s="888"/>
      <c r="P25" s="735"/>
      <c r="Q25" s="888"/>
      <c r="R25" s="888"/>
      <c r="S25" s="888"/>
      <c r="T25" s="888"/>
      <c r="U25" s="884"/>
      <c r="V25" s="520"/>
    </row>
    <row r="26" spans="1:23" x14ac:dyDescent="0.6">
      <c r="A26" s="889"/>
      <c r="B26" s="736"/>
      <c r="C26" s="888"/>
      <c r="D26" s="888"/>
      <c r="E26" s="888"/>
      <c r="F26" s="888"/>
      <c r="G26" s="890"/>
      <c r="H26" s="890"/>
      <c r="J26" s="508"/>
      <c r="K26" s="891">
        <v>1403</v>
      </c>
      <c r="L26" s="508"/>
      <c r="M26" s="508"/>
      <c r="N26" s="520"/>
      <c r="O26" s="891">
        <v>1402</v>
      </c>
      <c r="P26" s="520"/>
      <c r="Q26" s="520"/>
      <c r="R26" s="520"/>
      <c r="S26" s="884"/>
      <c r="T26" s="520"/>
      <c r="U26" s="440"/>
    </row>
    <row r="27" spans="1:23" hidden="1" x14ac:dyDescent="0.6">
      <c r="A27" s="889"/>
      <c r="B27" s="736"/>
      <c r="C27" s="736"/>
      <c r="D27" s="186"/>
      <c r="E27" s="186"/>
      <c r="F27" s="186"/>
      <c r="G27" s="440"/>
      <c r="J27" s="505"/>
      <c r="K27" s="240" t="s">
        <v>65</v>
      </c>
      <c r="L27" s="508"/>
      <c r="M27" s="508"/>
      <c r="N27" s="505"/>
      <c r="O27" s="240" t="s">
        <v>118</v>
      </c>
      <c r="P27" s="735"/>
      <c r="Q27" s="735"/>
      <c r="R27" s="735"/>
      <c r="S27" s="884"/>
      <c r="T27" s="520"/>
      <c r="U27" s="440"/>
    </row>
    <row r="28" spans="1:23" x14ac:dyDescent="0.6">
      <c r="A28" s="889"/>
      <c r="B28" s="736"/>
      <c r="C28" s="736"/>
      <c r="D28" s="186"/>
      <c r="E28" s="186"/>
      <c r="F28" s="186"/>
      <c r="G28" s="440"/>
      <c r="J28" s="186"/>
      <c r="K28" s="186" t="s">
        <v>591</v>
      </c>
      <c r="L28" s="508"/>
      <c r="M28" s="508"/>
      <c r="N28" s="186"/>
      <c r="O28" s="186" t="s">
        <v>591</v>
      </c>
      <c r="P28" s="735"/>
      <c r="Q28" s="735"/>
      <c r="R28" s="735"/>
      <c r="S28" s="884"/>
      <c r="T28" s="520"/>
      <c r="U28" s="440"/>
    </row>
    <row r="29" spans="1:23" ht="36" customHeight="1" x14ac:dyDescent="0.6">
      <c r="A29" s="1503" t="s">
        <v>235</v>
      </c>
      <c r="B29" s="1503"/>
      <c r="C29" s="1503"/>
      <c r="D29" s="1503"/>
      <c r="E29" s="1503"/>
      <c r="F29" s="226"/>
      <c r="G29" s="440"/>
      <c r="J29" s="520"/>
      <c r="K29" s="436">
        <v>2245465728</v>
      </c>
      <c r="L29" s="508"/>
      <c r="M29" s="508"/>
      <c r="N29" s="520"/>
      <c r="O29" s="436">
        <v>2245465728</v>
      </c>
      <c r="P29" s="520"/>
      <c r="Q29" s="520"/>
      <c r="R29" s="520"/>
      <c r="S29" s="884"/>
      <c r="T29" s="520"/>
      <c r="U29" s="440"/>
    </row>
    <row r="30" spans="1:23" ht="42" customHeight="1" thickBot="1" x14ac:dyDescent="0.65">
      <c r="A30" s="887"/>
      <c r="B30" s="520"/>
      <c r="C30" s="520"/>
      <c r="D30" s="520"/>
      <c r="E30" s="520"/>
      <c r="F30" s="520"/>
      <c r="G30" s="440"/>
      <c r="J30" s="203"/>
      <c r="K30" s="415">
        <f>SUM(K29)</f>
        <v>2245465728</v>
      </c>
      <c r="L30" s="508"/>
      <c r="M30" s="508"/>
      <c r="N30" s="203"/>
      <c r="O30" s="415">
        <f>SUM(O29:O29)</f>
        <v>2245465728</v>
      </c>
      <c r="P30" s="520"/>
      <c r="Q30" s="520"/>
      <c r="R30" s="520"/>
      <c r="S30" s="884"/>
      <c r="T30" s="520"/>
      <c r="U30" s="440">
        <f>K30-'وضعيت مالي'!F10</f>
        <v>0</v>
      </c>
    </row>
    <row r="31" spans="1:23" ht="15" customHeight="1" thickTop="1" x14ac:dyDescent="0.6">
      <c r="A31" s="887"/>
      <c r="B31" s="520"/>
      <c r="C31" s="520"/>
      <c r="D31" s="520"/>
      <c r="E31" s="520"/>
      <c r="F31" s="520"/>
      <c r="G31" s="520"/>
      <c r="H31" s="520"/>
      <c r="I31" s="520"/>
      <c r="J31" s="520"/>
      <c r="K31" s="520"/>
      <c r="L31" s="520"/>
      <c r="M31" s="520"/>
      <c r="N31" s="520"/>
      <c r="O31" s="520"/>
      <c r="P31" s="520"/>
      <c r="Q31" s="520"/>
      <c r="R31" s="520"/>
      <c r="S31" s="520"/>
      <c r="T31" s="520"/>
      <c r="U31" s="884"/>
      <c r="V31" s="520"/>
    </row>
    <row r="32" spans="1:23" x14ac:dyDescent="0.6">
      <c r="A32" s="889" t="s">
        <v>476</v>
      </c>
      <c r="B32" s="892" t="s">
        <v>119</v>
      </c>
      <c r="C32" s="892"/>
      <c r="D32" s="892"/>
      <c r="E32" s="892"/>
      <c r="F32" s="892"/>
      <c r="G32" s="892"/>
      <c r="H32" s="892"/>
      <c r="I32" s="892"/>
      <c r="J32" s="892"/>
      <c r="K32" s="892"/>
      <c r="L32" s="892"/>
      <c r="M32" s="892"/>
      <c r="N32" s="892"/>
      <c r="O32" s="892"/>
      <c r="P32" s="893"/>
      <c r="Q32" s="892"/>
      <c r="R32" s="892"/>
      <c r="S32" s="892"/>
      <c r="T32" s="892"/>
      <c r="U32" s="884"/>
      <c r="V32" s="520"/>
    </row>
    <row r="33" spans="1:22" x14ac:dyDescent="0.6">
      <c r="A33" s="887"/>
      <c r="B33" s="520"/>
      <c r="C33" s="520"/>
      <c r="D33" s="520"/>
      <c r="E33" s="520"/>
      <c r="F33" s="520"/>
      <c r="G33" s="520"/>
      <c r="H33" s="520"/>
      <c r="I33" s="520"/>
      <c r="J33" s="520"/>
      <c r="K33" s="1503" t="s">
        <v>750</v>
      </c>
      <c r="L33" s="1503"/>
      <c r="M33" s="1503"/>
      <c r="N33" s="520"/>
      <c r="O33" s="520"/>
      <c r="P33" s="520"/>
      <c r="Q33" s="520"/>
      <c r="R33" s="520"/>
      <c r="S33" s="520"/>
      <c r="T33" s="520"/>
      <c r="U33" s="884"/>
      <c r="V33" s="520"/>
    </row>
    <row r="34" spans="1:22" x14ac:dyDescent="0.6">
      <c r="A34" s="887"/>
      <c r="B34" s="520"/>
      <c r="C34" s="520"/>
      <c r="D34" s="750"/>
      <c r="E34" s="1509">
        <v>1403</v>
      </c>
      <c r="F34" s="1509"/>
      <c r="G34" s="1509"/>
      <c r="H34" s="1509"/>
      <c r="I34" s="1509"/>
      <c r="J34" s="1509"/>
      <c r="K34" s="1509"/>
      <c r="L34" s="1509"/>
      <c r="M34" s="1509"/>
      <c r="N34" s="750"/>
      <c r="O34" s="735">
        <v>1402</v>
      </c>
      <c r="P34" s="750"/>
      <c r="R34" s="750"/>
      <c r="S34" s="750"/>
      <c r="T34" s="750"/>
      <c r="U34" s="750"/>
      <c r="V34" s="520"/>
    </row>
    <row r="35" spans="1:22" ht="48" customHeight="1" x14ac:dyDescent="0.25">
      <c r="A35" s="894"/>
      <c r="B35" s="746"/>
      <c r="C35" s="746"/>
      <c r="D35" s="746"/>
      <c r="E35" s="895" t="s">
        <v>120</v>
      </c>
      <c r="F35" s="746"/>
      <c r="G35" s="1021" t="s">
        <v>122</v>
      </c>
      <c r="H35" s="746"/>
      <c r="I35" s="895" t="s">
        <v>65</v>
      </c>
      <c r="J35" s="746"/>
      <c r="K35" s="895" t="s">
        <v>113</v>
      </c>
      <c r="L35" s="746"/>
      <c r="M35" s="895" t="s">
        <v>118</v>
      </c>
      <c r="N35" s="346"/>
      <c r="O35" s="895" t="s">
        <v>118</v>
      </c>
      <c r="P35" s="346"/>
      <c r="R35" s="746"/>
      <c r="S35" s="895" t="s">
        <v>121</v>
      </c>
      <c r="T35" s="746"/>
    </row>
    <row r="36" spans="1:22" ht="39.75" customHeight="1" x14ac:dyDescent="0.6">
      <c r="A36" s="1503" t="s">
        <v>123</v>
      </c>
      <c r="B36" s="1503"/>
      <c r="C36" s="1503"/>
      <c r="D36" s="1503"/>
      <c r="E36" s="520"/>
      <c r="F36" s="520"/>
      <c r="G36" s="520"/>
      <c r="H36" s="520"/>
      <c r="I36" s="520"/>
      <c r="J36" s="520"/>
      <c r="K36" s="520"/>
      <c r="L36" s="520"/>
      <c r="M36" s="520"/>
      <c r="N36" s="520"/>
      <c r="O36" s="520"/>
      <c r="P36" s="520"/>
      <c r="R36" s="520"/>
      <c r="S36" s="520"/>
      <c r="T36" s="520"/>
    </row>
    <row r="37" spans="1:22" ht="39.75" hidden="1" customHeight="1" x14ac:dyDescent="0.6">
      <c r="A37" s="1503" t="s">
        <v>124</v>
      </c>
      <c r="B37" s="1503"/>
      <c r="C37" s="1503"/>
      <c r="D37" s="1503"/>
      <c r="E37" s="520"/>
      <c r="F37" s="520"/>
      <c r="G37" s="520"/>
      <c r="H37" s="520"/>
      <c r="I37" s="520"/>
      <c r="J37" s="520"/>
      <c r="K37" s="520"/>
      <c r="L37" s="520"/>
      <c r="M37" s="520"/>
      <c r="N37" s="520"/>
      <c r="O37" s="520"/>
      <c r="P37" s="520"/>
      <c r="R37" s="520"/>
      <c r="S37" s="520"/>
      <c r="T37" s="520"/>
    </row>
    <row r="38" spans="1:22" ht="39.75" customHeight="1" x14ac:dyDescent="0.6">
      <c r="A38" s="1503" t="s">
        <v>251</v>
      </c>
      <c r="B38" s="1503"/>
      <c r="C38" s="1503"/>
      <c r="D38" s="1503"/>
      <c r="E38" s="414">
        <v>2649827</v>
      </c>
      <c r="F38" s="346"/>
      <c r="G38" s="889" t="s">
        <v>1297</v>
      </c>
      <c r="H38" s="346"/>
      <c r="I38" s="436">
        <f>M38</f>
        <v>872865728</v>
      </c>
      <c r="J38" s="346"/>
      <c r="K38" s="896">
        <v>0</v>
      </c>
      <c r="L38" s="346"/>
      <c r="M38" s="436">
        <v>872865728</v>
      </c>
      <c r="N38" s="181"/>
      <c r="O38" s="436">
        <v>872865728</v>
      </c>
      <c r="P38" s="346"/>
      <c r="R38" s="346"/>
      <c r="S38" s="436">
        <v>2912159870</v>
      </c>
      <c r="T38" s="520"/>
    </row>
    <row r="39" spans="1:22" ht="39.75" customHeight="1" thickBot="1" x14ac:dyDescent="0.65">
      <c r="A39" s="1503"/>
      <c r="B39" s="1503"/>
      <c r="C39" s="1503"/>
      <c r="D39" s="1503"/>
      <c r="E39" s="520"/>
      <c r="F39" s="520"/>
      <c r="G39" s="1324"/>
      <c r="H39" s="520"/>
      <c r="I39" s="204">
        <f>SUM(I38)</f>
        <v>872865728</v>
      </c>
      <c r="J39" s="203"/>
      <c r="K39" s="897">
        <f>SUM(K38)</f>
        <v>0</v>
      </c>
      <c r="L39" s="203"/>
      <c r="M39" s="204">
        <f>SUM(M38)</f>
        <v>872865728</v>
      </c>
      <c r="N39" s="887"/>
      <c r="O39" s="204">
        <f>SUM(O38)</f>
        <v>872865728</v>
      </c>
      <c r="P39" s="520"/>
      <c r="R39" s="520"/>
      <c r="S39" s="858">
        <f>SUM(S38)</f>
        <v>2912159870</v>
      </c>
      <c r="T39" s="520"/>
    </row>
    <row r="40" spans="1:22" ht="39.75" hidden="1" customHeight="1" thickTop="1" x14ac:dyDescent="0.6">
      <c r="A40" s="520"/>
      <c r="B40" s="520"/>
      <c r="C40" s="520"/>
      <c r="D40" s="520"/>
      <c r="E40" s="520"/>
      <c r="F40" s="520"/>
      <c r="G40" s="1325"/>
      <c r="H40" s="520"/>
      <c r="I40" s="899"/>
      <c r="J40" s="520"/>
      <c r="K40" s="520"/>
      <c r="L40" s="520"/>
      <c r="M40" s="885"/>
      <c r="N40" s="203"/>
      <c r="O40" s="885"/>
      <c r="P40" s="520"/>
      <c r="R40" s="520"/>
      <c r="S40" s="520"/>
      <c r="T40" s="520"/>
    </row>
    <row r="41" spans="1:22" ht="39.75" customHeight="1" thickTop="1" x14ac:dyDescent="0.6">
      <c r="A41" s="1503" t="s">
        <v>1250</v>
      </c>
      <c r="B41" s="1503"/>
      <c r="C41" s="1503"/>
      <c r="D41" s="1503"/>
      <c r="E41" s="1282"/>
      <c r="F41" s="1282"/>
      <c r="G41" s="1325"/>
      <c r="H41" s="1282"/>
      <c r="I41" s="899"/>
      <c r="J41" s="1282"/>
      <c r="K41" s="1282"/>
      <c r="L41" s="1282"/>
      <c r="M41" s="885"/>
      <c r="N41" s="203"/>
      <c r="O41" s="885"/>
      <c r="P41" s="1282"/>
      <c r="R41" s="1282"/>
      <c r="S41" s="1282"/>
      <c r="T41" s="1282"/>
    </row>
    <row r="42" spans="1:22" ht="39.75" customHeight="1" x14ac:dyDescent="0.6">
      <c r="A42" s="1503" t="s">
        <v>252</v>
      </c>
      <c r="B42" s="1503"/>
      <c r="C42" s="1503"/>
      <c r="D42" s="1503"/>
      <c r="E42" s="414">
        <v>108000</v>
      </c>
      <c r="F42" s="520"/>
      <c r="G42" s="889" t="s">
        <v>1282</v>
      </c>
      <c r="H42" s="520"/>
      <c r="I42" s="414">
        <f>M42</f>
        <v>1080000000</v>
      </c>
      <c r="J42" s="226"/>
      <c r="K42" s="901"/>
      <c r="L42" s="226"/>
      <c r="M42" s="414">
        <v>1080000000</v>
      </c>
      <c r="N42" s="226"/>
      <c r="O42" s="414">
        <v>1080000000</v>
      </c>
      <c r="P42" s="226"/>
      <c r="R42" s="226"/>
      <c r="S42" s="226">
        <v>0</v>
      </c>
      <c r="T42" s="520"/>
    </row>
    <row r="43" spans="1:22" ht="39.75" customHeight="1" x14ac:dyDescent="0.6">
      <c r="A43" s="1503" t="s">
        <v>253</v>
      </c>
      <c r="B43" s="1503"/>
      <c r="C43" s="1503"/>
      <c r="D43" s="1503"/>
      <c r="E43" s="414">
        <v>770</v>
      </c>
      <c r="F43" s="520"/>
      <c r="G43" s="900"/>
      <c r="H43" s="520"/>
      <c r="I43" s="414">
        <f>M43</f>
        <v>292600000</v>
      </c>
      <c r="J43" s="226"/>
      <c r="K43" s="901"/>
      <c r="L43" s="226"/>
      <c r="M43" s="414">
        <v>292600000</v>
      </c>
      <c r="N43" s="226"/>
      <c r="O43" s="414">
        <v>292600000</v>
      </c>
      <c r="P43" s="226"/>
      <c r="R43" s="226"/>
      <c r="S43" s="226">
        <v>0</v>
      </c>
      <c r="T43" s="520"/>
    </row>
    <row r="44" spans="1:22" ht="39.75" customHeight="1" thickBot="1" x14ac:dyDescent="0.65">
      <c r="A44" s="887"/>
      <c r="B44" s="520"/>
      <c r="C44" s="520"/>
      <c r="D44" s="520"/>
      <c r="E44" s="520"/>
      <c r="F44" s="520"/>
      <c r="G44" s="520"/>
      <c r="H44" s="520"/>
      <c r="I44" s="902">
        <f>SUM(I39:I43)</f>
        <v>2245465728</v>
      </c>
      <c r="J44" s="203"/>
      <c r="K44" s="902">
        <v>0</v>
      </c>
      <c r="L44" s="203"/>
      <c r="M44" s="902">
        <f>SUM(M39:M43)</f>
        <v>2245465728</v>
      </c>
      <c r="N44" s="887"/>
      <c r="O44" s="902">
        <f>SUM(O39:O43)</f>
        <v>2245465728</v>
      </c>
      <c r="P44" s="520"/>
      <c r="R44" s="520"/>
      <c r="S44" s="858">
        <f>SUM(S39:S43)</f>
        <v>2912159870</v>
      </c>
      <c r="T44" s="520"/>
    </row>
    <row r="45" spans="1:22" ht="24.75" thickTop="1" x14ac:dyDescent="0.6">
      <c r="A45" s="887"/>
      <c r="B45" s="520"/>
      <c r="C45" s="520"/>
      <c r="D45" s="520"/>
      <c r="E45" s="520"/>
      <c r="F45" s="520"/>
      <c r="G45" s="898"/>
      <c r="H45" s="520"/>
      <c r="I45" s="520"/>
      <c r="J45" s="520"/>
      <c r="K45" s="520"/>
      <c r="L45" s="520"/>
      <c r="M45" s="520"/>
      <c r="N45" s="520"/>
      <c r="O45" s="520"/>
      <c r="P45" s="520"/>
      <c r="Q45" s="520"/>
      <c r="R45" s="520"/>
      <c r="S45" s="520"/>
      <c r="T45" s="884"/>
      <c r="U45" s="884"/>
      <c r="V45" s="520"/>
    </row>
    <row r="46" spans="1:22" s="226" customFormat="1" ht="77.25" customHeight="1" x14ac:dyDescent="0.6">
      <c r="A46" s="1503">
        <v>19</v>
      </c>
      <c r="B46" s="1503"/>
      <c r="C46" s="1503"/>
      <c r="D46" s="1503"/>
      <c r="E46" s="1503"/>
      <c r="F46" s="1503"/>
      <c r="G46" s="1503"/>
      <c r="H46" s="1503"/>
      <c r="I46" s="1503"/>
      <c r="J46" s="1503"/>
      <c r="K46" s="1503"/>
      <c r="L46" s="1503"/>
      <c r="M46" s="1503"/>
      <c r="N46" s="1503"/>
      <c r="O46" s="1503"/>
      <c r="P46" s="1503"/>
      <c r="Q46" s="1503"/>
      <c r="R46" s="1503"/>
      <c r="S46" s="1503"/>
      <c r="T46" s="1503"/>
      <c r="U46" s="884"/>
      <c r="V46" s="520"/>
    </row>
  </sheetData>
  <customSheetViews>
    <customSheetView guid="{39716EAB-185B-4ADF-90CF-1B1041867F58}" scale="70" showPageBreaks="1" printArea="1" hiddenRows="1" view="pageBreakPreview" topLeftCell="A19">
      <selection activeCell="K30" sqref="K30"/>
      <pageMargins left="0" right="0" top="0" bottom="0" header="0.31496062992125984" footer="0.31496062992125984"/>
      <pageSetup paperSize="9" scale="38" orientation="portrait" r:id="rId1"/>
    </customSheetView>
    <customSheetView guid="{5CB8382F-C212-4512-9396-17792C62978E}" scale="70" showPageBreaks="1" printArea="1" hiddenRows="1" view="pageBreakPreview">
      <selection activeCell="K30" sqref="K30"/>
      <pageMargins left="0" right="0" top="0" bottom="0" header="0.31496062992125984" footer="0.31496062992125984"/>
      <pageSetup paperSize="9" scale="38" orientation="portrait" r:id="rId2"/>
    </customSheetView>
    <customSheetView guid="{184BCED3-EADB-44CF-BFDA-DA8D3E7206C0}" scale="70" showPageBreaks="1" printArea="1" hiddenRows="1" view="pageBreakPreview" topLeftCell="C40">
      <selection activeCell="G39" sqref="G39"/>
      <pageMargins left="0" right="0" top="0" bottom="0" header="0.31496062992125984" footer="0.31496062992125984"/>
      <pageSetup paperSize="9" scale="38" orientation="portrait" r:id="rId3"/>
    </customSheetView>
  </customSheetViews>
  <mergeCells count="30">
    <mergeCell ref="E34:M34"/>
    <mergeCell ref="A29:E29"/>
    <mergeCell ref="A43:D43"/>
    <mergeCell ref="A36:D36"/>
    <mergeCell ref="A37:D37"/>
    <mergeCell ref="A38:D38"/>
    <mergeCell ref="A42:D42"/>
    <mergeCell ref="A39:D39"/>
    <mergeCell ref="A41:D41"/>
    <mergeCell ref="B16:G16"/>
    <mergeCell ref="B17:G17"/>
    <mergeCell ref="B20:G20"/>
    <mergeCell ref="K33:M33"/>
    <mergeCell ref="B24:O24"/>
    <mergeCell ref="A46:T46"/>
    <mergeCell ref="A1:R1"/>
    <mergeCell ref="A2:R2"/>
    <mergeCell ref="A3:R3"/>
    <mergeCell ref="B5:M5"/>
    <mergeCell ref="B15:G15"/>
    <mergeCell ref="B14:G14"/>
    <mergeCell ref="B21:G21"/>
    <mergeCell ref="B10:G10"/>
    <mergeCell ref="B8:G8"/>
    <mergeCell ref="B9:G9"/>
    <mergeCell ref="B11:G11"/>
    <mergeCell ref="B12:G12"/>
    <mergeCell ref="B13:G13"/>
    <mergeCell ref="B18:G18"/>
    <mergeCell ref="B19:G19"/>
  </mergeCells>
  <conditionalFormatting sqref="E38">
    <cfRule type="cellIs" dxfId="90" priority="20" stopIfTrue="1" operator="lessThan">
      <formula>0</formula>
    </cfRule>
  </conditionalFormatting>
  <conditionalFormatting sqref="E42:E43">
    <cfRule type="cellIs" dxfId="89" priority="12" stopIfTrue="1" operator="lessThan">
      <formula>0</formula>
    </cfRule>
  </conditionalFormatting>
  <conditionalFormatting sqref="I9:I11">
    <cfRule type="cellIs" dxfId="88" priority="52" stopIfTrue="1" operator="lessThan">
      <formula>0</formula>
    </cfRule>
  </conditionalFormatting>
  <conditionalFormatting sqref="I13">
    <cfRule type="cellIs" dxfId="87" priority="48" stopIfTrue="1" operator="lessThan">
      <formula>0</formula>
    </cfRule>
  </conditionalFormatting>
  <conditionalFormatting sqref="I16:I21">
    <cfRule type="cellIs" dxfId="86" priority="32" stopIfTrue="1" operator="lessThan">
      <formula>0</formula>
    </cfRule>
  </conditionalFormatting>
  <conditionalFormatting sqref="I38:I39">
    <cfRule type="cellIs" dxfId="85" priority="8" stopIfTrue="1" operator="lessThan">
      <formula>0</formula>
    </cfRule>
  </conditionalFormatting>
  <conditionalFormatting sqref="I42:I43">
    <cfRule type="cellIs" dxfId="84" priority="6" stopIfTrue="1" operator="lessThan">
      <formula>0</formula>
    </cfRule>
  </conditionalFormatting>
  <conditionalFormatting sqref="K9 K11">
    <cfRule type="cellIs" dxfId="83" priority="51" stopIfTrue="1" operator="lessThan">
      <formula>0</formula>
    </cfRule>
  </conditionalFormatting>
  <conditionalFormatting sqref="K13">
    <cfRule type="cellIs" dxfId="82" priority="47" stopIfTrue="1" operator="lessThan">
      <formula>0</formula>
    </cfRule>
  </conditionalFormatting>
  <conditionalFormatting sqref="K16:K21">
    <cfRule type="cellIs" dxfId="81" priority="25" stopIfTrue="1" operator="lessThan">
      <formula>0</formula>
    </cfRule>
  </conditionalFormatting>
  <conditionalFormatting sqref="K29:K30">
    <cfRule type="cellIs" dxfId="80" priority="4" stopIfTrue="1" operator="lessThan">
      <formula>0</formula>
    </cfRule>
  </conditionalFormatting>
  <conditionalFormatting sqref="M9:M11">
    <cfRule type="cellIs" dxfId="79" priority="1" stopIfTrue="1" operator="lessThan">
      <formula>0</formula>
    </cfRule>
  </conditionalFormatting>
  <conditionalFormatting sqref="M13">
    <cfRule type="cellIs" dxfId="78" priority="46" stopIfTrue="1" operator="lessThan">
      <formula>0</formula>
    </cfRule>
  </conditionalFormatting>
  <conditionalFormatting sqref="M16:M21">
    <cfRule type="cellIs" dxfId="77" priority="24" stopIfTrue="1" operator="lessThan">
      <formula>0</formula>
    </cfRule>
  </conditionalFormatting>
  <conditionalFormatting sqref="M38:M39">
    <cfRule type="cellIs" dxfId="76" priority="9" stopIfTrue="1" operator="lessThan">
      <formula>0</formula>
    </cfRule>
  </conditionalFormatting>
  <conditionalFormatting sqref="M42:M43">
    <cfRule type="cellIs" dxfId="75" priority="7" stopIfTrue="1" operator="lessThan">
      <formula>0</formula>
    </cfRule>
  </conditionalFormatting>
  <conditionalFormatting sqref="O9 O11">
    <cfRule type="cellIs" dxfId="74" priority="49" stopIfTrue="1" operator="lessThan">
      <formula>0</formula>
    </cfRule>
  </conditionalFormatting>
  <conditionalFormatting sqref="O13">
    <cfRule type="cellIs" dxfId="73" priority="45" stopIfTrue="1" operator="lessThan">
      <formula>0</formula>
    </cfRule>
  </conditionalFormatting>
  <conditionalFormatting sqref="O15:O21">
    <cfRule type="cellIs" dxfId="72" priority="2" stopIfTrue="1" operator="lessThan">
      <formula>0</formula>
    </cfRule>
  </conditionalFormatting>
  <conditionalFormatting sqref="O29:O30">
    <cfRule type="cellIs" dxfId="71" priority="21" stopIfTrue="1" operator="lessThan">
      <formula>0</formula>
    </cfRule>
  </conditionalFormatting>
  <conditionalFormatting sqref="O38:O39">
    <cfRule type="cellIs" dxfId="70" priority="17" stopIfTrue="1" operator="lessThan">
      <formula>0</formula>
    </cfRule>
  </conditionalFormatting>
  <conditionalFormatting sqref="O42:O43">
    <cfRule type="cellIs" dxfId="69" priority="15" stopIfTrue="1" operator="lessThan">
      <formula>0</formula>
    </cfRule>
  </conditionalFormatting>
  <conditionalFormatting sqref="S38:S39">
    <cfRule type="cellIs" dxfId="68" priority="16" stopIfTrue="1" operator="lessThan">
      <formula>0</formula>
    </cfRule>
  </conditionalFormatting>
  <conditionalFormatting sqref="S44">
    <cfRule type="cellIs" dxfId="67" priority="13" stopIfTrue="1" operator="lessThan">
      <formula>0</formula>
    </cfRule>
  </conditionalFormatting>
  <hyperlinks>
    <hyperlink ref="A1:XFD3" r:id="rId4" display="http://modiriatmali.com/" xr:uid="{00000000-0004-0000-1400-000000000000}"/>
  </hyperlinks>
  <printOptions horizontalCentered="1"/>
  <pageMargins left="0" right="0" top="0" bottom="0" header="0.31496062992126" footer="0.31496062992126"/>
  <pageSetup paperSize="9" scale="58" orientation="portrait"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S48"/>
  <sheetViews>
    <sheetView rightToLeft="1" view="pageBreakPreview" topLeftCell="A15" zoomScale="90" zoomScaleNormal="100" zoomScaleSheetLayoutView="90" workbookViewId="0">
      <selection activeCell="J16" sqref="J16"/>
    </sheetView>
  </sheetViews>
  <sheetFormatPr defaultRowHeight="33.75" customHeight="1" x14ac:dyDescent="0.25"/>
  <cols>
    <col min="1" max="1" width="5.7109375" style="451" bestFit="1" customWidth="1"/>
    <col min="2" max="2" width="2.140625" style="447" customWidth="1"/>
    <col min="3" max="3" width="0.7109375" style="447" customWidth="1"/>
    <col min="4" max="4" width="56.28515625" style="447" customWidth="1"/>
    <col min="5" max="5" width="0.7109375" style="447" customWidth="1"/>
    <col min="6" max="6" width="2.140625" style="447" customWidth="1"/>
    <col min="7" max="7" width="0.7109375" style="447" customWidth="1"/>
    <col min="8" max="8" width="11.5703125" style="447" customWidth="1"/>
    <col min="9" max="9" width="0.7109375" style="447" customWidth="1"/>
    <col min="10" max="10" width="26.140625" style="447" bestFit="1" customWidth="1"/>
    <col min="11" max="11" width="3.42578125" style="447" customWidth="1"/>
    <col min="12" max="12" width="26" style="424" bestFit="1" customWidth="1"/>
    <col min="13" max="13" width="0.7109375" style="447" customWidth="1"/>
    <col min="14" max="14" width="1.85546875" style="447" customWidth="1"/>
    <col min="15" max="15" width="5" style="447" customWidth="1"/>
    <col min="16" max="16" width="10.5703125" style="447" bestFit="1" customWidth="1"/>
    <col min="17" max="17" width="5" style="447" customWidth="1"/>
    <col min="18" max="18" width="17.5703125" style="447" customWidth="1"/>
    <col min="19" max="19" width="13.5703125" style="447" customWidth="1"/>
    <col min="20" max="21" width="9" style="447"/>
    <col min="22" max="22" width="10.42578125" style="447" bestFit="1" customWidth="1"/>
    <col min="23" max="251" width="9" style="447"/>
    <col min="252" max="252" width="3.5703125" style="447" customWidth="1"/>
    <col min="253" max="253" width="4.85546875" style="447" customWidth="1"/>
    <col min="254" max="254" width="5.42578125" style="447" customWidth="1"/>
    <col min="255" max="255" width="31.28515625" style="447" customWidth="1"/>
    <col min="256" max="256" width="7.5703125" style="447" customWidth="1"/>
    <col min="257" max="257" width="2.42578125" style="447" customWidth="1"/>
    <col min="258" max="258" width="11.5703125" style="447" customWidth="1"/>
    <col min="259" max="259" width="2.42578125" style="447" customWidth="1"/>
    <col min="260" max="260" width="11.5703125" style="447" customWidth="1"/>
    <col min="261" max="261" width="2.42578125" style="447" customWidth="1"/>
    <col min="262" max="262" width="10.85546875" style="447" customWidth="1"/>
    <col min="263" max="263" width="2.42578125" style="447" customWidth="1"/>
    <col min="264" max="264" width="11.140625" style="447" customWidth="1"/>
    <col min="265" max="265" width="1.85546875" style="447" customWidth="1"/>
    <col min="266" max="266" width="11" style="447" customWidth="1"/>
    <col min="267" max="267" width="0.7109375" style="447" customWidth="1"/>
    <col min="268" max="268" width="1.85546875" style="447" customWidth="1"/>
    <col min="269" max="269" width="11.85546875" style="447" bestFit="1" customWidth="1"/>
    <col min="270" max="270" width="15.28515625" style="447" bestFit="1" customWidth="1"/>
    <col min="271" max="271" width="5" style="447" customWidth="1"/>
    <col min="272" max="272" width="10.42578125" style="447" bestFit="1" customWidth="1"/>
    <col min="273" max="273" width="5" style="447" customWidth="1"/>
    <col min="274" max="274" width="10.42578125" style="447" bestFit="1" customWidth="1"/>
    <col min="275" max="277" width="9" style="447"/>
    <col min="278" max="278" width="10.42578125" style="447" bestFit="1" customWidth="1"/>
    <col min="279" max="507" width="9" style="447"/>
    <col min="508" max="508" width="3.5703125" style="447" customWidth="1"/>
    <col min="509" max="509" width="4.85546875" style="447" customWidth="1"/>
    <col min="510" max="510" width="5.42578125" style="447" customWidth="1"/>
    <col min="511" max="511" width="31.28515625" style="447" customWidth="1"/>
    <col min="512" max="512" width="7.5703125" style="447" customWidth="1"/>
    <col min="513" max="513" width="2.42578125" style="447" customWidth="1"/>
    <col min="514" max="514" width="11.5703125" style="447" customWidth="1"/>
    <col min="515" max="515" width="2.42578125" style="447" customWidth="1"/>
    <col min="516" max="516" width="11.5703125" style="447" customWidth="1"/>
    <col min="517" max="517" width="2.42578125" style="447" customWidth="1"/>
    <col min="518" max="518" width="10.85546875" style="447" customWidth="1"/>
    <col min="519" max="519" width="2.42578125" style="447" customWidth="1"/>
    <col min="520" max="520" width="11.140625" style="447" customWidth="1"/>
    <col min="521" max="521" width="1.85546875" style="447" customWidth="1"/>
    <col min="522" max="522" width="11" style="447" customWidth="1"/>
    <col min="523" max="523" width="0.7109375" style="447" customWidth="1"/>
    <col min="524" max="524" width="1.85546875" style="447" customWidth="1"/>
    <col min="525" max="525" width="11.85546875" style="447" bestFit="1" customWidth="1"/>
    <col min="526" max="526" width="15.28515625" style="447" bestFit="1" customWidth="1"/>
    <col min="527" max="527" width="5" style="447" customWidth="1"/>
    <col min="528" max="528" width="10.42578125" style="447" bestFit="1" customWidth="1"/>
    <col min="529" max="529" width="5" style="447" customWidth="1"/>
    <col min="530" max="530" width="10.42578125" style="447" bestFit="1" customWidth="1"/>
    <col min="531" max="533" width="9" style="447"/>
    <col min="534" max="534" width="10.42578125" style="447" bestFit="1" customWidth="1"/>
    <col min="535" max="763" width="9" style="447"/>
    <col min="764" max="764" width="3.5703125" style="447" customWidth="1"/>
    <col min="765" max="765" width="4.85546875" style="447" customWidth="1"/>
    <col min="766" max="766" width="5.42578125" style="447" customWidth="1"/>
    <col min="767" max="767" width="31.28515625" style="447" customWidth="1"/>
    <col min="768" max="768" width="7.5703125" style="447" customWidth="1"/>
    <col min="769" max="769" width="2.42578125" style="447" customWidth="1"/>
    <col min="770" max="770" width="11.5703125" style="447" customWidth="1"/>
    <col min="771" max="771" width="2.42578125" style="447" customWidth="1"/>
    <col min="772" max="772" width="11.5703125" style="447" customWidth="1"/>
    <col min="773" max="773" width="2.42578125" style="447" customWidth="1"/>
    <col min="774" max="774" width="10.85546875" style="447" customWidth="1"/>
    <col min="775" max="775" width="2.42578125" style="447" customWidth="1"/>
    <col min="776" max="776" width="11.140625" style="447" customWidth="1"/>
    <col min="777" max="777" width="1.85546875" style="447" customWidth="1"/>
    <col min="778" max="778" width="11" style="447" customWidth="1"/>
    <col min="779" max="779" width="0.7109375" style="447" customWidth="1"/>
    <col min="780" max="780" width="1.85546875" style="447" customWidth="1"/>
    <col min="781" max="781" width="11.85546875" style="447" bestFit="1" customWidth="1"/>
    <col min="782" max="782" width="15.28515625" style="447" bestFit="1" customWidth="1"/>
    <col min="783" max="783" width="5" style="447" customWidth="1"/>
    <col min="784" max="784" width="10.42578125" style="447" bestFit="1" customWidth="1"/>
    <col min="785" max="785" width="5" style="447" customWidth="1"/>
    <col min="786" max="786" width="10.42578125" style="447" bestFit="1" customWidth="1"/>
    <col min="787" max="789" width="9" style="447"/>
    <col min="790" max="790" width="10.42578125" style="447" bestFit="1" customWidth="1"/>
    <col min="791" max="1019" width="9" style="447"/>
    <col min="1020" max="1020" width="3.5703125" style="447" customWidth="1"/>
    <col min="1021" max="1021" width="4.85546875" style="447" customWidth="1"/>
    <col min="1022" max="1022" width="5.42578125" style="447" customWidth="1"/>
    <col min="1023" max="1023" width="31.28515625" style="447" customWidth="1"/>
    <col min="1024" max="1024" width="7.5703125" style="447" customWidth="1"/>
    <col min="1025" max="1025" width="2.42578125" style="447" customWidth="1"/>
    <col min="1026" max="1026" width="11.5703125" style="447" customWidth="1"/>
    <col min="1027" max="1027" width="2.42578125" style="447" customWidth="1"/>
    <col min="1028" max="1028" width="11.5703125" style="447" customWidth="1"/>
    <col min="1029" max="1029" width="2.42578125" style="447" customWidth="1"/>
    <col min="1030" max="1030" width="10.85546875" style="447" customWidth="1"/>
    <col min="1031" max="1031" width="2.42578125" style="447" customWidth="1"/>
    <col min="1032" max="1032" width="11.140625" style="447" customWidth="1"/>
    <col min="1033" max="1033" width="1.85546875" style="447" customWidth="1"/>
    <col min="1034" max="1034" width="11" style="447" customWidth="1"/>
    <col min="1035" max="1035" width="0.7109375" style="447" customWidth="1"/>
    <col min="1036" max="1036" width="1.85546875" style="447" customWidth="1"/>
    <col min="1037" max="1037" width="11.85546875" style="447" bestFit="1" customWidth="1"/>
    <col min="1038" max="1038" width="15.28515625" style="447" bestFit="1" customWidth="1"/>
    <col min="1039" max="1039" width="5" style="447" customWidth="1"/>
    <col min="1040" max="1040" width="10.42578125" style="447" bestFit="1" customWidth="1"/>
    <col min="1041" max="1041" width="5" style="447" customWidth="1"/>
    <col min="1042" max="1042" width="10.42578125" style="447" bestFit="1" customWidth="1"/>
    <col min="1043" max="1045" width="9" style="447"/>
    <col min="1046" max="1046" width="10.42578125" style="447" bestFit="1" customWidth="1"/>
    <col min="1047" max="1275" width="9" style="447"/>
    <col min="1276" max="1276" width="3.5703125" style="447" customWidth="1"/>
    <col min="1277" max="1277" width="4.85546875" style="447" customWidth="1"/>
    <col min="1278" max="1278" width="5.42578125" style="447" customWidth="1"/>
    <col min="1279" max="1279" width="31.28515625" style="447" customWidth="1"/>
    <col min="1280" max="1280" width="7.5703125" style="447" customWidth="1"/>
    <col min="1281" max="1281" width="2.42578125" style="447" customWidth="1"/>
    <col min="1282" max="1282" width="11.5703125" style="447" customWidth="1"/>
    <col min="1283" max="1283" width="2.42578125" style="447" customWidth="1"/>
    <col min="1284" max="1284" width="11.5703125" style="447" customWidth="1"/>
    <col min="1285" max="1285" width="2.42578125" style="447" customWidth="1"/>
    <col min="1286" max="1286" width="10.85546875" style="447" customWidth="1"/>
    <col min="1287" max="1287" width="2.42578125" style="447" customWidth="1"/>
    <col min="1288" max="1288" width="11.140625" style="447" customWidth="1"/>
    <col min="1289" max="1289" width="1.85546875" style="447" customWidth="1"/>
    <col min="1290" max="1290" width="11" style="447" customWidth="1"/>
    <col min="1291" max="1291" width="0.7109375" style="447" customWidth="1"/>
    <col min="1292" max="1292" width="1.85546875" style="447" customWidth="1"/>
    <col min="1293" max="1293" width="11.85546875" style="447" bestFit="1" customWidth="1"/>
    <col min="1294" max="1294" width="15.28515625" style="447" bestFit="1" customWidth="1"/>
    <col min="1295" max="1295" width="5" style="447" customWidth="1"/>
    <col min="1296" max="1296" width="10.42578125" style="447" bestFit="1" customWidth="1"/>
    <col min="1297" max="1297" width="5" style="447" customWidth="1"/>
    <col min="1298" max="1298" width="10.42578125" style="447" bestFit="1" customWidth="1"/>
    <col min="1299" max="1301" width="9" style="447"/>
    <col min="1302" max="1302" width="10.42578125" style="447" bestFit="1" customWidth="1"/>
    <col min="1303" max="1531" width="9" style="447"/>
    <col min="1532" max="1532" width="3.5703125" style="447" customWidth="1"/>
    <col min="1533" max="1533" width="4.85546875" style="447" customWidth="1"/>
    <col min="1534" max="1534" width="5.42578125" style="447" customWidth="1"/>
    <col min="1535" max="1535" width="31.28515625" style="447" customWidth="1"/>
    <col min="1536" max="1536" width="7.5703125" style="447" customWidth="1"/>
    <col min="1537" max="1537" width="2.42578125" style="447" customWidth="1"/>
    <col min="1538" max="1538" width="11.5703125" style="447" customWidth="1"/>
    <col min="1539" max="1539" width="2.42578125" style="447" customWidth="1"/>
    <col min="1540" max="1540" width="11.5703125" style="447" customWidth="1"/>
    <col min="1541" max="1541" width="2.42578125" style="447" customWidth="1"/>
    <col min="1542" max="1542" width="10.85546875" style="447" customWidth="1"/>
    <col min="1543" max="1543" width="2.42578125" style="447" customWidth="1"/>
    <col min="1544" max="1544" width="11.140625" style="447" customWidth="1"/>
    <col min="1545" max="1545" width="1.85546875" style="447" customWidth="1"/>
    <col min="1546" max="1546" width="11" style="447" customWidth="1"/>
    <col min="1547" max="1547" width="0.7109375" style="447" customWidth="1"/>
    <col min="1548" max="1548" width="1.85546875" style="447" customWidth="1"/>
    <col min="1549" max="1549" width="11.85546875" style="447" bestFit="1" customWidth="1"/>
    <col min="1550" max="1550" width="15.28515625" style="447" bestFit="1" customWidth="1"/>
    <col min="1551" max="1551" width="5" style="447" customWidth="1"/>
    <col min="1552" max="1552" width="10.42578125" style="447" bestFit="1" customWidth="1"/>
    <col min="1553" max="1553" width="5" style="447" customWidth="1"/>
    <col min="1554" max="1554" width="10.42578125" style="447" bestFit="1" customWidth="1"/>
    <col min="1555" max="1557" width="9" style="447"/>
    <col min="1558" max="1558" width="10.42578125" style="447" bestFit="1" customWidth="1"/>
    <col min="1559" max="1787" width="9" style="447"/>
    <col min="1788" max="1788" width="3.5703125" style="447" customWidth="1"/>
    <col min="1789" max="1789" width="4.85546875" style="447" customWidth="1"/>
    <col min="1790" max="1790" width="5.42578125" style="447" customWidth="1"/>
    <col min="1791" max="1791" width="31.28515625" style="447" customWidth="1"/>
    <col min="1792" max="1792" width="7.5703125" style="447" customWidth="1"/>
    <col min="1793" max="1793" width="2.42578125" style="447" customWidth="1"/>
    <col min="1794" max="1794" width="11.5703125" style="447" customWidth="1"/>
    <col min="1795" max="1795" width="2.42578125" style="447" customWidth="1"/>
    <col min="1796" max="1796" width="11.5703125" style="447" customWidth="1"/>
    <col min="1797" max="1797" width="2.42578125" style="447" customWidth="1"/>
    <col min="1798" max="1798" width="10.85546875" style="447" customWidth="1"/>
    <col min="1799" max="1799" width="2.42578125" style="447" customWidth="1"/>
    <col min="1800" max="1800" width="11.140625" style="447" customWidth="1"/>
    <col min="1801" max="1801" width="1.85546875" style="447" customWidth="1"/>
    <col min="1802" max="1802" width="11" style="447" customWidth="1"/>
    <col min="1803" max="1803" width="0.7109375" style="447" customWidth="1"/>
    <col min="1804" max="1804" width="1.85546875" style="447" customWidth="1"/>
    <col min="1805" max="1805" width="11.85546875" style="447" bestFit="1" customWidth="1"/>
    <col min="1806" max="1806" width="15.28515625" style="447" bestFit="1" customWidth="1"/>
    <col min="1807" max="1807" width="5" style="447" customWidth="1"/>
    <col min="1808" max="1808" width="10.42578125" style="447" bestFit="1" customWidth="1"/>
    <col min="1809" max="1809" width="5" style="447" customWidth="1"/>
    <col min="1810" max="1810" width="10.42578125" style="447" bestFit="1" customWidth="1"/>
    <col min="1811" max="1813" width="9" style="447"/>
    <col min="1814" max="1814" width="10.42578125" style="447" bestFit="1" customWidth="1"/>
    <col min="1815" max="2043" width="9" style="447"/>
    <col min="2044" max="2044" width="3.5703125" style="447" customWidth="1"/>
    <col min="2045" max="2045" width="4.85546875" style="447" customWidth="1"/>
    <col min="2046" max="2046" width="5.42578125" style="447" customWidth="1"/>
    <col min="2047" max="2047" width="31.28515625" style="447" customWidth="1"/>
    <col min="2048" max="2048" width="7.5703125" style="447" customWidth="1"/>
    <col min="2049" max="2049" width="2.42578125" style="447" customWidth="1"/>
    <col min="2050" max="2050" width="11.5703125" style="447" customWidth="1"/>
    <col min="2051" max="2051" width="2.42578125" style="447" customWidth="1"/>
    <col min="2052" max="2052" width="11.5703125" style="447" customWidth="1"/>
    <col min="2053" max="2053" width="2.42578125" style="447" customWidth="1"/>
    <col min="2054" max="2054" width="10.85546875" style="447" customWidth="1"/>
    <col min="2055" max="2055" width="2.42578125" style="447" customWidth="1"/>
    <col min="2056" max="2056" width="11.140625" style="447" customWidth="1"/>
    <col min="2057" max="2057" width="1.85546875" style="447" customWidth="1"/>
    <col min="2058" max="2058" width="11" style="447" customWidth="1"/>
    <col min="2059" max="2059" width="0.7109375" style="447" customWidth="1"/>
    <col min="2060" max="2060" width="1.85546875" style="447" customWidth="1"/>
    <col min="2061" max="2061" width="11.85546875" style="447" bestFit="1" customWidth="1"/>
    <col min="2062" max="2062" width="15.28515625" style="447" bestFit="1" customWidth="1"/>
    <col min="2063" max="2063" width="5" style="447" customWidth="1"/>
    <col min="2064" max="2064" width="10.42578125" style="447" bestFit="1" customWidth="1"/>
    <col min="2065" max="2065" width="5" style="447" customWidth="1"/>
    <col min="2066" max="2066" width="10.42578125" style="447" bestFit="1" customWidth="1"/>
    <col min="2067" max="2069" width="9" style="447"/>
    <col min="2070" max="2070" width="10.42578125" style="447" bestFit="1" customWidth="1"/>
    <col min="2071" max="2299" width="9" style="447"/>
    <col min="2300" max="2300" width="3.5703125" style="447" customWidth="1"/>
    <col min="2301" max="2301" width="4.85546875" style="447" customWidth="1"/>
    <col min="2302" max="2302" width="5.42578125" style="447" customWidth="1"/>
    <col min="2303" max="2303" width="31.28515625" style="447" customWidth="1"/>
    <col min="2304" max="2304" width="7.5703125" style="447" customWidth="1"/>
    <col min="2305" max="2305" width="2.42578125" style="447" customWidth="1"/>
    <col min="2306" max="2306" width="11.5703125" style="447" customWidth="1"/>
    <col min="2307" max="2307" width="2.42578125" style="447" customWidth="1"/>
    <col min="2308" max="2308" width="11.5703125" style="447" customWidth="1"/>
    <col min="2309" max="2309" width="2.42578125" style="447" customWidth="1"/>
    <col min="2310" max="2310" width="10.85546875" style="447" customWidth="1"/>
    <col min="2311" max="2311" width="2.42578125" style="447" customWidth="1"/>
    <col min="2312" max="2312" width="11.140625" style="447" customWidth="1"/>
    <col min="2313" max="2313" width="1.85546875" style="447" customWidth="1"/>
    <col min="2314" max="2314" width="11" style="447" customWidth="1"/>
    <col min="2315" max="2315" width="0.7109375" style="447" customWidth="1"/>
    <col min="2316" max="2316" width="1.85546875" style="447" customWidth="1"/>
    <col min="2317" max="2317" width="11.85546875" style="447" bestFit="1" customWidth="1"/>
    <col min="2318" max="2318" width="15.28515625" style="447" bestFit="1" customWidth="1"/>
    <col min="2319" max="2319" width="5" style="447" customWidth="1"/>
    <col min="2320" max="2320" width="10.42578125" style="447" bestFit="1" customWidth="1"/>
    <col min="2321" max="2321" width="5" style="447" customWidth="1"/>
    <col min="2322" max="2322" width="10.42578125" style="447" bestFit="1" customWidth="1"/>
    <col min="2323" max="2325" width="9" style="447"/>
    <col min="2326" max="2326" width="10.42578125" style="447" bestFit="1" customWidth="1"/>
    <col min="2327" max="2555" width="9" style="447"/>
    <col min="2556" max="2556" width="3.5703125" style="447" customWidth="1"/>
    <col min="2557" max="2557" width="4.85546875" style="447" customWidth="1"/>
    <col min="2558" max="2558" width="5.42578125" style="447" customWidth="1"/>
    <col min="2559" max="2559" width="31.28515625" style="447" customWidth="1"/>
    <col min="2560" max="2560" width="7.5703125" style="447" customWidth="1"/>
    <col min="2561" max="2561" width="2.42578125" style="447" customWidth="1"/>
    <col min="2562" max="2562" width="11.5703125" style="447" customWidth="1"/>
    <col min="2563" max="2563" width="2.42578125" style="447" customWidth="1"/>
    <col min="2564" max="2564" width="11.5703125" style="447" customWidth="1"/>
    <col min="2565" max="2565" width="2.42578125" style="447" customWidth="1"/>
    <col min="2566" max="2566" width="10.85546875" style="447" customWidth="1"/>
    <col min="2567" max="2567" width="2.42578125" style="447" customWidth="1"/>
    <col min="2568" max="2568" width="11.140625" style="447" customWidth="1"/>
    <col min="2569" max="2569" width="1.85546875" style="447" customWidth="1"/>
    <col min="2570" max="2570" width="11" style="447" customWidth="1"/>
    <col min="2571" max="2571" width="0.7109375" style="447" customWidth="1"/>
    <col min="2572" max="2572" width="1.85546875" style="447" customWidth="1"/>
    <col min="2573" max="2573" width="11.85546875" style="447" bestFit="1" customWidth="1"/>
    <col min="2574" max="2574" width="15.28515625" style="447" bestFit="1" customWidth="1"/>
    <col min="2575" max="2575" width="5" style="447" customWidth="1"/>
    <col min="2576" max="2576" width="10.42578125" style="447" bestFit="1" customWidth="1"/>
    <col min="2577" max="2577" width="5" style="447" customWidth="1"/>
    <col min="2578" max="2578" width="10.42578125" style="447" bestFit="1" customWidth="1"/>
    <col min="2579" max="2581" width="9" style="447"/>
    <col min="2582" max="2582" width="10.42578125" style="447" bestFit="1" customWidth="1"/>
    <col min="2583" max="2811" width="9" style="447"/>
    <col min="2812" max="2812" width="3.5703125" style="447" customWidth="1"/>
    <col min="2813" max="2813" width="4.85546875" style="447" customWidth="1"/>
    <col min="2814" max="2814" width="5.42578125" style="447" customWidth="1"/>
    <col min="2815" max="2815" width="31.28515625" style="447" customWidth="1"/>
    <col min="2816" max="2816" width="7.5703125" style="447" customWidth="1"/>
    <col min="2817" max="2817" width="2.42578125" style="447" customWidth="1"/>
    <col min="2818" max="2818" width="11.5703125" style="447" customWidth="1"/>
    <col min="2819" max="2819" width="2.42578125" style="447" customWidth="1"/>
    <col min="2820" max="2820" width="11.5703125" style="447" customWidth="1"/>
    <col min="2821" max="2821" width="2.42578125" style="447" customWidth="1"/>
    <col min="2822" max="2822" width="10.85546875" style="447" customWidth="1"/>
    <col min="2823" max="2823" width="2.42578125" style="447" customWidth="1"/>
    <col min="2824" max="2824" width="11.140625" style="447" customWidth="1"/>
    <col min="2825" max="2825" width="1.85546875" style="447" customWidth="1"/>
    <col min="2826" max="2826" width="11" style="447" customWidth="1"/>
    <col min="2827" max="2827" width="0.7109375" style="447" customWidth="1"/>
    <col min="2828" max="2828" width="1.85546875" style="447" customWidth="1"/>
    <col min="2829" max="2829" width="11.85546875" style="447" bestFit="1" customWidth="1"/>
    <col min="2830" max="2830" width="15.28515625" style="447" bestFit="1" customWidth="1"/>
    <col min="2831" max="2831" width="5" style="447" customWidth="1"/>
    <col min="2832" max="2832" width="10.42578125" style="447" bestFit="1" customWidth="1"/>
    <col min="2833" max="2833" width="5" style="447" customWidth="1"/>
    <col min="2834" max="2834" width="10.42578125" style="447" bestFit="1" customWidth="1"/>
    <col min="2835" max="2837" width="9" style="447"/>
    <col min="2838" max="2838" width="10.42578125" style="447" bestFit="1" customWidth="1"/>
    <col min="2839" max="3067" width="9" style="447"/>
    <col min="3068" max="3068" width="3.5703125" style="447" customWidth="1"/>
    <col min="3069" max="3069" width="4.85546875" style="447" customWidth="1"/>
    <col min="3070" max="3070" width="5.42578125" style="447" customWidth="1"/>
    <col min="3071" max="3071" width="31.28515625" style="447" customWidth="1"/>
    <col min="3072" max="3072" width="7.5703125" style="447" customWidth="1"/>
    <col min="3073" max="3073" width="2.42578125" style="447" customWidth="1"/>
    <col min="3074" max="3074" width="11.5703125" style="447" customWidth="1"/>
    <col min="3075" max="3075" width="2.42578125" style="447" customWidth="1"/>
    <col min="3076" max="3076" width="11.5703125" style="447" customWidth="1"/>
    <col min="3077" max="3077" width="2.42578125" style="447" customWidth="1"/>
    <col min="3078" max="3078" width="10.85546875" style="447" customWidth="1"/>
    <col min="3079" max="3079" width="2.42578125" style="447" customWidth="1"/>
    <col min="3080" max="3080" width="11.140625" style="447" customWidth="1"/>
    <col min="3081" max="3081" width="1.85546875" style="447" customWidth="1"/>
    <col min="3082" max="3082" width="11" style="447" customWidth="1"/>
    <col min="3083" max="3083" width="0.7109375" style="447" customWidth="1"/>
    <col min="3084" max="3084" width="1.85546875" style="447" customWidth="1"/>
    <col min="3085" max="3085" width="11.85546875" style="447" bestFit="1" customWidth="1"/>
    <col min="3086" max="3086" width="15.28515625" style="447" bestFit="1" customWidth="1"/>
    <col min="3087" max="3087" width="5" style="447" customWidth="1"/>
    <col min="3088" max="3088" width="10.42578125" style="447" bestFit="1" customWidth="1"/>
    <col min="3089" max="3089" width="5" style="447" customWidth="1"/>
    <col min="3090" max="3090" width="10.42578125" style="447" bestFit="1" customWidth="1"/>
    <col min="3091" max="3093" width="9" style="447"/>
    <col min="3094" max="3094" width="10.42578125" style="447" bestFit="1" customWidth="1"/>
    <col min="3095" max="3323" width="9" style="447"/>
    <col min="3324" max="3324" width="3.5703125" style="447" customWidth="1"/>
    <col min="3325" max="3325" width="4.85546875" style="447" customWidth="1"/>
    <col min="3326" max="3326" width="5.42578125" style="447" customWidth="1"/>
    <col min="3327" max="3327" width="31.28515625" style="447" customWidth="1"/>
    <col min="3328" max="3328" width="7.5703125" style="447" customWidth="1"/>
    <col min="3329" max="3329" width="2.42578125" style="447" customWidth="1"/>
    <col min="3330" max="3330" width="11.5703125" style="447" customWidth="1"/>
    <col min="3331" max="3331" width="2.42578125" style="447" customWidth="1"/>
    <col min="3332" max="3332" width="11.5703125" style="447" customWidth="1"/>
    <col min="3333" max="3333" width="2.42578125" style="447" customWidth="1"/>
    <col min="3334" max="3334" width="10.85546875" style="447" customWidth="1"/>
    <col min="3335" max="3335" width="2.42578125" style="447" customWidth="1"/>
    <col min="3336" max="3336" width="11.140625" style="447" customWidth="1"/>
    <col min="3337" max="3337" width="1.85546875" style="447" customWidth="1"/>
    <col min="3338" max="3338" width="11" style="447" customWidth="1"/>
    <col min="3339" max="3339" width="0.7109375" style="447" customWidth="1"/>
    <col min="3340" max="3340" width="1.85546875" style="447" customWidth="1"/>
    <col min="3341" max="3341" width="11.85546875" style="447" bestFit="1" customWidth="1"/>
    <col min="3342" max="3342" width="15.28515625" style="447" bestFit="1" customWidth="1"/>
    <col min="3343" max="3343" width="5" style="447" customWidth="1"/>
    <col min="3344" max="3344" width="10.42578125" style="447" bestFit="1" customWidth="1"/>
    <col min="3345" max="3345" width="5" style="447" customWidth="1"/>
    <col min="3346" max="3346" width="10.42578125" style="447" bestFit="1" customWidth="1"/>
    <col min="3347" max="3349" width="9" style="447"/>
    <col min="3350" max="3350" width="10.42578125" style="447" bestFit="1" customWidth="1"/>
    <col min="3351" max="3579" width="9" style="447"/>
    <col min="3580" max="3580" width="3.5703125" style="447" customWidth="1"/>
    <col min="3581" max="3581" width="4.85546875" style="447" customWidth="1"/>
    <col min="3582" max="3582" width="5.42578125" style="447" customWidth="1"/>
    <col min="3583" max="3583" width="31.28515625" style="447" customWidth="1"/>
    <col min="3584" max="3584" width="7.5703125" style="447" customWidth="1"/>
    <col min="3585" max="3585" width="2.42578125" style="447" customWidth="1"/>
    <col min="3586" max="3586" width="11.5703125" style="447" customWidth="1"/>
    <col min="3587" max="3587" width="2.42578125" style="447" customWidth="1"/>
    <col min="3588" max="3588" width="11.5703125" style="447" customWidth="1"/>
    <col min="3589" max="3589" width="2.42578125" style="447" customWidth="1"/>
    <col min="3590" max="3590" width="10.85546875" style="447" customWidth="1"/>
    <col min="3591" max="3591" width="2.42578125" style="447" customWidth="1"/>
    <col min="3592" max="3592" width="11.140625" style="447" customWidth="1"/>
    <col min="3593" max="3593" width="1.85546875" style="447" customWidth="1"/>
    <col min="3594" max="3594" width="11" style="447" customWidth="1"/>
    <col min="3595" max="3595" width="0.7109375" style="447" customWidth="1"/>
    <col min="3596" max="3596" width="1.85546875" style="447" customWidth="1"/>
    <col min="3597" max="3597" width="11.85546875" style="447" bestFit="1" customWidth="1"/>
    <col min="3598" max="3598" width="15.28515625" style="447" bestFit="1" customWidth="1"/>
    <col min="3599" max="3599" width="5" style="447" customWidth="1"/>
    <col min="3600" max="3600" width="10.42578125" style="447" bestFit="1" customWidth="1"/>
    <col min="3601" max="3601" width="5" style="447" customWidth="1"/>
    <col min="3602" max="3602" width="10.42578125" style="447" bestFit="1" customWidth="1"/>
    <col min="3603" max="3605" width="9" style="447"/>
    <col min="3606" max="3606" width="10.42578125" style="447" bestFit="1" customWidth="1"/>
    <col min="3607" max="3835" width="9" style="447"/>
    <col min="3836" max="3836" width="3.5703125" style="447" customWidth="1"/>
    <col min="3837" max="3837" width="4.85546875" style="447" customWidth="1"/>
    <col min="3838" max="3838" width="5.42578125" style="447" customWidth="1"/>
    <col min="3839" max="3839" width="31.28515625" style="447" customWidth="1"/>
    <col min="3840" max="3840" width="7.5703125" style="447" customWidth="1"/>
    <col min="3841" max="3841" width="2.42578125" style="447" customWidth="1"/>
    <col min="3842" max="3842" width="11.5703125" style="447" customWidth="1"/>
    <col min="3843" max="3843" width="2.42578125" style="447" customWidth="1"/>
    <col min="3844" max="3844" width="11.5703125" style="447" customWidth="1"/>
    <col min="3845" max="3845" width="2.42578125" style="447" customWidth="1"/>
    <col min="3846" max="3846" width="10.85546875" style="447" customWidth="1"/>
    <col min="3847" max="3847" width="2.42578125" style="447" customWidth="1"/>
    <col min="3848" max="3848" width="11.140625" style="447" customWidth="1"/>
    <col min="3849" max="3849" width="1.85546875" style="447" customWidth="1"/>
    <col min="3850" max="3850" width="11" style="447" customWidth="1"/>
    <col min="3851" max="3851" width="0.7109375" style="447" customWidth="1"/>
    <col min="3852" max="3852" width="1.85546875" style="447" customWidth="1"/>
    <col min="3853" max="3853" width="11.85546875" style="447" bestFit="1" customWidth="1"/>
    <col min="3854" max="3854" width="15.28515625" style="447" bestFit="1" customWidth="1"/>
    <col min="3855" max="3855" width="5" style="447" customWidth="1"/>
    <col min="3856" max="3856" width="10.42578125" style="447" bestFit="1" customWidth="1"/>
    <col min="3857" max="3857" width="5" style="447" customWidth="1"/>
    <col min="3858" max="3858" width="10.42578125" style="447" bestFit="1" customWidth="1"/>
    <col min="3859" max="3861" width="9" style="447"/>
    <col min="3862" max="3862" width="10.42578125" style="447" bestFit="1" customWidth="1"/>
    <col min="3863" max="4091" width="9" style="447"/>
    <col min="4092" max="4092" width="3.5703125" style="447" customWidth="1"/>
    <col min="4093" max="4093" width="4.85546875" style="447" customWidth="1"/>
    <col min="4094" max="4094" width="5.42578125" style="447" customWidth="1"/>
    <col min="4095" max="4095" width="31.28515625" style="447" customWidth="1"/>
    <col min="4096" max="4096" width="7.5703125" style="447" customWidth="1"/>
    <col min="4097" max="4097" width="2.42578125" style="447" customWidth="1"/>
    <col min="4098" max="4098" width="11.5703125" style="447" customWidth="1"/>
    <col min="4099" max="4099" width="2.42578125" style="447" customWidth="1"/>
    <col min="4100" max="4100" width="11.5703125" style="447" customWidth="1"/>
    <col min="4101" max="4101" width="2.42578125" style="447" customWidth="1"/>
    <col min="4102" max="4102" width="10.85546875" style="447" customWidth="1"/>
    <col min="4103" max="4103" width="2.42578125" style="447" customWidth="1"/>
    <col min="4104" max="4104" width="11.140625" style="447" customWidth="1"/>
    <col min="4105" max="4105" width="1.85546875" style="447" customWidth="1"/>
    <col min="4106" max="4106" width="11" style="447" customWidth="1"/>
    <col min="4107" max="4107" width="0.7109375" style="447" customWidth="1"/>
    <col min="4108" max="4108" width="1.85546875" style="447" customWidth="1"/>
    <col min="4109" max="4109" width="11.85546875" style="447" bestFit="1" customWidth="1"/>
    <col min="4110" max="4110" width="15.28515625" style="447" bestFit="1" customWidth="1"/>
    <col min="4111" max="4111" width="5" style="447" customWidth="1"/>
    <col min="4112" max="4112" width="10.42578125" style="447" bestFit="1" customWidth="1"/>
    <col min="4113" max="4113" width="5" style="447" customWidth="1"/>
    <col min="4114" max="4114" width="10.42578125" style="447" bestFit="1" customWidth="1"/>
    <col min="4115" max="4117" width="9" style="447"/>
    <col min="4118" max="4118" width="10.42578125" style="447" bestFit="1" customWidth="1"/>
    <col min="4119" max="4347" width="9" style="447"/>
    <col min="4348" max="4348" width="3.5703125" style="447" customWidth="1"/>
    <col min="4349" max="4349" width="4.85546875" style="447" customWidth="1"/>
    <col min="4350" max="4350" width="5.42578125" style="447" customWidth="1"/>
    <col min="4351" max="4351" width="31.28515625" style="447" customWidth="1"/>
    <col min="4352" max="4352" width="7.5703125" style="447" customWidth="1"/>
    <col min="4353" max="4353" width="2.42578125" style="447" customWidth="1"/>
    <col min="4354" max="4354" width="11.5703125" style="447" customWidth="1"/>
    <col min="4355" max="4355" width="2.42578125" style="447" customWidth="1"/>
    <col min="4356" max="4356" width="11.5703125" style="447" customWidth="1"/>
    <col min="4357" max="4357" width="2.42578125" style="447" customWidth="1"/>
    <col min="4358" max="4358" width="10.85546875" style="447" customWidth="1"/>
    <col min="4359" max="4359" width="2.42578125" style="447" customWidth="1"/>
    <col min="4360" max="4360" width="11.140625" style="447" customWidth="1"/>
    <col min="4361" max="4361" width="1.85546875" style="447" customWidth="1"/>
    <col min="4362" max="4362" width="11" style="447" customWidth="1"/>
    <col min="4363" max="4363" width="0.7109375" style="447" customWidth="1"/>
    <col min="4364" max="4364" width="1.85546875" style="447" customWidth="1"/>
    <col min="4365" max="4365" width="11.85546875" style="447" bestFit="1" customWidth="1"/>
    <col min="4366" max="4366" width="15.28515625" style="447" bestFit="1" customWidth="1"/>
    <col min="4367" max="4367" width="5" style="447" customWidth="1"/>
    <col min="4368" max="4368" width="10.42578125" style="447" bestFit="1" customWidth="1"/>
    <col min="4369" max="4369" width="5" style="447" customWidth="1"/>
    <col min="4370" max="4370" width="10.42578125" style="447" bestFit="1" customWidth="1"/>
    <col min="4371" max="4373" width="9" style="447"/>
    <col min="4374" max="4374" width="10.42578125" style="447" bestFit="1" customWidth="1"/>
    <col min="4375" max="4603" width="9" style="447"/>
    <col min="4604" max="4604" width="3.5703125" style="447" customWidth="1"/>
    <col min="4605" max="4605" width="4.85546875" style="447" customWidth="1"/>
    <col min="4606" max="4606" width="5.42578125" style="447" customWidth="1"/>
    <col min="4607" max="4607" width="31.28515625" style="447" customWidth="1"/>
    <col min="4608" max="4608" width="7.5703125" style="447" customWidth="1"/>
    <col min="4609" max="4609" width="2.42578125" style="447" customWidth="1"/>
    <col min="4610" max="4610" width="11.5703125" style="447" customWidth="1"/>
    <col min="4611" max="4611" width="2.42578125" style="447" customWidth="1"/>
    <col min="4612" max="4612" width="11.5703125" style="447" customWidth="1"/>
    <col min="4613" max="4613" width="2.42578125" style="447" customWidth="1"/>
    <col min="4614" max="4614" width="10.85546875" style="447" customWidth="1"/>
    <col min="4615" max="4615" width="2.42578125" style="447" customWidth="1"/>
    <col min="4616" max="4616" width="11.140625" style="447" customWidth="1"/>
    <col min="4617" max="4617" width="1.85546875" style="447" customWidth="1"/>
    <col min="4618" max="4618" width="11" style="447" customWidth="1"/>
    <col min="4619" max="4619" width="0.7109375" style="447" customWidth="1"/>
    <col min="4620" max="4620" width="1.85546875" style="447" customWidth="1"/>
    <col min="4621" max="4621" width="11.85546875" style="447" bestFit="1" customWidth="1"/>
    <col min="4622" max="4622" width="15.28515625" style="447" bestFit="1" customWidth="1"/>
    <col min="4623" max="4623" width="5" style="447" customWidth="1"/>
    <col min="4624" max="4624" width="10.42578125" style="447" bestFit="1" customWidth="1"/>
    <col min="4625" max="4625" width="5" style="447" customWidth="1"/>
    <col min="4626" max="4626" width="10.42578125" style="447" bestFit="1" customWidth="1"/>
    <col min="4627" max="4629" width="9" style="447"/>
    <col min="4630" max="4630" width="10.42578125" style="447" bestFit="1" customWidth="1"/>
    <col min="4631" max="4859" width="9" style="447"/>
    <col min="4860" max="4860" width="3.5703125" style="447" customWidth="1"/>
    <col min="4861" max="4861" width="4.85546875" style="447" customWidth="1"/>
    <col min="4862" max="4862" width="5.42578125" style="447" customWidth="1"/>
    <col min="4863" max="4863" width="31.28515625" style="447" customWidth="1"/>
    <col min="4864" max="4864" width="7.5703125" style="447" customWidth="1"/>
    <col min="4865" max="4865" width="2.42578125" style="447" customWidth="1"/>
    <col min="4866" max="4866" width="11.5703125" style="447" customWidth="1"/>
    <col min="4867" max="4867" width="2.42578125" style="447" customWidth="1"/>
    <col min="4868" max="4868" width="11.5703125" style="447" customWidth="1"/>
    <col min="4869" max="4869" width="2.42578125" style="447" customWidth="1"/>
    <col min="4870" max="4870" width="10.85546875" style="447" customWidth="1"/>
    <col min="4871" max="4871" width="2.42578125" style="447" customWidth="1"/>
    <col min="4872" max="4872" width="11.140625" style="447" customWidth="1"/>
    <col min="4873" max="4873" width="1.85546875" style="447" customWidth="1"/>
    <col min="4874" max="4874" width="11" style="447" customWidth="1"/>
    <col min="4875" max="4875" width="0.7109375" style="447" customWidth="1"/>
    <col min="4876" max="4876" width="1.85546875" style="447" customWidth="1"/>
    <col min="4877" max="4877" width="11.85546875" style="447" bestFit="1" customWidth="1"/>
    <col min="4878" max="4878" width="15.28515625" style="447" bestFit="1" customWidth="1"/>
    <col min="4879" max="4879" width="5" style="447" customWidth="1"/>
    <col min="4880" max="4880" width="10.42578125" style="447" bestFit="1" customWidth="1"/>
    <col min="4881" max="4881" width="5" style="447" customWidth="1"/>
    <col min="4882" max="4882" width="10.42578125" style="447" bestFit="1" customWidth="1"/>
    <col min="4883" max="4885" width="9" style="447"/>
    <col min="4886" max="4886" width="10.42578125" style="447" bestFit="1" customWidth="1"/>
    <col min="4887" max="5115" width="9" style="447"/>
    <col min="5116" max="5116" width="3.5703125" style="447" customWidth="1"/>
    <col min="5117" max="5117" width="4.85546875" style="447" customWidth="1"/>
    <col min="5118" max="5118" width="5.42578125" style="447" customWidth="1"/>
    <col min="5119" max="5119" width="31.28515625" style="447" customWidth="1"/>
    <col min="5120" max="5120" width="7.5703125" style="447" customWidth="1"/>
    <col min="5121" max="5121" width="2.42578125" style="447" customWidth="1"/>
    <col min="5122" max="5122" width="11.5703125" style="447" customWidth="1"/>
    <col min="5123" max="5123" width="2.42578125" style="447" customWidth="1"/>
    <col min="5124" max="5124" width="11.5703125" style="447" customWidth="1"/>
    <col min="5125" max="5125" width="2.42578125" style="447" customWidth="1"/>
    <col min="5126" max="5126" width="10.85546875" style="447" customWidth="1"/>
    <col min="5127" max="5127" width="2.42578125" style="447" customWidth="1"/>
    <col min="5128" max="5128" width="11.140625" style="447" customWidth="1"/>
    <col min="5129" max="5129" width="1.85546875" style="447" customWidth="1"/>
    <col min="5130" max="5130" width="11" style="447" customWidth="1"/>
    <col min="5131" max="5131" width="0.7109375" style="447" customWidth="1"/>
    <col min="5132" max="5132" width="1.85546875" style="447" customWidth="1"/>
    <col min="5133" max="5133" width="11.85546875" style="447" bestFit="1" customWidth="1"/>
    <col min="5134" max="5134" width="15.28515625" style="447" bestFit="1" customWidth="1"/>
    <col min="5135" max="5135" width="5" style="447" customWidth="1"/>
    <col min="5136" max="5136" width="10.42578125" style="447" bestFit="1" customWidth="1"/>
    <col min="5137" max="5137" width="5" style="447" customWidth="1"/>
    <col min="5138" max="5138" width="10.42578125" style="447" bestFit="1" customWidth="1"/>
    <col min="5139" max="5141" width="9" style="447"/>
    <col min="5142" max="5142" width="10.42578125" style="447" bestFit="1" customWidth="1"/>
    <col min="5143" max="5371" width="9" style="447"/>
    <col min="5372" max="5372" width="3.5703125" style="447" customWidth="1"/>
    <col min="5373" max="5373" width="4.85546875" style="447" customWidth="1"/>
    <col min="5374" max="5374" width="5.42578125" style="447" customWidth="1"/>
    <col min="5375" max="5375" width="31.28515625" style="447" customWidth="1"/>
    <col min="5376" max="5376" width="7.5703125" style="447" customWidth="1"/>
    <col min="5377" max="5377" width="2.42578125" style="447" customWidth="1"/>
    <col min="5378" max="5378" width="11.5703125" style="447" customWidth="1"/>
    <col min="5379" max="5379" width="2.42578125" style="447" customWidth="1"/>
    <col min="5380" max="5380" width="11.5703125" style="447" customWidth="1"/>
    <col min="5381" max="5381" width="2.42578125" style="447" customWidth="1"/>
    <col min="5382" max="5382" width="10.85546875" style="447" customWidth="1"/>
    <col min="5383" max="5383" width="2.42578125" style="447" customWidth="1"/>
    <col min="5384" max="5384" width="11.140625" style="447" customWidth="1"/>
    <col min="5385" max="5385" width="1.85546875" style="447" customWidth="1"/>
    <col min="5386" max="5386" width="11" style="447" customWidth="1"/>
    <col min="5387" max="5387" width="0.7109375" style="447" customWidth="1"/>
    <col min="5388" max="5388" width="1.85546875" style="447" customWidth="1"/>
    <col min="5389" max="5389" width="11.85546875" style="447" bestFit="1" customWidth="1"/>
    <col min="5390" max="5390" width="15.28515625" style="447" bestFit="1" customWidth="1"/>
    <col min="5391" max="5391" width="5" style="447" customWidth="1"/>
    <col min="5392" max="5392" width="10.42578125" style="447" bestFit="1" customWidth="1"/>
    <col min="5393" max="5393" width="5" style="447" customWidth="1"/>
    <col min="5394" max="5394" width="10.42578125" style="447" bestFit="1" customWidth="1"/>
    <col min="5395" max="5397" width="9" style="447"/>
    <col min="5398" max="5398" width="10.42578125" style="447" bestFit="1" customWidth="1"/>
    <col min="5399" max="5627" width="9" style="447"/>
    <col min="5628" max="5628" width="3.5703125" style="447" customWidth="1"/>
    <col min="5629" max="5629" width="4.85546875" style="447" customWidth="1"/>
    <col min="5630" max="5630" width="5.42578125" style="447" customWidth="1"/>
    <col min="5631" max="5631" width="31.28515625" style="447" customWidth="1"/>
    <col min="5632" max="5632" width="7.5703125" style="447" customWidth="1"/>
    <col min="5633" max="5633" width="2.42578125" style="447" customWidth="1"/>
    <col min="5634" max="5634" width="11.5703125" style="447" customWidth="1"/>
    <col min="5635" max="5635" width="2.42578125" style="447" customWidth="1"/>
    <col min="5636" max="5636" width="11.5703125" style="447" customWidth="1"/>
    <col min="5637" max="5637" width="2.42578125" style="447" customWidth="1"/>
    <col min="5638" max="5638" width="10.85546875" style="447" customWidth="1"/>
    <col min="5639" max="5639" width="2.42578125" style="447" customWidth="1"/>
    <col min="5640" max="5640" width="11.140625" style="447" customWidth="1"/>
    <col min="5641" max="5641" width="1.85546875" style="447" customWidth="1"/>
    <col min="5642" max="5642" width="11" style="447" customWidth="1"/>
    <col min="5643" max="5643" width="0.7109375" style="447" customWidth="1"/>
    <col min="5644" max="5644" width="1.85546875" style="447" customWidth="1"/>
    <col min="5645" max="5645" width="11.85546875" style="447" bestFit="1" customWidth="1"/>
    <col min="5646" max="5646" width="15.28515625" style="447" bestFit="1" customWidth="1"/>
    <col min="5647" max="5647" width="5" style="447" customWidth="1"/>
    <col min="5648" max="5648" width="10.42578125" style="447" bestFit="1" customWidth="1"/>
    <col min="5649" max="5649" width="5" style="447" customWidth="1"/>
    <col min="5650" max="5650" width="10.42578125" style="447" bestFit="1" customWidth="1"/>
    <col min="5651" max="5653" width="9" style="447"/>
    <col min="5654" max="5654" width="10.42578125" style="447" bestFit="1" customWidth="1"/>
    <col min="5655" max="5883" width="9" style="447"/>
    <col min="5884" max="5884" width="3.5703125" style="447" customWidth="1"/>
    <col min="5885" max="5885" width="4.85546875" style="447" customWidth="1"/>
    <col min="5886" max="5886" width="5.42578125" style="447" customWidth="1"/>
    <col min="5887" max="5887" width="31.28515625" style="447" customWidth="1"/>
    <col min="5888" max="5888" width="7.5703125" style="447" customWidth="1"/>
    <col min="5889" max="5889" width="2.42578125" style="447" customWidth="1"/>
    <col min="5890" max="5890" width="11.5703125" style="447" customWidth="1"/>
    <col min="5891" max="5891" width="2.42578125" style="447" customWidth="1"/>
    <col min="5892" max="5892" width="11.5703125" style="447" customWidth="1"/>
    <col min="5893" max="5893" width="2.42578125" style="447" customWidth="1"/>
    <col min="5894" max="5894" width="10.85546875" style="447" customWidth="1"/>
    <col min="5895" max="5895" width="2.42578125" style="447" customWidth="1"/>
    <col min="5896" max="5896" width="11.140625" style="447" customWidth="1"/>
    <col min="5897" max="5897" width="1.85546875" style="447" customWidth="1"/>
    <col min="5898" max="5898" width="11" style="447" customWidth="1"/>
    <col min="5899" max="5899" width="0.7109375" style="447" customWidth="1"/>
    <col min="5900" max="5900" width="1.85546875" style="447" customWidth="1"/>
    <col min="5901" max="5901" width="11.85546875" style="447" bestFit="1" customWidth="1"/>
    <col min="5902" max="5902" width="15.28515625" style="447" bestFit="1" customWidth="1"/>
    <col min="5903" max="5903" width="5" style="447" customWidth="1"/>
    <col min="5904" max="5904" width="10.42578125" style="447" bestFit="1" customWidth="1"/>
    <col min="5905" max="5905" width="5" style="447" customWidth="1"/>
    <col min="5906" max="5906" width="10.42578125" style="447" bestFit="1" customWidth="1"/>
    <col min="5907" max="5909" width="9" style="447"/>
    <col min="5910" max="5910" width="10.42578125" style="447" bestFit="1" customWidth="1"/>
    <col min="5911" max="6139" width="9" style="447"/>
    <col min="6140" max="6140" width="3.5703125" style="447" customWidth="1"/>
    <col min="6141" max="6141" width="4.85546875" style="447" customWidth="1"/>
    <col min="6142" max="6142" width="5.42578125" style="447" customWidth="1"/>
    <col min="6143" max="6143" width="31.28515625" style="447" customWidth="1"/>
    <col min="6144" max="6144" width="7.5703125" style="447" customWidth="1"/>
    <col min="6145" max="6145" width="2.42578125" style="447" customWidth="1"/>
    <col min="6146" max="6146" width="11.5703125" style="447" customWidth="1"/>
    <col min="6147" max="6147" width="2.42578125" style="447" customWidth="1"/>
    <col min="6148" max="6148" width="11.5703125" style="447" customWidth="1"/>
    <col min="6149" max="6149" width="2.42578125" style="447" customWidth="1"/>
    <col min="6150" max="6150" width="10.85546875" style="447" customWidth="1"/>
    <col min="6151" max="6151" width="2.42578125" style="447" customWidth="1"/>
    <col min="6152" max="6152" width="11.140625" style="447" customWidth="1"/>
    <col min="6153" max="6153" width="1.85546875" style="447" customWidth="1"/>
    <col min="6154" max="6154" width="11" style="447" customWidth="1"/>
    <col min="6155" max="6155" width="0.7109375" style="447" customWidth="1"/>
    <col min="6156" max="6156" width="1.85546875" style="447" customWidth="1"/>
    <col min="6157" max="6157" width="11.85546875" style="447" bestFit="1" customWidth="1"/>
    <col min="6158" max="6158" width="15.28515625" style="447" bestFit="1" customWidth="1"/>
    <col min="6159" max="6159" width="5" style="447" customWidth="1"/>
    <col min="6160" max="6160" width="10.42578125" style="447" bestFit="1" customWidth="1"/>
    <col min="6161" max="6161" width="5" style="447" customWidth="1"/>
    <col min="6162" max="6162" width="10.42578125" style="447" bestFit="1" customWidth="1"/>
    <col min="6163" max="6165" width="9" style="447"/>
    <col min="6166" max="6166" width="10.42578125" style="447" bestFit="1" customWidth="1"/>
    <col min="6167" max="6395" width="9" style="447"/>
    <col min="6396" max="6396" width="3.5703125" style="447" customWidth="1"/>
    <col min="6397" max="6397" width="4.85546875" style="447" customWidth="1"/>
    <col min="6398" max="6398" width="5.42578125" style="447" customWidth="1"/>
    <col min="6399" max="6399" width="31.28515625" style="447" customWidth="1"/>
    <col min="6400" max="6400" width="7.5703125" style="447" customWidth="1"/>
    <col min="6401" max="6401" width="2.42578125" style="447" customWidth="1"/>
    <col min="6402" max="6402" width="11.5703125" style="447" customWidth="1"/>
    <col min="6403" max="6403" width="2.42578125" style="447" customWidth="1"/>
    <col min="6404" max="6404" width="11.5703125" style="447" customWidth="1"/>
    <col min="6405" max="6405" width="2.42578125" style="447" customWidth="1"/>
    <col min="6406" max="6406" width="10.85546875" style="447" customWidth="1"/>
    <col min="6407" max="6407" width="2.42578125" style="447" customWidth="1"/>
    <col min="6408" max="6408" width="11.140625" style="447" customWidth="1"/>
    <col min="6409" max="6409" width="1.85546875" style="447" customWidth="1"/>
    <col min="6410" max="6410" width="11" style="447" customWidth="1"/>
    <col min="6411" max="6411" width="0.7109375" style="447" customWidth="1"/>
    <col min="6412" max="6412" width="1.85546875" style="447" customWidth="1"/>
    <col min="6413" max="6413" width="11.85546875" style="447" bestFit="1" customWidth="1"/>
    <col min="6414" max="6414" width="15.28515625" style="447" bestFit="1" customWidth="1"/>
    <col min="6415" max="6415" width="5" style="447" customWidth="1"/>
    <col min="6416" max="6416" width="10.42578125" style="447" bestFit="1" customWidth="1"/>
    <col min="6417" max="6417" width="5" style="447" customWidth="1"/>
    <col min="6418" max="6418" width="10.42578125" style="447" bestFit="1" customWidth="1"/>
    <col min="6419" max="6421" width="9" style="447"/>
    <col min="6422" max="6422" width="10.42578125" style="447" bestFit="1" customWidth="1"/>
    <col min="6423" max="6651" width="9" style="447"/>
    <col min="6652" max="6652" width="3.5703125" style="447" customWidth="1"/>
    <col min="6653" max="6653" width="4.85546875" style="447" customWidth="1"/>
    <col min="6654" max="6654" width="5.42578125" style="447" customWidth="1"/>
    <col min="6655" max="6655" width="31.28515625" style="447" customWidth="1"/>
    <col min="6656" max="6656" width="7.5703125" style="447" customWidth="1"/>
    <col min="6657" max="6657" width="2.42578125" style="447" customWidth="1"/>
    <col min="6658" max="6658" width="11.5703125" style="447" customWidth="1"/>
    <col min="6659" max="6659" width="2.42578125" style="447" customWidth="1"/>
    <col min="6660" max="6660" width="11.5703125" style="447" customWidth="1"/>
    <col min="6661" max="6661" width="2.42578125" style="447" customWidth="1"/>
    <col min="6662" max="6662" width="10.85546875" style="447" customWidth="1"/>
    <col min="6663" max="6663" width="2.42578125" style="447" customWidth="1"/>
    <col min="6664" max="6664" width="11.140625" style="447" customWidth="1"/>
    <col min="6665" max="6665" width="1.85546875" style="447" customWidth="1"/>
    <col min="6666" max="6666" width="11" style="447" customWidth="1"/>
    <col min="6667" max="6667" width="0.7109375" style="447" customWidth="1"/>
    <col min="6668" max="6668" width="1.85546875" style="447" customWidth="1"/>
    <col min="6669" max="6669" width="11.85546875" style="447" bestFit="1" customWidth="1"/>
    <col min="6670" max="6670" width="15.28515625" style="447" bestFit="1" customWidth="1"/>
    <col min="6671" max="6671" width="5" style="447" customWidth="1"/>
    <col min="6672" max="6672" width="10.42578125" style="447" bestFit="1" customWidth="1"/>
    <col min="6673" max="6673" width="5" style="447" customWidth="1"/>
    <col min="6674" max="6674" width="10.42578125" style="447" bestFit="1" customWidth="1"/>
    <col min="6675" max="6677" width="9" style="447"/>
    <col min="6678" max="6678" width="10.42578125" style="447" bestFit="1" customWidth="1"/>
    <col min="6679" max="6907" width="9" style="447"/>
    <col min="6908" max="6908" width="3.5703125" style="447" customWidth="1"/>
    <col min="6909" max="6909" width="4.85546875" style="447" customWidth="1"/>
    <col min="6910" max="6910" width="5.42578125" style="447" customWidth="1"/>
    <col min="6911" max="6911" width="31.28515625" style="447" customWidth="1"/>
    <col min="6912" max="6912" width="7.5703125" style="447" customWidth="1"/>
    <col min="6913" max="6913" width="2.42578125" style="447" customWidth="1"/>
    <col min="6914" max="6914" width="11.5703125" style="447" customWidth="1"/>
    <col min="6915" max="6915" width="2.42578125" style="447" customWidth="1"/>
    <col min="6916" max="6916" width="11.5703125" style="447" customWidth="1"/>
    <col min="6917" max="6917" width="2.42578125" style="447" customWidth="1"/>
    <col min="6918" max="6918" width="10.85546875" style="447" customWidth="1"/>
    <col min="6919" max="6919" width="2.42578125" style="447" customWidth="1"/>
    <col min="6920" max="6920" width="11.140625" style="447" customWidth="1"/>
    <col min="6921" max="6921" width="1.85546875" style="447" customWidth="1"/>
    <col min="6922" max="6922" width="11" style="447" customWidth="1"/>
    <col min="6923" max="6923" width="0.7109375" style="447" customWidth="1"/>
    <col min="6924" max="6924" width="1.85546875" style="447" customWidth="1"/>
    <col min="6925" max="6925" width="11.85546875" style="447" bestFit="1" customWidth="1"/>
    <col min="6926" max="6926" width="15.28515625" style="447" bestFit="1" customWidth="1"/>
    <col min="6927" max="6927" width="5" style="447" customWidth="1"/>
    <col min="6928" max="6928" width="10.42578125" style="447" bestFit="1" customWidth="1"/>
    <col min="6929" max="6929" width="5" style="447" customWidth="1"/>
    <col min="6930" max="6930" width="10.42578125" style="447" bestFit="1" customWidth="1"/>
    <col min="6931" max="6933" width="9" style="447"/>
    <col min="6934" max="6934" width="10.42578125" style="447" bestFit="1" customWidth="1"/>
    <col min="6935" max="7163" width="9" style="447"/>
    <col min="7164" max="7164" width="3.5703125" style="447" customWidth="1"/>
    <col min="7165" max="7165" width="4.85546875" style="447" customWidth="1"/>
    <col min="7166" max="7166" width="5.42578125" style="447" customWidth="1"/>
    <col min="7167" max="7167" width="31.28515625" style="447" customWidth="1"/>
    <col min="7168" max="7168" width="7.5703125" style="447" customWidth="1"/>
    <col min="7169" max="7169" width="2.42578125" style="447" customWidth="1"/>
    <col min="7170" max="7170" width="11.5703125" style="447" customWidth="1"/>
    <col min="7171" max="7171" width="2.42578125" style="447" customWidth="1"/>
    <col min="7172" max="7172" width="11.5703125" style="447" customWidth="1"/>
    <col min="7173" max="7173" width="2.42578125" style="447" customWidth="1"/>
    <col min="7174" max="7174" width="10.85546875" style="447" customWidth="1"/>
    <col min="7175" max="7175" width="2.42578125" style="447" customWidth="1"/>
    <col min="7176" max="7176" width="11.140625" style="447" customWidth="1"/>
    <col min="7177" max="7177" width="1.85546875" style="447" customWidth="1"/>
    <col min="7178" max="7178" width="11" style="447" customWidth="1"/>
    <col min="7179" max="7179" width="0.7109375" style="447" customWidth="1"/>
    <col min="7180" max="7180" width="1.85546875" style="447" customWidth="1"/>
    <col min="7181" max="7181" width="11.85546875" style="447" bestFit="1" customWidth="1"/>
    <col min="7182" max="7182" width="15.28515625" style="447" bestFit="1" customWidth="1"/>
    <col min="7183" max="7183" width="5" style="447" customWidth="1"/>
    <col min="7184" max="7184" width="10.42578125" style="447" bestFit="1" customWidth="1"/>
    <col min="7185" max="7185" width="5" style="447" customWidth="1"/>
    <col min="7186" max="7186" width="10.42578125" style="447" bestFit="1" customWidth="1"/>
    <col min="7187" max="7189" width="9" style="447"/>
    <col min="7190" max="7190" width="10.42578125" style="447" bestFit="1" customWidth="1"/>
    <col min="7191" max="7419" width="9" style="447"/>
    <col min="7420" max="7420" width="3.5703125" style="447" customWidth="1"/>
    <col min="7421" max="7421" width="4.85546875" style="447" customWidth="1"/>
    <col min="7422" max="7422" width="5.42578125" style="447" customWidth="1"/>
    <col min="7423" max="7423" width="31.28515625" style="447" customWidth="1"/>
    <col min="7424" max="7424" width="7.5703125" style="447" customWidth="1"/>
    <col min="7425" max="7425" width="2.42578125" style="447" customWidth="1"/>
    <col min="7426" max="7426" width="11.5703125" style="447" customWidth="1"/>
    <col min="7427" max="7427" width="2.42578125" style="447" customWidth="1"/>
    <col min="7428" max="7428" width="11.5703125" style="447" customWidth="1"/>
    <col min="7429" max="7429" width="2.42578125" style="447" customWidth="1"/>
    <col min="7430" max="7430" width="10.85546875" style="447" customWidth="1"/>
    <col min="7431" max="7431" width="2.42578125" style="447" customWidth="1"/>
    <col min="7432" max="7432" width="11.140625" style="447" customWidth="1"/>
    <col min="7433" max="7433" width="1.85546875" style="447" customWidth="1"/>
    <col min="7434" max="7434" width="11" style="447" customWidth="1"/>
    <col min="7435" max="7435" width="0.7109375" style="447" customWidth="1"/>
    <col min="7436" max="7436" width="1.85546875" style="447" customWidth="1"/>
    <col min="7437" max="7437" width="11.85546875" style="447" bestFit="1" customWidth="1"/>
    <col min="7438" max="7438" width="15.28515625" style="447" bestFit="1" customWidth="1"/>
    <col min="7439" max="7439" width="5" style="447" customWidth="1"/>
    <col min="7440" max="7440" width="10.42578125" style="447" bestFit="1" customWidth="1"/>
    <col min="7441" max="7441" width="5" style="447" customWidth="1"/>
    <col min="7442" max="7442" width="10.42578125" style="447" bestFit="1" customWidth="1"/>
    <col min="7443" max="7445" width="9" style="447"/>
    <col min="7446" max="7446" width="10.42578125" style="447" bestFit="1" customWidth="1"/>
    <col min="7447" max="7675" width="9" style="447"/>
    <col min="7676" max="7676" width="3.5703125" style="447" customWidth="1"/>
    <col min="7677" max="7677" width="4.85546875" style="447" customWidth="1"/>
    <col min="7678" max="7678" width="5.42578125" style="447" customWidth="1"/>
    <col min="7679" max="7679" width="31.28515625" style="447" customWidth="1"/>
    <col min="7680" max="7680" width="7.5703125" style="447" customWidth="1"/>
    <col min="7681" max="7681" width="2.42578125" style="447" customWidth="1"/>
    <col min="7682" max="7682" width="11.5703125" style="447" customWidth="1"/>
    <col min="7683" max="7683" width="2.42578125" style="447" customWidth="1"/>
    <col min="7684" max="7684" width="11.5703125" style="447" customWidth="1"/>
    <col min="7685" max="7685" width="2.42578125" style="447" customWidth="1"/>
    <col min="7686" max="7686" width="10.85546875" style="447" customWidth="1"/>
    <col min="7687" max="7687" width="2.42578125" style="447" customWidth="1"/>
    <col min="7688" max="7688" width="11.140625" style="447" customWidth="1"/>
    <col min="7689" max="7689" width="1.85546875" style="447" customWidth="1"/>
    <col min="7690" max="7690" width="11" style="447" customWidth="1"/>
    <col min="7691" max="7691" width="0.7109375" style="447" customWidth="1"/>
    <col min="7692" max="7692" width="1.85546875" style="447" customWidth="1"/>
    <col min="7693" max="7693" width="11.85546875" style="447" bestFit="1" customWidth="1"/>
    <col min="7694" max="7694" width="15.28515625" style="447" bestFit="1" customWidth="1"/>
    <col min="7695" max="7695" width="5" style="447" customWidth="1"/>
    <col min="7696" max="7696" width="10.42578125" style="447" bestFit="1" customWidth="1"/>
    <col min="7697" max="7697" width="5" style="447" customWidth="1"/>
    <col min="7698" max="7698" width="10.42578125" style="447" bestFit="1" customWidth="1"/>
    <col min="7699" max="7701" width="9" style="447"/>
    <col min="7702" max="7702" width="10.42578125" style="447" bestFit="1" customWidth="1"/>
    <col min="7703" max="7931" width="9" style="447"/>
    <col min="7932" max="7932" width="3.5703125" style="447" customWidth="1"/>
    <col min="7933" max="7933" width="4.85546875" style="447" customWidth="1"/>
    <col min="7934" max="7934" width="5.42578125" style="447" customWidth="1"/>
    <col min="7935" max="7935" width="31.28515625" style="447" customWidth="1"/>
    <col min="7936" max="7936" width="7.5703125" style="447" customWidth="1"/>
    <col min="7937" max="7937" width="2.42578125" style="447" customWidth="1"/>
    <col min="7938" max="7938" width="11.5703125" style="447" customWidth="1"/>
    <col min="7939" max="7939" width="2.42578125" style="447" customWidth="1"/>
    <col min="7940" max="7940" width="11.5703125" style="447" customWidth="1"/>
    <col min="7941" max="7941" width="2.42578125" style="447" customWidth="1"/>
    <col min="7942" max="7942" width="10.85546875" style="447" customWidth="1"/>
    <col min="7943" max="7943" width="2.42578125" style="447" customWidth="1"/>
    <col min="7944" max="7944" width="11.140625" style="447" customWidth="1"/>
    <col min="7945" max="7945" width="1.85546875" style="447" customWidth="1"/>
    <col min="7946" max="7946" width="11" style="447" customWidth="1"/>
    <col min="7947" max="7947" width="0.7109375" style="447" customWidth="1"/>
    <col min="7948" max="7948" width="1.85546875" style="447" customWidth="1"/>
    <col min="7949" max="7949" width="11.85546875" style="447" bestFit="1" customWidth="1"/>
    <col min="7950" max="7950" width="15.28515625" style="447" bestFit="1" customWidth="1"/>
    <col min="7951" max="7951" width="5" style="447" customWidth="1"/>
    <col min="7952" max="7952" width="10.42578125" style="447" bestFit="1" customWidth="1"/>
    <col min="7953" max="7953" width="5" style="447" customWidth="1"/>
    <col min="7954" max="7954" width="10.42578125" style="447" bestFit="1" customWidth="1"/>
    <col min="7955" max="7957" width="9" style="447"/>
    <col min="7958" max="7958" width="10.42578125" style="447" bestFit="1" customWidth="1"/>
    <col min="7959" max="8187" width="9" style="447"/>
    <col min="8188" max="8188" width="3.5703125" style="447" customWidth="1"/>
    <col min="8189" max="8189" width="4.85546875" style="447" customWidth="1"/>
    <col min="8190" max="8190" width="5.42578125" style="447" customWidth="1"/>
    <col min="8191" max="8191" width="31.28515625" style="447" customWidth="1"/>
    <col min="8192" max="8192" width="7.5703125" style="447" customWidth="1"/>
    <col min="8193" max="8193" width="2.42578125" style="447" customWidth="1"/>
    <col min="8194" max="8194" width="11.5703125" style="447" customWidth="1"/>
    <col min="8195" max="8195" width="2.42578125" style="447" customWidth="1"/>
    <col min="8196" max="8196" width="11.5703125" style="447" customWidth="1"/>
    <col min="8197" max="8197" width="2.42578125" style="447" customWidth="1"/>
    <col min="8198" max="8198" width="10.85546875" style="447" customWidth="1"/>
    <col min="8199" max="8199" width="2.42578125" style="447" customWidth="1"/>
    <col min="8200" max="8200" width="11.140625" style="447" customWidth="1"/>
    <col min="8201" max="8201" width="1.85546875" style="447" customWidth="1"/>
    <col min="8202" max="8202" width="11" style="447" customWidth="1"/>
    <col min="8203" max="8203" width="0.7109375" style="447" customWidth="1"/>
    <col min="8204" max="8204" width="1.85546875" style="447" customWidth="1"/>
    <col min="8205" max="8205" width="11.85546875" style="447" bestFit="1" customWidth="1"/>
    <col min="8206" max="8206" width="15.28515625" style="447" bestFit="1" customWidth="1"/>
    <col min="8207" max="8207" width="5" style="447" customWidth="1"/>
    <col min="8208" max="8208" width="10.42578125" style="447" bestFit="1" customWidth="1"/>
    <col min="8209" max="8209" width="5" style="447" customWidth="1"/>
    <col min="8210" max="8210" width="10.42578125" style="447" bestFit="1" customWidth="1"/>
    <col min="8211" max="8213" width="9" style="447"/>
    <col min="8214" max="8214" width="10.42578125" style="447" bestFit="1" customWidth="1"/>
    <col min="8215" max="8443" width="9" style="447"/>
    <col min="8444" max="8444" width="3.5703125" style="447" customWidth="1"/>
    <col min="8445" max="8445" width="4.85546875" style="447" customWidth="1"/>
    <col min="8446" max="8446" width="5.42578125" style="447" customWidth="1"/>
    <col min="8447" max="8447" width="31.28515625" style="447" customWidth="1"/>
    <col min="8448" max="8448" width="7.5703125" style="447" customWidth="1"/>
    <col min="8449" max="8449" width="2.42578125" style="447" customWidth="1"/>
    <col min="8450" max="8450" width="11.5703125" style="447" customWidth="1"/>
    <col min="8451" max="8451" width="2.42578125" style="447" customWidth="1"/>
    <col min="8452" max="8452" width="11.5703125" style="447" customWidth="1"/>
    <col min="8453" max="8453" width="2.42578125" style="447" customWidth="1"/>
    <col min="8454" max="8454" width="10.85546875" style="447" customWidth="1"/>
    <col min="8455" max="8455" width="2.42578125" style="447" customWidth="1"/>
    <col min="8456" max="8456" width="11.140625" style="447" customWidth="1"/>
    <col min="8457" max="8457" width="1.85546875" style="447" customWidth="1"/>
    <col min="8458" max="8458" width="11" style="447" customWidth="1"/>
    <col min="8459" max="8459" width="0.7109375" style="447" customWidth="1"/>
    <col min="8460" max="8460" width="1.85546875" style="447" customWidth="1"/>
    <col min="8461" max="8461" width="11.85546875" style="447" bestFit="1" customWidth="1"/>
    <col min="8462" max="8462" width="15.28515625" style="447" bestFit="1" customWidth="1"/>
    <col min="8463" max="8463" width="5" style="447" customWidth="1"/>
    <col min="8464" max="8464" width="10.42578125" style="447" bestFit="1" customWidth="1"/>
    <col min="8465" max="8465" width="5" style="447" customWidth="1"/>
    <col min="8466" max="8466" width="10.42578125" style="447" bestFit="1" customWidth="1"/>
    <col min="8467" max="8469" width="9" style="447"/>
    <col min="8470" max="8470" width="10.42578125" style="447" bestFit="1" customWidth="1"/>
    <col min="8471" max="8699" width="9" style="447"/>
    <col min="8700" max="8700" width="3.5703125" style="447" customWidth="1"/>
    <col min="8701" max="8701" width="4.85546875" style="447" customWidth="1"/>
    <col min="8702" max="8702" width="5.42578125" style="447" customWidth="1"/>
    <col min="8703" max="8703" width="31.28515625" style="447" customWidth="1"/>
    <col min="8704" max="8704" width="7.5703125" style="447" customWidth="1"/>
    <col min="8705" max="8705" width="2.42578125" style="447" customWidth="1"/>
    <col min="8706" max="8706" width="11.5703125" style="447" customWidth="1"/>
    <col min="8707" max="8707" width="2.42578125" style="447" customWidth="1"/>
    <col min="8708" max="8708" width="11.5703125" style="447" customWidth="1"/>
    <col min="8709" max="8709" width="2.42578125" style="447" customWidth="1"/>
    <col min="8710" max="8710" width="10.85546875" style="447" customWidth="1"/>
    <col min="8711" max="8711" width="2.42578125" style="447" customWidth="1"/>
    <col min="8712" max="8712" width="11.140625" style="447" customWidth="1"/>
    <col min="8713" max="8713" width="1.85546875" style="447" customWidth="1"/>
    <col min="8714" max="8714" width="11" style="447" customWidth="1"/>
    <col min="8715" max="8715" width="0.7109375" style="447" customWidth="1"/>
    <col min="8716" max="8716" width="1.85546875" style="447" customWidth="1"/>
    <col min="8717" max="8717" width="11.85546875" style="447" bestFit="1" customWidth="1"/>
    <col min="8718" max="8718" width="15.28515625" style="447" bestFit="1" customWidth="1"/>
    <col min="8719" max="8719" width="5" style="447" customWidth="1"/>
    <col min="8720" max="8720" width="10.42578125" style="447" bestFit="1" customWidth="1"/>
    <col min="8721" max="8721" width="5" style="447" customWidth="1"/>
    <col min="8722" max="8722" width="10.42578125" style="447" bestFit="1" customWidth="1"/>
    <col min="8723" max="8725" width="9" style="447"/>
    <col min="8726" max="8726" width="10.42578125" style="447" bestFit="1" customWidth="1"/>
    <col min="8727" max="8955" width="9" style="447"/>
    <col min="8956" max="8956" width="3.5703125" style="447" customWidth="1"/>
    <col min="8957" max="8957" width="4.85546875" style="447" customWidth="1"/>
    <col min="8958" max="8958" width="5.42578125" style="447" customWidth="1"/>
    <col min="8959" max="8959" width="31.28515625" style="447" customWidth="1"/>
    <col min="8960" max="8960" width="7.5703125" style="447" customWidth="1"/>
    <col min="8961" max="8961" width="2.42578125" style="447" customWidth="1"/>
    <col min="8962" max="8962" width="11.5703125" style="447" customWidth="1"/>
    <col min="8963" max="8963" width="2.42578125" style="447" customWidth="1"/>
    <col min="8964" max="8964" width="11.5703125" style="447" customWidth="1"/>
    <col min="8965" max="8965" width="2.42578125" style="447" customWidth="1"/>
    <col min="8966" max="8966" width="10.85546875" style="447" customWidth="1"/>
    <col min="8967" max="8967" width="2.42578125" style="447" customWidth="1"/>
    <col min="8968" max="8968" width="11.140625" style="447" customWidth="1"/>
    <col min="8969" max="8969" width="1.85546875" style="447" customWidth="1"/>
    <col min="8970" max="8970" width="11" style="447" customWidth="1"/>
    <col min="8971" max="8971" width="0.7109375" style="447" customWidth="1"/>
    <col min="8972" max="8972" width="1.85546875" style="447" customWidth="1"/>
    <col min="8973" max="8973" width="11.85546875" style="447" bestFit="1" customWidth="1"/>
    <col min="8974" max="8974" width="15.28515625" style="447" bestFit="1" customWidth="1"/>
    <col min="8975" max="8975" width="5" style="447" customWidth="1"/>
    <col min="8976" max="8976" width="10.42578125" style="447" bestFit="1" customWidth="1"/>
    <col min="8977" max="8977" width="5" style="447" customWidth="1"/>
    <col min="8978" max="8978" width="10.42578125" style="447" bestFit="1" customWidth="1"/>
    <col min="8979" max="8981" width="9" style="447"/>
    <col min="8982" max="8982" width="10.42578125" style="447" bestFit="1" customWidth="1"/>
    <col min="8983" max="9211" width="9" style="447"/>
    <col min="9212" max="9212" width="3.5703125" style="447" customWidth="1"/>
    <col min="9213" max="9213" width="4.85546875" style="447" customWidth="1"/>
    <col min="9214" max="9214" width="5.42578125" style="447" customWidth="1"/>
    <col min="9215" max="9215" width="31.28515625" style="447" customWidth="1"/>
    <col min="9216" max="9216" width="7.5703125" style="447" customWidth="1"/>
    <col min="9217" max="9217" width="2.42578125" style="447" customWidth="1"/>
    <col min="9218" max="9218" width="11.5703125" style="447" customWidth="1"/>
    <col min="9219" max="9219" width="2.42578125" style="447" customWidth="1"/>
    <col min="9220" max="9220" width="11.5703125" style="447" customWidth="1"/>
    <col min="9221" max="9221" width="2.42578125" style="447" customWidth="1"/>
    <col min="9222" max="9222" width="10.85546875" style="447" customWidth="1"/>
    <col min="9223" max="9223" width="2.42578125" style="447" customWidth="1"/>
    <col min="9224" max="9224" width="11.140625" style="447" customWidth="1"/>
    <col min="9225" max="9225" width="1.85546875" style="447" customWidth="1"/>
    <col min="9226" max="9226" width="11" style="447" customWidth="1"/>
    <col min="9227" max="9227" width="0.7109375" style="447" customWidth="1"/>
    <col min="9228" max="9228" width="1.85546875" style="447" customWidth="1"/>
    <col min="9229" max="9229" width="11.85546875" style="447" bestFit="1" customWidth="1"/>
    <col min="9230" max="9230" width="15.28515625" style="447" bestFit="1" customWidth="1"/>
    <col min="9231" max="9231" width="5" style="447" customWidth="1"/>
    <col min="9232" max="9232" width="10.42578125" style="447" bestFit="1" customWidth="1"/>
    <col min="9233" max="9233" width="5" style="447" customWidth="1"/>
    <col min="9234" max="9234" width="10.42578125" style="447" bestFit="1" customWidth="1"/>
    <col min="9235" max="9237" width="9" style="447"/>
    <col min="9238" max="9238" width="10.42578125" style="447" bestFit="1" customWidth="1"/>
    <col min="9239" max="9467" width="9" style="447"/>
    <col min="9468" max="9468" width="3.5703125" style="447" customWidth="1"/>
    <col min="9469" max="9469" width="4.85546875" style="447" customWidth="1"/>
    <col min="9470" max="9470" width="5.42578125" style="447" customWidth="1"/>
    <col min="9471" max="9471" width="31.28515625" style="447" customWidth="1"/>
    <col min="9472" max="9472" width="7.5703125" style="447" customWidth="1"/>
    <col min="9473" max="9473" width="2.42578125" style="447" customWidth="1"/>
    <col min="9474" max="9474" width="11.5703125" style="447" customWidth="1"/>
    <col min="9475" max="9475" width="2.42578125" style="447" customWidth="1"/>
    <col min="9476" max="9476" width="11.5703125" style="447" customWidth="1"/>
    <col min="9477" max="9477" width="2.42578125" style="447" customWidth="1"/>
    <col min="9478" max="9478" width="10.85546875" style="447" customWidth="1"/>
    <col min="9479" max="9479" width="2.42578125" style="447" customWidth="1"/>
    <col min="9480" max="9480" width="11.140625" style="447" customWidth="1"/>
    <col min="9481" max="9481" width="1.85546875" style="447" customWidth="1"/>
    <col min="9482" max="9482" width="11" style="447" customWidth="1"/>
    <col min="9483" max="9483" width="0.7109375" style="447" customWidth="1"/>
    <col min="9484" max="9484" width="1.85546875" style="447" customWidth="1"/>
    <col min="9485" max="9485" width="11.85546875" style="447" bestFit="1" customWidth="1"/>
    <col min="9486" max="9486" width="15.28515625" style="447" bestFit="1" customWidth="1"/>
    <col min="9487" max="9487" width="5" style="447" customWidth="1"/>
    <col min="9488" max="9488" width="10.42578125" style="447" bestFit="1" customWidth="1"/>
    <col min="9489" max="9489" width="5" style="447" customWidth="1"/>
    <col min="9490" max="9490" width="10.42578125" style="447" bestFit="1" customWidth="1"/>
    <col min="9491" max="9493" width="9" style="447"/>
    <col min="9494" max="9494" width="10.42578125" style="447" bestFit="1" customWidth="1"/>
    <col min="9495" max="9723" width="9" style="447"/>
    <col min="9724" max="9724" width="3.5703125" style="447" customWidth="1"/>
    <col min="9725" max="9725" width="4.85546875" style="447" customWidth="1"/>
    <col min="9726" max="9726" width="5.42578125" style="447" customWidth="1"/>
    <col min="9727" max="9727" width="31.28515625" style="447" customWidth="1"/>
    <col min="9728" max="9728" width="7.5703125" style="447" customWidth="1"/>
    <col min="9729" max="9729" width="2.42578125" style="447" customWidth="1"/>
    <col min="9730" max="9730" width="11.5703125" style="447" customWidth="1"/>
    <col min="9731" max="9731" width="2.42578125" style="447" customWidth="1"/>
    <col min="9732" max="9732" width="11.5703125" style="447" customWidth="1"/>
    <col min="9733" max="9733" width="2.42578125" style="447" customWidth="1"/>
    <col min="9734" max="9734" width="10.85546875" style="447" customWidth="1"/>
    <col min="9735" max="9735" width="2.42578125" style="447" customWidth="1"/>
    <col min="9736" max="9736" width="11.140625" style="447" customWidth="1"/>
    <col min="9737" max="9737" width="1.85546875" style="447" customWidth="1"/>
    <col min="9738" max="9738" width="11" style="447" customWidth="1"/>
    <col min="9739" max="9739" width="0.7109375" style="447" customWidth="1"/>
    <col min="9740" max="9740" width="1.85546875" style="447" customWidth="1"/>
    <col min="9741" max="9741" width="11.85546875" style="447" bestFit="1" customWidth="1"/>
    <col min="9742" max="9742" width="15.28515625" style="447" bestFit="1" customWidth="1"/>
    <col min="9743" max="9743" width="5" style="447" customWidth="1"/>
    <col min="9744" max="9744" width="10.42578125" style="447" bestFit="1" customWidth="1"/>
    <col min="9745" max="9745" width="5" style="447" customWidth="1"/>
    <col min="9746" max="9746" width="10.42578125" style="447" bestFit="1" customWidth="1"/>
    <col min="9747" max="9749" width="9" style="447"/>
    <col min="9750" max="9750" width="10.42578125" style="447" bestFit="1" customWidth="1"/>
    <col min="9751" max="9979" width="9" style="447"/>
    <col min="9980" max="9980" width="3.5703125" style="447" customWidth="1"/>
    <col min="9981" max="9981" width="4.85546875" style="447" customWidth="1"/>
    <col min="9982" max="9982" width="5.42578125" style="447" customWidth="1"/>
    <col min="9983" max="9983" width="31.28515625" style="447" customWidth="1"/>
    <col min="9984" max="9984" width="7.5703125" style="447" customWidth="1"/>
    <col min="9985" max="9985" width="2.42578125" style="447" customWidth="1"/>
    <col min="9986" max="9986" width="11.5703125" style="447" customWidth="1"/>
    <col min="9987" max="9987" width="2.42578125" style="447" customWidth="1"/>
    <col min="9988" max="9988" width="11.5703125" style="447" customWidth="1"/>
    <col min="9989" max="9989" width="2.42578125" style="447" customWidth="1"/>
    <col min="9990" max="9990" width="10.85546875" style="447" customWidth="1"/>
    <col min="9991" max="9991" width="2.42578125" style="447" customWidth="1"/>
    <col min="9992" max="9992" width="11.140625" style="447" customWidth="1"/>
    <col min="9993" max="9993" width="1.85546875" style="447" customWidth="1"/>
    <col min="9994" max="9994" width="11" style="447" customWidth="1"/>
    <col min="9995" max="9995" width="0.7109375" style="447" customWidth="1"/>
    <col min="9996" max="9996" width="1.85546875" style="447" customWidth="1"/>
    <col min="9997" max="9997" width="11.85546875" style="447" bestFit="1" customWidth="1"/>
    <col min="9998" max="9998" width="15.28515625" style="447" bestFit="1" customWidth="1"/>
    <col min="9999" max="9999" width="5" style="447" customWidth="1"/>
    <col min="10000" max="10000" width="10.42578125" style="447" bestFit="1" customWidth="1"/>
    <col min="10001" max="10001" width="5" style="447" customWidth="1"/>
    <col min="10002" max="10002" width="10.42578125" style="447" bestFit="1" customWidth="1"/>
    <col min="10003" max="10005" width="9" style="447"/>
    <col min="10006" max="10006" width="10.42578125" style="447" bestFit="1" customWidth="1"/>
    <col min="10007" max="10235" width="9" style="447"/>
    <col min="10236" max="10236" width="3.5703125" style="447" customWidth="1"/>
    <col min="10237" max="10237" width="4.85546875" style="447" customWidth="1"/>
    <col min="10238" max="10238" width="5.42578125" style="447" customWidth="1"/>
    <col min="10239" max="10239" width="31.28515625" style="447" customWidth="1"/>
    <col min="10240" max="10240" width="7.5703125" style="447" customWidth="1"/>
    <col min="10241" max="10241" width="2.42578125" style="447" customWidth="1"/>
    <col min="10242" max="10242" width="11.5703125" style="447" customWidth="1"/>
    <col min="10243" max="10243" width="2.42578125" style="447" customWidth="1"/>
    <col min="10244" max="10244" width="11.5703125" style="447" customWidth="1"/>
    <col min="10245" max="10245" width="2.42578125" style="447" customWidth="1"/>
    <col min="10246" max="10246" width="10.85546875" style="447" customWidth="1"/>
    <col min="10247" max="10247" width="2.42578125" style="447" customWidth="1"/>
    <col min="10248" max="10248" width="11.140625" style="447" customWidth="1"/>
    <col min="10249" max="10249" width="1.85546875" style="447" customWidth="1"/>
    <col min="10250" max="10250" width="11" style="447" customWidth="1"/>
    <col min="10251" max="10251" width="0.7109375" style="447" customWidth="1"/>
    <col min="10252" max="10252" width="1.85546875" style="447" customWidth="1"/>
    <col min="10253" max="10253" width="11.85546875" style="447" bestFit="1" customWidth="1"/>
    <col min="10254" max="10254" width="15.28515625" style="447" bestFit="1" customWidth="1"/>
    <col min="10255" max="10255" width="5" style="447" customWidth="1"/>
    <col min="10256" max="10256" width="10.42578125" style="447" bestFit="1" customWidth="1"/>
    <col min="10257" max="10257" width="5" style="447" customWidth="1"/>
    <col min="10258" max="10258" width="10.42578125" style="447" bestFit="1" customWidth="1"/>
    <col min="10259" max="10261" width="9" style="447"/>
    <col min="10262" max="10262" width="10.42578125" style="447" bestFit="1" customWidth="1"/>
    <col min="10263" max="10491" width="9" style="447"/>
    <col min="10492" max="10492" width="3.5703125" style="447" customWidth="1"/>
    <col min="10493" max="10493" width="4.85546875" style="447" customWidth="1"/>
    <col min="10494" max="10494" width="5.42578125" style="447" customWidth="1"/>
    <col min="10495" max="10495" width="31.28515625" style="447" customWidth="1"/>
    <col min="10496" max="10496" width="7.5703125" style="447" customWidth="1"/>
    <col min="10497" max="10497" width="2.42578125" style="447" customWidth="1"/>
    <col min="10498" max="10498" width="11.5703125" style="447" customWidth="1"/>
    <col min="10499" max="10499" width="2.42578125" style="447" customWidth="1"/>
    <col min="10500" max="10500" width="11.5703125" style="447" customWidth="1"/>
    <col min="10501" max="10501" width="2.42578125" style="447" customWidth="1"/>
    <col min="10502" max="10502" width="10.85546875" style="447" customWidth="1"/>
    <col min="10503" max="10503" width="2.42578125" style="447" customWidth="1"/>
    <col min="10504" max="10504" width="11.140625" style="447" customWidth="1"/>
    <col min="10505" max="10505" width="1.85546875" style="447" customWidth="1"/>
    <col min="10506" max="10506" width="11" style="447" customWidth="1"/>
    <col min="10507" max="10507" width="0.7109375" style="447" customWidth="1"/>
    <col min="10508" max="10508" width="1.85546875" style="447" customWidth="1"/>
    <col min="10509" max="10509" width="11.85546875" style="447" bestFit="1" customWidth="1"/>
    <col min="10510" max="10510" width="15.28515625" style="447" bestFit="1" customWidth="1"/>
    <col min="10511" max="10511" width="5" style="447" customWidth="1"/>
    <col min="10512" max="10512" width="10.42578125" style="447" bestFit="1" customWidth="1"/>
    <col min="10513" max="10513" width="5" style="447" customWidth="1"/>
    <col min="10514" max="10514" width="10.42578125" style="447" bestFit="1" customWidth="1"/>
    <col min="10515" max="10517" width="9" style="447"/>
    <col min="10518" max="10518" width="10.42578125" style="447" bestFit="1" customWidth="1"/>
    <col min="10519" max="10747" width="9" style="447"/>
    <col min="10748" max="10748" width="3.5703125" style="447" customWidth="1"/>
    <col min="10749" max="10749" width="4.85546875" style="447" customWidth="1"/>
    <col min="10750" max="10750" width="5.42578125" style="447" customWidth="1"/>
    <col min="10751" max="10751" width="31.28515625" style="447" customWidth="1"/>
    <col min="10752" max="10752" width="7.5703125" style="447" customWidth="1"/>
    <col min="10753" max="10753" width="2.42578125" style="447" customWidth="1"/>
    <col min="10754" max="10754" width="11.5703125" style="447" customWidth="1"/>
    <col min="10755" max="10755" width="2.42578125" style="447" customWidth="1"/>
    <col min="10756" max="10756" width="11.5703125" style="447" customWidth="1"/>
    <col min="10757" max="10757" width="2.42578125" style="447" customWidth="1"/>
    <col min="10758" max="10758" width="10.85546875" style="447" customWidth="1"/>
    <col min="10759" max="10759" width="2.42578125" style="447" customWidth="1"/>
    <col min="10760" max="10760" width="11.140625" style="447" customWidth="1"/>
    <col min="10761" max="10761" width="1.85546875" style="447" customWidth="1"/>
    <col min="10762" max="10762" width="11" style="447" customWidth="1"/>
    <col min="10763" max="10763" width="0.7109375" style="447" customWidth="1"/>
    <col min="10764" max="10764" width="1.85546875" style="447" customWidth="1"/>
    <col min="10765" max="10765" width="11.85546875" style="447" bestFit="1" customWidth="1"/>
    <col min="10766" max="10766" width="15.28515625" style="447" bestFit="1" customWidth="1"/>
    <col min="10767" max="10767" width="5" style="447" customWidth="1"/>
    <col min="10768" max="10768" width="10.42578125" style="447" bestFit="1" customWidth="1"/>
    <col min="10769" max="10769" width="5" style="447" customWidth="1"/>
    <col min="10770" max="10770" width="10.42578125" style="447" bestFit="1" customWidth="1"/>
    <col min="10771" max="10773" width="9" style="447"/>
    <col min="10774" max="10774" width="10.42578125" style="447" bestFit="1" customWidth="1"/>
    <col min="10775" max="11003" width="9" style="447"/>
    <col min="11004" max="11004" width="3.5703125" style="447" customWidth="1"/>
    <col min="11005" max="11005" width="4.85546875" style="447" customWidth="1"/>
    <col min="11006" max="11006" width="5.42578125" style="447" customWidth="1"/>
    <col min="11007" max="11007" width="31.28515625" style="447" customWidth="1"/>
    <col min="11008" max="11008" width="7.5703125" style="447" customWidth="1"/>
    <col min="11009" max="11009" width="2.42578125" style="447" customWidth="1"/>
    <col min="11010" max="11010" width="11.5703125" style="447" customWidth="1"/>
    <col min="11011" max="11011" width="2.42578125" style="447" customWidth="1"/>
    <col min="11012" max="11012" width="11.5703125" style="447" customWidth="1"/>
    <col min="11013" max="11013" width="2.42578125" style="447" customWidth="1"/>
    <col min="11014" max="11014" width="10.85546875" style="447" customWidth="1"/>
    <col min="11015" max="11015" width="2.42578125" style="447" customWidth="1"/>
    <col min="11016" max="11016" width="11.140625" style="447" customWidth="1"/>
    <col min="11017" max="11017" width="1.85546875" style="447" customWidth="1"/>
    <col min="11018" max="11018" width="11" style="447" customWidth="1"/>
    <col min="11019" max="11019" width="0.7109375" style="447" customWidth="1"/>
    <col min="11020" max="11020" width="1.85546875" style="447" customWidth="1"/>
    <col min="11021" max="11021" width="11.85546875" style="447" bestFit="1" customWidth="1"/>
    <col min="11022" max="11022" width="15.28515625" style="447" bestFit="1" customWidth="1"/>
    <col min="11023" max="11023" width="5" style="447" customWidth="1"/>
    <col min="11024" max="11024" width="10.42578125" style="447" bestFit="1" customWidth="1"/>
    <col min="11025" max="11025" width="5" style="447" customWidth="1"/>
    <col min="11026" max="11026" width="10.42578125" style="447" bestFit="1" customWidth="1"/>
    <col min="11027" max="11029" width="9" style="447"/>
    <col min="11030" max="11030" width="10.42578125" style="447" bestFit="1" customWidth="1"/>
    <col min="11031" max="11259" width="9" style="447"/>
    <col min="11260" max="11260" width="3.5703125" style="447" customWidth="1"/>
    <col min="11261" max="11261" width="4.85546875" style="447" customWidth="1"/>
    <col min="11262" max="11262" width="5.42578125" style="447" customWidth="1"/>
    <col min="11263" max="11263" width="31.28515625" style="447" customWidth="1"/>
    <col min="11264" max="11264" width="7.5703125" style="447" customWidth="1"/>
    <col min="11265" max="11265" width="2.42578125" style="447" customWidth="1"/>
    <col min="11266" max="11266" width="11.5703125" style="447" customWidth="1"/>
    <col min="11267" max="11267" width="2.42578125" style="447" customWidth="1"/>
    <col min="11268" max="11268" width="11.5703125" style="447" customWidth="1"/>
    <col min="11269" max="11269" width="2.42578125" style="447" customWidth="1"/>
    <col min="11270" max="11270" width="10.85546875" style="447" customWidth="1"/>
    <col min="11271" max="11271" width="2.42578125" style="447" customWidth="1"/>
    <col min="11272" max="11272" width="11.140625" style="447" customWidth="1"/>
    <col min="11273" max="11273" width="1.85546875" style="447" customWidth="1"/>
    <col min="11274" max="11274" width="11" style="447" customWidth="1"/>
    <col min="11275" max="11275" width="0.7109375" style="447" customWidth="1"/>
    <col min="11276" max="11276" width="1.85546875" style="447" customWidth="1"/>
    <col min="11277" max="11277" width="11.85546875" style="447" bestFit="1" customWidth="1"/>
    <col min="11278" max="11278" width="15.28515625" style="447" bestFit="1" customWidth="1"/>
    <col min="11279" max="11279" width="5" style="447" customWidth="1"/>
    <col min="11280" max="11280" width="10.42578125" style="447" bestFit="1" customWidth="1"/>
    <col min="11281" max="11281" width="5" style="447" customWidth="1"/>
    <col min="11282" max="11282" width="10.42578125" style="447" bestFit="1" customWidth="1"/>
    <col min="11283" max="11285" width="9" style="447"/>
    <col min="11286" max="11286" width="10.42578125" style="447" bestFit="1" customWidth="1"/>
    <col min="11287" max="11515" width="9" style="447"/>
    <col min="11516" max="11516" width="3.5703125" style="447" customWidth="1"/>
    <col min="11517" max="11517" width="4.85546875" style="447" customWidth="1"/>
    <col min="11518" max="11518" width="5.42578125" style="447" customWidth="1"/>
    <col min="11519" max="11519" width="31.28515625" style="447" customWidth="1"/>
    <col min="11520" max="11520" width="7.5703125" style="447" customWidth="1"/>
    <col min="11521" max="11521" width="2.42578125" style="447" customWidth="1"/>
    <col min="11522" max="11522" width="11.5703125" style="447" customWidth="1"/>
    <col min="11523" max="11523" width="2.42578125" style="447" customWidth="1"/>
    <col min="11524" max="11524" width="11.5703125" style="447" customWidth="1"/>
    <col min="11525" max="11525" width="2.42578125" style="447" customWidth="1"/>
    <col min="11526" max="11526" width="10.85546875" style="447" customWidth="1"/>
    <col min="11527" max="11527" width="2.42578125" style="447" customWidth="1"/>
    <col min="11528" max="11528" width="11.140625" style="447" customWidth="1"/>
    <col min="11529" max="11529" width="1.85546875" style="447" customWidth="1"/>
    <col min="11530" max="11530" width="11" style="447" customWidth="1"/>
    <col min="11531" max="11531" width="0.7109375" style="447" customWidth="1"/>
    <col min="11532" max="11532" width="1.85546875" style="447" customWidth="1"/>
    <col min="11533" max="11533" width="11.85546875" style="447" bestFit="1" customWidth="1"/>
    <col min="11534" max="11534" width="15.28515625" style="447" bestFit="1" customWidth="1"/>
    <col min="11535" max="11535" width="5" style="447" customWidth="1"/>
    <col min="11536" max="11536" width="10.42578125" style="447" bestFit="1" customWidth="1"/>
    <col min="11537" max="11537" width="5" style="447" customWidth="1"/>
    <col min="11538" max="11538" width="10.42578125" style="447" bestFit="1" customWidth="1"/>
    <col min="11539" max="11541" width="9" style="447"/>
    <col min="11542" max="11542" width="10.42578125" style="447" bestFit="1" customWidth="1"/>
    <col min="11543" max="11771" width="9" style="447"/>
    <col min="11772" max="11772" width="3.5703125" style="447" customWidth="1"/>
    <col min="11773" max="11773" width="4.85546875" style="447" customWidth="1"/>
    <col min="11774" max="11774" width="5.42578125" style="447" customWidth="1"/>
    <col min="11775" max="11775" width="31.28515625" style="447" customWidth="1"/>
    <col min="11776" max="11776" width="7.5703125" style="447" customWidth="1"/>
    <col min="11777" max="11777" width="2.42578125" style="447" customWidth="1"/>
    <col min="11778" max="11778" width="11.5703125" style="447" customWidth="1"/>
    <col min="11779" max="11779" width="2.42578125" style="447" customWidth="1"/>
    <col min="11780" max="11780" width="11.5703125" style="447" customWidth="1"/>
    <col min="11781" max="11781" width="2.42578125" style="447" customWidth="1"/>
    <col min="11782" max="11782" width="10.85546875" style="447" customWidth="1"/>
    <col min="11783" max="11783" width="2.42578125" style="447" customWidth="1"/>
    <col min="11784" max="11784" width="11.140625" style="447" customWidth="1"/>
    <col min="11785" max="11785" width="1.85546875" style="447" customWidth="1"/>
    <col min="11786" max="11786" width="11" style="447" customWidth="1"/>
    <col min="11787" max="11787" width="0.7109375" style="447" customWidth="1"/>
    <col min="11788" max="11788" width="1.85546875" style="447" customWidth="1"/>
    <col min="11789" max="11789" width="11.85546875" style="447" bestFit="1" customWidth="1"/>
    <col min="11790" max="11790" width="15.28515625" style="447" bestFit="1" customWidth="1"/>
    <col min="11791" max="11791" width="5" style="447" customWidth="1"/>
    <col min="11792" max="11792" width="10.42578125" style="447" bestFit="1" customWidth="1"/>
    <col min="11793" max="11793" width="5" style="447" customWidth="1"/>
    <col min="11794" max="11794" width="10.42578125" style="447" bestFit="1" customWidth="1"/>
    <col min="11795" max="11797" width="9" style="447"/>
    <col min="11798" max="11798" width="10.42578125" style="447" bestFit="1" customWidth="1"/>
    <col min="11799" max="12027" width="9" style="447"/>
    <col min="12028" max="12028" width="3.5703125" style="447" customWidth="1"/>
    <col min="12029" max="12029" width="4.85546875" style="447" customWidth="1"/>
    <col min="12030" max="12030" width="5.42578125" style="447" customWidth="1"/>
    <col min="12031" max="12031" width="31.28515625" style="447" customWidth="1"/>
    <col min="12032" max="12032" width="7.5703125" style="447" customWidth="1"/>
    <col min="12033" max="12033" width="2.42578125" style="447" customWidth="1"/>
    <col min="12034" max="12034" width="11.5703125" style="447" customWidth="1"/>
    <col min="12035" max="12035" width="2.42578125" style="447" customWidth="1"/>
    <col min="12036" max="12036" width="11.5703125" style="447" customWidth="1"/>
    <col min="12037" max="12037" width="2.42578125" style="447" customWidth="1"/>
    <col min="12038" max="12038" width="10.85546875" style="447" customWidth="1"/>
    <col min="12039" max="12039" width="2.42578125" style="447" customWidth="1"/>
    <col min="12040" max="12040" width="11.140625" style="447" customWidth="1"/>
    <col min="12041" max="12041" width="1.85546875" style="447" customWidth="1"/>
    <col min="12042" max="12042" width="11" style="447" customWidth="1"/>
    <col min="12043" max="12043" width="0.7109375" style="447" customWidth="1"/>
    <col min="12044" max="12044" width="1.85546875" style="447" customWidth="1"/>
    <col min="12045" max="12045" width="11.85546875" style="447" bestFit="1" customWidth="1"/>
    <col min="12046" max="12046" width="15.28515625" style="447" bestFit="1" customWidth="1"/>
    <col min="12047" max="12047" width="5" style="447" customWidth="1"/>
    <col min="12048" max="12048" width="10.42578125" style="447" bestFit="1" customWidth="1"/>
    <col min="12049" max="12049" width="5" style="447" customWidth="1"/>
    <col min="12050" max="12050" width="10.42578125" style="447" bestFit="1" customWidth="1"/>
    <col min="12051" max="12053" width="9" style="447"/>
    <col min="12054" max="12054" width="10.42578125" style="447" bestFit="1" customWidth="1"/>
    <col min="12055" max="12283" width="9" style="447"/>
    <col min="12284" max="12284" width="3.5703125" style="447" customWidth="1"/>
    <col min="12285" max="12285" width="4.85546875" style="447" customWidth="1"/>
    <col min="12286" max="12286" width="5.42578125" style="447" customWidth="1"/>
    <col min="12287" max="12287" width="31.28515625" style="447" customWidth="1"/>
    <col min="12288" max="12288" width="7.5703125" style="447" customWidth="1"/>
    <col min="12289" max="12289" width="2.42578125" style="447" customWidth="1"/>
    <col min="12290" max="12290" width="11.5703125" style="447" customWidth="1"/>
    <col min="12291" max="12291" width="2.42578125" style="447" customWidth="1"/>
    <col min="12292" max="12292" width="11.5703125" style="447" customWidth="1"/>
    <col min="12293" max="12293" width="2.42578125" style="447" customWidth="1"/>
    <col min="12294" max="12294" width="10.85546875" style="447" customWidth="1"/>
    <col min="12295" max="12295" width="2.42578125" style="447" customWidth="1"/>
    <col min="12296" max="12296" width="11.140625" style="447" customWidth="1"/>
    <col min="12297" max="12297" width="1.85546875" style="447" customWidth="1"/>
    <col min="12298" max="12298" width="11" style="447" customWidth="1"/>
    <col min="12299" max="12299" width="0.7109375" style="447" customWidth="1"/>
    <col min="12300" max="12300" width="1.85546875" style="447" customWidth="1"/>
    <col min="12301" max="12301" width="11.85546875" style="447" bestFit="1" customWidth="1"/>
    <col min="12302" max="12302" width="15.28515625" style="447" bestFit="1" customWidth="1"/>
    <col min="12303" max="12303" width="5" style="447" customWidth="1"/>
    <col min="12304" max="12304" width="10.42578125" style="447" bestFit="1" customWidth="1"/>
    <col min="12305" max="12305" width="5" style="447" customWidth="1"/>
    <col min="12306" max="12306" width="10.42578125" style="447" bestFit="1" customWidth="1"/>
    <col min="12307" max="12309" width="9" style="447"/>
    <col min="12310" max="12310" width="10.42578125" style="447" bestFit="1" customWidth="1"/>
    <col min="12311" max="12539" width="9" style="447"/>
    <col min="12540" max="12540" width="3.5703125" style="447" customWidth="1"/>
    <col min="12541" max="12541" width="4.85546875" style="447" customWidth="1"/>
    <col min="12542" max="12542" width="5.42578125" style="447" customWidth="1"/>
    <col min="12543" max="12543" width="31.28515625" style="447" customWidth="1"/>
    <col min="12544" max="12544" width="7.5703125" style="447" customWidth="1"/>
    <col min="12545" max="12545" width="2.42578125" style="447" customWidth="1"/>
    <col min="12546" max="12546" width="11.5703125" style="447" customWidth="1"/>
    <col min="12547" max="12547" width="2.42578125" style="447" customWidth="1"/>
    <col min="12548" max="12548" width="11.5703125" style="447" customWidth="1"/>
    <col min="12549" max="12549" width="2.42578125" style="447" customWidth="1"/>
    <col min="12550" max="12550" width="10.85546875" style="447" customWidth="1"/>
    <col min="12551" max="12551" width="2.42578125" style="447" customWidth="1"/>
    <col min="12552" max="12552" width="11.140625" style="447" customWidth="1"/>
    <col min="12553" max="12553" width="1.85546875" style="447" customWidth="1"/>
    <col min="12554" max="12554" width="11" style="447" customWidth="1"/>
    <col min="12555" max="12555" width="0.7109375" style="447" customWidth="1"/>
    <col min="12556" max="12556" width="1.85546875" style="447" customWidth="1"/>
    <col min="12557" max="12557" width="11.85546875" style="447" bestFit="1" customWidth="1"/>
    <col min="12558" max="12558" width="15.28515625" style="447" bestFit="1" customWidth="1"/>
    <col min="12559" max="12559" width="5" style="447" customWidth="1"/>
    <col min="12560" max="12560" width="10.42578125" style="447" bestFit="1" customWidth="1"/>
    <col min="12561" max="12561" width="5" style="447" customWidth="1"/>
    <col min="12562" max="12562" width="10.42578125" style="447" bestFit="1" customWidth="1"/>
    <col min="12563" max="12565" width="9" style="447"/>
    <col min="12566" max="12566" width="10.42578125" style="447" bestFit="1" customWidth="1"/>
    <col min="12567" max="12795" width="9" style="447"/>
    <col min="12796" max="12796" width="3.5703125" style="447" customWidth="1"/>
    <col min="12797" max="12797" width="4.85546875" style="447" customWidth="1"/>
    <col min="12798" max="12798" width="5.42578125" style="447" customWidth="1"/>
    <col min="12799" max="12799" width="31.28515625" style="447" customWidth="1"/>
    <col min="12800" max="12800" width="7.5703125" style="447" customWidth="1"/>
    <col min="12801" max="12801" width="2.42578125" style="447" customWidth="1"/>
    <col min="12802" max="12802" width="11.5703125" style="447" customWidth="1"/>
    <col min="12803" max="12803" width="2.42578125" style="447" customWidth="1"/>
    <col min="12804" max="12804" width="11.5703125" style="447" customWidth="1"/>
    <col min="12805" max="12805" width="2.42578125" style="447" customWidth="1"/>
    <col min="12806" max="12806" width="10.85546875" style="447" customWidth="1"/>
    <col min="12807" max="12807" width="2.42578125" style="447" customWidth="1"/>
    <col min="12808" max="12808" width="11.140625" style="447" customWidth="1"/>
    <col min="12809" max="12809" width="1.85546875" style="447" customWidth="1"/>
    <col min="12810" max="12810" width="11" style="447" customWidth="1"/>
    <col min="12811" max="12811" width="0.7109375" style="447" customWidth="1"/>
    <col min="12812" max="12812" width="1.85546875" style="447" customWidth="1"/>
    <col min="12813" max="12813" width="11.85546875" style="447" bestFit="1" customWidth="1"/>
    <col min="12814" max="12814" width="15.28515625" style="447" bestFit="1" customWidth="1"/>
    <col min="12815" max="12815" width="5" style="447" customWidth="1"/>
    <col min="12816" max="12816" width="10.42578125" style="447" bestFit="1" customWidth="1"/>
    <col min="12817" max="12817" width="5" style="447" customWidth="1"/>
    <col min="12818" max="12818" width="10.42578125" style="447" bestFit="1" customWidth="1"/>
    <col min="12819" max="12821" width="9" style="447"/>
    <col min="12822" max="12822" width="10.42578125" style="447" bestFit="1" customWidth="1"/>
    <col min="12823" max="13051" width="9" style="447"/>
    <col min="13052" max="13052" width="3.5703125" style="447" customWidth="1"/>
    <col min="13053" max="13053" width="4.85546875" style="447" customWidth="1"/>
    <col min="13054" max="13054" width="5.42578125" style="447" customWidth="1"/>
    <col min="13055" max="13055" width="31.28515625" style="447" customWidth="1"/>
    <col min="13056" max="13056" width="7.5703125" style="447" customWidth="1"/>
    <col min="13057" max="13057" width="2.42578125" style="447" customWidth="1"/>
    <col min="13058" max="13058" width="11.5703125" style="447" customWidth="1"/>
    <col min="13059" max="13059" width="2.42578125" style="447" customWidth="1"/>
    <col min="13060" max="13060" width="11.5703125" style="447" customWidth="1"/>
    <col min="13061" max="13061" width="2.42578125" style="447" customWidth="1"/>
    <col min="13062" max="13062" width="10.85546875" style="447" customWidth="1"/>
    <col min="13063" max="13063" width="2.42578125" style="447" customWidth="1"/>
    <col min="13064" max="13064" width="11.140625" style="447" customWidth="1"/>
    <col min="13065" max="13065" width="1.85546875" style="447" customWidth="1"/>
    <col min="13066" max="13066" width="11" style="447" customWidth="1"/>
    <col min="13067" max="13067" width="0.7109375" style="447" customWidth="1"/>
    <col min="13068" max="13068" width="1.85546875" style="447" customWidth="1"/>
    <col min="13069" max="13069" width="11.85546875" style="447" bestFit="1" customWidth="1"/>
    <col min="13070" max="13070" width="15.28515625" style="447" bestFit="1" customWidth="1"/>
    <col min="13071" max="13071" width="5" style="447" customWidth="1"/>
    <col min="13072" max="13072" width="10.42578125" style="447" bestFit="1" customWidth="1"/>
    <col min="13073" max="13073" width="5" style="447" customWidth="1"/>
    <col min="13074" max="13074" width="10.42578125" style="447" bestFit="1" customWidth="1"/>
    <col min="13075" max="13077" width="9" style="447"/>
    <col min="13078" max="13078" width="10.42578125" style="447" bestFit="1" customWidth="1"/>
    <col min="13079" max="13307" width="9" style="447"/>
    <col min="13308" max="13308" width="3.5703125" style="447" customWidth="1"/>
    <col min="13309" max="13309" width="4.85546875" style="447" customWidth="1"/>
    <col min="13310" max="13310" width="5.42578125" style="447" customWidth="1"/>
    <col min="13311" max="13311" width="31.28515625" style="447" customWidth="1"/>
    <col min="13312" max="13312" width="7.5703125" style="447" customWidth="1"/>
    <col min="13313" max="13313" width="2.42578125" style="447" customWidth="1"/>
    <col min="13314" max="13314" width="11.5703125" style="447" customWidth="1"/>
    <col min="13315" max="13315" width="2.42578125" style="447" customWidth="1"/>
    <col min="13316" max="13316" width="11.5703125" style="447" customWidth="1"/>
    <col min="13317" max="13317" width="2.42578125" style="447" customWidth="1"/>
    <col min="13318" max="13318" width="10.85546875" style="447" customWidth="1"/>
    <col min="13319" max="13319" width="2.42578125" style="447" customWidth="1"/>
    <col min="13320" max="13320" width="11.140625" style="447" customWidth="1"/>
    <col min="13321" max="13321" width="1.85546875" style="447" customWidth="1"/>
    <col min="13322" max="13322" width="11" style="447" customWidth="1"/>
    <col min="13323" max="13323" width="0.7109375" style="447" customWidth="1"/>
    <col min="13324" max="13324" width="1.85546875" style="447" customWidth="1"/>
    <col min="13325" max="13325" width="11.85546875" style="447" bestFit="1" customWidth="1"/>
    <col min="13326" max="13326" width="15.28515625" style="447" bestFit="1" customWidth="1"/>
    <col min="13327" max="13327" width="5" style="447" customWidth="1"/>
    <col min="13328" max="13328" width="10.42578125" style="447" bestFit="1" customWidth="1"/>
    <col min="13329" max="13329" width="5" style="447" customWidth="1"/>
    <col min="13330" max="13330" width="10.42578125" style="447" bestFit="1" customWidth="1"/>
    <col min="13331" max="13333" width="9" style="447"/>
    <col min="13334" max="13334" width="10.42578125" style="447" bestFit="1" customWidth="1"/>
    <col min="13335" max="13563" width="9" style="447"/>
    <col min="13564" max="13564" width="3.5703125" style="447" customWidth="1"/>
    <col min="13565" max="13565" width="4.85546875" style="447" customWidth="1"/>
    <col min="13566" max="13566" width="5.42578125" style="447" customWidth="1"/>
    <col min="13567" max="13567" width="31.28515625" style="447" customWidth="1"/>
    <col min="13568" max="13568" width="7.5703125" style="447" customWidth="1"/>
    <col min="13569" max="13569" width="2.42578125" style="447" customWidth="1"/>
    <col min="13570" max="13570" width="11.5703125" style="447" customWidth="1"/>
    <col min="13571" max="13571" width="2.42578125" style="447" customWidth="1"/>
    <col min="13572" max="13572" width="11.5703125" style="447" customWidth="1"/>
    <col min="13573" max="13573" width="2.42578125" style="447" customWidth="1"/>
    <col min="13574" max="13574" width="10.85546875" style="447" customWidth="1"/>
    <col min="13575" max="13575" width="2.42578125" style="447" customWidth="1"/>
    <col min="13576" max="13576" width="11.140625" style="447" customWidth="1"/>
    <col min="13577" max="13577" width="1.85546875" style="447" customWidth="1"/>
    <col min="13578" max="13578" width="11" style="447" customWidth="1"/>
    <col min="13579" max="13579" width="0.7109375" style="447" customWidth="1"/>
    <col min="13580" max="13580" width="1.85546875" style="447" customWidth="1"/>
    <col min="13581" max="13581" width="11.85546875" style="447" bestFit="1" customWidth="1"/>
    <col min="13582" max="13582" width="15.28515625" style="447" bestFit="1" customWidth="1"/>
    <col min="13583" max="13583" width="5" style="447" customWidth="1"/>
    <col min="13584" max="13584" width="10.42578125" style="447" bestFit="1" customWidth="1"/>
    <col min="13585" max="13585" width="5" style="447" customWidth="1"/>
    <col min="13586" max="13586" width="10.42578125" style="447" bestFit="1" customWidth="1"/>
    <col min="13587" max="13589" width="9" style="447"/>
    <col min="13590" max="13590" width="10.42578125" style="447" bestFit="1" customWidth="1"/>
    <col min="13591" max="13819" width="9" style="447"/>
    <col min="13820" max="13820" width="3.5703125" style="447" customWidth="1"/>
    <col min="13821" max="13821" width="4.85546875" style="447" customWidth="1"/>
    <col min="13822" max="13822" width="5.42578125" style="447" customWidth="1"/>
    <col min="13823" max="13823" width="31.28515625" style="447" customWidth="1"/>
    <col min="13824" max="13824" width="7.5703125" style="447" customWidth="1"/>
    <col min="13825" max="13825" width="2.42578125" style="447" customWidth="1"/>
    <col min="13826" max="13826" width="11.5703125" style="447" customWidth="1"/>
    <col min="13827" max="13827" width="2.42578125" style="447" customWidth="1"/>
    <col min="13828" max="13828" width="11.5703125" style="447" customWidth="1"/>
    <col min="13829" max="13829" width="2.42578125" style="447" customWidth="1"/>
    <col min="13830" max="13830" width="10.85546875" style="447" customWidth="1"/>
    <col min="13831" max="13831" width="2.42578125" style="447" customWidth="1"/>
    <col min="13832" max="13832" width="11.140625" style="447" customWidth="1"/>
    <col min="13833" max="13833" width="1.85546875" style="447" customWidth="1"/>
    <col min="13834" max="13834" width="11" style="447" customWidth="1"/>
    <col min="13835" max="13835" width="0.7109375" style="447" customWidth="1"/>
    <col min="13836" max="13836" width="1.85546875" style="447" customWidth="1"/>
    <col min="13837" max="13837" width="11.85546875" style="447" bestFit="1" customWidth="1"/>
    <col min="13838" max="13838" width="15.28515625" style="447" bestFit="1" customWidth="1"/>
    <col min="13839" max="13839" width="5" style="447" customWidth="1"/>
    <col min="13840" max="13840" width="10.42578125" style="447" bestFit="1" customWidth="1"/>
    <col min="13841" max="13841" width="5" style="447" customWidth="1"/>
    <col min="13842" max="13842" width="10.42578125" style="447" bestFit="1" customWidth="1"/>
    <col min="13843" max="13845" width="9" style="447"/>
    <col min="13846" max="13846" width="10.42578125" style="447" bestFit="1" customWidth="1"/>
    <col min="13847" max="14075" width="9" style="447"/>
    <col min="14076" max="14076" width="3.5703125" style="447" customWidth="1"/>
    <col min="14077" max="14077" width="4.85546875" style="447" customWidth="1"/>
    <col min="14078" max="14078" width="5.42578125" style="447" customWidth="1"/>
    <col min="14079" max="14079" width="31.28515625" style="447" customWidth="1"/>
    <col min="14080" max="14080" width="7.5703125" style="447" customWidth="1"/>
    <col min="14081" max="14081" width="2.42578125" style="447" customWidth="1"/>
    <col min="14082" max="14082" width="11.5703125" style="447" customWidth="1"/>
    <col min="14083" max="14083" width="2.42578125" style="447" customWidth="1"/>
    <col min="14084" max="14084" width="11.5703125" style="447" customWidth="1"/>
    <col min="14085" max="14085" width="2.42578125" style="447" customWidth="1"/>
    <col min="14086" max="14086" width="10.85546875" style="447" customWidth="1"/>
    <col min="14087" max="14087" width="2.42578125" style="447" customWidth="1"/>
    <col min="14088" max="14088" width="11.140625" style="447" customWidth="1"/>
    <col min="14089" max="14089" width="1.85546875" style="447" customWidth="1"/>
    <col min="14090" max="14090" width="11" style="447" customWidth="1"/>
    <col min="14091" max="14091" width="0.7109375" style="447" customWidth="1"/>
    <col min="14092" max="14092" width="1.85546875" style="447" customWidth="1"/>
    <col min="14093" max="14093" width="11.85546875" style="447" bestFit="1" customWidth="1"/>
    <col min="14094" max="14094" width="15.28515625" style="447" bestFit="1" customWidth="1"/>
    <col min="14095" max="14095" width="5" style="447" customWidth="1"/>
    <col min="14096" max="14096" width="10.42578125" style="447" bestFit="1" customWidth="1"/>
    <col min="14097" max="14097" width="5" style="447" customWidth="1"/>
    <col min="14098" max="14098" width="10.42578125" style="447" bestFit="1" customWidth="1"/>
    <col min="14099" max="14101" width="9" style="447"/>
    <col min="14102" max="14102" width="10.42578125" style="447" bestFit="1" customWidth="1"/>
    <col min="14103" max="14331" width="9" style="447"/>
    <col min="14332" max="14332" width="3.5703125" style="447" customWidth="1"/>
    <col min="14333" max="14333" width="4.85546875" style="447" customWidth="1"/>
    <col min="14334" max="14334" width="5.42578125" style="447" customWidth="1"/>
    <col min="14335" max="14335" width="31.28515625" style="447" customWidth="1"/>
    <col min="14336" max="14336" width="7.5703125" style="447" customWidth="1"/>
    <col min="14337" max="14337" width="2.42578125" style="447" customWidth="1"/>
    <col min="14338" max="14338" width="11.5703125" style="447" customWidth="1"/>
    <col min="14339" max="14339" width="2.42578125" style="447" customWidth="1"/>
    <col min="14340" max="14340" width="11.5703125" style="447" customWidth="1"/>
    <col min="14341" max="14341" width="2.42578125" style="447" customWidth="1"/>
    <col min="14342" max="14342" width="10.85546875" style="447" customWidth="1"/>
    <col min="14343" max="14343" width="2.42578125" style="447" customWidth="1"/>
    <col min="14344" max="14344" width="11.140625" style="447" customWidth="1"/>
    <col min="14345" max="14345" width="1.85546875" style="447" customWidth="1"/>
    <col min="14346" max="14346" width="11" style="447" customWidth="1"/>
    <col min="14347" max="14347" width="0.7109375" style="447" customWidth="1"/>
    <col min="14348" max="14348" width="1.85546875" style="447" customWidth="1"/>
    <col min="14349" max="14349" width="11.85546875" style="447" bestFit="1" customWidth="1"/>
    <col min="14350" max="14350" width="15.28515625" style="447" bestFit="1" customWidth="1"/>
    <col min="14351" max="14351" width="5" style="447" customWidth="1"/>
    <col min="14352" max="14352" width="10.42578125" style="447" bestFit="1" customWidth="1"/>
    <col min="14353" max="14353" width="5" style="447" customWidth="1"/>
    <col min="14354" max="14354" width="10.42578125" style="447" bestFit="1" customWidth="1"/>
    <col min="14355" max="14357" width="9" style="447"/>
    <col min="14358" max="14358" width="10.42578125" style="447" bestFit="1" customWidth="1"/>
    <col min="14359" max="14587" width="9" style="447"/>
    <col min="14588" max="14588" width="3.5703125" style="447" customWidth="1"/>
    <col min="14589" max="14589" width="4.85546875" style="447" customWidth="1"/>
    <col min="14590" max="14590" width="5.42578125" style="447" customWidth="1"/>
    <col min="14591" max="14591" width="31.28515625" style="447" customWidth="1"/>
    <col min="14592" max="14592" width="7.5703125" style="447" customWidth="1"/>
    <col min="14593" max="14593" width="2.42578125" style="447" customWidth="1"/>
    <col min="14594" max="14594" width="11.5703125" style="447" customWidth="1"/>
    <col min="14595" max="14595" width="2.42578125" style="447" customWidth="1"/>
    <col min="14596" max="14596" width="11.5703125" style="447" customWidth="1"/>
    <col min="14597" max="14597" width="2.42578125" style="447" customWidth="1"/>
    <col min="14598" max="14598" width="10.85546875" style="447" customWidth="1"/>
    <col min="14599" max="14599" width="2.42578125" style="447" customWidth="1"/>
    <col min="14600" max="14600" width="11.140625" style="447" customWidth="1"/>
    <col min="14601" max="14601" width="1.85546875" style="447" customWidth="1"/>
    <col min="14602" max="14602" width="11" style="447" customWidth="1"/>
    <col min="14603" max="14603" width="0.7109375" style="447" customWidth="1"/>
    <col min="14604" max="14604" width="1.85546875" style="447" customWidth="1"/>
    <col min="14605" max="14605" width="11.85546875" style="447" bestFit="1" customWidth="1"/>
    <col min="14606" max="14606" width="15.28515625" style="447" bestFit="1" customWidth="1"/>
    <col min="14607" max="14607" width="5" style="447" customWidth="1"/>
    <col min="14608" max="14608" width="10.42578125" style="447" bestFit="1" customWidth="1"/>
    <col min="14609" max="14609" width="5" style="447" customWidth="1"/>
    <col min="14610" max="14610" width="10.42578125" style="447" bestFit="1" customWidth="1"/>
    <col min="14611" max="14613" width="9" style="447"/>
    <col min="14614" max="14614" width="10.42578125" style="447" bestFit="1" customWidth="1"/>
    <col min="14615" max="14843" width="9" style="447"/>
    <col min="14844" max="14844" width="3.5703125" style="447" customWidth="1"/>
    <col min="14845" max="14845" width="4.85546875" style="447" customWidth="1"/>
    <col min="14846" max="14846" width="5.42578125" style="447" customWidth="1"/>
    <col min="14847" max="14847" width="31.28515625" style="447" customWidth="1"/>
    <col min="14848" max="14848" width="7.5703125" style="447" customWidth="1"/>
    <col min="14849" max="14849" width="2.42578125" style="447" customWidth="1"/>
    <col min="14850" max="14850" width="11.5703125" style="447" customWidth="1"/>
    <col min="14851" max="14851" width="2.42578125" style="447" customWidth="1"/>
    <col min="14852" max="14852" width="11.5703125" style="447" customWidth="1"/>
    <col min="14853" max="14853" width="2.42578125" style="447" customWidth="1"/>
    <col min="14854" max="14854" width="10.85546875" style="447" customWidth="1"/>
    <col min="14855" max="14855" width="2.42578125" style="447" customWidth="1"/>
    <col min="14856" max="14856" width="11.140625" style="447" customWidth="1"/>
    <col min="14857" max="14857" width="1.85546875" style="447" customWidth="1"/>
    <col min="14858" max="14858" width="11" style="447" customWidth="1"/>
    <col min="14859" max="14859" width="0.7109375" style="447" customWidth="1"/>
    <col min="14860" max="14860" width="1.85546875" style="447" customWidth="1"/>
    <col min="14861" max="14861" width="11.85546875" style="447" bestFit="1" customWidth="1"/>
    <col min="14862" max="14862" width="15.28515625" style="447" bestFit="1" customWidth="1"/>
    <col min="14863" max="14863" width="5" style="447" customWidth="1"/>
    <col min="14864" max="14864" width="10.42578125" style="447" bestFit="1" customWidth="1"/>
    <col min="14865" max="14865" width="5" style="447" customWidth="1"/>
    <col min="14866" max="14866" width="10.42578125" style="447" bestFit="1" customWidth="1"/>
    <col min="14867" max="14869" width="9" style="447"/>
    <col min="14870" max="14870" width="10.42578125" style="447" bestFit="1" customWidth="1"/>
    <col min="14871" max="15099" width="9" style="447"/>
    <col min="15100" max="15100" width="3.5703125" style="447" customWidth="1"/>
    <col min="15101" max="15101" width="4.85546875" style="447" customWidth="1"/>
    <col min="15102" max="15102" width="5.42578125" style="447" customWidth="1"/>
    <col min="15103" max="15103" width="31.28515625" style="447" customWidth="1"/>
    <col min="15104" max="15104" width="7.5703125" style="447" customWidth="1"/>
    <col min="15105" max="15105" width="2.42578125" style="447" customWidth="1"/>
    <col min="15106" max="15106" width="11.5703125" style="447" customWidth="1"/>
    <col min="15107" max="15107" width="2.42578125" style="447" customWidth="1"/>
    <col min="15108" max="15108" width="11.5703125" style="447" customWidth="1"/>
    <col min="15109" max="15109" width="2.42578125" style="447" customWidth="1"/>
    <col min="15110" max="15110" width="10.85546875" style="447" customWidth="1"/>
    <col min="15111" max="15111" width="2.42578125" style="447" customWidth="1"/>
    <col min="15112" max="15112" width="11.140625" style="447" customWidth="1"/>
    <col min="15113" max="15113" width="1.85546875" style="447" customWidth="1"/>
    <col min="15114" max="15114" width="11" style="447" customWidth="1"/>
    <col min="15115" max="15115" width="0.7109375" style="447" customWidth="1"/>
    <col min="15116" max="15116" width="1.85546875" style="447" customWidth="1"/>
    <col min="15117" max="15117" width="11.85546875" style="447" bestFit="1" customWidth="1"/>
    <col min="15118" max="15118" width="15.28515625" style="447" bestFit="1" customWidth="1"/>
    <col min="15119" max="15119" width="5" style="447" customWidth="1"/>
    <col min="15120" max="15120" width="10.42578125" style="447" bestFit="1" customWidth="1"/>
    <col min="15121" max="15121" width="5" style="447" customWidth="1"/>
    <col min="15122" max="15122" width="10.42578125" style="447" bestFit="1" customWidth="1"/>
    <col min="15123" max="15125" width="9" style="447"/>
    <col min="15126" max="15126" width="10.42578125" style="447" bestFit="1" customWidth="1"/>
    <col min="15127" max="15355" width="9" style="447"/>
    <col min="15356" max="15356" width="3.5703125" style="447" customWidth="1"/>
    <col min="15357" max="15357" width="4.85546875" style="447" customWidth="1"/>
    <col min="15358" max="15358" width="5.42578125" style="447" customWidth="1"/>
    <col min="15359" max="15359" width="31.28515625" style="447" customWidth="1"/>
    <col min="15360" max="15360" width="7.5703125" style="447" customWidth="1"/>
    <col min="15361" max="15361" width="2.42578125" style="447" customWidth="1"/>
    <col min="15362" max="15362" width="11.5703125" style="447" customWidth="1"/>
    <col min="15363" max="15363" width="2.42578125" style="447" customWidth="1"/>
    <col min="15364" max="15364" width="11.5703125" style="447" customWidth="1"/>
    <col min="15365" max="15365" width="2.42578125" style="447" customWidth="1"/>
    <col min="15366" max="15366" width="10.85546875" style="447" customWidth="1"/>
    <col min="15367" max="15367" width="2.42578125" style="447" customWidth="1"/>
    <col min="15368" max="15368" width="11.140625" style="447" customWidth="1"/>
    <col min="15369" max="15369" width="1.85546875" style="447" customWidth="1"/>
    <col min="15370" max="15370" width="11" style="447" customWidth="1"/>
    <col min="15371" max="15371" width="0.7109375" style="447" customWidth="1"/>
    <col min="15372" max="15372" width="1.85546875" style="447" customWidth="1"/>
    <col min="15373" max="15373" width="11.85546875" style="447" bestFit="1" customWidth="1"/>
    <col min="15374" max="15374" width="15.28515625" style="447" bestFit="1" customWidth="1"/>
    <col min="15375" max="15375" width="5" style="447" customWidth="1"/>
    <col min="15376" max="15376" width="10.42578125" style="447" bestFit="1" customWidth="1"/>
    <col min="15377" max="15377" width="5" style="447" customWidth="1"/>
    <col min="15378" max="15378" width="10.42578125" style="447" bestFit="1" customWidth="1"/>
    <col min="15379" max="15381" width="9" style="447"/>
    <col min="15382" max="15382" width="10.42578125" style="447" bestFit="1" customWidth="1"/>
    <col min="15383" max="15611" width="9" style="447"/>
    <col min="15612" max="15612" width="3.5703125" style="447" customWidth="1"/>
    <col min="15613" max="15613" width="4.85546875" style="447" customWidth="1"/>
    <col min="15614" max="15614" width="5.42578125" style="447" customWidth="1"/>
    <col min="15615" max="15615" width="31.28515625" style="447" customWidth="1"/>
    <col min="15616" max="15616" width="7.5703125" style="447" customWidth="1"/>
    <col min="15617" max="15617" width="2.42578125" style="447" customWidth="1"/>
    <col min="15618" max="15618" width="11.5703125" style="447" customWidth="1"/>
    <col min="15619" max="15619" width="2.42578125" style="447" customWidth="1"/>
    <col min="15620" max="15620" width="11.5703125" style="447" customWidth="1"/>
    <col min="15621" max="15621" width="2.42578125" style="447" customWidth="1"/>
    <col min="15622" max="15622" width="10.85546875" style="447" customWidth="1"/>
    <col min="15623" max="15623" width="2.42578125" style="447" customWidth="1"/>
    <col min="15624" max="15624" width="11.140625" style="447" customWidth="1"/>
    <col min="15625" max="15625" width="1.85546875" style="447" customWidth="1"/>
    <col min="15626" max="15626" width="11" style="447" customWidth="1"/>
    <col min="15627" max="15627" width="0.7109375" style="447" customWidth="1"/>
    <col min="15628" max="15628" width="1.85546875" style="447" customWidth="1"/>
    <col min="15629" max="15629" width="11.85546875" style="447" bestFit="1" customWidth="1"/>
    <col min="15630" max="15630" width="15.28515625" style="447" bestFit="1" customWidth="1"/>
    <col min="15631" max="15631" width="5" style="447" customWidth="1"/>
    <col min="15632" max="15632" width="10.42578125" style="447" bestFit="1" customWidth="1"/>
    <col min="15633" max="15633" width="5" style="447" customWidth="1"/>
    <col min="15634" max="15634" width="10.42578125" style="447" bestFit="1" customWidth="1"/>
    <col min="15635" max="15637" width="9" style="447"/>
    <col min="15638" max="15638" width="10.42578125" style="447" bestFit="1" customWidth="1"/>
    <col min="15639" max="15867" width="9" style="447"/>
    <col min="15868" max="15868" width="3.5703125" style="447" customWidth="1"/>
    <col min="15869" max="15869" width="4.85546875" style="447" customWidth="1"/>
    <col min="15870" max="15870" width="5.42578125" style="447" customWidth="1"/>
    <col min="15871" max="15871" width="31.28515625" style="447" customWidth="1"/>
    <col min="15872" max="15872" width="7.5703125" style="447" customWidth="1"/>
    <col min="15873" max="15873" width="2.42578125" style="447" customWidth="1"/>
    <col min="15874" max="15874" width="11.5703125" style="447" customWidth="1"/>
    <col min="15875" max="15875" width="2.42578125" style="447" customWidth="1"/>
    <col min="15876" max="15876" width="11.5703125" style="447" customWidth="1"/>
    <col min="15877" max="15877" width="2.42578125" style="447" customWidth="1"/>
    <col min="15878" max="15878" width="10.85546875" style="447" customWidth="1"/>
    <col min="15879" max="15879" width="2.42578125" style="447" customWidth="1"/>
    <col min="15880" max="15880" width="11.140625" style="447" customWidth="1"/>
    <col min="15881" max="15881" width="1.85546875" style="447" customWidth="1"/>
    <col min="15882" max="15882" width="11" style="447" customWidth="1"/>
    <col min="15883" max="15883" width="0.7109375" style="447" customWidth="1"/>
    <col min="15884" max="15884" width="1.85546875" style="447" customWidth="1"/>
    <col min="15885" max="15885" width="11.85546875" style="447" bestFit="1" customWidth="1"/>
    <col min="15886" max="15886" width="15.28515625" style="447" bestFit="1" customWidth="1"/>
    <col min="15887" max="15887" width="5" style="447" customWidth="1"/>
    <col min="15888" max="15888" width="10.42578125" style="447" bestFit="1" customWidth="1"/>
    <col min="15889" max="15889" width="5" style="447" customWidth="1"/>
    <col min="15890" max="15890" width="10.42578125" style="447" bestFit="1" customWidth="1"/>
    <col min="15891" max="15893" width="9" style="447"/>
    <col min="15894" max="15894" width="10.42578125" style="447" bestFit="1" customWidth="1"/>
    <col min="15895" max="16123" width="9" style="447"/>
    <col min="16124" max="16124" width="3.5703125" style="447" customWidth="1"/>
    <col min="16125" max="16125" width="4.85546875" style="447" customWidth="1"/>
    <col min="16126" max="16126" width="5.42578125" style="447" customWidth="1"/>
    <col min="16127" max="16127" width="31.28515625" style="447" customWidth="1"/>
    <col min="16128" max="16128" width="7.5703125" style="447" customWidth="1"/>
    <col min="16129" max="16129" width="2.42578125" style="447" customWidth="1"/>
    <col min="16130" max="16130" width="11.5703125" style="447" customWidth="1"/>
    <col min="16131" max="16131" width="2.42578125" style="447" customWidth="1"/>
    <col min="16132" max="16132" width="11.5703125" style="447" customWidth="1"/>
    <col min="16133" max="16133" width="2.42578125" style="447" customWidth="1"/>
    <col min="16134" max="16134" width="10.85546875" style="447" customWidth="1"/>
    <col min="16135" max="16135" width="2.42578125" style="447" customWidth="1"/>
    <col min="16136" max="16136" width="11.140625" style="447" customWidth="1"/>
    <col min="16137" max="16137" width="1.85546875" style="447" customWidth="1"/>
    <col min="16138" max="16138" width="11" style="447" customWidth="1"/>
    <col min="16139" max="16139" width="0.7109375" style="447" customWidth="1"/>
    <col min="16140" max="16140" width="1.85546875" style="447" customWidth="1"/>
    <col min="16141" max="16141" width="11.85546875" style="447" bestFit="1" customWidth="1"/>
    <col min="16142" max="16142" width="15.28515625" style="447" bestFit="1" customWidth="1"/>
    <col min="16143" max="16143" width="5" style="447" customWidth="1"/>
    <col min="16144" max="16144" width="10.42578125" style="447" bestFit="1" customWidth="1"/>
    <col min="16145" max="16145" width="5" style="447" customWidth="1"/>
    <col min="16146" max="16146" width="10.42578125" style="447" bestFit="1" customWidth="1"/>
    <col min="16147" max="16149" width="9" style="447"/>
    <col min="16150" max="16150" width="10.42578125" style="447" bestFit="1" customWidth="1"/>
    <col min="16151" max="16380" width="9" style="447"/>
    <col min="16381" max="16382" width="9" style="447" customWidth="1"/>
    <col min="16383" max="16384" width="9" style="447"/>
  </cols>
  <sheetData>
    <row r="1" spans="1:17" s="446" customFormat="1" ht="27" customHeight="1" x14ac:dyDescent="0.65">
      <c r="A1" s="1510" t="s">
        <v>244</v>
      </c>
      <c r="B1" s="1510"/>
      <c r="C1" s="1510"/>
      <c r="D1" s="1510"/>
      <c r="E1" s="1510"/>
      <c r="F1" s="1510"/>
      <c r="G1" s="1510"/>
      <c r="H1" s="1510"/>
      <c r="I1" s="1510"/>
      <c r="J1" s="1510"/>
      <c r="K1" s="1510"/>
      <c r="L1" s="1510"/>
      <c r="M1" s="1510"/>
      <c r="N1" s="444"/>
      <c r="O1" s="444"/>
      <c r="P1" s="444"/>
    </row>
    <row r="2" spans="1:17" s="446" customFormat="1" ht="27" customHeight="1" x14ac:dyDescent="0.65">
      <c r="A2" s="1511" t="str">
        <f>تاريخچه!A2</f>
        <v>يادداشتهاي توضيحي صورتهاي مالي</v>
      </c>
      <c r="B2" s="1511"/>
      <c r="C2" s="1511"/>
      <c r="D2" s="1511"/>
      <c r="E2" s="1511"/>
      <c r="F2" s="1511"/>
      <c r="G2" s="1511"/>
      <c r="H2" s="1511"/>
      <c r="I2" s="1511"/>
      <c r="J2" s="1511"/>
      <c r="K2" s="1511"/>
      <c r="L2" s="1511"/>
      <c r="M2" s="1511"/>
      <c r="N2" s="444"/>
      <c r="O2" s="444"/>
      <c r="P2" s="444"/>
    </row>
    <row r="3" spans="1:17" s="446" customFormat="1" ht="27" customHeight="1" x14ac:dyDescent="0.65">
      <c r="A3" s="1512" t="s">
        <v>1089</v>
      </c>
      <c r="B3" s="1511"/>
      <c r="C3" s="1511"/>
      <c r="D3" s="1511"/>
      <c r="E3" s="1511"/>
      <c r="F3" s="1511"/>
      <c r="G3" s="1511"/>
      <c r="H3" s="1511"/>
      <c r="I3" s="1511"/>
      <c r="J3" s="1511"/>
      <c r="K3" s="1511"/>
      <c r="L3" s="1511"/>
      <c r="M3" s="1511"/>
      <c r="N3" s="444"/>
      <c r="O3" s="444"/>
      <c r="P3" s="444"/>
    </row>
    <row r="4" spans="1:17" ht="33.75" customHeight="1" x14ac:dyDescent="0.65">
      <c r="A4" s="453" t="s">
        <v>99</v>
      </c>
      <c r="B4" s="1514" t="s">
        <v>116</v>
      </c>
      <c r="C4" s="1514"/>
      <c r="D4" s="1514"/>
      <c r="E4" s="1514"/>
      <c r="F4" s="1514"/>
      <c r="G4" s="1514"/>
      <c r="H4" s="1514"/>
      <c r="I4" s="1514"/>
      <c r="J4" s="1514"/>
      <c r="K4" s="1514"/>
      <c r="L4" s="1514"/>
    </row>
    <row r="5" spans="1:17" ht="33.75" customHeight="1" x14ac:dyDescent="0.65">
      <c r="B5" s="468"/>
      <c r="C5" s="903"/>
      <c r="D5" s="468"/>
      <c r="E5" s="468"/>
      <c r="F5" s="468"/>
      <c r="G5" s="468"/>
      <c r="H5" s="904" t="s">
        <v>438</v>
      </c>
      <c r="I5" s="468"/>
      <c r="J5" s="905">
        <v>1403</v>
      </c>
      <c r="K5" s="906"/>
      <c r="L5" s="905">
        <v>1402</v>
      </c>
    </row>
    <row r="6" spans="1:17" ht="24" customHeight="1" x14ac:dyDescent="0.6">
      <c r="B6" s="907"/>
      <c r="C6" s="907"/>
      <c r="D6" s="468"/>
      <c r="E6" s="468"/>
      <c r="F6" s="468"/>
      <c r="G6" s="468"/>
      <c r="H6" s="468"/>
      <c r="I6" s="468"/>
      <c r="J6" s="908" t="s">
        <v>591</v>
      </c>
      <c r="K6" s="426"/>
      <c r="L6" s="908" t="s">
        <v>591</v>
      </c>
    </row>
    <row r="7" spans="1:17" ht="27" customHeight="1" x14ac:dyDescent="0.65">
      <c r="B7" s="468"/>
      <c r="C7" s="468"/>
      <c r="D7" s="1514" t="s">
        <v>131</v>
      </c>
      <c r="E7" s="1514"/>
      <c r="F7" s="1514"/>
      <c r="G7" s="468"/>
      <c r="H7" s="468"/>
      <c r="I7" s="468"/>
      <c r="J7" s="426"/>
      <c r="K7" s="426"/>
      <c r="L7" s="426"/>
    </row>
    <row r="8" spans="1:17" ht="33.75" customHeight="1" x14ac:dyDescent="0.6">
      <c r="B8" s="468"/>
      <c r="C8" s="468"/>
      <c r="D8" s="1515" t="s">
        <v>132</v>
      </c>
      <c r="E8" s="1515"/>
      <c r="F8" s="1515"/>
      <c r="G8" s="468"/>
      <c r="H8" s="426" t="s">
        <v>478</v>
      </c>
      <c r="I8" s="468"/>
      <c r="J8" s="426">
        <f>J36</f>
        <v>93099461177</v>
      </c>
      <c r="K8" s="426"/>
      <c r="L8" s="426">
        <v>172109342553</v>
      </c>
    </row>
    <row r="9" spans="1:17" ht="33.75" customHeight="1" x14ac:dyDescent="0.6">
      <c r="A9" s="451" t="s">
        <v>490</v>
      </c>
      <c r="B9" s="468"/>
      <c r="C9" s="468"/>
      <c r="D9" s="1515" t="s">
        <v>133</v>
      </c>
      <c r="E9" s="1515"/>
      <c r="F9" s="1515"/>
      <c r="G9" s="468"/>
      <c r="H9" s="426" t="s">
        <v>479</v>
      </c>
      <c r="I9" s="468"/>
      <c r="J9" s="426">
        <f>J47</f>
        <v>11665082143</v>
      </c>
      <c r="K9" s="426"/>
      <c r="L9" s="426">
        <v>62421593897</v>
      </c>
    </row>
    <row r="10" spans="1:17" ht="33.75" hidden="1" customHeight="1" x14ac:dyDescent="0.6">
      <c r="B10" s="468"/>
      <c r="C10" s="468"/>
      <c r="D10" s="1515" t="s">
        <v>491</v>
      </c>
      <c r="E10" s="1515"/>
      <c r="F10" s="1515"/>
      <c r="G10" s="468"/>
      <c r="H10" s="468"/>
      <c r="I10" s="468"/>
      <c r="J10" s="426">
        <v>0</v>
      </c>
      <c r="K10" s="426"/>
      <c r="L10" s="426">
        <v>0</v>
      </c>
    </row>
    <row r="11" spans="1:17" ht="33.75" customHeight="1" x14ac:dyDescent="0.65">
      <c r="B11" s="468"/>
      <c r="C11" s="468"/>
      <c r="D11" s="1515"/>
      <c r="E11" s="1515"/>
      <c r="F11" s="1515"/>
      <c r="G11" s="468"/>
      <c r="H11" s="1679" t="s">
        <v>1312</v>
      </c>
      <c r="I11" s="468"/>
      <c r="J11" s="909">
        <f>SUM(J8:J10)-1</f>
        <v>104764543319</v>
      </c>
      <c r="K11" s="430"/>
      <c r="L11" s="910">
        <v>234530936449</v>
      </c>
    </row>
    <row r="12" spans="1:17" ht="27" customHeight="1" x14ac:dyDescent="0.65">
      <c r="B12" s="903"/>
      <c r="C12" s="468"/>
      <c r="D12" s="1514" t="s">
        <v>134</v>
      </c>
      <c r="E12" s="1514"/>
      <c r="F12" s="1514"/>
      <c r="G12" s="468"/>
      <c r="H12" s="468"/>
      <c r="I12" s="468"/>
      <c r="J12" s="468"/>
      <c r="K12" s="426"/>
      <c r="L12" s="447"/>
    </row>
    <row r="13" spans="1:17" ht="33.75" customHeight="1" x14ac:dyDescent="0.6">
      <c r="B13" s="468"/>
      <c r="C13" s="468"/>
      <c r="D13" s="1515" t="s">
        <v>135</v>
      </c>
      <c r="E13" s="1515"/>
      <c r="F13" s="1515"/>
      <c r="G13" s="468"/>
      <c r="H13" s="426" t="s">
        <v>480</v>
      </c>
      <c r="I13" s="468"/>
      <c r="J13" s="424">
        <f>'15-16'!J33</f>
        <v>64196559054</v>
      </c>
      <c r="K13" s="426"/>
      <c r="L13" s="424">
        <v>38259899030</v>
      </c>
    </row>
    <row r="14" spans="1:17" ht="33.75" customHeight="1" x14ac:dyDescent="0.6">
      <c r="B14" s="468"/>
      <c r="C14" s="468"/>
      <c r="D14" s="1515" t="s">
        <v>256</v>
      </c>
      <c r="E14" s="1515"/>
      <c r="F14" s="1515"/>
      <c r="G14" s="468"/>
      <c r="H14" s="426" t="s">
        <v>1017</v>
      </c>
      <c r="I14" s="468"/>
      <c r="J14" s="475">
        <f>'15-16'!J56</f>
        <v>36813424113</v>
      </c>
      <c r="K14" s="426"/>
      <c r="L14" s="475">
        <v>44355505020</v>
      </c>
    </row>
    <row r="15" spans="1:17" ht="33.75" customHeight="1" x14ac:dyDescent="0.6">
      <c r="B15" s="468"/>
      <c r="C15" s="468"/>
      <c r="D15" s="468"/>
      <c r="E15" s="468"/>
      <c r="F15" s="468"/>
      <c r="G15" s="468"/>
      <c r="H15" s="468"/>
      <c r="I15" s="468"/>
      <c r="J15" s="426">
        <f>SUM(J13:J14)</f>
        <v>101009983167</v>
      </c>
      <c r="K15" s="426"/>
      <c r="L15" s="426">
        <v>82615404050</v>
      </c>
    </row>
    <row r="16" spans="1:17" ht="33.75" customHeight="1" thickBot="1" x14ac:dyDescent="0.7">
      <c r="B16" s="903"/>
      <c r="C16" s="468"/>
      <c r="D16" s="468"/>
      <c r="E16" s="468"/>
      <c r="F16" s="468"/>
      <c r="G16" s="468"/>
      <c r="H16" s="468"/>
      <c r="I16" s="468"/>
      <c r="J16" s="956">
        <f>J15+J11</f>
        <v>205774526486</v>
      </c>
      <c r="K16" s="426"/>
      <c r="L16" s="460">
        <v>317146340499</v>
      </c>
      <c r="P16" s="447">
        <f>J16-'وضعيت مالي'!F13</f>
        <v>0</v>
      </c>
      <c r="Q16" s="447">
        <f>L16-'وضعيت مالي'!H13</f>
        <v>0</v>
      </c>
    </row>
    <row r="17" spans="2:12" ht="15.75" customHeight="1" thickTop="1" x14ac:dyDescent="0.65">
      <c r="B17" s="903"/>
      <c r="C17" s="468"/>
      <c r="D17" s="468"/>
      <c r="E17" s="468"/>
      <c r="F17" s="468"/>
      <c r="G17" s="468"/>
      <c r="H17" s="468"/>
      <c r="I17" s="468"/>
      <c r="J17" s="911"/>
      <c r="K17" s="426"/>
      <c r="L17" s="426"/>
    </row>
    <row r="18" spans="2:12" ht="24" customHeight="1" x14ac:dyDescent="0.65">
      <c r="B18" s="903"/>
      <c r="C18" s="468"/>
      <c r="D18" s="1516" t="s">
        <v>477</v>
      </c>
      <c r="E18" s="1516"/>
      <c r="F18" s="1516"/>
      <c r="G18" s="1516"/>
      <c r="H18" s="1516"/>
      <c r="I18" s="468"/>
      <c r="J18" s="912"/>
      <c r="K18" s="468"/>
      <c r="L18" s="468"/>
    </row>
    <row r="19" spans="2:12" ht="27" customHeight="1" x14ac:dyDescent="0.65">
      <c r="B19" s="903"/>
      <c r="C19" s="468"/>
      <c r="D19" s="468"/>
      <c r="E19" s="468"/>
      <c r="F19" s="468"/>
      <c r="G19" s="468"/>
      <c r="H19" s="468"/>
      <c r="I19" s="468"/>
      <c r="J19" s="905">
        <v>1403</v>
      </c>
      <c r="K19" s="906"/>
      <c r="L19" s="905">
        <v>1402</v>
      </c>
    </row>
    <row r="20" spans="2:12" ht="24.75" customHeight="1" x14ac:dyDescent="0.65">
      <c r="B20" s="903"/>
      <c r="C20" s="468"/>
      <c r="D20" s="468"/>
      <c r="E20" s="468"/>
      <c r="F20" s="468"/>
      <c r="G20" s="468"/>
      <c r="H20" s="468"/>
      <c r="I20" s="468"/>
      <c r="J20" s="908" t="s">
        <v>591</v>
      </c>
      <c r="K20" s="426"/>
      <c r="L20" s="908" t="s">
        <v>591</v>
      </c>
    </row>
    <row r="21" spans="2:12" ht="33.75" customHeight="1" x14ac:dyDescent="0.65">
      <c r="B21" s="903"/>
      <c r="C21" s="468"/>
      <c r="D21" s="468" t="s">
        <v>1223</v>
      </c>
      <c r="E21" s="468"/>
      <c r="F21" s="468"/>
      <c r="G21" s="468"/>
      <c r="H21" s="468"/>
      <c r="I21" s="468"/>
      <c r="J21" s="728">
        <v>51366974019</v>
      </c>
      <c r="K21" s="426"/>
      <c r="L21" s="728">
        <v>48992523578</v>
      </c>
    </row>
    <row r="22" spans="2:12" ht="33.75" customHeight="1" x14ac:dyDescent="0.65">
      <c r="B22" s="903"/>
      <c r="C22" s="468"/>
      <c r="D22" s="913" t="s">
        <v>1118</v>
      </c>
      <c r="E22" s="468"/>
      <c r="F22" s="468"/>
      <c r="G22" s="468"/>
      <c r="H22" s="468"/>
      <c r="I22" s="468"/>
      <c r="J22" s="728">
        <v>20388519324</v>
      </c>
      <c r="K22" s="426"/>
      <c r="L22" s="728">
        <v>0</v>
      </c>
    </row>
    <row r="23" spans="2:12" ht="33.75" customHeight="1" x14ac:dyDescent="0.65">
      <c r="B23" s="903"/>
      <c r="C23" s="468"/>
      <c r="D23" s="913" t="s">
        <v>963</v>
      </c>
      <c r="E23" s="468"/>
      <c r="F23" s="468"/>
      <c r="G23" s="468"/>
      <c r="H23" s="468"/>
      <c r="I23" s="468"/>
      <c r="J23" s="728">
        <v>16784237666</v>
      </c>
      <c r="K23" s="426"/>
      <c r="L23" s="728">
        <v>1293917553</v>
      </c>
    </row>
    <row r="24" spans="2:12" ht="33.75" customHeight="1" x14ac:dyDescent="0.65">
      <c r="B24" s="903"/>
      <c r="C24" s="468"/>
      <c r="D24" s="913" t="s">
        <v>1224</v>
      </c>
      <c r="E24" s="468"/>
      <c r="F24" s="468"/>
      <c r="G24" s="468"/>
      <c r="H24" s="468"/>
      <c r="I24" s="468"/>
      <c r="J24" s="728">
        <v>1552861370</v>
      </c>
      <c r="K24" s="426"/>
      <c r="L24" s="728">
        <v>0</v>
      </c>
    </row>
    <row r="25" spans="2:12" ht="33.75" customHeight="1" x14ac:dyDescent="0.65">
      <c r="B25" s="903"/>
      <c r="C25" s="468"/>
      <c r="D25" s="913" t="s">
        <v>1119</v>
      </c>
      <c r="E25" s="468"/>
      <c r="F25" s="468"/>
      <c r="G25" s="468"/>
      <c r="H25" s="468"/>
      <c r="I25" s="468"/>
      <c r="J25" s="728">
        <v>1250000000</v>
      </c>
      <c r="K25" s="426"/>
      <c r="L25" s="728">
        <v>0</v>
      </c>
    </row>
    <row r="26" spans="2:12" ht="33.75" customHeight="1" x14ac:dyDescent="0.65">
      <c r="B26" s="903"/>
      <c r="C26" s="468"/>
      <c r="D26" s="468" t="s">
        <v>1225</v>
      </c>
      <c r="E26" s="468"/>
      <c r="F26" s="468"/>
      <c r="G26" s="468"/>
      <c r="H26" s="468"/>
      <c r="I26" s="468"/>
      <c r="J26" s="728">
        <v>64358511</v>
      </c>
      <c r="K26" s="426"/>
      <c r="L26" s="728">
        <v>22883076990</v>
      </c>
    </row>
    <row r="27" spans="2:12" ht="33.75" customHeight="1" x14ac:dyDescent="0.65">
      <c r="B27" s="903"/>
      <c r="C27" s="468"/>
      <c r="D27" s="468" t="s">
        <v>962</v>
      </c>
      <c r="E27" s="468"/>
      <c r="F27" s="468"/>
      <c r="G27" s="468"/>
      <c r="H27" s="468"/>
      <c r="I27" s="468"/>
      <c r="J27" s="728">
        <v>0</v>
      </c>
      <c r="K27" s="426"/>
      <c r="L27" s="728">
        <v>36885777029</v>
      </c>
    </row>
    <row r="28" spans="2:12" ht="33.75" customHeight="1" x14ac:dyDescent="0.65">
      <c r="B28" s="903"/>
      <c r="C28" s="468"/>
      <c r="D28" s="468" t="s">
        <v>1226</v>
      </c>
      <c r="E28" s="468"/>
      <c r="F28" s="468"/>
      <c r="G28" s="468"/>
      <c r="H28" s="468"/>
      <c r="I28" s="468"/>
      <c r="J28" s="728">
        <v>0</v>
      </c>
      <c r="K28" s="426"/>
      <c r="L28" s="728">
        <v>16521474204</v>
      </c>
    </row>
    <row r="29" spans="2:12" ht="33.75" customHeight="1" x14ac:dyDescent="0.65">
      <c r="B29" s="903"/>
      <c r="C29" s="468"/>
      <c r="D29" s="468" t="s">
        <v>1227</v>
      </c>
      <c r="E29" s="468"/>
      <c r="F29" s="468"/>
      <c r="G29" s="468"/>
      <c r="H29" s="468"/>
      <c r="I29" s="468"/>
      <c r="J29" s="728">
        <v>0</v>
      </c>
      <c r="K29" s="426"/>
      <c r="L29" s="728">
        <v>15874574368</v>
      </c>
    </row>
    <row r="30" spans="2:12" ht="33.75" customHeight="1" x14ac:dyDescent="0.65">
      <c r="B30" s="903"/>
      <c r="C30" s="468"/>
      <c r="D30" s="468" t="s">
        <v>1228</v>
      </c>
      <c r="E30" s="468"/>
      <c r="F30" s="468"/>
      <c r="G30" s="468"/>
      <c r="H30" s="468"/>
      <c r="I30" s="468"/>
      <c r="J30" s="728">
        <v>0</v>
      </c>
      <c r="K30" s="426"/>
      <c r="L30" s="728">
        <v>15641572064</v>
      </c>
    </row>
    <row r="31" spans="2:12" ht="33.75" customHeight="1" x14ac:dyDescent="0.65">
      <c r="B31" s="903"/>
      <c r="C31" s="468"/>
      <c r="D31" s="913" t="s">
        <v>861</v>
      </c>
      <c r="E31" s="468"/>
      <c r="F31" s="468"/>
      <c r="G31" s="468"/>
      <c r="H31" s="468"/>
      <c r="I31" s="468"/>
      <c r="J31" s="728">
        <v>0</v>
      </c>
      <c r="K31" s="426"/>
      <c r="L31" s="728">
        <v>5926801315</v>
      </c>
    </row>
    <row r="32" spans="2:12" ht="33.75" customHeight="1" x14ac:dyDescent="0.65">
      <c r="B32" s="903"/>
      <c r="C32" s="468"/>
      <c r="D32" s="913" t="s">
        <v>1229</v>
      </c>
      <c r="E32" s="468"/>
      <c r="F32" s="468"/>
      <c r="G32" s="468"/>
      <c r="H32" s="468"/>
      <c r="I32" s="468"/>
      <c r="J32" s="728">
        <v>0</v>
      </c>
      <c r="K32" s="426"/>
      <c r="L32" s="728">
        <v>2542177121</v>
      </c>
    </row>
    <row r="33" spans="1:19" ht="33.75" customHeight="1" x14ac:dyDescent="0.65">
      <c r="B33" s="903"/>
      <c r="C33" s="468"/>
      <c r="D33" s="913" t="s">
        <v>686</v>
      </c>
      <c r="E33" s="468"/>
      <c r="F33" s="468"/>
      <c r="G33" s="468"/>
      <c r="H33" s="468"/>
      <c r="I33" s="468"/>
      <c r="J33" s="728">
        <v>0</v>
      </c>
      <c r="K33" s="426"/>
      <c r="L33" s="728">
        <v>1209600000</v>
      </c>
    </row>
    <row r="34" spans="1:19" ht="33.75" customHeight="1" x14ac:dyDescent="0.65">
      <c r="B34" s="903"/>
      <c r="C34" s="468"/>
      <c r="D34" s="913" t="s">
        <v>863</v>
      </c>
      <c r="E34" s="468"/>
      <c r="F34" s="468"/>
      <c r="G34" s="468"/>
      <c r="H34" s="468"/>
      <c r="I34" s="468"/>
      <c r="J34" s="728">
        <v>0</v>
      </c>
      <c r="K34" s="426"/>
      <c r="L34" s="728">
        <v>727596049</v>
      </c>
    </row>
    <row r="35" spans="1:19" ht="33.75" customHeight="1" x14ac:dyDescent="0.65">
      <c r="B35" s="903"/>
      <c r="C35" s="468"/>
      <c r="D35" s="907" t="s">
        <v>130</v>
      </c>
      <c r="E35" s="914"/>
      <c r="F35" s="914"/>
      <c r="G35" s="468"/>
      <c r="H35" s="468"/>
      <c r="I35" s="468"/>
      <c r="J35" s="1107">
        <f>1692510286+1</f>
        <v>1692510287</v>
      </c>
      <c r="K35" s="426"/>
      <c r="L35" s="414">
        <v>3610252282</v>
      </c>
    </row>
    <row r="36" spans="1:19" ht="33.75" customHeight="1" thickBot="1" x14ac:dyDescent="0.65">
      <c r="B36" s="468"/>
      <c r="C36" s="468"/>
      <c r="D36" s="468"/>
      <c r="E36" s="468"/>
      <c r="F36" s="468"/>
      <c r="G36" s="468"/>
      <c r="H36" s="468"/>
      <c r="I36" s="468"/>
      <c r="J36" s="499">
        <f>SUM(J21:J35)</f>
        <v>93099461177</v>
      </c>
      <c r="K36" s="426"/>
      <c r="L36" s="415">
        <v>172109342553</v>
      </c>
      <c r="R36" s="447" t="b">
        <f>J36=J8</f>
        <v>1</v>
      </c>
      <c r="S36" s="447" t="b">
        <f>L36=L8</f>
        <v>1</v>
      </c>
    </row>
    <row r="37" spans="1:19" ht="15.75" customHeight="1" thickTop="1" x14ac:dyDescent="0.6">
      <c r="B37" s="468"/>
      <c r="C37" s="468"/>
      <c r="D37" s="468"/>
      <c r="E37" s="468"/>
      <c r="F37" s="468"/>
      <c r="G37" s="468"/>
      <c r="H37" s="468"/>
      <c r="I37" s="468"/>
      <c r="J37" s="426"/>
      <c r="K37" s="426"/>
      <c r="L37" s="426"/>
    </row>
    <row r="38" spans="1:19" ht="33.75" customHeight="1" x14ac:dyDescent="0.6">
      <c r="B38" s="468"/>
      <c r="C38" s="468"/>
      <c r="D38" s="1516" t="s">
        <v>1018</v>
      </c>
      <c r="E38" s="1516"/>
      <c r="F38" s="1516"/>
      <c r="G38" s="1516"/>
      <c r="H38" s="1516"/>
      <c r="I38" s="1516"/>
      <c r="J38" s="1516"/>
      <c r="K38" s="1516"/>
      <c r="L38" s="1516"/>
    </row>
    <row r="39" spans="1:19" ht="33.75" customHeight="1" x14ac:dyDescent="0.65">
      <c r="B39" s="468"/>
      <c r="C39" s="468"/>
      <c r="D39" s="468"/>
      <c r="E39" s="468"/>
      <c r="F39" s="468"/>
      <c r="G39" s="468"/>
      <c r="H39" s="468"/>
      <c r="I39" s="468"/>
      <c r="J39" s="905">
        <v>1403</v>
      </c>
      <c r="K39" s="906"/>
      <c r="L39" s="905">
        <v>1402</v>
      </c>
    </row>
    <row r="40" spans="1:19" ht="30.75" customHeight="1" x14ac:dyDescent="0.6">
      <c r="B40" s="468"/>
      <c r="C40" s="468"/>
      <c r="D40" s="468" t="s">
        <v>1014</v>
      </c>
      <c r="E40" s="468"/>
      <c r="F40" s="468"/>
      <c r="G40" s="468"/>
      <c r="H40" s="468"/>
      <c r="I40" s="468"/>
      <c r="J40" s="426">
        <v>9527490000</v>
      </c>
      <c r="K40" s="426"/>
      <c r="L40" s="426">
        <v>9527490000</v>
      </c>
    </row>
    <row r="41" spans="1:19" ht="30.75" customHeight="1" x14ac:dyDescent="0.6">
      <c r="B41" s="468"/>
      <c r="C41" s="468"/>
      <c r="D41" s="468" t="s">
        <v>862</v>
      </c>
      <c r="E41" s="468"/>
      <c r="F41" s="468"/>
      <c r="G41" s="468"/>
      <c r="H41" s="468"/>
      <c r="I41" s="468"/>
      <c r="J41" s="426">
        <v>1070439200</v>
      </c>
      <c r="K41" s="426"/>
      <c r="L41" s="426">
        <v>1070439200</v>
      </c>
    </row>
    <row r="42" spans="1:19" ht="30.75" customHeight="1" x14ac:dyDescent="0.6">
      <c r="B42" s="468"/>
      <c r="C42" s="468"/>
      <c r="D42" s="468" t="s">
        <v>1015</v>
      </c>
      <c r="E42" s="468"/>
      <c r="F42" s="468"/>
      <c r="G42" s="468"/>
      <c r="H42" s="468"/>
      <c r="I42" s="468"/>
      <c r="J42" s="426">
        <v>1067152943</v>
      </c>
      <c r="K42" s="426"/>
      <c r="L42" s="426">
        <v>1067152943</v>
      </c>
    </row>
    <row r="43" spans="1:19" ht="30.75" customHeight="1" x14ac:dyDescent="0.6">
      <c r="B43" s="468"/>
      <c r="C43" s="468"/>
      <c r="D43" s="468" t="s">
        <v>1230</v>
      </c>
      <c r="E43" s="468"/>
      <c r="F43" s="468"/>
      <c r="G43" s="468"/>
      <c r="H43" s="468"/>
      <c r="I43" s="468"/>
      <c r="J43" s="426">
        <v>0</v>
      </c>
      <c r="K43" s="426"/>
      <c r="L43" s="426">
        <v>30332710008</v>
      </c>
    </row>
    <row r="44" spans="1:19" ht="30.75" customHeight="1" x14ac:dyDescent="0.6">
      <c r="B44" s="468"/>
      <c r="C44" s="468"/>
      <c r="D44" s="468" t="s">
        <v>1013</v>
      </c>
      <c r="E44" s="468"/>
      <c r="F44" s="468"/>
      <c r="G44" s="468"/>
      <c r="H44" s="468"/>
      <c r="I44" s="468"/>
      <c r="J44" s="426">
        <v>0</v>
      </c>
      <c r="K44" s="426"/>
      <c r="L44" s="426">
        <v>16893949546</v>
      </c>
    </row>
    <row r="45" spans="1:19" ht="30.75" customHeight="1" x14ac:dyDescent="0.6">
      <c r="B45" s="468"/>
      <c r="C45" s="468"/>
      <c r="D45" s="468" t="s">
        <v>1231</v>
      </c>
      <c r="E45" s="468"/>
      <c r="F45" s="468"/>
      <c r="G45" s="468"/>
      <c r="H45" s="468"/>
      <c r="I45" s="468"/>
      <c r="J45" s="426">
        <v>0</v>
      </c>
      <c r="K45" s="426"/>
      <c r="L45" s="426">
        <v>2813517000</v>
      </c>
    </row>
    <row r="46" spans="1:19" ht="30.75" customHeight="1" x14ac:dyDescent="0.6">
      <c r="B46" s="468"/>
      <c r="C46" s="468"/>
      <c r="D46" s="468" t="s">
        <v>130</v>
      </c>
      <c r="E46" s="468"/>
      <c r="F46" s="468"/>
      <c r="G46" s="468"/>
      <c r="H46" s="468"/>
      <c r="I46" s="468"/>
      <c r="J46" s="426">
        <v>0</v>
      </c>
      <c r="K46" s="426"/>
      <c r="L46" s="426">
        <v>716335200</v>
      </c>
    </row>
    <row r="47" spans="1:19" ht="33.75" customHeight="1" thickBot="1" x14ac:dyDescent="0.3">
      <c r="J47" s="975">
        <f>SUM(J40:J46)</f>
        <v>11665082143</v>
      </c>
      <c r="L47" s="975">
        <f>SUM(L40:L46)</f>
        <v>62421593897</v>
      </c>
      <c r="R47" s="447" t="b">
        <f>J47=J9</f>
        <v>1</v>
      </c>
      <c r="S47" s="447" t="b">
        <f>L47=L9</f>
        <v>1</v>
      </c>
    </row>
    <row r="48" spans="1:19" s="468" customFormat="1" ht="54" customHeight="1" thickTop="1" x14ac:dyDescent="0.6">
      <c r="A48" s="1513" t="s">
        <v>814</v>
      </c>
      <c r="B48" s="1513"/>
      <c r="C48" s="1513"/>
      <c r="D48" s="1513"/>
      <c r="E48" s="1513"/>
      <c r="F48" s="1513"/>
      <c r="G48" s="1513"/>
      <c r="H48" s="1513"/>
      <c r="I48" s="1513"/>
      <c r="J48" s="1513"/>
      <c r="K48" s="1513"/>
      <c r="L48" s="1513"/>
      <c r="M48" s="1513"/>
    </row>
  </sheetData>
  <customSheetViews>
    <customSheetView guid="{39716EAB-185B-4ADF-90CF-1B1041867F58}" scale="90" showPageBreaks="1" printArea="1" view="pageBreakPreview" topLeftCell="A10">
      <selection activeCell="L15" sqref="L15"/>
      <rowBreaks count="1" manualBreakCount="1">
        <brk id="54" max="12" man="1"/>
      </rowBreaks>
      <pageMargins left="0" right="0" top="0" bottom="0" header="0.31496062992125984" footer="0.31496062992125984"/>
      <printOptions horizontalCentered="1"/>
      <pageSetup paperSize="9" scale="44" orientation="portrait" r:id="rId1"/>
    </customSheetView>
    <customSheetView guid="{5CB8382F-C212-4512-9396-17792C62978E}" scale="90" showPageBreaks="1" printArea="1" view="pageBreakPreview" topLeftCell="A10">
      <selection activeCell="L15" sqref="L15"/>
      <rowBreaks count="1" manualBreakCount="1">
        <brk id="54" max="12" man="1"/>
      </rowBreaks>
      <pageMargins left="0" right="0" top="0" bottom="0" header="0.31496062992125984" footer="0.31496062992125984"/>
      <printOptions horizontalCentered="1"/>
      <pageSetup paperSize="9" scale="44" orientation="portrait" r:id="rId2"/>
    </customSheetView>
    <customSheetView guid="{184BCED3-EADB-44CF-BFDA-DA8D3E7206C0}" scale="90" showPageBreaks="1" printArea="1" view="pageBreakPreview" topLeftCell="A46">
      <selection activeCell="L12" sqref="L12"/>
      <rowBreaks count="1" manualBreakCount="1">
        <brk id="55" max="12" man="1"/>
      </rowBreaks>
      <pageMargins left="0" right="0" top="0" bottom="0" header="0.31496062992125984" footer="0.31496062992125984"/>
      <printOptions horizontalCentered="1"/>
      <pageSetup paperSize="9" scale="44" orientation="portrait" r:id="rId3"/>
    </customSheetView>
  </customSheetViews>
  <mergeCells count="15">
    <mergeCell ref="A1:M1"/>
    <mergeCell ref="A2:M2"/>
    <mergeCell ref="A3:M3"/>
    <mergeCell ref="A48:M48"/>
    <mergeCell ref="B4:L4"/>
    <mergeCell ref="D14:F14"/>
    <mergeCell ref="D7:F7"/>
    <mergeCell ref="D8:F8"/>
    <mergeCell ref="D9:F9"/>
    <mergeCell ref="D18:H18"/>
    <mergeCell ref="D10:F10"/>
    <mergeCell ref="D11:F11"/>
    <mergeCell ref="D12:F12"/>
    <mergeCell ref="D13:F13"/>
    <mergeCell ref="D38:L38"/>
  </mergeCells>
  <conditionalFormatting sqref="L35:L36">
    <cfRule type="cellIs" dxfId="66" priority="1" stopIfTrue="1" operator="lessThan">
      <formula>0</formula>
    </cfRule>
  </conditionalFormatting>
  <printOptions horizontalCentered="1"/>
  <pageMargins left="0" right="0" top="0" bottom="0" header="0.31496062992126" footer="0.31496062992126"/>
  <pageSetup paperSize="9" scale="55" orientation="portrait" r:id="rId4"/>
  <rowBreaks count="1" manualBreakCount="1">
    <brk id="50"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Q84"/>
  <sheetViews>
    <sheetView rightToLeft="1" view="pageBreakPreview" topLeftCell="A7" zoomScaleNormal="100" zoomScaleSheetLayoutView="100" workbookViewId="0">
      <selection activeCell="J32" activeCellId="3" sqref="A1:Q84"/>
    </sheetView>
  </sheetViews>
  <sheetFormatPr defaultRowHeight="25.5" customHeight="1" x14ac:dyDescent="0.25"/>
  <cols>
    <col min="1" max="1" width="7.140625" style="491" customWidth="1"/>
    <col min="2" max="2" width="0.85546875" style="440" customWidth="1"/>
    <col min="3" max="3" width="0.7109375" style="440" customWidth="1"/>
    <col min="4" max="4" width="37.5703125" style="440" customWidth="1"/>
    <col min="5" max="5" width="0.7109375" style="440" customWidth="1"/>
    <col min="6" max="6" width="1.42578125" style="440" customWidth="1"/>
    <col min="7" max="7" width="12.42578125" style="440" customWidth="1"/>
    <col min="8" max="8" width="1.42578125" style="440" customWidth="1"/>
    <col min="9" max="9" width="0.7109375" style="440" customWidth="1"/>
    <col min="10" max="10" width="27.7109375" style="388" bestFit="1" customWidth="1"/>
    <col min="11" max="11" width="6.140625" style="388" customWidth="1"/>
    <col min="12" max="12" width="27.7109375" style="334" bestFit="1" customWidth="1"/>
    <col min="13" max="13" width="0.7109375" style="440" customWidth="1"/>
    <col min="14" max="14" width="1.85546875" style="440" customWidth="1"/>
    <col min="15" max="15" width="47.7109375" style="440" customWidth="1"/>
    <col min="16" max="16" width="25.5703125" style="440" customWidth="1"/>
    <col min="17" max="17" width="11.140625" style="440" customWidth="1"/>
    <col min="18" max="20" width="9.140625" style="440"/>
    <col min="21" max="21" width="10.42578125" style="440" bestFit="1" customWidth="1"/>
    <col min="22" max="250" width="9.140625" style="440"/>
    <col min="251" max="251" width="3.5703125" style="440" customWidth="1"/>
    <col min="252" max="252" width="4.85546875" style="440" customWidth="1"/>
    <col min="253" max="253" width="5.42578125" style="440" customWidth="1"/>
    <col min="254" max="254" width="31.28515625" style="440" customWidth="1"/>
    <col min="255" max="255" width="7.5703125" style="440" customWidth="1"/>
    <col min="256" max="256" width="2.42578125" style="440" customWidth="1"/>
    <col min="257" max="257" width="11.5703125" style="440" customWidth="1"/>
    <col min="258" max="258" width="2.42578125" style="440" customWidth="1"/>
    <col min="259" max="259" width="11.5703125" style="440" customWidth="1"/>
    <col min="260" max="260" width="2.42578125" style="440" customWidth="1"/>
    <col min="261" max="261" width="10.85546875" style="440" customWidth="1"/>
    <col min="262" max="262" width="2.42578125" style="440" customWidth="1"/>
    <col min="263" max="263" width="11.140625" style="440" customWidth="1"/>
    <col min="264" max="264" width="1.85546875" style="440" customWidth="1"/>
    <col min="265" max="265" width="11" style="440" customWidth="1"/>
    <col min="266" max="266" width="0.7109375" style="440" customWidth="1"/>
    <col min="267" max="267" width="1.85546875" style="440" customWidth="1"/>
    <col min="268" max="268" width="11.85546875" style="440" bestFit="1" customWidth="1"/>
    <col min="269" max="269" width="15.28515625" style="440" bestFit="1" customWidth="1"/>
    <col min="270" max="270" width="5" style="440" customWidth="1"/>
    <col min="271" max="271" width="10.42578125" style="440" bestFit="1" customWidth="1"/>
    <col min="272" max="272" width="5" style="440" customWidth="1"/>
    <col min="273" max="273" width="10.42578125" style="440" bestFit="1" customWidth="1"/>
    <col min="274" max="276" width="9.140625" style="440"/>
    <col min="277" max="277" width="10.42578125" style="440" bestFit="1" customWidth="1"/>
    <col min="278" max="506" width="9.140625" style="440"/>
    <col min="507" max="507" width="3.5703125" style="440" customWidth="1"/>
    <col min="508" max="508" width="4.85546875" style="440" customWidth="1"/>
    <col min="509" max="509" width="5.42578125" style="440" customWidth="1"/>
    <col min="510" max="510" width="31.28515625" style="440" customWidth="1"/>
    <col min="511" max="511" width="7.5703125" style="440" customWidth="1"/>
    <col min="512" max="512" width="2.42578125" style="440" customWidth="1"/>
    <col min="513" max="513" width="11.5703125" style="440" customWidth="1"/>
    <col min="514" max="514" width="2.42578125" style="440" customWidth="1"/>
    <col min="515" max="515" width="11.5703125" style="440" customWidth="1"/>
    <col min="516" max="516" width="2.42578125" style="440" customWidth="1"/>
    <col min="517" max="517" width="10.85546875" style="440" customWidth="1"/>
    <col min="518" max="518" width="2.42578125" style="440" customWidth="1"/>
    <col min="519" max="519" width="11.140625" style="440" customWidth="1"/>
    <col min="520" max="520" width="1.85546875" style="440" customWidth="1"/>
    <col min="521" max="521" width="11" style="440" customWidth="1"/>
    <col min="522" max="522" width="0.7109375" style="440" customWidth="1"/>
    <col min="523" max="523" width="1.85546875" style="440" customWidth="1"/>
    <col min="524" max="524" width="11.85546875" style="440" bestFit="1" customWidth="1"/>
    <col min="525" max="525" width="15.28515625" style="440" bestFit="1" customWidth="1"/>
    <col min="526" max="526" width="5" style="440" customWidth="1"/>
    <col min="527" max="527" width="10.42578125" style="440" bestFit="1" customWidth="1"/>
    <col min="528" max="528" width="5" style="440" customWidth="1"/>
    <col min="529" max="529" width="10.42578125" style="440" bestFit="1" customWidth="1"/>
    <col min="530" max="532" width="9.140625" style="440"/>
    <col min="533" max="533" width="10.42578125" style="440" bestFit="1" customWidth="1"/>
    <col min="534" max="762" width="9.140625" style="440"/>
    <col min="763" max="763" width="3.5703125" style="440" customWidth="1"/>
    <col min="764" max="764" width="4.85546875" style="440" customWidth="1"/>
    <col min="765" max="765" width="5.42578125" style="440" customWidth="1"/>
    <col min="766" max="766" width="31.28515625" style="440" customWidth="1"/>
    <col min="767" max="767" width="7.5703125" style="440" customWidth="1"/>
    <col min="768" max="768" width="2.42578125" style="440" customWidth="1"/>
    <col min="769" max="769" width="11.5703125" style="440" customWidth="1"/>
    <col min="770" max="770" width="2.42578125" style="440" customWidth="1"/>
    <col min="771" max="771" width="11.5703125" style="440" customWidth="1"/>
    <col min="772" max="772" width="2.42578125" style="440" customWidth="1"/>
    <col min="773" max="773" width="10.85546875" style="440" customWidth="1"/>
    <col min="774" max="774" width="2.42578125" style="440" customWidth="1"/>
    <col min="775" max="775" width="11.140625" style="440" customWidth="1"/>
    <col min="776" max="776" width="1.85546875" style="440" customWidth="1"/>
    <col min="777" max="777" width="11" style="440" customWidth="1"/>
    <col min="778" max="778" width="0.7109375" style="440" customWidth="1"/>
    <col min="779" max="779" width="1.85546875" style="440" customWidth="1"/>
    <col min="780" max="780" width="11.85546875" style="440" bestFit="1" customWidth="1"/>
    <col min="781" max="781" width="15.28515625" style="440" bestFit="1" customWidth="1"/>
    <col min="782" max="782" width="5" style="440" customWidth="1"/>
    <col min="783" max="783" width="10.42578125" style="440" bestFit="1" customWidth="1"/>
    <col min="784" max="784" width="5" style="440" customWidth="1"/>
    <col min="785" max="785" width="10.42578125" style="440" bestFit="1" customWidth="1"/>
    <col min="786" max="788" width="9.140625" style="440"/>
    <col min="789" max="789" width="10.42578125" style="440" bestFit="1" customWidth="1"/>
    <col min="790" max="1018" width="9.140625" style="440"/>
    <col min="1019" max="1019" width="3.5703125" style="440" customWidth="1"/>
    <col min="1020" max="1020" width="4.85546875" style="440" customWidth="1"/>
    <col min="1021" max="1021" width="5.42578125" style="440" customWidth="1"/>
    <col min="1022" max="1022" width="31.28515625" style="440" customWidth="1"/>
    <col min="1023" max="1023" width="7.5703125" style="440" customWidth="1"/>
    <col min="1024" max="1024" width="2.42578125" style="440" customWidth="1"/>
    <col min="1025" max="1025" width="11.5703125" style="440" customWidth="1"/>
    <col min="1026" max="1026" width="2.42578125" style="440" customWidth="1"/>
    <col min="1027" max="1027" width="11.5703125" style="440" customWidth="1"/>
    <col min="1028" max="1028" width="2.42578125" style="440" customWidth="1"/>
    <col min="1029" max="1029" width="10.85546875" style="440" customWidth="1"/>
    <col min="1030" max="1030" width="2.42578125" style="440" customWidth="1"/>
    <col min="1031" max="1031" width="11.140625" style="440" customWidth="1"/>
    <col min="1032" max="1032" width="1.85546875" style="440" customWidth="1"/>
    <col min="1033" max="1033" width="11" style="440" customWidth="1"/>
    <col min="1034" max="1034" width="0.7109375" style="440" customWidth="1"/>
    <col min="1035" max="1035" width="1.85546875" style="440" customWidth="1"/>
    <col min="1036" max="1036" width="11.85546875" style="440" bestFit="1" customWidth="1"/>
    <col min="1037" max="1037" width="15.28515625" style="440" bestFit="1" customWidth="1"/>
    <col min="1038" max="1038" width="5" style="440" customWidth="1"/>
    <col min="1039" max="1039" width="10.42578125" style="440" bestFit="1" customWidth="1"/>
    <col min="1040" max="1040" width="5" style="440" customWidth="1"/>
    <col min="1041" max="1041" width="10.42578125" style="440" bestFit="1" customWidth="1"/>
    <col min="1042" max="1044" width="9.140625" style="440"/>
    <col min="1045" max="1045" width="10.42578125" style="440" bestFit="1" customWidth="1"/>
    <col min="1046" max="1274" width="9.140625" style="440"/>
    <col min="1275" max="1275" width="3.5703125" style="440" customWidth="1"/>
    <col min="1276" max="1276" width="4.85546875" style="440" customWidth="1"/>
    <col min="1277" max="1277" width="5.42578125" style="440" customWidth="1"/>
    <col min="1278" max="1278" width="31.28515625" style="440" customWidth="1"/>
    <col min="1279" max="1279" width="7.5703125" style="440" customWidth="1"/>
    <col min="1280" max="1280" width="2.42578125" style="440" customWidth="1"/>
    <col min="1281" max="1281" width="11.5703125" style="440" customWidth="1"/>
    <col min="1282" max="1282" width="2.42578125" style="440" customWidth="1"/>
    <col min="1283" max="1283" width="11.5703125" style="440" customWidth="1"/>
    <col min="1284" max="1284" width="2.42578125" style="440" customWidth="1"/>
    <col min="1285" max="1285" width="10.85546875" style="440" customWidth="1"/>
    <col min="1286" max="1286" width="2.42578125" style="440" customWidth="1"/>
    <col min="1287" max="1287" width="11.140625" style="440" customWidth="1"/>
    <col min="1288" max="1288" width="1.85546875" style="440" customWidth="1"/>
    <col min="1289" max="1289" width="11" style="440" customWidth="1"/>
    <col min="1290" max="1290" width="0.7109375" style="440" customWidth="1"/>
    <col min="1291" max="1291" width="1.85546875" style="440" customWidth="1"/>
    <col min="1292" max="1292" width="11.85546875" style="440" bestFit="1" customWidth="1"/>
    <col min="1293" max="1293" width="15.28515625" style="440" bestFit="1" customWidth="1"/>
    <col min="1294" max="1294" width="5" style="440" customWidth="1"/>
    <col min="1295" max="1295" width="10.42578125" style="440" bestFit="1" customWidth="1"/>
    <col min="1296" max="1296" width="5" style="440" customWidth="1"/>
    <col min="1297" max="1297" width="10.42578125" style="440" bestFit="1" customWidth="1"/>
    <col min="1298" max="1300" width="9.140625" style="440"/>
    <col min="1301" max="1301" width="10.42578125" style="440" bestFit="1" customWidth="1"/>
    <col min="1302" max="1530" width="9.140625" style="440"/>
    <col min="1531" max="1531" width="3.5703125" style="440" customWidth="1"/>
    <col min="1532" max="1532" width="4.85546875" style="440" customWidth="1"/>
    <col min="1533" max="1533" width="5.42578125" style="440" customWidth="1"/>
    <col min="1534" max="1534" width="31.28515625" style="440" customWidth="1"/>
    <col min="1535" max="1535" width="7.5703125" style="440" customWidth="1"/>
    <col min="1536" max="1536" width="2.42578125" style="440" customWidth="1"/>
    <col min="1537" max="1537" width="11.5703125" style="440" customWidth="1"/>
    <col min="1538" max="1538" width="2.42578125" style="440" customWidth="1"/>
    <col min="1539" max="1539" width="11.5703125" style="440" customWidth="1"/>
    <col min="1540" max="1540" width="2.42578125" style="440" customWidth="1"/>
    <col min="1541" max="1541" width="10.85546875" style="440" customWidth="1"/>
    <col min="1542" max="1542" width="2.42578125" style="440" customWidth="1"/>
    <col min="1543" max="1543" width="11.140625" style="440" customWidth="1"/>
    <col min="1544" max="1544" width="1.85546875" style="440" customWidth="1"/>
    <col min="1545" max="1545" width="11" style="440" customWidth="1"/>
    <col min="1546" max="1546" width="0.7109375" style="440" customWidth="1"/>
    <col min="1547" max="1547" width="1.85546875" style="440" customWidth="1"/>
    <col min="1548" max="1548" width="11.85546875" style="440" bestFit="1" customWidth="1"/>
    <col min="1549" max="1549" width="15.28515625" style="440" bestFit="1" customWidth="1"/>
    <col min="1550" max="1550" width="5" style="440" customWidth="1"/>
    <col min="1551" max="1551" width="10.42578125" style="440" bestFit="1" customWidth="1"/>
    <col min="1552" max="1552" width="5" style="440" customWidth="1"/>
    <col min="1553" max="1553" width="10.42578125" style="440" bestFit="1" customWidth="1"/>
    <col min="1554" max="1556" width="9.140625" style="440"/>
    <col min="1557" max="1557" width="10.42578125" style="440" bestFit="1" customWidth="1"/>
    <col min="1558" max="1786" width="9.140625" style="440"/>
    <col min="1787" max="1787" width="3.5703125" style="440" customWidth="1"/>
    <col min="1788" max="1788" width="4.85546875" style="440" customWidth="1"/>
    <col min="1789" max="1789" width="5.42578125" style="440" customWidth="1"/>
    <col min="1790" max="1790" width="31.28515625" style="440" customWidth="1"/>
    <col min="1791" max="1791" width="7.5703125" style="440" customWidth="1"/>
    <col min="1792" max="1792" width="2.42578125" style="440" customWidth="1"/>
    <col min="1793" max="1793" width="11.5703125" style="440" customWidth="1"/>
    <col min="1794" max="1794" width="2.42578125" style="440" customWidth="1"/>
    <col min="1795" max="1795" width="11.5703125" style="440" customWidth="1"/>
    <col min="1796" max="1796" width="2.42578125" style="440" customWidth="1"/>
    <col min="1797" max="1797" width="10.85546875" style="440" customWidth="1"/>
    <col min="1798" max="1798" width="2.42578125" style="440" customWidth="1"/>
    <col min="1799" max="1799" width="11.140625" style="440" customWidth="1"/>
    <col min="1800" max="1800" width="1.85546875" style="440" customWidth="1"/>
    <col min="1801" max="1801" width="11" style="440" customWidth="1"/>
    <col min="1802" max="1802" width="0.7109375" style="440" customWidth="1"/>
    <col min="1803" max="1803" width="1.85546875" style="440" customWidth="1"/>
    <col min="1804" max="1804" width="11.85546875" style="440" bestFit="1" customWidth="1"/>
    <col min="1805" max="1805" width="15.28515625" style="440" bestFit="1" customWidth="1"/>
    <col min="1806" max="1806" width="5" style="440" customWidth="1"/>
    <col min="1807" max="1807" width="10.42578125" style="440" bestFit="1" customWidth="1"/>
    <col min="1808" max="1808" width="5" style="440" customWidth="1"/>
    <col min="1809" max="1809" width="10.42578125" style="440" bestFit="1" customWidth="1"/>
    <col min="1810" max="1812" width="9.140625" style="440"/>
    <col min="1813" max="1813" width="10.42578125" style="440" bestFit="1" customWidth="1"/>
    <col min="1814" max="2042" width="9.140625" style="440"/>
    <col min="2043" max="2043" width="3.5703125" style="440" customWidth="1"/>
    <col min="2044" max="2044" width="4.85546875" style="440" customWidth="1"/>
    <col min="2045" max="2045" width="5.42578125" style="440" customWidth="1"/>
    <col min="2046" max="2046" width="31.28515625" style="440" customWidth="1"/>
    <col min="2047" max="2047" width="7.5703125" style="440" customWidth="1"/>
    <col min="2048" max="2048" width="2.42578125" style="440" customWidth="1"/>
    <col min="2049" max="2049" width="11.5703125" style="440" customWidth="1"/>
    <col min="2050" max="2050" width="2.42578125" style="440" customWidth="1"/>
    <col min="2051" max="2051" width="11.5703125" style="440" customWidth="1"/>
    <col min="2052" max="2052" width="2.42578125" style="440" customWidth="1"/>
    <col min="2053" max="2053" width="10.85546875" style="440" customWidth="1"/>
    <col min="2054" max="2054" width="2.42578125" style="440" customWidth="1"/>
    <col min="2055" max="2055" width="11.140625" style="440" customWidth="1"/>
    <col min="2056" max="2056" width="1.85546875" style="440" customWidth="1"/>
    <col min="2057" max="2057" width="11" style="440" customWidth="1"/>
    <col min="2058" max="2058" width="0.7109375" style="440" customWidth="1"/>
    <col min="2059" max="2059" width="1.85546875" style="440" customWidth="1"/>
    <col min="2060" max="2060" width="11.85546875" style="440" bestFit="1" customWidth="1"/>
    <col min="2061" max="2061" width="15.28515625" style="440" bestFit="1" customWidth="1"/>
    <col min="2062" max="2062" width="5" style="440" customWidth="1"/>
    <col min="2063" max="2063" width="10.42578125" style="440" bestFit="1" customWidth="1"/>
    <col min="2064" max="2064" width="5" style="440" customWidth="1"/>
    <col min="2065" max="2065" width="10.42578125" style="440" bestFit="1" customWidth="1"/>
    <col min="2066" max="2068" width="9.140625" style="440"/>
    <col min="2069" max="2069" width="10.42578125" style="440" bestFit="1" customWidth="1"/>
    <col min="2070" max="2298" width="9.140625" style="440"/>
    <col min="2299" max="2299" width="3.5703125" style="440" customWidth="1"/>
    <col min="2300" max="2300" width="4.85546875" style="440" customWidth="1"/>
    <col min="2301" max="2301" width="5.42578125" style="440" customWidth="1"/>
    <col min="2302" max="2302" width="31.28515625" style="440" customWidth="1"/>
    <col min="2303" max="2303" width="7.5703125" style="440" customWidth="1"/>
    <col min="2304" max="2304" width="2.42578125" style="440" customWidth="1"/>
    <col min="2305" max="2305" width="11.5703125" style="440" customWidth="1"/>
    <col min="2306" max="2306" width="2.42578125" style="440" customWidth="1"/>
    <col min="2307" max="2307" width="11.5703125" style="440" customWidth="1"/>
    <col min="2308" max="2308" width="2.42578125" style="440" customWidth="1"/>
    <col min="2309" max="2309" width="10.85546875" style="440" customWidth="1"/>
    <col min="2310" max="2310" width="2.42578125" style="440" customWidth="1"/>
    <col min="2311" max="2311" width="11.140625" style="440" customWidth="1"/>
    <col min="2312" max="2312" width="1.85546875" style="440" customWidth="1"/>
    <col min="2313" max="2313" width="11" style="440" customWidth="1"/>
    <col min="2314" max="2314" width="0.7109375" style="440" customWidth="1"/>
    <col min="2315" max="2315" width="1.85546875" style="440" customWidth="1"/>
    <col min="2316" max="2316" width="11.85546875" style="440" bestFit="1" customWidth="1"/>
    <col min="2317" max="2317" width="15.28515625" style="440" bestFit="1" customWidth="1"/>
    <col min="2318" max="2318" width="5" style="440" customWidth="1"/>
    <col min="2319" max="2319" width="10.42578125" style="440" bestFit="1" customWidth="1"/>
    <col min="2320" max="2320" width="5" style="440" customWidth="1"/>
    <col min="2321" max="2321" width="10.42578125" style="440" bestFit="1" customWidth="1"/>
    <col min="2322" max="2324" width="9.140625" style="440"/>
    <col min="2325" max="2325" width="10.42578125" style="440" bestFit="1" customWidth="1"/>
    <col min="2326" max="2554" width="9.140625" style="440"/>
    <col min="2555" max="2555" width="3.5703125" style="440" customWidth="1"/>
    <col min="2556" max="2556" width="4.85546875" style="440" customWidth="1"/>
    <col min="2557" max="2557" width="5.42578125" style="440" customWidth="1"/>
    <col min="2558" max="2558" width="31.28515625" style="440" customWidth="1"/>
    <col min="2559" max="2559" width="7.5703125" style="440" customWidth="1"/>
    <col min="2560" max="2560" width="2.42578125" style="440" customWidth="1"/>
    <col min="2561" max="2561" width="11.5703125" style="440" customWidth="1"/>
    <col min="2562" max="2562" width="2.42578125" style="440" customWidth="1"/>
    <col min="2563" max="2563" width="11.5703125" style="440" customWidth="1"/>
    <col min="2564" max="2564" width="2.42578125" style="440" customWidth="1"/>
    <col min="2565" max="2565" width="10.85546875" style="440" customWidth="1"/>
    <col min="2566" max="2566" width="2.42578125" style="440" customWidth="1"/>
    <col min="2567" max="2567" width="11.140625" style="440" customWidth="1"/>
    <col min="2568" max="2568" width="1.85546875" style="440" customWidth="1"/>
    <col min="2569" max="2569" width="11" style="440" customWidth="1"/>
    <col min="2570" max="2570" width="0.7109375" style="440" customWidth="1"/>
    <col min="2571" max="2571" width="1.85546875" style="440" customWidth="1"/>
    <col min="2572" max="2572" width="11.85546875" style="440" bestFit="1" customWidth="1"/>
    <col min="2573" max="2573" width="15.28515625" style="440" bestFit="1" customWidth="1"/>
    <col min="2574" max="2574" width="5" style="440" customWidth="1"/>
    <col min="2575" max="2575" width="10.42578125" style="440" bestFit="1" customWidth="1"/>
    <col min="2576" max="2576" width="5" style="440" customWidth="1"/>
    <col min="2577" max="2577" width="10.42578125" style="440" bestFit="1" customWidth="1"/>
    <col min="2578" max="2580" width="9.140625" style="440"/>
    <col min="2581" max="2581" width="10.42578125" style="440" bestFit="1" customWidth="1"/>
    <col min="2582" max="2810" width="9.140625" style="440"/>
    <col min="2811" max="2811" width="3.5703125" style="440" customWidth="1"/>
    <col min="2812" max="2812" width="4.85546875" style="440" customWidth="1"/>
    <col min="2813" max="2813" width="5.42578125" style="440" customWidth="1"/>
    <col min="2814" max="2814" width="31.28515625" style="440" customWidth="1"/>
    <col min="2815" max="2815" width="7.5703125" style="440" customWidth="1"/>
    <col min="2816" max="2816" width="2.42578125" style="440" customWidth="1"/>
    <col min="2817" max="2817" width="11.5703125" style="440" customWidth="1"/>
    <col min="2818" max="2818" width="2.42578125" style="440" customWidth="1"/>
    <col min="2819" max="2819" width="11.5703125" style="440" customWidth="1"/>
    <col min="2820" max="2820" width="2.42578125" style="440" customWidth="1"/>
    <col min="2821" max="2821" width="10.85546875" style="440" customWidth="1"/>
    <col min="2822" max="2822" width="2.42578125" style="440" customWidth="1"/>
    <col min="2823" max="2823" width="11.140625" style="440" customWidth="1"/>
    <col min="2824" max="2824" width="1.85546875" style="440" customWidth="1"/>
    <col min="2825" max="2825" width="11" style="440" customWidth="1"/>
    <col min="2826" max="2826" width="0.7109375" style="440" customWidth="1"/>
    <col min="2827" max="2827" width="1.85546875" style="440" customWidth="1"/>
    <col min="2828" max="2828" width="11.85546875" style="440" bestFit="1" customWidth="1"/>
    <col min="2829" max="2829" width="15.28515625" style="440" bestFit="1" customWidth="1"/>
    <col min="2830" max="2830" width="5" style="440" customWidth="1"/>
    <col min="2831" max="2831" width="10.42578125" style="440" bestFit="1" customWidth="1"/>
    <col min="2832" max="2832" width="5" style="440" customWidth="1"/>
    <col min="2833" max="2833" width="10.42578125" style="440" bestFit="1" customWidth="1"/>
    <col min="2834" max="2836" width="9.140625" style="440"/>
    <col min="2837" max="2837" width="10.42578125" style="440" bestFit="1" customWidth="1"/>
    <col min="2838" max="3066" width="9.140625" style="440"/>
    <col min="3067" max="3067" width="3.5703125" style="440" customWidth="1"/>
    <col min="3068" max="3068" width="4.85546875" style="440" customWidth="1"/>
    <col min="3069" max="3069" width="5.42578125" style="440" customWidth="1"/>
    <col min="3070" max="3070" width="31.28515625" style="440" customWidth="1"/>
    <col min="3071" max="3071" width="7.5703125" style="440" customWidth="1"/>
    <col min="3072" max="3072" width="2.42578125" style="440" customWidth="1"/>
    <col min="3073" max="3073" width="11.5703125" style="440" customWidth="1"/>
    <col min="3074" max="3074" width="2.42578125" style="440" customWidth="1"/>
    <col min="3075" max="3075" width="11.5703125" style="440" customWidth="1"/>
    <col min="3076" max="3076" width="2.42578125" style="440" customWidth="1"/>
    <col min="3077" max="3077" width="10.85546875" style="440" customWidth="1"/>
    <col min="3078" max="3078" width="2.42578125" style="440" customWidth="1"/>
    <col min="3079" max="3079" width="11.140625" style="440" customWidth="1"/>
    <col min="3080" max="3080" width="1.85546875" style="440" customWidth="1"/>
    <col min="3081" max="3081" width="11" style="440" customWidth="1"/>
    <col min="3082" max="3082" width="0.7109375" style="440" customWidth="1"/>
    <col min="3083" max="3083" width="1.85546875" style="440" customWidth="1"/>
    <col min="3084" max="3084" width="11.85546875" style="440" bestFit="1" customWidth="1"/>
    <col min="3085" max="3085" width="15.28515625" style="440" bestFit="1" customWidth="1"/>
    <col min="3086" max="3086" width="5" style="440" customWidth="1"/>
    <col min="3087" max="3087" width="10.42578125" style="440" bestFit="1" customWidth="1"/>
    <col min="3088" max="3088" width="5" style="440" customWidth="1"/>
    <col min="3089" max="3089" width="10.42578125" style="440" bestFit="1" customWidth="1"/>
    <col min="3090" max="3092" width="9.140625" style="440"/>
    <col min="3093" max="3093" width="10.42578125" style="440" bestFit="1" customWidth="1"/>
    <col min="3094" max="3322" width="9.140625" style="440"/>
    <col min="3323" max="3323" width="3.5703125" style="440" customWidth="1"/>
    <col min="3324" max="3324" width="4.85546875" style="440" customWidth="1"/>
    <col min="3325" max="3325" width="5.42578125" style="440" customWidth="1"/>
    <col min="3326" max="3326" width="31.28515625" style="440" customWidth="1"/>
    <col min="3327" max="3327" width="7.5703125" style="440" customWidth="1"/>
    <col min="3328" max="3328" width="2.42578125" style="440" customWidth="1"/>
    <col min="3329" max="3329" width="11.5703125" style="440" customWidth="1"/>
    <col min="3330" max="3330" width="2.42578125" style="440" customWidth="1"/>
    <col min="3331" max="3331" width="11.5703125" style="440" customWidth="1"/>
    <col min="3332" max="3332" width="2.42578125" style="440" customWidth="1"/>
    <col min="3333" max="3333" width="10.85546875" style="440" customWidth="1"/>
    <col min="3334" max="3334" width="2.42578125" style="440" customWidth="1"/>
    <col min="3335" max="3335" width="11.140625" style="440" customWidth="1"/>
    <col min="3336" max="3336" width="1.85546875" style="440" customWidth="1"/>
    <col min="3337" max="3337" width="11" style="440" customWidth="1"/>
    <col min="3338" max="3338" width="0.7109375" style="440" customWidth="1"/>
    <col min="3339" max="3339" width="1.85546875" style="440" customWidth="1"/>
    <col min="3340" max="3340" width="11.85546875" style="440" bestFit="1" customWidth="1"/>
    <col min="3341" max="3341" width="15.28515625" style="440" bestFit="1" customWidth="1"/>
    <col min="3342" max="3342" width="5" style="440" customWidth="1"/>
    <col min="3343" max="3343" width="10.42578125" style="440" bestFit="1" customWidth="1"/>
    <col min="3344" max="3344" width="5" style="440" customWidth="1"/>
    <col min="3345" max="3345" width="10.42578125" style="440" bestFit="1" customWidth="1"/>
    <col min="3346" max="3348" width="9.140625" style="440"/>
    <col min="3349" max="3349" width="10.42578125" style="440" bestFit="1" customWidth="1"/>
    <col min="3350" max="3578" width="9.140625" style="440"/>
    <col min="3579" max="3579" width="3.5703125" style="440" customWidth="1"/>
    <col min="3580" max="3580" width="4.85546875" style="440" customWidth="1"/>
    <col min="3581" max="3581" width="5.42578125" style="440" customWidth="1"/>
    <col min="3582" max="3582" width="31.28515625" style="440" customWidth="1"/>
    <col min="3583" max="3583" width="7.5703125" style="440" customWidth="1"/>
    <col min="3584" max="3584" width="2.42578125" style="440" customWidth="1"/>
    <col min="3585" max="3585" width="11.5703125" style="440" customWidth="1"/>
    <col min="3586" max="3586" width="2.42578125" style="440" customWidth="1"/>
    <col min="3587" max="3587" width="11.5703125" style="440" customWidth="1"/>
    <col min="3588" max="3588" width="2.42578125" style="440" customWidth="1"/>
    <col min="3589" max="3589" width="10.85546875" style="440" customWidth="1"/>
    <col min="3590" max="3590" width="2.42578125" style="440" customWidth="1"/>
    <col min="3591" max="3591" width="11.140625" style="440" customWidth="1"/>
    <col min="3592" max="3592" width="1.85546875" style="440" customWidth="1"/>
    <col min="3593" max="3593" width="11" style="440" customWidth="1"/>
    <col min="3594" max="3594" width="0.7109375" style="440" customWidth="1"/>
    <col min="3595" max="3595" width="1.85546875" style="440" customWidth="1"/>
    <col min="3596" max="3596" width="11.85546875" style="440" bestFit="1" customWidth="1"/>
    <col min="3597" max="3597" width="15.28515625" style="440" bestFit="1" customWidth="1"/>
    <col min="3598" max="3598" width="5" style="440" customWidth="1"/>
    <col min="3599" max="3599" width="10.42578125" style="440" bestFit="1" customWidth="1"/>
    <col min="3600" max="3600" width="5" style="440" customWidth="1"/>
    <col min="3601" max="3601" width="10.42578125" style="440" bestFit="1" customWidth="1"/>
    <col min="3602" max="3604" width="9.140625" style="440"/>
    <col min="3605" max="3605" width="10.42578125" style="440" bestFit="1" customWidth="1"/>
    <col min="3606" max="3834" width="9.140625" style="440"/>
    <col min="3835" max="3835" width="3.5703125" style="440" customWidth="1"/>
    <col min="3836" max="3836" width="4.85546875" style="440" customWidth="1"/>
    <col min="3837" max="3837" width="5.42578125" style="440" customWidth="1"/>
    <col min="3838" max="3838" width="31.28515625" style="440" customWidth="1"/>
    <col min="3839" max="3839" width="7.5703125" style="440" customWidth="1"/>
    <col min="3840" max="3840" width="2.42578125" style="440" customWidth="1"/>
    <col min="3841" max="3841" width="11.5703125" style="440" customWidth="1"/>
    <col min="3842" max="3842" width="2.42578125" style="440" customWidth="1"/>
    <col min="3843" max="3843" width="11.5703125" style="440" customWidth="1"/>
    <col min="3844" max="3844" width="2.42578125" style="440" customWidth="1"/>
    <col min="3845" max="3845" width="10.85546875" style="440" customWidth="1"/>
    <col min="3846" max="3846" width="2.42578125" style="440" customWidth="1"/>
    <col min="3847" max="3847" width="11.140625" style="440" customWidth="1"/>
    <col min="3848" max="3848" width="1.85546875" style="440" customWidth="1"/>
    <col min="3849" max="3849" width="11" style="440" customWidth="1"/>
    <col min="3850" max="3850" width="0.7109375" style="440" customWidth="1"/>
    <col min="3851" max="3851" width="1.85546875" style="440" customWidth="1"/>
    <col min="3852" max="3852" width="11.85546875" style="440" bestFit="1" customWidth="1"/>
    <col min="3853" max="3853" width="15.28515625" style="440" bestFit="1" customWidth="1"/>
    <col min="3854" max="3854" width="5" style="440" customWidth="1"/>
    <col min="3855" max="3855" width="10.42578125" style="440" bestFit="1" customWidth="1"/>
    <col min="3856" max="3856" width="5" style="440" customWidth="1"/>
    <col min="3857" max="3857" width="10.42578125" style="440" bestFit="1" customWidth="1"/>
    <col min="3858" max="3860" width="9.140625" style="440"/>
    <col min="3861" max="3861" width="10.42578125" style="440" bestFit="1" customWidth="1"/>
    <col min="3862" max="4090" width="9.140625" style="440"/>
    <col min="4091" max="4091" width="3.5703125" style="440" customWidth="1"/>
    <col min="4092" max="4092" width="4.85546875" style="440" customWidth="1"/>
    <col min="4093" max="4093" width="5.42578125" style="440" customWidth="1"/>
    <col min="4094" max="4094" width="31.28515625" style="440" customWidth="1"/>
    <col min="4095" max="4095" width="7.5703125" style="440" customWidth="1"/>
    <col min="4096" max="4096" width="2.42578125" style="440" customWidth="1"/>
    <col min="4097" max="4097" width="11.5703125" style="440" customWidth="1"/>
    <col min="4098" max="4098" width="2.42578125" style="440" customWidth="1"/>
    <col min="4099" max="4099" width="11.5703125" style="440" customWidth="1"/>
    <col min="4100" max="4100" width="2.42578125" style="440" customWidth="1"/>
    <col min="4101" max="4101" width="10.85546875" style="440" customWidth="1"/>
    <col min="4102" max="4102" width="2.42578125" style="440" customWidth="1"/>
    <col min="4103" max="4103" width="11.140625" style="440" customWidth="1"/>
    <col min="4104" max="4104" width="1.85546875" style="440" customWidth="1"/>
    <col min="4105" max="4105" width="11" style="440" customWidth="1"/>
    <col min="4106" max="4106" width="0.7109375" style="440" customWidth="1"/>
    <col min="4107" max="4107" width="1.85546875" style="440" customWidth="1"/>
    <col min="4108" max="4108" width="11.85546875" style="440" bestFit="1" customWidth="1"/>
    <col min="4109" max="4109" width="15.28515625" style="440" bestFit="1" customWidth="1"/>
    <col min="4110" max="4110" width="5" style="440" customWidth="1"/>
    <col min="4111" max="4111" width="10.42578125" style="440" bestFit="1" customWidth="1"/>
    <col min="4112" max="4112" width="5" style="440" customWidth="1"/>
    <col min="4113" max="4113" width="10.42578125" style="440" bestFit="1" customWidth="1"/>
    <col min="4114" max="4116" width="9.140625" style="440"/>
    <col min="4117" max="4117" width="10.42578125" style="440" bestFit="1" customWidth="1"/>
    <col min="4118" max="4346" width="9.140625" style="440"/>
    <col min="4347" max="4347" width="3.5703125" style="440" customWidth="1"/>
    <col min="4348" max="4348" width="4.85546875" style="440" customWidth="1"/>
    <col min="4349" max="4349" width="5.42578125" style="440" customWidth="1"/>
    <col min="4350" max="4350" width="31.28515625" style="440" customWidth="1"/>
    <col min="4351" max="4351" width="7.5703125" style="440" customWidth="1"/>
    <col min="4352" max="4352" width="2.42578125" style="440" customWidth="1"/>
    <col min="4353" max="4353" width="11.5703125" style="440" customWidth="1"/>
    <col min="4354" max="4354" width="2.42578125" style="440" customWidth="1"/>
    <col min="4355" max="4355" width="11.5703125" style="440" customWidth="1"/>
    <col min="4356" max="4356" width="2.42578125" style="440" customWidth="1"/>
    <col min="4357" max="4357" width="10.85546875" style="440" customWidth="1"/>
    <col min="4358" max="4358" width="2.42578125" style="440" customWidth="1"/>
    <col min="4359" max="4359" width="11.140625" style="440" customWidth="1"/>
    <col min="4360" max="4360" width="1.85546875" style="440" customWidth="1"/>
    <col min="4361" max="4361" width="11" style="440" customWidth="1"/>
    <col min="4362" max="4362" width="0.7109375" style="440" customWidth="1"/>
    <col min="4363" max="4363" width="1.85546875" style="440" customWidth="1"/>
    <col min="4364" max="4364" width="11.85546875" style="440" bestFit="1" customWidth="1"/>
    <col min="4365" max="4365" width="15.28515625" style="440" bestFit="1" customWidth="1"/>
    <col min="4366" max="4366" width="5" style="440" customWidth="1"/>
    <col min="4367" max="4367" width="10.42578125" style="440" bestFit="1" customWidth="1"/>
    <col min="4368" max="4368" width="5" style="440" customWidth="1"/>
    <col min="4369" max="4369" width="10.42578125" style="440" bestFit="1" customWidth="1"/>
    <col min="4370" max="4372" width="9.140625" style="440"/>
    <col min="4373" max="4373" width="10.42578125" style="440" bestFit="1" customWidth="1"/>
    <col min="4374" max="4602" width="9.140625" style="440"/>
    <col min="4603" max="4603" width="3.5703125" style="440" customWidth="1"/>
    <col min="4604" max="4604" width="4.85546875" style="440" customWidth="1"/>
    <col min="4605" max="4605" width="5.42578125" style="440" customWidth="1"/>
    <col min="4606" max="4606" width="31.28515625" style="440" customWidth="1"/>
    <col min="4607" max="4607" width="7.5703125" style="440" customWidth="1"/>
    <col min="4608" max="4608" width="2.42578125" style="440" customWidth="1"/>
    <col min="4609" max="4609" width="11.5703125" style="440" customWidth="1"/>
    <col min="4610" max="4610" width="2.42578125" style="440" customWidth="1"/>
    <col min="4611" max="4611" width="11.5703125" style="440" customWidth="1"/>
    <col min="4612" max="4612" width="2.42578125" style="440" customWidth="1"/>
    <col min="4613" max="4613" width="10.85546875" style="440" customWidth="1"/>
    <col min="4614" max="4614" width="2.42578125" style="440" customWidth="1"/>
    <col min="4615" max="4615" width="11.140625" style="440" customWidth="1"/>
    <col min="4616" max="4616" width="1.85546875" style="440" customWidth="1"/>
    <col min="4617" max="4617" width="11" style="440" customWidth="1"/>
    <col min="4618" max="4618" width="0.7109375" style="440" customWidth="1"/>
    <col min="4619" max="4619" width="1.85546875" style="440" customWidth="1"/>
    <col min="4620" max="4620" width="11.85546875" style="440" bestFit="1" customWidth="1"/>
    <col min="4621" max="4621" width="15.28515625" style="440" bestFit="1" customWidth="1"/>
    <col min="4622" max="4622" width="5" style="440" customWidth="1"/>
    <col min="4623" max="4623" width="10.42578125" style="440" bestFit="1" customWidth="1"/>
    <col min="4624" max="4624" width="5" style="440" customWidth="1"/>
    <col min="4625" max="4625" width="10.42578125" style="440" bestFit="1" customWidth="1"/>
    <col min="4626" max="4628" width="9.140625" style="440"/>
    <col min="4629" max="4629" width="10.42578125" style="440" bestFit="1" customWidth="1"/>
    <col min="4630" max="4858" width="9.140625" style="440"/>
    <col min="4859" max="4859" width="3.5703125" style="440" customWidth="1"/>
    <col min="4860" max="4860" width="4.85546875" style="440" customWidth="1"/>
    <col min="4861" max="4861" width="5.42578125" style="440" customWidth="1"/>
    <col min="4862" max="4862" width="31.28515625" style="440" customWidth="1"/>
    <col min="4863" max="4863" width="7.5703125" style="440" customWidth="1"/>
    <col min="4864" max="4864" width="2.42578125" style="440" customWidth="1"/>
    <col min="4865" max="4865" width="11.5703125" style="440" customWidth="1"/>
    <col min="4866" max="4866" width="2.42578125" style="440" customWidth="1"/>
    <col min="4867" max="4867" width="11.5703125" style="440" customWidth="1"/>
    <col min="4868" max="4868" width="2.42578125" style="440" customWidth="1"/>
    <col min="4869" max="4869" width="10.85546875" style="440" customWidth="1"/>
    <col min="4870" max="4870" width="2.42578125" style="440" customWidth="1"/>
    <col min="4871" max="4871" width="11.140625" style="440" customWidth="1"/>
    <col min="4872" max="4872" width="1.85546875" style="440" customWidth="1"/>
    <col min="4873" max="4873" width="11" style="440" customWidth="1"/>
    <col min="4874" max="4874" width="0.7109375" style="440" customWidth="1"/>
    <col min="4875" max="4875" width="1.85546875" style="440" customWidth="1"/>
    <col min="4876" max="4876" width="11.85546875" style="440" bestFit="1" customWidth="1"/>
    <col min="4877" max="4877" width="15.28515625" style="440" bestFit="1" customWidth="1"/>
    <col min="4878" max="4878" width="5" style="440" customWidth="1"/>
    <col min="4879" max="4879" width="10.42578125" style="440" bestFit="1" customWidth="1"/>
    <col min="4880" max="4880" width="5" style="440" customWidth="1"/>
    <col min="4881" max="4881" width="10.42578125" style="440" bestFit="1" customWidth="1"/>
    <col min="4882" max="4884" width="9.140625" style="440"/>
    <col min="4885" max="4885" width="10.42578125" style="440" bestFit="1" customWidth="1"/>
    <col min="4886" max="5114" width="9.140625" style="440"/>
    <col min="5115" max="5115" width="3.5703125" style="440" customWidth="1"/>
    <col min="5116" max="5116" width="4.85546875" style="440" customWidth="1"/>
    <col min="5117" max="5117" width="5.42578125" style="440" customWidth="1"/>
    <col min="5118" max="5118" width="31.28515625" style="440" customWidth="1"/>
    <col min="5119" max="5119" width="7.5703125" style="440" customWidth="1"/>
    <col min="5120" max="5120" width="2.42578125" style="440" customWidth="1"/>
    <col min="5121" max="5121" width="11.5703125" style="440" customWidth="1"/>
    <col min="5122" max="5122" width="2.42578125" style="440" customWidth="1"/>
    <col min="5123" max="5123" width="11.5703125" style="440" customWidth="1"/>
    <col min="5124" max="5124" width="2.42578125" style="440" customWidth="1"/>
    <col min="5125" max="5125" width="10.85546875" style="440" customWidth="1"/>
    <col min="5126" max="5126" width="2.42578125" style="440" customWidth="1"/>
    <col min="5127" max="5127" width="11.140625" style="440" customWidth="1"/>
    <col min="5128" max="5128" width="1.85546875" style="440" customWidth="1"/>
    <col min="5129" max="5129" width="11" style="440" customWidth="1"/>
    <col min="5130" max="5130" width="0.7109375" style="440" customWidth="1"/>
    <col min="5131" max="5131" width="1.85546875" style="440" customWidth="1"/>
    <col min="5132" max="5132" width="11.85546875" style="440" bestFit="1" customWidth="1"/>
    <col min="5133" max="5133" width="15.28515625" style="440" bestFit="1" customWidth="1"/>
    <col min="5134" max="5134" width="5" style="440" customWidth="1"/>
    <col min="5135" max="5135" width="10.42578125" style="440" bestFit="1" customWidth="1"/>
    <col min="5136" max="5136" width="5" style="440" customWidth="1"/>
    <col min="5137" max="5137" width="10.42578125" style="440" bestFit="1" customWidth="1"/>
    <col min="5138" max="5140" width="9.140625" style="440"/>
    <col min="5141" max="5141" width="10.42578125" style="440" bestFit="1" customWidth="1"/>
    <col min="5142" max="5370" width="9.140625" style="440"/>
    <col min="5371" max="5371" width="3.5703125" style="440" customWidth="1"/>
    <col min="5372" max="5372" width="4.85546875" style="440" customWidth="1"/>
    <col min="5373" max="5373" width="5.42578125" style="440" customWidth="1"/>
    <col min="5374" max="5374" width="31.28515625" style="440" customWidth="1"/>
    <col min="5375" max="5375" width="7.5703125" style="440" customWidth="1"/>
    <col min="5376" max="5376" width="2.42578125" style="440" customWidth="1"/>
    <col min="5377" max="5377" width="11.5703125" style="440" customWidth="1"/>
    <col min="5378" max="5378" width="2.42578125" style="440" customWidth="1"/>
    <col min="5379" max="5379" width="11.5703125" style="440" customWidth="1"/>
    <col min="5380" max="5380" width="2.42578125" style="440" customWidth="1"/>
    <col min="5381" max="5381" width="10.85546875" style="440" customWidth="1"/>
    <col min="5382" max="5382" width="2.42578125" style="440" customWidth="1"/>
    <col min="5383" max="5383" width="11.140625" style="440" customWidth="1"/>
    <col min="5384" max="5384" width="1.85546875" style="440" customWidth="1"/>
    <col min="5385" max="5385" width="11" style="440" customWidth="1"/>
    <col min="5386" max="5386" width="0.7109375" style="440" customWidth="1"/>
    <col min="5387" max="5387" width="1.85546875" style="440" customWidth="1"/>
    <col min="5388" max="5388" width="11.85546875" style="440" bestFit="1" customWidth="1"/>
    <col min="5389" max="5389" width="15.28515625" style="440" bestFit="1" customWidth="1"/>
    <col min="5390" max="5390" width="5" style="440" customWidth="1"/>
    <col min="5391" max="5391" width="10.42578125" style="440" bestFit="1" customWidth="1"/>
    <col min="5392" max="5392" width="5" style="440" customWidth="1"/>
    <col min="5393" max="5393" width="10.42578125" style="440" bestFit="1" customWidth="1"/>
    <col min="5394" max="5396" width="9.140625" style="440"/>
    <col min="5397" max="5397" width="10.42578125" style="440" bestFit="1" customWidth="1"/>
    <col min="5398" max="5626" width="9.140625" style="440"/>
    <col min="5627" max="5627" width="3.5703125" style="440" customWidth="1"/>
    <col min="5628" max="5628" width="4.85546875" style="440" customWidth="1"/>
    <col min="5629" max="5629" width="5.42578125" style="440" customWidth="1"/>
    <col min="5630" max="5630" width="31.28515625" style="440" customWidth="1"/>
    <col min="5631" max="5631" width="7.5703125" style="440" customWidth="1"/>
    <col min="5632" max="5632" width="2.42578125" style="440" customWidth="1"/>
    <col min="5633" max="5633" width="11.5703125" style="440" customWidth="1"/>
    <col min="5634" max="5634" width="2.42578125" style="440" customWidth="1"/>
    <col min="5635" max="5635" width="11.5703125" style="440" customWidth="1"/>
    <col min="5636" max="5636" width="2.42578125" style="440" customWidth="1"/>
    <col min="5637" max="5637" width="10.85546875" style="440" customWidth="1"/>
    <col min="5638" max="5638" width="2.42578125" style="440" customWidth="1"/>
    <col min="5639" max="5639" width="11.140625" style="440" customWidth="1"/>
    <col min="5640" max="5640" width="1.85546875" style="440" customWidth="1"/>
    <col min="5641" max="5641" width="11" style="440" customWidth="1"/>
    <col min="5642" max="5642" width="0.7109375" style="440" customWidth="1"/>
    <col min="5643" max="5643" width="1.85546875" style="440" customWidth="1"/>
    <col min="5644" max="5644" width="11.85546875" style="440" bestFit="1" customWidth="1"/>
    <col min="5645" max="5645" width="15.28515625" style="440" bestFit="1" customWidth="1"/>
    <col min="5646" max="5646" width="5" style="440" customWidth="1"/>
    <col min="5647" max="5647" width="10.42578125" style="440" bestFit="1" customWidth="1"/>
    <col min="5648" max="5648" width="5" style="440" customWidth="1"/>
    <col min="5649" max="5649" width="10.42578125" style="440" bestFit="1" customWidth="1"/>
    <col min="5650" max="5652" width="9.140625" style="440"/>
    <col min="5653" max="5653" width="10.42578125" style="440" bestFit="1" customWidth="1"/>
    <col min="5654" max="5882" width="9.140625" style="440"/>
    <col min="5883" max="5883" width="3.5703125" style="440" customWidth="1"/>
    <col min="5884" max="5884" width="4.85546875" style="440" customWidth="1"/>
    <col min="5885" max="5885" width="5.42578125" style="440" customWidth="1"/>
    <col min="5886" max="5886" width="31.28515625" style="440" customWidth="1"/>
    <col min="5887" max="5887" width="7.5703125" style="440" customWidth="1"/>
    <col min="5888" max="5888" width="2.42578125" style="440" customWidth="1"/>
    <col min="5889" max="5889" width="11.5703125" style="440" customWidth="1"/>
    <col min="5890" max="5890" width="2.42578125" style="440" customWidth="1"/>
    <col min="5891" max="5891" width="11.5703125" style="440" customWidth="1"/>
    <col min="5892" max="5892" width="2.42578125" style="440" customWidth="1"/>
    <col min="5893" max="5893" width="10.85546875" style="440" customWidth="1"/>
    <col min="5894" max="5894" width="2.42578125" style="440" customWidth="1"/>
    <col min="5895" max="5895" width="11.140625" style="440" customWidth="1"/>
    <col min="5896" max="5896" width="1.85546875" style="440" customWidth="1"/>
    <col min="5897" max="5897" width="11" style="440" customWidth="1"/>
    <col min="5898" max="5898" width="0.7109375" style="440" customWidth="1"/>
    <col min="5899" max="5899" width="1.85546875" style="440" customWidth="1"/>
    <col min="5900" max="5900" width="11.85546875" style="440" bestFit="1" customWidth="1"/>
    <col min="5901" max="5901" width="15.28515625" style="440" bestFit="1" customWidth="1"/>
    <col min="5902" max="5902" width="5" style="440" customWidth="1"/>
    <col min="5903" max="5903" width="10.42578125" style="440" bestFit="1" customWidth="1"/>
    <col min="5904" max="5904" width="5" style="440" customWidth="1"/>
    <col min="5905" max="5905" width="10.42578125" style="440" bestFit="1" customWidth="1"/>
    <col min="5906" max="5908" width="9.140625" style="440"/>
    <col min="5909" max="5909" width="10.42578125" style="440" bestFit="1" customWidth="1"/>
    <col min="5910" max="6138" width="9.140625" style="440"/>
    <col min="6139" max="6139" width="3.5703125" style="440" customWidth="1"/>
    <col min="6140" max="6140" width="4.85546875" style="440" customWidth="1"/>
    <col min="6141" max="6141" width="5.42578125" style="440" customWidth="1"/>
    <col min="6142" max="6142" width="31.28515625" style="440" customWidth="1"/>
    <col min="6143" max="6143" width="7.5703125" style="440" customWidth="1"/>
    <col min="6144" max="6144" width="2.42578125" style="440" customWidth="1"/>
    <col min="6145" max="6145" width="11.5703125" style="440" customWidth="1"/>
    <col min="6146" max="6146" width="2.42578125" style="440" customWidth="1"/>
    <col min="6147" max="6147" width="11.5703125" style="440" customWidth="1"/>
    <col min="6148" max="6148" width="2.42578125" style="440" customWidth="1"/>
    <col min="6149" max="6149" width="10.85546875" style="440" customWidth="1"/>
    <col min="6150" max="6150" width="2.42578125" style="440" customWidth="1"/>
    <col min="6151" max="6151" width="11.140625" style="440" customWidth="1"/>
    <col min="6152" max="6152" width="1.85546875" style="440" customWidth="1"/>
    <col min="6153" max="6153" width="11" style="440" customWidth="1"/>
    <col min="6154" max="6154" width="0.7109375" style="440" customWidth="1"/>
    <col min="6155" max="6155" width="1.85546875" style="440" customWidth="1"/>
    <col min="6156" max="6156" width="11.85546875" style="440" bestFit="1" customWidth="1"/>
    <col min="6157" max="6157" width="15.28515625" style="440" bestFit="1" customWidth="1"/>
    <col min="6158" max="6158" width="5" style="440" customWidth="1"/>
    <col min="6159" max="6159" width="10.42578125" style="440" bestFit="1" customWidth="1"/>
    <col min="6160" max="6160" width="5" style="440" customWidth="1"/>
    <col min="6161" max="6161" width="10.42578125" style="440" bestFit="1" customWidth="1"/>
    <col min="6162" max="6164" width="9.140625" style="440"/>
    <col min="6165" max="6165" width="10.42578125" style="440" bestFit="1" customWidth="1"/>
    <col min="6166" max="6394" width="9.140625" style="440"/>
    <col min="6395" max="6395" width="3.5703125" style="440" customWidth="1"/>
    <col min="6396" max="6396" width="4.85546875" style="440" customWidth="1"/>
    <col min="6397" max="6397" width="5.42578125" style="440" customWidth="1"/>
    <col min="6398" max="6398" width="31.28515625" style="440" customWidth="1"/>
    <col min="6399" max="6399" width="7.5703125" style="440" customWidth="1"/>
    <col min="6400" max="6400" width="2.42578125" style="440" customWidth="1"/>
    <col min="6401" max="6401" width="11.5703125" style="440" customWidth="1"/>
    <col min="6402" max="6402" width="2.42578125" style="440" customWidth="1"/>
    <col min="6403" max="6403" width="11.5703125" style="440" customWidth="1"/>
    <col min="6404" max="6404" width="2.42578125" style="440" customWidth="1"/>
    <col min="6405" max="6405" width="10.85546875" style="440" customWidth="1"/>
    <col min="6406" max="6406" width="2.42578125" style="440" customWidth="1"/>
    <col min="6407" max="6407" width="11.140625" style="440" customWidth="1"/>
    <col min="6408" max="6408" width="1.85546875" style="440" customWidth="1"/>
    <col min="6409" max="6409" width="11" style="440" customWidth="1"/>
    <col min="6410" max="6410" width="0.7109375" style="440" customWidth="1"/>
    <col min="6411" max="6411" width="1.85546875" style="440" customWidth="1"/>
    <col min="6412" max="6412" width="11.85546875" style="440" bestFit="1" customWidth="1"/>
    <col min="6413" max="6413" width="15.28515625" style="440" bestFit="1" customWidth="1"/>
    <col min="6414" max="6414" width="5" style="440" customWidth="1"/>
    <col min="6415" max="6415" width="10.42578125" style="440" bestFit="1" customWidth="1"/>
    <col min="6416" max="6416" width="5" style="440" customWidth="1"/>
    <col min="6417" max="6417" width="10.42578125" style="440" bestFit="1" customWidth="1"/>
    <col min="6418" max="6420" width="9.140625" style="440"/>
    <col min="6421" max="6421" width="10.42578125" style="440" bestFit="1" customWidth="1"/>
    <col min="6422" max="6650" width="9.140625" style="440"/>
    <col min="6651" max="6651" width="3.5703125" style="440" customWidth="1"/>
    <col min="6652" max="6652" width="4.85546875" style="440" customWidth="1"/>
    <col min="6653" max="6653" width="5.42578125" style="440" customWidth="1"/>
    <col min="6654" max="6654" width="31.28515625" style="440" customWidth="1"/>
    <col min="6655" max="6655" width="7.5703125" style="440" customWidth="1"/>
    <col min="6656" max="6656" width="2.42578125" style="440" customWidth="1"/>
    <col min="6657" max="6657" width="11.5703125" style="440" customWidth="1"/>
    <col min="6658" max="6658" width="2.42578125" style="440" customWidth="1"/>
    <col min="6659" max="6659" width="11.5703125" style="440" customWidth="1"/>
    <col min="6660" max="6660" width="2.42578125" style="440" customWidth="1"/>
    <col min="6661" max="6661" width="10.85546875" style="440" customWidth="1"/>
    <col min="6662" max="6662" width="2.42578125" style="440" customWidth="1"/>
    <col min="6663" max="6663" width="11.140625" style="440" customWidth="1"/>
    <col min="6664" max="6664" width="1.85546875" style="440" customWidth="1"/>
    <col min="6665" max="6665" width="11" style="440" customWidth="1"/>
    <col min="6666" max="6666" width="0.7109375" style="440" customWidth="1"/>
    <col min="6667" max="6667" width="1.85546875" style="440" customWidth="1"/>
    <col min="6668" max="6668" width="11.85546875" style="440" bestFit="1" customWidth="1"/>
    <col min="6669" max="6669" width="15.28515625" style="440" bestFit="1" customWidth="1"/>
    <col min="6670" max="6670" width="5" style="440" customWidth="1"/>
    <col min="6671" max="6671" width="10.42578125" style="440" bestFit="1" customWidth="1"/>
    <col min="6672" max="6672" width="5" style="440" customWidth="1"/>
    <col min="6673" max="6673" width="10.42578125" style="440" bestFit="1" customWidth="1"/>
    <col min="6674" max="6676" width="9.140625" style="440"/>
    <col min="6677" max="6677" width="10.42578125" style="440" bestFit="1" customWidth="1"/>
    <col min="6678" max="6906" width="9.140625" style="440"/>
    <col min="6907" max="6907" width="3.5703125" style="440" customWidth="1"/>
    <col min="6908" max="6908" width="4.85546875" style="440" customWidth="1"/>
    <col min="6909" max="6909" width="5.42578125" style="440" customWidth="1"/>
    <col min="6910" max="6910" width="31.28515625" style="440" customWidth="1"/>
    <col min="6911" max="6911" width="7.5703125" style="440" customWidth="1"/>
    <col min="6912" max="6912" width="2.42578125" style="440" customWidth="1"/>
    <col min="6913" max="6913" width="11.5703125" style="440" customWidth="1"/>
    <col min="6914" max="6914" width="2.42578125" style="440" customWidth="1"/>
    <col min="6915" max="6915" width="11.5703125" style="440" customWidth="1"/>
    <col min="6916" max="6916" width="2.42578125" style="440" customWidth="1"/>
    <col min="6917" max="6917" width="10.85546875" style="440" customWidth="1"/>
    <col min="6918" max="6918" width="2.42578125" style="440" customWidth="1"/>
    <col min="6919" max="6919" width="11.140625" style="440" customWidth="1"/>
    <col min="6920" max="6920" width="1.85546875" style="440" customWidth="1"/>
    <col min="6921" max="6921" width="11" style="440" customWidth="1"/>
    <col min="6922" max="6922" width="0.7109375" style="440" customWidth="1"/>
    <col min="6923" max="6923" width="1.85546875" style="440" customWidth="1"/>
    <col min="6924" max="6924" width="11.85546875" style="440" bestFit="1" customWidth="1"/>
    <col min="6925" max="6925" width="15.28515625" style="440" bestFit="1" customWidth="1"/>
    <col min="6926" max="6926" width="5" style="440" customWidth="1"/>
    <col min="6927" max="6927" width="10.42578125" style="440" bestFit="1" customWidth="1"/>
    <col min="6928" max="6928" width="5" style="440" customWidth="1"/>
    <col min="6929" max="6929" width="10.42578125" style="440" bestFit="1" customWidth="1"/>
    <col min="6930" max="6932" width="9.140625" style="440"/>
    <col min="6933" max="6933" width="10.42578125" style="440" bestFit="1" customWidth="1"/>
    <col min="6934" max="7162" width="9.140625" style="440"/>
    <col min="7163" max="7163" width="3.5703125" style="440" customWidth="1"/>
    <col min="7164" max="7164" width="4.85546875" style="440" customWidth="1"/>
    <col min="7165" max="7165" width="5.42578125" style="440" customWidth="1"/>
    <col min="7166" max="7166" width="31.28515625" style="440" customWidth="1"/>
    <col min="7167" max="7167" width="7.5703125" style="440" customWidth="1"/>
    <col min="7168" max="7168" width="2.42578125" style="440" customWidth="1"/>
    <col min="7169" max="7169" width="11.5703125" style="440" customWidth="1"/>
    <col min="7170" max="7170" width="2.42578125" style="440" customWidth="1"/>
    <col min="7171" max="7171" width="11.5703125" style="440" customWidth="1"/>
    <col min="7172" max="7172" width="2.42578125" style="440" customWidth="1"/>
    <col min="7173" max="7173" width="10.85546875" style="440" customWidth="1"/>
    <col min="7174" max="7174" width="2.42578125" style="440" customWidth="1"/>
    <col min="7175" max="7175" width="11.140625" style="440" customWidth="1"/>
    <col min="7176" max="7176" width="1.85546875" style="440" customWidth="1"/>
    <col min="7177" max="7177" width="11" style="440" customWidth="1"/>
    <col min="7178" max="7178" width="0.7109375" style="440" customWidth="1"/>
    <col min="7179" max="7179" width="1.85546875" style="440" customWidth="1"/>
    <col min="7180" max="7180" width="11.85546875" style="440" bestFit="1" customWidth="1"/>
    <col min="7181" max="7181" width="15.28515625" style="440" bestFit="1" customWidth="1"/>
    <col min="7182" max="7182" width="5" style="440" customWidth="1"/>
    <col min="7183" max="7183" width="10.42578125" style="440" bestFit="1" customWidth="1"/>
    <col min="7184" max="7184" width="5" style="440" customWidth="1"/>
    <col min="7185" max="7185" width="10.42578125" style="440" bestFit="1" customWidth="1"/>
    <col min="7186" max="7188" width="9.140625" style="440"/>
    <col min="7189" max="7189" width="10.42578125" style="440" bestFit="1" customWidth="1"/>
    <col min="7190" max="7418" width="9.140625" style="440"/>
    <col min="7419" max="7419" width="3.5703125" style="440" customWidth="1"/>
    <col min="7420" max="7420" width="4.85546875" style="440" customWidth="1"/>
    <col min="7421" max="7421" width="5.42578125" style="440" customWidth="1"/>
    <col min="7422" max="7422" width="31.28515625" style="440" customWidth="1"/>
    <col min="7423" max="7423" width="7.5703125" style="440" customWidth="1"/>
    <col min="7424" max="7424" width="2.42578125" style="440" customWidth="1"/>
    <col min="7425" max="7425" width="11.5703125" style="440" customWidth="1"/>
    <col min="7426" max="7426" width="2.42578125" style="440" customWidth="1"/>
    <col min="7427" max="7427" width="11.5703125" style="440" customWidth="1"/>
    <col min="7428" max="7428" width="2.42578125" style="440" customWidth="1"/>
    <col min="7429" max="7429" width="10.85546875" style="440" customWidth="1"/>
    <col min="7430" max="7430" width="2.42578125" style="440" customWidth="1"/>
    <col min="7431" max="7431" width="11.140625" style="440" customWidth="1"/>
    <col min="7432" max="7432" width="1.85546875" style="440" customWidth="1"/>
    <col min="7433" max="7433" width="11" style="440" customWidth="1"/>
    <col min="7434" max="7434" width="0.7109375" style="440" customWidth="1"/>
    <col min="7435" max="7435" width="1.85546875" style="440" customWidth="1"/>
    <col min="7436" max="7436" width="11.85546875" style="440" bestFit="1" customWidth="1"/>
    <col min="7437" max="7437" width="15.28515625" style="440" bestFit="1" customWidth="1"/>
    <col min="7438" max="7438" width="5" style="440" customWidth="1"/>
    <col min="7439" max="7439" width="10.42578125" style="440" bestFit="1" customWidth="1"/>
    <col min="7440" max="7440" width="5" style="440" customWidth="1"/>
    <col min="7441" max="7441" width="10.42578125" style="440" bestFit="1" customWidth="1"/>
    <col min="7442" max="7444" width="9.140625" style="440"/>
    <col min="7445" max="7445" width="10.42578125" style="440" bestFit="1" customWidth="1"/>
    <col min="7446" max="7674" width="9.140625" style="440"/>
    <col min="7675" max="7675" width="3.5703125" style="440" customWidth="1"/>
    <col min="7676" max="7676" width="4.85546875" style="440" customWidth="1"/>
    <col min="7677" max="7677" width="5.42578125" style="440" customWidth="1"/>
    <col min="7678" max="7678" width="31.28515625" style="440" customWidth="1"/>
    <col min="7679" max="7679" width="7.5703125" style="440" customWidth="1"/>
    <col min="7680" max="7680" width="2.42578125" style="440" customWidth="1"/>
    <col min="7681" max="7681" width="11.5703125" style="440" customWidth="1"/>
    <col min="7682" max="7682" width="2.42578125" style="440" customWidth="1"/>
    <col min="7683" max="7683" width="11.5703125" style="440" customWidth="1"/>
    <col min="7684" max="7684" width="2.42578125" style="440" customWidth="1"/>
    <col min="7685" max="7685" width="10.85546875" style="440" customWidth="1"/>
    <col min="7686" max="7686" width="2.42578125" style="440" customWidth="1"/>
    <col min="7687" max="7687" width="11.140625" style="440" customWidth="1"/>
    <col min="7688" max="7688" width="1.85546875" style="440" customWidth="1"/>
    <col min="7689" max="7689" width="11" style="440" customWidth="1"/>
    <col min="7690" max="7690" width="0.7109375" style="440" customWidth="1"/>
    <col min="7691" max="7691" width="1.85546875" style="440" customWidth="1"/>
    <col min="7692" max="7692" width="11.85546875" style="440" bestFit="1" customWidth="1"/>
    <col min="7693" max="7693" width="15.28515625" style="440" bestFit="1" customWidth="1"/>
    <col min="7694" max="7694" width="5" style="440" customWidth="1"/>
    <col min="7695" max="7695" width="10.42578125" style="440" bestFit="1" customWidth="1"/>
    <col min="7696" max="7696" width="5" style="440" customWidth="1"/>
    <col min="7697" max="7697" width="10.42578125" style="440" bestFit="1" customWidth="1"/>
    <col min="7698" max="7700" width="9.140625" style="440"/>
    <col min="7701" max="7701" width="10.42578125" style="440" bestFit="1" customWidth="1"/>
    <col min="7702" max="7930" width="9.140625" style="440"/>
    <col min="7931" max="7931" width="3.5703125" style="440" customWidth="1"/>
    <col min="7932" max="7932" width="4.85546875" style="440" customWidth="1"/>
    <col min="7933" max="7933" width="5.42578125" style="440" customWidth="1"/>
    <col min="7934" max="7934" width="31.28515625" style="440" customWidth="1"/>
    <col min="7935" max="7935" width="7.5703125" style="440" customWidth="1"/>
    <col min="7936" max="7936" width="2.42578125" style="440" customWidth="1"/>
    <col min="7937" max="7937" width="11.5703125" style="440" customWidth="1"/>
    <col min="7938" max="7938" width="2.42578125" style="440" customWidth="1"/>
    <col min="7939" max="7939" width="11.5703125" style="440" customWidth="1"/>
    <col min="7940" max="7940" width="2.42578125" style="440" customWidth="1"/>
    <col min="7941" max="7941" width="10.85546875" style="440" customWidth="1"/>
    <col min="7942" max="7942" width="2.42578125" style="440" customWidth="1"/>
    <col min="7943" max="7943" width="11.140625" style="440" customWidth="1"/>
    <col min="7944" max="7944" width="1.85546875" style="440" customWidth="1"/>
    <col min="7945" max="7945" width="11" style="440" customWidth="1"/>
    <col min="7946" max="7946" width="0.7109375" style="440" customWidth="1"/>
    <col min="7947" max="7947" width="1.85546875" style="440" customWidth="1"/>
    <col min="7948" max="7948" width="11.85546875" style="440" bestFit="1" customWidth="1"/>
    <col min="7949" max="7949" width="15.28515625" style="440" bestFit="1" customWidth="1"/>
    <col min="7950" max="7950" width="5" style="440" customWidth="1"/>
    <col min="7951" max="7951" width="10.42578125" style="440" bestFit="1" customWidth="1"/>
    <col min="7952" max="7952" width="5" style="440" customWidth="1"/>
    <col min="7953" max="7953" width="10.42578125" style="440" bestFit="1" customWidth="1"/>
    <col min="7954" max="7956" width="9.140625" style="440"/>
    <col min="7957" max="7957" width="10.42578125" style="440" bestFit="1" customWidth="1"/>
    <col min="7958" max="8186" width="9.140625" style="440"/>
    <col min="8187" max="8187" width="3.5703125" style="440" customWidth="1"/>
    <col min="8188" max="8188" width="4.85546875" style="440" customWidth="1"/>
    <col min="8189" max="8189" width="5.42578125" style="440" customWidth="1"/>
    <col min="8190" max="8190" width="31.28515625" style="440" customWidth="1"/>
    <col min="8191" max="8191" width="7.5703125" style="440" customWidth="1"/>
    <col min="8192" max="8192" width="2.42578125" style="440" customWidth="1"/>
    <col min="8193" max="8193" width="11.5703125" style="440" customWidth="1"/>
    <col min="8194" max="8194" width="2.42578125" style="440" customWidth="1"/>
    <col min="8195" max="8195" width="11.5703125" style="440" customWidth="1"/>
    <col min="8196" max="8196" width="2.42578125" style="440" customWidth="1"/>
    <col min="8197" max="8197" width="10.85546875" style="440" customWidth="1"/>
    <col min="8198" max="8198" width="2.42578125" style="440" customWidth="1"/>
    <col min="8199" max="8199" width="11.140625" style="440" customWidth="1"/>
    <col min="8200" max="8200" width="1.85546875" style="440" customWidth="1"/>
    <col min="8201" max="8201" width="11" style="440" customWidth="1"/>
    <col min="8202" max="8202" width="0.7109375" style="440" customWidth="1"/>
    <col min="8203" max="8203" width="1.85546875" style="440" customWidth="1"/>
    <col min="8204" max="8204" width="11.85546875" style="440" bestFit="1" customWidth="1"/>
    <col min="8205" max="8205" width="15.28515625" style="440" bestFit="1" customWidth="1"/>
    <col min="8206" max="8206" width="5" style="440" customWidth="1"/>
    <col min="8207" max="8207" width="10.42578125" style="440" bestFit="1" customWidth="1"/>
    <col min="8208" max="8208" width="5" style="440" customWidth="1"/>
    <col min="8209" max="8209" width="10.42578125" style="440" bestFit="1" customWidth="1"/>
    <col min="8210" max="8212" width="9.140625" style="440"/>
    <col min="8213" max="8213" width="10.42578125" style="440" bestFit="1" customWidth="1"/>
    <col min="8214" max="8442" width="9.140625" style="440"/>
    <col min="8443" max="8443" width="3.5703125" style="440" customWidth="1"/>
    <col min="8444" max="8444" width="4.85546875" style="440" customWidth="1"/>
    <col min="8445" max="8445" width="5.42578125" style="440" customWidth="1"/>
    <col min="8446" max="8446" width="31.28515625" style="440" customWidth="1"/>
    <col min="8447" max="8447" width="7.5703125" style="440" customWidth="1"/>
    <col min="8448" max="8448" width="2.42578125" style="440" customWidth="1"/>
    <col min="8449" max="8449" width="11.5703125" style="440" customWidth="1"/>
    <col min="8450" max="8450" width="2.42578125" style="440" customWidth="1"/>
    <col min="8451" max="8451" width="11.5703125" style="440" customWidth="1"/>
    <col min="8452" max="8452" width="2.42578125" style="440" customWidth="1"/>
    <col min="8453" max="8453" width="10.85546875" style="440" customWidth="1"/>
    <col min="8454" max="8454" width="2.42578125" style="440" customWidth="1"/>
    <col min="8455" max="8455" width="11.140625" style="440" customWidth="1"/>
    <col min="8456" max="8456" width="1.85546875" style="440" customWidth="1"/>
    <col min="8457" max="8457" width="11" style="440" customWidth="1"/>
    <col min="8458" max="8458" width="0.7109375" style="440" customWidth="1"/>
    <col min="8459" max="8459" width="1.85546875" style="440" customWidth="1"/>
    <col min="8460" max="8460" width="11.85546875" style="440" bestFit="1" customWidth="1"/>
    <col min="8461" max="8461" width="15.28515625" style="440" bestFit="1" customWidth="1"/>
    <col min="8462" max="8462" width="5" style="440" customWidth="1"/>
    <col min="8463" max="8463" width="10.42578125" style="440" bestFit="1" customWidth="1"/>
    <col min="8464" max="8464" width="5" style="440" customWidth="1"/>
    <col min="8465" max="8465" width="10.42578125" style="440" bestFit="1" customWidth="1"/>
    <col min="8466" max="8468" width="9.140625" style="440"/>
    <col min="8469" max="8469" width="10.42578125" style="440" bestFit="1" customWidth="1"/>
    <col min="8470" max="8698" width="9.140625" style="440"/>
    <col min="8699" max="8699" width="3.5703125" style="440" customWidth="1"/>
    <col min="8700" max="8700" width="4.85546875" style="440" customWidth="1"/>
    <col min="8701" max="8701" width="5.42578125" style="440" customWidth="1"/>
    <col min="8702" max="8702" width="31.28515625" style="440" customWidth="1"/>
    <col min="8703" max="8703" width="7.5703125" style="440" customWidth="1"/>
    <col min="8704" max="8704" width="2.42578125" style="440" customWidth="1"/>
    <col min="8705" max="8705" width="11.5703125" style="440" customWidth="1"/>
    <col min="8706" max="8706" width="2.42578125" style="440" customWidth="1"/>
    <col min="8707" max="8707" width="11.5703125" style="440" customWidth="1"/>
    <col min="8708" max="8708" width="2.42578125" style="440" customWidth="1"/>
    <col min="8709" max="8709" width="10.85546875" style="440" customWidth="1"/>
    <col min="8710" max="8710" width="2.42578125" style="440" customWidth="1"/>
    <col min="8711" max="8711" width="11.140625" style="440" customWidth="1"/>
    <col min="8712" max="8712" width="1.85546875" style="440" customWidth="1"/>
    <col min="8713" max="8713" width="11" style="440" customWidth="1"/>
    <col min="8714" max="8714" width="0.7109375" style="440" customWidth="1"/>
    <col min="8715" max="8715" width="1.85546875" style="440" customWidth="1"/>
    <col min="8716" max="8716" width="11.85546875" style="440" bestFit="1" customWidth="1"/>
    <col min="8717" max="8717" width="15.28515625" style="440" bestFit="1" customWidth="1"/>
    <col min="8718" max="8718" width="5" style="440" customWidth="1"/>
    <col min="8719" max="8719" width="10.42578125" style="440" bestFit="1" customWidth="1"/>
    <col min="8720" max="8720" width="5" style="440" customWidth="1"/>
    <col min="8721" max="8721" width="10.42578125" style="440" bestFit="1" customWidth="1"/>
    <col min="8722" max="8724" width="9.140625" style="440"/>
    <col min="8725" max="8725" width="10.42578125" style="440" bestFit="1" customWidth="1"/>
    <col min="8726" max="8954" width="9.140625" style="440"/>
    <col min="8955" max="8955" width="3.5703125" style="440" customWidth="1"/>
    <col min="8956" max="8956" width="4.85546875" style="440" customWidth="1"/>
    <col min="8957" max="8957" width="5.42578125" style="440" customWidth="1"/>
    <col min="8958" max="8958" width="31.28515625" style="440" customWidth="1"/>
    <col min="8959" max="8959" width="7.5703125" style="440" customWidth="1"/>
    <col min="8960" max="8960" width="2.42578125" style="440" customWidth="1"/>
    <col min="8961" max="8961" width="11.5703125" style="440" customWidth="1"/>
    <col min="8962" max="8962" width="2.42578125" style="440" customWidth="1"/>
    <col min="8963" max="8963" width="11.5703125" style="440" customWidth="1"/>
    <col min="8964" max="8964" width="2.42578125" style="440" customWidth="1"/>
    <col min="8965" max="8965" width="10.85546875" style="440" customWidth="1"/>
    <col min="8966" max="8966" width="2.42578125" style="440" customWidth="1"/>
    <col min="8967" max="8967" width="11.140625" style="440" customWidth="1"/>
    <col min="8968" max="8968" width="1.85546875" style="440" customWidth="1"/>
    <col min="8969" max="8969" width="11" style="440" customWidth="1"/>
    <col min="8970" max="8970" width="0.7109375" style="440" customWidth="1"/>
    <col min="8971" max="8971" width="1.85546875" style="440" customWidth="1"/>
    <col min="8972" max="8972" width="11.85546875" style="440" bestFit="1" customWidth="1"/>
    <col min="8973" max="8973" width="15.28515625" style="440" bestFit="1" customWidth="1"/>
    <col min="8974" max="8974" width="5" style="440" customWidth="1"/>
    <col min="8975" max="8975" width="10.42578125" style="440" bestFit="1" customWidth="1"/>
    <col min="8976" max="8976" width="5" style="440" customWidth="1"/>
    <col min="8977" max="8977" width="10.42578125" style="440" bestFit="1" customWidth="1"/>
    <col min="8978" max="8980" width="9.140625" style="440"/>
    <col min="8981" max="8981" width="10.42578125" style="440" bestFit="1" customWidth="1"/>
    <col min="8982" max="9210" width="9.140625" style="440"/>
    <col min="9211" max="9211" width="3.5703125" style="440" customWidth="1"/>
    <col min="9212" max="9212" width="4.85546875" style="440" customWidth="1"/>
    <col min="9213" max="9213" width="5.42578125" style="440" customWidth="1"/>
    <col min="9214" max="9214" width="31.28515625" style="440" customWidth="1"/>
    <col min="9215" max="9215" width="7.5703125" style="440" customWidth="1"/>
    <col min="9216" max="9216" width="2.42578125" style="440" customWidth="1"/>
    <col min="9217" max="9217" width="11.5703125" style="440" customWidth="1"/>
    <col min="9218" max="9218" width="2.42578125" style="440" customWidth="1"/>
    <col min="9219" max="9219" width="11.5703125" style="440" customWidth="1"/>
    <col min="9220" max="9220" width="2.42578125" style="440" customWidth="1"/>
    <col min="9221" max="9221" width="10.85546875" style="440" customWidth="1"/>
    <col min="9222" max="9222" width="2.42578125" style="440" customWidth="1"/>
    <col min="9223" max="9223" width="11.140625" style="440" customWidth="1"/>
    <col min="9224" max="9224" width="1.85546875" style="440" customWidth="1"/>
    <col min="9225" max="9225" width="11" style="440" customWidth="1"/>
    <col min="9226" max="9226" width="0.7109375" style="440" customWidth="1"/>
    <col min="9227" max="9227" width="1.85546875" style="440" customWidth="1"/>
    <col min="9228" max="9228" width="11.85546875" style="440" bestFit="1" customWidth="1"/>
    <col min="9229" max="9229" width="15.28515625" style="440" bestFit="1" customWidth="1"/>
    <col min="9230" max="9230" width="5" style="440" customWidth="1"/>
    <col min="9231" max="9231" width="10.42578125" style="440" bestFit="1" customWidth="1"/>
    <col min="9232" max="9232" width="5" style="440" customWidth="1"/>
    <col min="9233" max="9233" width="10.42578125" style="440" bestFit="1" customWidth="1"/>
    <col min="9234" max="9236" width="9.140625" style="440"/>
    <col min="9237" max="9237" width="10.42578125" style="440" bestFit="1" customWidth="1"/>
    <col min="9238" max="9466" width="9.140625" style="440"/>
    <col min="9467" max="9467" width="3.5703125" style="440" customWidth="1"/>
    <col min="9468" max="9468" width="4.85546875" style="440" customWidth="1"/>
    <col min="9469" max="9469" width="5.42578125" style="440" customWidth="1"/>
    <col min="9470" max="9470" width="31.28515625" style="440" customWidth="1"/>
    <col min="9471" max="9471" width="7.5703125" style="440" customWidth="1"/>
    <col min="9472" max="9472" width="2.42578125" style="440" customWidth="1"/>
    <col min="9473" max="9473" width="11.5703125" style="440" customWidth="1"/>
    <col min="9474" max="9474" width="2.42578125" style="440" customWidth="1"/>
    <col min="9475" max="9475" width="11.5703125" style="440" customWidth="1"/>
    <col min="9476" max="9476" width="2.42578125" style="440" customWidth="1"/>
    <col min="9477" max="9477" width="10.85546875" style="440" customWidth="1"/>
    <col min="9478" max="9478" width="2.42578125" style="440" customWidth="1"/>
    <col min="9479" max="9479" width="11.140625" style="440" customWidth="1"/>
    <col min="9480" max="9480" width="1.85546875" style="440" customWidth="1"/>
    <col min="9481" max="9481" width="11" style="440" customWidth="1"/>
    <col min="9482" max="9482" width="0.7109375" style="440" customWidth="1"/>
    <col min="9483" max="9483" width="1.85546875" style="440" customWidth="1"/>
    <col min="9484" max="9484" width="11.85546875" style="440" bestFit="1" customWidth="1"/>
    <col min="9485" max="9485" width="15.28515625" style="440" bestFit="1" customWidth="1"/>
    <col min="9486" max="9486" width="5" style="440" customWidth="1"/>
    <col min="9487" max="9487" width="10.42578125" style="440" bestFit="1" customWidth="1"/>
    <col min="9488" max="9488" width="5" style="440" customWidth="1"/>
    <col min="9489" max="9489" width="10.42578125" style="440" bestFit="1" customWidth="1"/>
    <col min="9490" max="9492" width="9.140625" style="440"/>
    <col min="9493" max="9493" width="10.42578125" style="440" bestFit="1" customWidth="1"/>
    <col min="9494" max="9722" width="9.140625" style="440"/>
    <col min="9723" max="9723" width="3.5703125" style="440" customWidth="1"/>
    <col min="9724" max="9724" width="4.85546875" style="440" customWidth="1"/>
    <col min="9725" max="9725" width="5.42578125" style="440" customWidth="1"/>
    <col min="9726" max="9726" width="31.28515625" style="440" customWidth="1"/>
    <col min="9727" max="9727" width="7.5703125" style="440" customWidth="1"/>
    <col min="9728" max="9728" width="2.42578125" style="440" customWidth="1"/>
    <col min="9729" max="9729" width="11.5703125" style="440" customWidth="1"/>
    <col min="9730" max="9730" width="2.42578125" style="440" customWidth="1"/>
    <col min="9731" max="9731" width="11.5703125" style="440" customWidth="1"/>
    <col min="9732" max="9732" width="2.42578125" style="440" customWidth="1"/>
    <col min="9733" max="9733" width="10.85546875" style="440" customWidth="1"/>
    <col min="9734" max="9734" width="2.42578125" style="440" customWidth="1"/>
    <col min="9735" max="9735" width="11.140625" style="440" customWidth="1"/>
    <col min="9736" max="9736" width="1.85546875" style="440" customWidth="1"/>
    <col min="9737" max="9737" width="11" style="440" customWidth="1"/>
    <col min="9738" max="9738" width="0.7109375" style="440" customWidth="1"/>
    <col min="9739" max="9739" width="1.85546875" style="440" customWidth="1"/>
    <col min="9740" max="9740" width="11.85546875" style="440" bestFit="1" customWidth="1"/>
    <col min="9741" max="9741" width="15.28515625" style="440" bestFit="1" customWidth="1"/>
    <col min="9742" max="9742" width="5" style="440" customWidth="1"/>
    <col min="9743" max="9743" width="10.42578125" style="440" bestFit="1" customWidth="1"/>
    <col min="9744" max="9744" width="5" style="440" customWidth="1"/>
    <col min="9745" max="9745" width="10.42578125" style="440" bestFit="1" customWidth="1"/>
    <col min="9746" max="9748" width="9.140625" style="440"/>
    <col min="9749" max="9749" width="10.42578125" style="440" bestFit="1" customWidth="1"/>
    <col min="9750" max="9978" width="9.140625" style="440"/>
    <col min="9979" max="9979" width="3.5703125" style="440" customWidth="1"/>
    <col min="9980" max="9980" width="4.85546875" style="440" customWidth="1"/>
    <col min="9981" max="9981" width="5.42578125" style="440" customWidth="1"/>
    <col min="9982" max="9982" width="31.28515625" style="440" customWidth="1"/>
    <col min="9983" max="9983" width="7.5703125" style="440" customWidth="1"/>
    <col min="9984" max="9984" width="2.42578125" style="440" customWidth="1"/>
    <col min="9985" max="9985" width="11.5703125" style="440" customWidth="1"/>
    <col min="9986" max="9986" width="2.42578125" style="440" customWidth="1"/>
    <col min="9987" max="9987" width="11.5703125" style="440" customWidth="1"/>
    <col min="9988" max="9988" width="2.42578125" style="440" customWidth="1"/>
    <col min="9989" max="9989" width="10.85546875" style="440" customWidth="1"/>
    <col min="9990" max="9990" width="2.42578125" style="440" customWidth="1"/>
    <col min="9991" max="9991" width="11.140625" style="440" customWidth="1"/>
    <col min="9992" max="9992" width="1.85546875" style="440" customWidth="1"/>
    <col min="9993" max="9993" width="11" style="440" customWidth="1"/>
    <col min="9994" max="9994" width="0.7109375" style="440" customWidth="1"/>
    <col min="9995" max="9995" width="1.85546875" style="440" customWidth="1"/>
    <col min="9996" max="9996" width="11.85546875" style="440" bestFit="1" customWidth="1"/>
    <col min="9997" max="9997" width="15.28515625" style="440" bestFit="1" customWidth="1"/>
    <col min="9998" max="9998" width="5" style="440" customWidth="1"/>
    <col min="9999" max="9999" width="10.42578125" style="440" bestFit="1" customWidth="1"/>
    <col min="10000" max="10000" width="5" style="440" customWidth="1"/>
    <col min="10001" max="10001" width="10.42578125" style="440" bestFit="1" customWidth="1"/>
    <col min="10002" max="10004" width="9.140625" style="440"/>
    <col min="10005" max="10005" width="10.42578125" style="440" bestFit="1" customWidth="1"/>
    <col min="10006" max="10234" width="9.140625" style="440"/>
    <col min="10235" max="10235" width="3.5703125" style="440" customWidth="1"/>
    <col min="10236" max="10236" width="4.85546875" style="440" customWidth="1"/>
    <col min="10237" max="10237" width="5.42578125" style="440" customWidth="1"/>
    <col min="10238" max="10238" width="31.28515625" style="440" customWidth="1"/>
    <col min="10239" max="10239" width="7.5703125" style="440" customWidth="1"/>
    <col min="10240" max="10240" width="2.42578125" style="440" customWidth="1"/>
    <col min="10241" max="10241" width="11.5703125" style="440" customWidth="1"/>
    <col min="10242" max="10242" width="2.42578125" style="440" customWidth="1"/>
    <col min="10243" max="10243" width="11.5703125" style="440" customWidth="1"/>
    <col min="10244" max="10244" width="2.42578125" style="440" customWidth="1"/>
    <col min="10245" max="10245" width="10.85546875" style="440" customWidth="1"/>
    <col min="10246" max="10246" width="2.42578125" style="440" customWidth="1"/>
    <col min="10247" max="10247" width="11.140625" style="440" customWidth="1"/>
    <col min="10248" max="10248" width="1.85546875" style="440" customWidth="1"/>
    <col min="10249" max="10249" width="11" style="440" customWidth="1"/>
    <col min="10250" max="10250" width="0.7109375" style="440" customWidth="1"/>
    <col min="10251" max="10251" width="1.85546875" style="440" customWidth="1"/>
    <col min="10252" max="10252" width="11.85546875" style="440" bestFit="1" customWidth="1"/>
    <col min="10253" max="10253" width="15.28515625" style="440" bestFit="1" customWidth="1"/>
    <col min="10254" max="10254" width="5" style="440" customWidth="1"/>
    <col min="10255" max="10255" width="10.42578125" style="440" bestFit="1" customWidth="1"/>
    <col min="10256" max="10256" width="5" style="440" customWidth="1"/>
    <col min="10257" max="10257" width="10.42578125" style="440" bestFit="1" customWidth="1"/>
    <col min="10258" max="10260" width="9.140625" style="440"/>
    <col min="10261" max="10261" width="10.42578125" style="440" bestFit="1" customWidth="1"/>
    <col min="10262" max="10490" width="9.140625" style="440"/>
    <col min="10491" max="10491" width="3.5703125" style="440" customWidth="1"/>
    <col min="10492" max="10492" width="4.85546875" style="440" customWidth="1"/>
    <col min="10493" max="10493" width="5.42578125" style="440" customWidth="1"/>
    <col min="10494" max="10494" width="31.28515625" style="440" customWidth="1"/>
    <col min="10495" max="10495" width="7.5703125" style="440" customWidth="1"/>
    <col min="10496" max="10496" width="2.42578125" style="440" customWidth="1"/>
    <col min="10497" max="10497" width="11.5703125" style="440" customWidth="1"/>
    <col min="10498" max="10498" width="2.42578125" style="440" customWidth="1"/>
    <col min="10499" max="10499" width="11.5703125" style="440" customWidth="1"/>
    <col min="10500" max="10500" width="2.42578125" style="440" customWidth="1"/>
    <col min="10501" max="10501" width="10.85546875" style="440" customWidth="1"/>
    <col min="10502" max="10502" width="2.42578125" style="440" customWidth="1"/>
    <col min="10503" max="10503" width="11.140625" style="440" customWidth="1"/>
    <col min="10504" max="10504" width="1.85546875" style="440" customWidth="1"/>
    <col min="10505" max="10505" width="11" style="440" customWidth="1"/>
    <col min="10506" max="10506" width="0.7109375" style="440" customWidth="1"/>
    <col min="10507" max="10507" width="1.85546875" style="440" customWidth="1"/>
    <col min="10508" max="10508" width="11.85546875" style="440" bestFit="1" customWidth="1"/>
    <col min="10509" max="10509" width="15.28515625" style="440" bestFit="1" customWidth="1"/>
    <col min="10510" max="10510" width="5" style="440" customWidth="1"/>
    <col min="10511" max="10511" width="10.42578125" style="440" bestFit="1" customWidth="1"/>
    <col min="10512" max="10512" width="5" style="440" customWidth="1"/>
    <col min="10513" max="10513" width="10.42578125" style="440" bestFit="1" customWidth="1"/>
    <col min="10514" max="10516" width="9.140625" style="440"/>
    <col min="10517" max="10517" width="10.42578125" style="440" bestFit="1" customWidth="1"/>
    <col min="10518" max="10746" width="9.140625" style="440"/>
    <col min="10747" max="10747" width="3.5703125" style="440" customWidth="1"/>
    <col min="10748" max="10748" width="4.85546875" style="440" customWidth="1"/>
    <col min="10749" max="10749" width="5.42578125" style="440" customWidth="1"/>
    <col min="10750" max="10750" width="31.28515625" style="440" customWidth="1"/>
    <col min="10751" max="10751" width="7.5703125" style="440" customWidth="1"/>
    <col min="10752" max="10752" width="2.42578125" style="440" customWidth="1"/>
    <col min="10753" max="10753" width="11.5703125" style="440" customWidth="1"/>
    <col min="10754" max="10754" width="2.42578125" style="440" customWidth="1"/>
    <col min="10755" max="10755" width="11.5703125" style="440" customWidth="1"/>
    <col min="10756" max="10756" width="2.42578125" style="440" customWidth="1"/>
    <col min="10757" max="10757" width="10.85546875" style="440" customWidth="1"/>
    <col min="10758" max="10758" width="2.42578125" style="440" customWidth="1"/>
    <col min="10759" max="10759" width="11.140625" style="440" customWidth="1"/>
    <col min="10760" max="10760" width="1.85546875" style="440" customWidth="1"/>
    <col min="10761" max="10761" width="11" style="440" customWidth="1"/>
    <col min="10762" max="10762" width="0.7109375" style="440" customWidth="1"/>
    <col min="10763" max="10763" width="1.85546875" style="440" customWidth="1"/>
    <col min="10764" max="10764" width="11.85546875" style="440" bestFit="1" customWidth="1"/>
    <col min="10765" max="10765" width="15.28515625" style="440" bestFit="1" customWidth="1"/>
    <col min="10766" max="10766" width="5" style="440" customWidth="1"/>
    <col min="10767" max="10767" width="10.42578125" style="440" bestFit="1" customWidth="1"/>
    <col min="10768" max="10768" width="5" style="440" customWidth="1"/>
    <col min="10769" max="10769" width="10.42578125" style="440" bestFit="1" customWidth="1"/>
    <col min="10770" max="10772" width="9.140625" style="440"/>
    <col min="10773" max="10773" width="10.42578125" style="440" bestFit="1" customWidth="1"/>
    <col min="10774" max="11002" width="9.140625" style="440"/>
    <col min="11003" max="11003" width="3.5703125" style="440" customWidth="1"/>
    <col min="11004" max="11004" width="4.85546875" style="440" customWidth="1"/>
    <col min="11005" max="11005" width="5.42578125" style="440" customWidth="1"/>
    <col min="11006" max="11006" width="31.28515625" style="440" customWidth="1"/>
    <col min="11007" max="11007" width="7.5703125" style="440" customWidth="1"/>
    <col min="11008" max="11008" width="2.42578125" style="440" customWidth="1"/>
    <col min="11009" max="11009" width="11.5703125" style="440" customWidth="1"/>
    <col min="11010" max="11010" width="2.42578125" style="440" customWidth="1"/>
    <col min="11011" max="11011" width="11.5703125" style="440" customWidth="1"/>
    <col min="11012" max="11012" width="2.42578125" style="440" customWidth="1"/>
    <col min="11013" max="11013" width="10.85546875" style="440" customWidth="1"/>
    <col min="11014" max="11014" width="2.42578125" style="440" customWidth="1"/>
    <col min="11015" max="11015" width="11.140625" style="440" customWidth="1"/>
    <col min="11016" max="11016" width="1.85546875" style="440" customWidth="1"/>
    <col min="11017" max="11017" width="11" style="440" customWidth="1"/>
    <col min="11018" max="11018" width="0.7109375" style="440" customWidth="1"/>
    <col min="11019" max="11019" width="1.85546875" style="440" customWidth="1"/>
    <col min="11020" max="11020" width="11.85546875" style="440" bestFit="1" customWidth="1"/>
    <col min="11021" max="11021" width="15.28515625" style="440" bestFit="1" customWidth="1"/>
    <col min="11022" max="11022" width="5" style="440" customWidth="1"/>
    <col min="11023" max="11023" width="10.42578125" style="440" bestFit="1" customWidth="1"/>
    <col min="11024" max="11024" width="5" style="440" customWidth="1"/>
    <col min="11025" max="11025" width="10.42578125" style="440" bestFit="1" customWidth="1"/>
    <col min="11026" max="11028" width="9.140625" style="440"/>
    <col min="11029" max="11029" width="10.42578125" style="440" bestFit="1" customWidth="1"/>
    <col min="11030" max="11258" width="9.140625" style="440"/>
    <col min="11259" max="11259" width="3.5703125" style="440" customWidth="1"/>
    <col min="11260" max="11260" width="4.85546875" style="440" customWidth="1"/>
    <col min="11261" max="11261" width="5.42578125" style="440" customWidth="1"/>
    <col min="11262" max="11262" width="31.28515625" style="440" customWidth="1"/>
    <col min="11263" max="11263" width="7.5703125" style="440" customWidth="1"/>
    <col min="11264" max="11264" width="2.42578125" style="440" customWidth="1"/>
    <col min="11265" max="11265" width="11.5703125" style="440" customWidth="1"/>
    <col min="11266" max="11266" width="2.42578125" style="440" customWidth="1"/>
    <col min="11267" max="11267" width="11.5703125" style="440" customWidth="1"/>
    <col min="11268" max="11268" width="2.42578125" style="440" customWidth="1"/>
    <col min="11269" max="11269" width="10.85546875" style="440" customWidth="1"/>
    <col min="11270" max="11270" width="2.42578125" style="440" customWidth="1"/>
    <col min="11271" max="11271" width="11.140625" style="440" customWidth="1"/>
    <col min="11272" max="11272" width="1.85546875" style="440" customWidth="1"/>
    <col min="11273" max="11273" width="11" style="440" customWidth="1"/>
    <col min="11274" max="11274" width="0.7109375" style="440" customWidth="1"/>
    <col min="11275" max="11275" width="1.85546875" style="440" customWidth="1"/>
    <col min="11276" max="11276" width="11.85546875" style="440" bestFit="1" customWidth="1"/>
    <col min="11277" max="11277" width="15.28515625" style="440" bestFit="1" customWidth="1"/>
    <col min="11278" max="11278" width="5" style="440" customWidth="1"/>
    <col min="11279" max="11279" width="10.42578125" style="440" bestFit="1" customWidth="1"/>
    <col min="11280" max="11280" width="5" style="440" customWidth="1"/>
    <col min="11281" max="11281" width="10.42578125" style="440" bestFit="1" customWidth="1"/>
    <col min="11282" max="11284" width="9.140625" style="440"/>
    <col min="11285" max="11285" width="10.42578125" style="440" bestFit="1" customWidth="1"/>
    <col min="11286" max="11514" width="9.140625" style="440"/>
    <col min="11515" max="11515" width="3.5703125" style="440" customWidth="1"/>
    <col min="11516" max="11516" width="4.85546875" style="440" customWidth="1"/>
    <col min="11517" max="11517" width="5.42578125" style="440" customWidth="1"/>
    <col min="11518" max="11518" width="31.28515625" style="440" customWidth="1"/>
    <col min="11519" max="11519" width="7.5703125" style="440" customWidth="1"/>
    <col min="11520" max="11520" width="2.42578125" style="440" customWidth="1"/>
    <col min="11521" max="11521" width="11.5703125" style="440" customWidth="1"/>
    <col min="11522" max="11522" width="2.42578125" style="440" customWidth="1"/>
    <col min="11523" max="11523" width="11.5703125" style="440" customWidth="1"/>
    <col min="11524" max="11524" width="2.42578125" style="440" customWidth="1"/>
    <col min="11525" max="11525" width="10.85546875" style="440" customWidth="1"/>
    <col min="11526" max="11526" width="2.42578125" style="440" customWidth="1"/>
    <col min="11527" max="11527" width="11.140625" style="440" customWidth="1"/>
    <col min="11528" max="11528" width="1.85546875" style="440" customWidth="1"/>
    <col min="11529" max="11529" width="11" style="440" customWidth="1"/>
    <col min="11530" max="11530" width="0.7109375" style="440" customWidth="1"/>
    <col min="11531" max="11531" width="1.85546875" style="440" customWidth="1"/>
    <col min="11532" max="11532" width="11.85546875" style="440" bestFit="1" customWidth="1"/>
    <col min="11533" max="11533" width="15.28515625" style="440" bestFit="1" customWidth="1"/>
    <col min="11534" max="11534" width="5" style="440" customWidth="1"/>
    <col min="11535" max="11535" width="10.42578125" style="440" bestFit="1" customWidth="1"/>
    <col min="11536" max="11536" width="5" style="440" customWidth="1"/>
    <col min="11537" max="11537" width="10.42578125" style="440" bestFit="1" customWidth="1"/>
    <col min="11538" max="11540" width="9.140625" style="440"/>
    <col min="11541" max="11541" width="10.42578125" style="440" bestFit="1" customWidth="1"/>
    <col min="11542" max="11770" width="9.140625" style="440"/>
    <col min="11771" max="11771" width="3.5703125" style="440" customWidth="1"/>
    <col min="11772" max="11772" width="4.85546875" style="440" customWidth="1"/>
    <col min="11773" max="11773" width="5.42578125" style="440" customWidth="1"/>
    <col min="11774" max="11774" width="31.28515625" style="440" customWidth="1"/>
    <col min="11775" max="11775" width="7.5703125" style="440" customWidth="1"/>
    <col min="11776" max="11776" width="2.42578125" style="440" customWidth="1"/>
    <col min="11777" max="11777" width="11.5703125" style="440" customWidth="1"/>
    <col min="11778" max="11778" width="2.42578125" style="440" customWidth="1"/>
    <col min="11779" max="11779" width="11.5703125" style="440" customWidth="1"/>
    <col min="11780" max="11780" width="2.42578125" style="440" customWidth="1"/>
    <col min="11781" max="11781" width="10.85546875" style="440" customWidth="1"/>
    <col min="11782" max="11782" width="2.42578125" style="440" customWidth="1"/>
    <col min="11783" max="11783" width="11.140625" style="440" customWidth="1"/>
    <col min="11784" max="11784" width="1.85546875" style="440" customWidth="1"/>
    <col min="11785" max="11785" width="11" style="440" customWidth="1"/>
    <col min="11786" max="11786" width="0.7109375" style="440" customWidth="1"/>
    <col min="11787" max="11787" width="1.85546875" style="440" customWidth="1"/>
    <col min="11788" max="11788" width="11.85546875" style="440" bestFit="1" customWidth="1"/>
    <col min="11789" max="11789" width="15.28515625" style="440" bestFit="1" customWidth="1"/>
    <col min="11790" max="11790" width="5" style="440" customWidth="1"/>
    <col min="11791" max="11791" width="10.42578125" style="440" bestFit="1" customWidth="1"/>
    <col min="11792" max="11792" width="5" style="440" customWidth="1"/>
    <col min="11793" max="11793" width="10.42578125" style="440" bestFit="1" customWidth="1"/>
    <col min="11794" max="11796" width="9.140625" style="440"/>
    <col min="11797" max="11797" width="10.42578125" style="440" bestFit="1" customWidth="1"/>
    <col min="11798" max="12026" width="9.140625" style="440"/>
    <col min="12027" max="12027" width="3.5703125" style="440" customWidth="1"/>
    <col min="12028" max="12028" width="4.85546875" style="440" customWidth="1"/>
    <col min="12029" max="12029" width="5.42578125" style="440" customWidth="1"/>
    <col min="12030" max="12030" width="31.28515625" style="440" customWidth="1"/>
    <col min="12031" max="12031" width="7.5703125" style="440" customWidth="1"/>
    <col min="12032" max="12032" width="2.42578125" style="440" customWidth="1"/>
    <col min="12033" max="12033" width="11.5703125" style="440" customWidth="1"/>
    <col min="12034" max="12034" width="2.42578125" style="440" customWidth="1"/>
    <col min="12035" max="12035" width="11.5703125" style="440" customWidth="1"/>
    <col min="12036" max="12036" width="2.42578125" style="440" customWidth="1"/>
    <col min="12037" max="12037" width="10.85546875" style="440" customWidth="1"/>
    <col min="12038" max="12038" width="2.42578125" style="440" customWidth="1"/>
    <col min="12039" max="12039" width="11.140625" style="440" customWidth="1"/>
    <col min="12040" max="12040" width="1.85546875" style="440" customWidth="1"/>
    <col min="12041" max="12041" width="11" style="440" customWidth="1"/>
    <col min="12042" max="12042" width="0.7109375" style="440" customWidth="1"/>
    <col min="12043" max="12043" width="1.85546875" style="440" customWidth="1"/>
    <col min="12044" max="12044" width="11.85546875" style="440" bestFit="1" customWidth="1"/>
    <col min="12045" max="12045" width="15.28515625" style="440" bestFit="1" customWidth="1"/>
    <col min="12046" max="12046" width="5" style="440" customWidth="1"/>
    <col min="12047" max="12047" width="10.42578125" style="440" bestFit="1" customWidth="1"/>
    <col min="12048" max="12048" width="5" style="440" customWidth="1"/>
    <col min="12049" max="12049" width="10.42578125" style="440" bestFit="1" customWidth="1"/>
    <col min="12050" max="12052" width="9.140625" style="440"/>
    <col min="12053" max="12053" width="10.42578125" style="440" bestFit="1" customWidth="1"/>
    <col min="12054" max="12282" width="9.140625" style="440"/>
    <col min="12283" max="12283" width="3.5703125" style="440" customWidth="1"/>
    <col min="12284" max="12284" width="4.85546875" style="440" customWidth="1"/>
    <col min="12285" max="12285" width="5.42578125" style="440" customWidth="1"/>
    <col min="12286" max="12286" width="31.28515625" style="440" customWidth="1"/>
    <col min="12287" max="12287" width="7.5703125" style="440" customWidth="1"/>
    <col min="12288" max="12288" width="2.42578125" style="440" customWidth="1"/>
    <col min="12289" max="12289" width="11.5703125" style="440" customWidth="1"/>
    <col min="12290" max="12290" width="2.42578125" style="440" customWidth="1"/>
    <col min="12291" max="12291" width="11.5703125" style="440" customWidth="1"/>
    <col min="12292" max="12292" width="2.42578125" style="440" customWidth="1"/>
    <col min="12293" max="12293" width="10.85546875" style="440" customWidth="1"/>
    <col min="12294" max="12294" width="2.42578125" style="440" customWidth="1"/>
    <col min="12295" max="12295" width="11.140625" style="440" customWidth="1"/>
    <col min="12296" max="12296" width="1.85546875" style="440" customWidth="1"/>
    <col min="12297" max="12297" width="11" style="440" customWidth="1"/>
    <col min="12298" max="12298" width="0.7109375" style="440" customWidth="1"/>
    <col min="12299" max="12299" width="1.85546875" style="440" customWidth="1"/>
    <col min="12300" max="12300" width="11.85546875" style="440" bestFit="1" customWidth="1"/>
    <col min="12301" max="12301" width="15.28515625" style="440" bestFit="1" customWidth="1"/>
    <col min="12302" max="12302" width="5" style="440" customWidth="1"/>
    <col min="12303" max="12303" width="10.42578125" style="440" bestFit="1" customWidth="1"/>
    <col min="12304" max="12304" width="5" style="440" customWidth="1"/>
    <col min="12305" max="12305" width="10.42578125" style="440" bestFit="1" customWidth="1"/>
    <col min="12306" max="12308" width="9.140625" style="440"/>
    <col min="12309" max="12309" width="10.42578125" style="440" bestFit="1" customWidth="1"/>
    <col min="12310" max="12538" width="9.140625" style="440"/>
    <col min="12539" max="12539" width="3.5703125" style="440" customWidth="1"/>
    <col min="12540" max="12540" width="4.85546875" style="440" customWidth="1"/>
    <col min="12541" max="12541" width="5.42578125" style="440" customWidth="1"/>
    <col min="12542" max="12542" width="31.28515625" style="440" customWidth="1"/>
    <col min="12543" max="12543" width="7.5703125" style="440" customWidth="1"/>
    <col min="12544" max="12544" width="2.42578125" style="440" customWidth="1"/>
    <col min="12545" max="12545" width="11.5703125" style="440" customWidth="1"/>
    <col min="12546" max="12546" width="2.42578125" style="440" customWidth="1"/>
    <col min="12547" max="12547" width="11.5703125" style="440" customWidth="1"/>
    <col min="12548" max="12548" width="2.42578125" style="440" customWidth="1"/>
    <col min="12549" max="12549" width="10.85546875" style="440" customWidth="1"/>
    <col min="12550" max="12550" width="2.42578125" style="440" customWidth="1"/>
    <col min="12551" max="12551" width="11.140625" style="440" customWidth="1"/>
    <col min="12552" max="12552" width="1.85546875" style="440" customWidth="1"/>
    <col min="12553" max="12553" width="11" style="440" customWidth="1"/>
    <col min="12554" max="12554" width="0.7109375" style="440" customWidth="1"/>
    <col min="12555" max="12555" width="1.85546875" style="440" customWidth="1"/>
    <col min="12556" max="12556" width="11.85546875" style="440" bestFit="1" customWidth="1"/>
    <col min="12557" max="12557" width="15.28515625" style="440" bestFit="1" customWidth="1"/>
    <col min="12558" max="12558" width="5" style="440" customWidth="1"/>
    <col min="12559" max="12559" width="10.42578125" style="440" bestFit="1" customWidth="1"/>
    <col min="12560" max="12560" width="5" style="440" customWidth="1"/>
    <col min="12561" max="12561" width="10.42578125" style="440" bestFit="1" customWidth="1"/>
    <col min="12562" max="12564" width="9.140625" style="440"/>
    <col min="12565" max="12565" width="10.42578125" style="440" bestFit="1" customWidth="1"/>
    <col min="12566" max="12794" width="9.140625" style="440"/>
    <col min="12795" max="12795" width="3.5703125" style="440" customWidth="1"/>
    <col min="12796" max="12796" width="4.85546875" style="440" customWidth="1"/>
    <col min="12797" max="12797" width="5.42578125" style="440" customWidth="1"/>
    <col min="12798" max="12798" width="31.28515625" style="440" customWidth="1"/>
    <col min="12799" max="12799" width="7.5703125" style="440" customWidth="1"/>
    <col min="12800" max="12800" width="2.42578125" style="440" customWidth="1"/>
    <col min="12801" max="12801" width="11.5703125" style="440" customWidth="1"/>
    <col min="12802" max="12802" width="2.42578125" style="440" customWidth="1"/>
    <col min="12803" max="12803" width="11.5703125" style="440" customWidth="1"/>
    <col min="12804" max="12804" width="2.42578125" style="440" customWidth="1"/>
    <col min="12805" max="12805" width="10.85546875" style="440" customWidth="1"/>
    <col min="12806" max="12806" width="2.42578125" style="440" customWidth="1"/>
    <col min="12807" max="12807" width="11.140625" style="440" customWidth="1"/>
    <col min="12808" max="12808" width="1.85546875" style="440" customWidth="1"/>
    <col min="12809" max="12809" width="11" style="440" customWidth="1"/>
    <col min="12810" max="12810" width="0.7109375" style="440" customWidth="1"/>
    <col min="12811" max="12811" width="1.85546875" style="440" customWidth="1"/>
    <col min="12812" max="12812" width="11.85546875" style="440" bestFit="1" customWidth="1"/>
    <col min="12813" max="12813" width="15.28515625" style="440" bestFit="1" customWidth="1"/>
    <col min="12814" max="12814" width="5" style="440" customWidth="1"/>
    <col min="12815" max="12815" width="10.42578125" style="440" bestFit="1" customWidth="1"/>
    <col min="12816" max="12816" width="5" style="440" customWidth="1"/>
    <col min="12817" max="12817" width="10.42578125" style="440" bestFit="1" customWidth="1"/>
    <col min="12818" max="12820" width="9.140625" style="440"/>
    <col min="12821" max="12821" width="10.42578125" style="440" bestFit="1" customWidth="1"/>
    <col min="12822" max="13050" width="9.140625" style="440"/>
    <col min="13051" max="13051" width="3.5703125" style="440" customWidth="1"/>
    <col min="13052" max="13052" width="4.85546875" style="440" customWidth="1"/>
    <col min="13053" max="13053" width="5.42578125" style="440" customWidth="1"/>
    <col min="13054" max="13054" width="31.28515625" style="440" customWidth="1"/>
    <col min="13055" max="13055" width="7.5703125" style="440" customWidth="1"/>
    <col min="13056" max="13056" width="2.42578125" style="440" customWidth="1"/>
    <col min="13057" max="13057" width="11.5703125" style="440" customWidth="1"/>
    <col min="13058" max="13058" width="2.42578125" style="440" customWidth="1"/>
    <col min="13059" max="13059" width="11.5703125" style="440" customWidth="1"/>
    <col min="13060" max="13060" width="2.42578125" style="440" customWidth="1"/>
    <col min="13061" max="13061" width="10.85546875" style="440" customWidth="1"/>
    <col min="13062" max="13062" width="2.42578125" style="440" customWidth="1"/>
    <col min="13063" max="13063" width="11.140625" style="440" customWidth="1"/>
    <col min="13064" max="13064" width="1.85546875" style="440" customWidth="1"/>
    <col min="13065" max="13065" width="11" style="440" customWidth="1"/>
    <col min="13066" max="13066" width="0.7109375" style="440" customWidth="1"/>
    <col min="13067" max="13067" width="1.85546875" style="440" customWidth="1"/>
    <col min="13068" max="13068" width="11.85546875" style="440" bestFit="1" customWidth="1"/>
    <col min="13069" max="13069" width="15.28515625" style="440" bestFit="1" customWidth="1"/>
    <col min="13070" max="13070" width="5" style="440" customWidth="1"/>
    <col min="13071" max="13071" width="10.42578125" style="440" bestFit="1" customWidth="1"/>
    <col min="13072" max="13072" width="5" style="440" customWidth="1"/>
    <col min="13073" max="13073" width="10.42578125" style="440" bestFit="1" customWidth="1"/>
    <col min="13074" max="13076" width="9.140625" style="440"/>
    <col min="13077" max="13077" width="10.42578125" style="440" bestFit="1" customWidth="1"/>
    <col min="13078" max="13306" width="9.140625" style="440"/>
    <col min="13307" max="13307" width="3.5703125" style="440" customWidth="1"/>
    <col min="13308" max="13308" width="4.85546875" style="440" customWidth="1"/>
    <col min="13309" max="13309" width="5.42578125" style="440" customWidth="1"/>
    <col min="13310" max="13310" width="31.28515625" style="440" customWidth="1"/>
    <col min="13311" max="13311" width="7.5703125" style="440" customWidth="1"/>
    <col min="13312" max="13312" width="2.42578125" style="440" customWidth="1"/>
    <col min="13313" max="13313" width="11.5703125" style="440" customWidth="1"/>
    <col min="13314" max="13314" width="2.42578125" style="440" customWidth="1"/>
    <col min="13315" max="13315" width="11.5703125" style="440" customWidth="1"/>
    <col min="13316" max="13316" width="2.42578125" style="440" customWidth="1"/>
    <col min="13317" max="13317" width="10.85546875" style="440" customWidth="1"/>
    <col min="13318" max="13318" width="2.42578125" style="440" customWidth="1"/>
    <col min="13319" max="13319" width="11.140625" style="440" customWidth="1"/>
    <col min="13320" max="13320" width="1.85546875" style="440" customWidth="1"/>
    <col min="13321" max="13321" width="11" style="440" customWidth="1"/>
    <col min="13322" max="13322" width="0.7109375" style="440" customWidth="1"/>
    <col min="13323" max="13323" width="1.85546875" style="440" customWidth="1"/>
    <col min="13324" max="13324" width="11.85546875" style="440" bestFit="1" customWidth="1"/>
    <col min="13325" max="13325" width="15.28515625" style="440" bestFit="1" customWidth="1"/>
    <col min="13326" max="13326" width="5" style="440" customWidth="1"/>
    <col min="13327" max="13327" width="10.42578125" style="440" bestFit="1" customWidth="1"/>
    <col min="13328" max="13328" width="5" style="440" customWidth="1"/>
    <col min="13329" max="13329" width="10.42578125" style="440" bestFit="1" customWidth="1"/>
    <col min="13330" max="13332" width="9.140625" style="440"/>
    <col min="13333" max="13333" width="10.42578125" style="440" bestFit="1" customWidth="1"/>
    <col min="13334" max="13562" width="9.140625" style="440"/>
    <col min="13563" max="13563" width="3.5703125" style="440" customWidth="1"/>
    <col min="13564" max="13564" width="4.85546875" style="440" customWidth="1"/>
    <col min="13565" max="13565" width="5.42578125" style="440" customWidth="1"/>
    <col min="13566" max="13566" width="31.28515625" style="440" customWidth="1"/>
    <col min="13567" max="13567" width="7.5703125" style="440" customWidth="1"/>
    <col min="13568" max="13568" width="2.42578125" style="440" customWidth="1"/>
    <col min="13569" max="13569" width="11.5703125" style="440" customWidth="1"/>
    <col min="13570" max="13570" width="2.42578125" style="440" customWidth="1"/>
    <col min="13571" max="13571" width="11.5703125" style="440" customWidth="1"/>
    <col min="13572" max="13572" width="2.42578125" style="440" customWidth="1"/>
    <col min="13573" max="13573" width="10.85546875" style="440" customWidth="1"/>
    <col min="13574" max="13574" width="2.42578125" style="440" customWidth="1"/>
    <col min="13575" max="13575" width="11.140625" style="440" customWidth="1"/>
    <col min="13576" max="13576" width="1.85546875" style="440" customWidth="1"/>
    <col min="13577" max="13577" width="11" style="440" customWidth="1"/>
    <col min="13578" max="13578" width="0.7109375" style="440" customWidth="1"/>
    <col min="13579" max="13579" width="1.85546875" style="440" customWidth="1"/>
    <col min="13580" max="13580" width="11.85546875" style="440" bestFit="1" customWidth="1"/>
    <col min="13581" max="13581" width="15.28515625" style="440" bestFit="1" customWidth="1"/>
    <col min="13582" max="13582" width="5" style="440" customWidth="1"/>
    <col min="13583" max="13583" width="10.42578125" style="440" bestFit="1" customWidth="1"/>
    <col min="13584" max="13584" width="5" style="440" customWidth="1"/>
    <col min="13585" max="13585" width="10.42578125" style="440" bestFit="1" customWidth="1"/>
    <col min="13586" max="13588" width="9.140625" style="440"/>
    <col min="13589" max="13589" width="10.42578125" style="440" bestFit="1" customWidth="1"/>
    <col min="13590" max="13818" width="9.140625" style="440"/>
    <col min="13819" max="13819" width="3.5703125" style="440" customWidth="1"/>
    <col min="13820" max="13820" width="4.85546875" style="440" customWidth="1"/>
    <col min="13821" max="13821" width="5.42578125" style="440" customWidth="1"/>
    <col min="13822" max="13822" width="31.28515625" style="440" customWidth="1"/>
    <col min="13823" max="13823" width="7.5703125" style="440" customWidth="1"/>
    <col min="13824" max="13824" width="2.42578125" style="440" customWidth="1"/>
    <col min="13825" max="13825" width="11.5703125" style="440" customWidth="1"/>
    <col min="13826" max="13826" width="2.42578125" style="440" customWidth="1"/>
    <col min="13827" max="13827" width="11.5703125" style="440" customWidth="1"/>
    <col min="13828" max="13828" width="2.42578125" style="440" customWidth="1"/>
    <col min="13829" max="13829" width="10.85546875" style="440" customWidth="1"/>
    <col min="13830" max="13830" width="2.42578125" style="440" customWidth="1"/>
    <col min="13831" max="13831" width="11.140625" style="440" customWidth="1"/>
    <col min="13832" max="13832" width="1.85546875" style="440" customWidth="1"/>
    <col min="13833" max="13833" width="11" style="440" customWidth="1"/>
    <col min="13834" max="13834" width="0.7109375" style="440" customWidth="1"/>
    <col min="13835" max="13835" width="1.85546875" style="440" customWidth="1"/>
    <col min="13836" max="13836" width="11.85546875" style="440" bestFit="1" customWidth="1"/>
    <col min="13837" max="13837" width="15.28515625" style="440" bestFit="1" customWidth="1"/>
    <col min="13838" max="13838" width="5" style="440" customWidth="1"/>
    <col min="13839" max="13839" width="10.42578125" style="440" bestFit="1" customWidth="1"/>
    <col min="13840" max="13840" width="5" style="440" customWidth="1"/>
    <col min="13841" max="13841" width="10.42578125" style="440" bestFit="1" customWidth="1"/>
    <col min="13842" max="13844" width="9.140625" style="440"/>
    <col min="13845" max="13845" width="10.42578125" style="440" bestFit="1" customWidth="1"/>
    <col min="13846" max="14074" width="9.140625" style="440"/>
    <col min="14075" max="14075" width="3.5703125" style="440" customWidth="1"/>
    <col min="14076" max="14076" width="4.85546875" style="440" customWidth="1"/>
    <col min="14077" max="14077" width="5.42578125" style="440" customWidth="1"/>
    <col min="14078" max="14078" width="31.28515625" style="440" customWidth="1"/>
    <col min="14079" max="14079" width="7.5703125" style="440" customWidth="1"/>
    <col min="14080" max="14080" width="2.42578125" style="440" customWidth="1"/>
    <col min="14081" max="14081" width="11.5703125" style="440" customWidth="1"/>
    <col min="14082" max="14082" width="2.42578125" style="440" customWidth="1"/>
    <col min="14083" max="14083" width="11.5703125" style="440" customWidth="1"/>
    <col min="14084" max="14084" width="2.42578125" style="440" customWidth="1"/>
    <col min="14085" max="14085" width="10.85546875" style="440" customWidth="1"/>
    <col min="14086" max="14086" width="2.42578125" style="440" customWidth="1"/>
    <col min="14087" max="14087" width="11.140625" style="440" customWidth="1"/>
    <col min="14088" max="14088" width="1.85546875" style="440" customWidth="1"/>
    <col min="14089" max="14089" width="11" style="440" customWidth="1"/>
    <col min="14090" max="14090" width="0.7109375" style="440" customWidth="1"/>
    <col min="14091" max="14091" width="1.85546875" style="440" customWidth="1"/>
    <col min="14092" max="14092" width="11.85546875" style="440" bestFit="1" customWidth="1"/>
    <col min="14093" max="14093" width="15.28515625" style="440" bestFit="1" customWidth="1"/>
    <col min="14094" max="14094" width="5" style="440" customWidth="1"/>
    <col min="14095" max="14095" width="10.42578125" style="440" bestFit="1" customWidth="1"/>
    <col min="14096" max="14096" width="5" style="440" customWidth="1"/>
    <col min="14097" max="14097" width="10.42578125" style="440" bestFit="1" customWidth="1"/>
    <col min="14098" max="14100" width="9.140625" style="440"/>
    <col min="14101" max="14101" width="10.42578125" style="440" bestFit="1" customWidth="1"/>
    <col min="14102" max="14330" width="9.140625" style="440"/>
    <col min="14331" max="14331" width="3.5703125" style="440" customWidth="1"/>
    <col min="14332" max="14332" width="4.85546875" style="440" customWidth="1"/>
    <col min="14333" max="14333" width="5.42578125" style="440" customWidth="1"/>
    <col min="14334" max="14334" width="31.28515625" style="440" customWidth="1"/>
    <col min="14335" max="14335" width="7.5703125" style="440" customWidth="1"/>
    <col min="14336" max="14336" width="2.42578125" style="440" customWidth="1"/>
    <col min="14337" max="14337" width="11.5703125" style="440" customWidth="1"/>
    <col min="14338" max="14338" width="2.42578125" style="440" customWidth="1"/>
    <col min="14339" max="14339" width="11.5703125" style="440" customWidth="1"/>
    <col min="14340" max="14340" width="2.42578125" style="440" customWidth="1"/>
    <col min="14341" max="14341" width="10.85546875" style="440" customWidth="1"/>
    <col min="14342" max="14342" width="2.42578125" style="440" customWidth="1"/>
    <col min="14343" max="14343" width="11.140625" style="440" customWidth="1"/>
    <col min="14344" max="14344" width="1.85546875" style="440" customWidth="1"/>
    <col min="14345" max="14345" width="11" style="440" customWidth="1"/>
    <col min="14346" max="14346" width="0.7109375" style="440" customWidth="1"/>
    <col min="14347" max="14347" width="1.85546875" style="440" customWidth="1"/>
    <col min="14348" max="14348" width="11.85546875" style="440" bestFit="1" customWidth="1"/>
    <col min="14349" max="14349" width="15.28515625" style="440" bestFit="1" customWidth="1"/>
    <col min="14350" max="14350" width="5" style="440" customWidth="1"/>
    <col min="14351" max="14351" width="10.42578125" style="440" bestFit="1" customWidth="1"/>
    <col min="14352" max="14352" width="5" style="440" customWidth="1"/>
    <col min="14353" max="14353" width="10.42578125" style="440" bestFit="1" customWidth="1"/>
    <col min="14354" max="14356" width="9.140625" style="440"/>
    <col min="14357" max="14357" width="10.42578125" style="440" bestFit="1" customWidth="1"/>
    <col min="14358" max="14586" width="9.140625" style="440"/>
    <col min="14587" max="14587" width="3.5703125" style="440" customWidth="1"/>
    <col min="14588" max="14588" width="4.85546875" style="440" customWidth="1"/>
    <col min="14589" max="14589" width="5.42578125" style="440" customWidth="1"/>
    <col min="14590" max="14590" width="31.28515625" style="440" customWidth="1"/>
    <col min="14591" max="14591" width="7.5703125" style="440" customWidth="1"/>
    <col min="14592" max="14592" width="2.42578125" style="440" customWidth="1"/>
    <col min="14593" max="14593" width="11.5703125" style="440" customWidth="1"/>
    <col min="14594" max="14594" width="2.42578125" style="440" customWidth="1"/>
    <col min="14595" max="14595" width="11.5703125" style="440" customWidth="1"/>
    <col min="14596" max="14596" width="2.42578125" style="440" customWidth="1"/>
    <col min="14597" max="14597" width="10.85546875" style="440" customWidth="1"/>
    <col min="14598" max="14598" width="2.42578125" style="440" customWidth="1"/>
    <col min="14599" max="14599" width="11.140625" style="440" customWidth="1"/>
    <col min="14600" max="14600" width="1.85546875" style="440" customWidth="1"/>
    <col min="14601" max="14601" width="11" style="440" customWidth="1"/>
    <col min="14602" max="14602" width="0.7109375" style="440" customWidth="1"/>
    <col min="14603" max="14603" width="1.85546875" style="440" customWidth="1"/>
    <col min="14604" max="14604" width="11.85546875" style="440" bestFit="1" customWidth="1"/>
    <col min="14605" max="14605" width="15.28515625" style="440" bestFit="1" customWidth="1"/>
    <col min="14606" max="14606" width="5" style="440" customWidth="1"/>
    <col min="14607" max="14607" width="10.42578125" style="440" bestFit="1" customWidth="1"/>
    <col min="14608" max="14608" width="5" style="440" customWidth="1"/>
    <col min="14609" max="14609" width="10.42578125" style="440" bestFit="1" customWidth="1"/>
    <col min="14610" max="14612" width="9.140625" style="440"/>
    <col min="14613" max="14613" width="10.42578125" style="440" bestFit="1" customWidth="1"/>
    <col min="14614" max="14842" width="9.140625" style="440"/>
    <col min="14843" max="14843" width="3.5703125" style="440" customWidth="1"/>
    <col min="14844" max="14844" width="4.85546875" style="440" customWidth="1"/>
    <col min="14845" max="14845" width="5.42578125" style="440" customWidth="1"/>
    <col min="14846" max="14846" width="31.28515625" style="440" customWidth="1"/>
    <col min="14847" max="14847" width="7.5703125" style="440" customWidth="1"/>
    <col min="14848" max="14848" width="2.42578125" style="440" customWidth="1"/>
    <col min="14849" max="14849" width="11.5703125" style="440" customWidth="1"/>
    <col min="14850" max="14850" width="2.42578125" style="440" customWidth="1"/>
    <col min="14851" max="14851" width="11.5703125" style="440" customWidth="1"/>
    <col min="14852" max="14852" width="2.42578125" style="440" customWidth="1"/>
    <col min="14853" max="14853" width="10.85546875" style="440" customWidth="1"/>
    <col min="14854" max="14854" width="2.42578125" style="440" customWidth="1"/>
    <col min="14855" max="14855" width="11.140625" style="440" customWidth="1"/>
    <col min="14856" max="14856" width="1.85546875" style="440" customWidth="1"/>
    <col min="14857" max="14857" width="11" style="440" customWidth="1"/>
    <col min="14858" max="14858" width="0.7109375" style="440" customWidth="1"/>
    <col min="14859" max="14859" width="1.85546875" style="440" customWidth="1"/>
    <col min="14860" max="14860" width="11.85546875" style="440" bestFit="1" customWidth="1"/>
    <col min="14861" max="14861" width="15.28515625" style="440" bestFit="1" customWidth="1"/>
    <col min="14862" max="14862" width="5" style="440" customWidth="1"/>
    <col min="14863" max="14863" width="10.42578125" style="440" bestFit="1" customWidth="1"/>
    <col min="14864" max="14864" width="5" style="440" customWidth="1"/>
    <col min="14865" max="14865" width="10.42578125" style="440" bestFit="1" customWidth="1"/>
    <col min="14866" max="14868" width="9.140625" style="440"/>
    <col min="14869" max="14869" width="10.42578125" style="440" bestFit="1" customWidth="1"/>
    <col min="14870" max="15098" width="9.140625" style="440"/>
    <col min="15099" max="15099" width="3.5703125" style="440" customWidth="1"/>
    <col min="15100" max="15100" width="4.85546875" style="440" customWidth="1"/>
    <col min="15101" max="15101" width="5.42578125" style="440" customWidth="1"/>
    <col min="15102" max="15102" width="31.28515625" style="440" customWidth="1"/>
    <col min="15103" max="15103" width="7.5703125" style="440" customWidth="1"/>
    <col min="15104" max="15104" width="2.42578125" style="440" customWidth="1"/>
    <col min="15105" max="15105" width="11.5703125" style="440" customWidth="1"/>
    <col min="15106" max="15106" width="2.42578125" style="440" customWidth="1"/>
    <col min="15107" max="15107" width="11.5703125" style="440" customWidth="1"/>
    <col min="15108" max="15108" width="2.42578125" style="440" customWidth="1"/>
    <col min="15109" max="15109" width="10.85546875" style="440" customWidth="1"/>
    <col min="15110" max="15110" width="2.42578125" style="440" customWidth="1"/>
    <col min="15111" max="15111" width="11.140625" style="440" customWidth="1"/>
    <col min="15112" max="15112" width="1.85546875" style="440" customWidth="1"/>
    <col min="15113" max="15113" width="11" style="440" customWidth="1"/>
    <col min="15114" max="15114" width="0.7109375" style="440" customWidth="1"/>
    <col min="15115" max="15115" width="1.85546875" style="440" customWidth="1"/>
    <col min="15116" max="15116" width="11.85546875" style="440" bestFit="1" customWidth="1"/>
    <col min="15117" max="15117" width="15.28515625" style="440" bestFit="1" customWidth="1"/>
    <col min="15118" max="15118" width="5" style="440" customWidth="1"/>
    <col min="15119" max="15119" width="10.42578125" style="440" bestFit="1" customWidth="1"/>
    <col min="15120" max="15120" width="5" style="440" customWidth="1"/>
    <col min="15121" max="15121" width="10.42578125" style="440" bestFit="1" customWidth="1"/>
    <col min="15122" max="15124" width="9.140625" style="440"/>
    <col min="15125" max="15125" width="10.42578125" style="440" bestFit="1" customWidth="1"/>
    <col min="15126" max="15354" width="9.140625" style="440"/>
    <col min="15355" max="15355" width="3.5703125" style="440" customWidth="1"/>
    <col min="15356" max="15356" width="4.85546875" style="440" customWidth="1"/>
    <col min="15357" max="15357" width="5.42578125" style="440" customWidth="1"/>
    <col min="15358" max="15358" width="31.28515625" style="440" customWidth="1"/>
    <col min="15359" max="15359" width="7.5703125" style="440" customWidth="1"/>
    <col min="15360" max="15360" width="2.42578125" style="440" customWidth="1"/>
    <col min="15361" max="15361" width="11.5703125" style="440" customWidth="1"/>
    <col min="15362" max="15362" width="2.42578125" style="440" customWidth="1"/>
    <col min="15363" max="15363" width="11.5703125" style="440" customWidth="1"/>
    <col min="15364" max="15364" width="2.42578125" style="440" customWidth="1"/>
    <col min="15365" max="15365" width="10.85546875" style="440" customWidth="1"/>
    <col min="15366" max="15366" width="2.42578125" style="440" customWidth="1"/>
    <col min="15367" max="15367" width="11.140625" style="440" customWidth="1"/>
    <col min="15368" max="15368" width="1.85546875" style="440" customWidth="1"/>
    <col min="15369" max="15369" width="11" style="440" customWidth="1"/>
    <col min="15370" max="15370" width="0.7109375" style="440" customWidth="1"/>
    <col min="15371" max="15371" width="1.85546875" style="440" customWidth="1"/>
    <col min="15372" max="15372" width="11.85546875" style="440" bestFit="1" customWidth="1"/>
    <col min="15373" max="15373" width="15.28515625" style="440" bestFit="1" customWidth="1"/>
    <col min="15374" max="15374" width="5" style="440" customWidth="1"/>
    <col min="15375" max="15375" width="10.42578125" style="440" bestFit="1" customWidth="1"/>
    <col min="15376" max="15376" width="5" style="440" customWidth="1"/>
    <col min="15377" max="15377" width="10.42578125" style="440" bestFit="1" customWidth="1"/>
    <col min="15378" max="15380" width="9.140625" style="440"/>
    <col min="15381" max="15381" width="10.42578125" style="440" bestFit="1" customWidth="1"/>
    <col min="15382" max="15610" width="9.140625" style="440"/>
    <col min="15611" max="15611" width="3.5703125" style="440" customWidth="1"/>
    <col min="15612" max="15612" width="4.85546875" style="440" customWidth="1"/>
    <col min="15613" max="15613" width="5.42578125" style="440" customWidth="1"/>
    <col min="15614" max="15614" width="31.28515625" style="440" customWidth="1"/>
    <col min="15615" max="15615" width="7.5703125" style="440" customWidth="1"/>
    <col min="15616" max="15616" width="2.42578125" style="440" customWidth="1"/>
    <col min="15617" max="15617" width="11.5703125" style="440" customWidth="1"/>
    <col min="15618" max="15618" width="2.42578125" style="440" customWidth="1"/>
    <col min="15619" max="15619" width="11.5703125" style="440" customWidth="1"/>
    <col min="15620" max="15620" width="2.42578125" style="440" customWidth="1"/>
    <col min="15621" max="15621" width="10.85546875" style="440" customWidth="1"/>
    <col min="15622" max="15622" width="2.42578125" style="440" customWidth="1"/>
    <col min="15623" max="15623" width="11.140625" style="440" customWidth="1"/>
    <col min="15624" max="15624" width="1.85546875" style="440" customWidth="1"/>
    <col min="15625" max="15625" width="11" style="440" customWidth="1"/>
    <col min="15626" max="15626" width="0.7109375" style="440" customWidth="1"/>
    <col min="15627" max="15627" width="1.85546875" style="440" customWidth="1"/>
    <col min="15628" max="15628" width="11.85546875" style="440" bestFit="1" customWidth="1"/>
    <col min="15629" max="15629" width="15.28515625" style="440" bestFit="1" customWidth="1"/>
    <col min="15630" max="15630" width="5" style="440" customWidth="1"/>
    <col min="15631" max="15631" width="10.42578125" style="440" bestFit="1" customWidth="1"/>
    <col min="15632" max="15632" width="5" style="440" customWidth="1"/>
    <col min="15633" max="15633" width="10.42578125" style="440" bestFit="1" customWidth="1"/>
    <col min="15634" max="15636" width="9.140625" style="440"/>
    <col min="15637" max="15637" width="10.42578125" style="440" bestFit="1" customWidth="1"/>
    <col min="15638" max="15866" width="9.140625" style="440"/>
    <col min="15867" max="15867" width="3.5703125" style="440" customWidth="1"/>
    <col min="15868" max="15868" width="4.85546875" style="440" customWidth="1"/>
    <col min="15869" max="15869" width="5.42578125" style="440" customWidth="1"/>
    <col min="15870" max="15870" width="31.28515625" style="440" customWidth="1"/>
    <col min="15871" max="15871" width="7.5703125" style="440" customWidth="1"/>
    <col min="15872" max="15872" width="2.42578125" style="440" customWidth="1"/>
    <col min="15873" max="15873" width="11.5703125" style="440" customWidth="1"/>
    <col min="15874" max="15874" width="2.42578125" style="440" customWidth="1"/>
    <col min="15875" max="15875" width="11.5703125" style="440" customWidth="1"/>
    <col min="15876" max="15876" width="2.42578125" style="440" customWidth="1"/>
    <col min="15877" max="15877" width="10.85546875" style="440" customWidth="1"/>
    <col min="15878" max="15878" width="2.42578125" style="440" customWidth="1"/>
    <col min="15879" max="15879" width="11.140625" style="440" customWidth="1"/>
    <col min="15880" max="15880" width="1.85546875" style="440" customWidth="1"/>
    <col min="15881" max="15881" width="11" style="440" customWidth="1"/>
    <col min="15882" max="15882" width="0.7109375" style="440" customWidth="1"/>
    <col min="15883" max="15883" width="1.85546875" style="440" customWidth="1"/>
    <col min="15884" max="15884" width="11.85546875" style="440" bestFit="1" customWidth="1"/>
    <col min="15885" max="15885" width="15.28515625" style="440" bestFit="1" customWidth="1"/>
    <col min="15886" max="15886" width="5" style="440" customWidth="1"/>
    <col min="15887" max="15887" width="10.42578125" style="440" bestFit="1" customWidth="1"/>
    <col min="15888" max="15888" width="5" style="440" customWidth="1"/>
    <col min="15889" max="15889" width="10.42578125" style="440" bestFit="1" customWidth="1"/>
    <col min="15890" max="15892" width="9.140625" style="440"/>
    <col min="15893" max="15893" width="10.42578125" style="440" bestFit="1" customWidth="1"/>
    <col min="15894" max="16122" width="9.140625" style="440"/>
    <col min="16123" max="16123" width="3.5703125" style="440" customWidth="1"/>
    <col min="16124" max="16124" width="4.85546875" style="440" customWidth="1"/>
    <col min="16125" max="16125" width="5.42578125" style="440" customWidth="1"/>
    <col min="16126" max="16126" width="31.28515625" style="440" customWidth="1"/>
    <col min="16127" max="16127" width="7.5703125" style="440" customWidth="1"/>
    <col min="16128" max="16128" width="2.42578125" style="440" customWidth="1"/>
    <col min="16129" max="16129" width="11.5703125" style="440" customWidth="1"/>
    <col min="16130" max="16130" width="2.42578125" style="440" customWidth="1"/>
    <col min="16131" max="16131" width="11.5703125" style="440" customWidth="1"/>
    <col min="16132" max="16132" width="2.42578125" style="440" customWidth="1"/>
    <col min="16133" max="16133" width="10.85546875" style="440" customWidth="1"/>
    <col min="16134" max="16134" width="2.42578125" style="440" customWidth="1"/>
    <col min="16135" max="16135" width="11.140625" style="440" customWidth="1"/>
    <col min="16136" max="16136" width="1.85546875" style="440" customWidth="1"/>
    <col min="16137" max="16137" width="11" style="440" customWidth="1"/>
    <col min="16138" max="16138" width="0.7109375" style="440" customWidth="1"/>
    <col min="16139" max="16139" width="1.85546875" style="440" customWidth="1"/>
    <col min="16140" max="16140" width="11.85546875" style="440" bestFit="1" customWidth="1"/>
    <col min="16141" max="16141" width="15.28515625" style="440" bestFit="1" customWidth="1"/>
    <col min="16142" max="16142" width="5" style="440" customWidth="1"/>
    <col min="16143" max="16143" width="10.42578125" style="440" bestFit="1" customWidth="1"/>
    <col min="16144" max="16144" width="5" style="440" customWidth="1"/>
    <col min="16145" max="16145" width="10.42578125" style="440" bestFit="1" customWidth="1"/>
    <col min="16146" max="16148" width="9.140625" style="440"/>
    <col min="16149" max="16149" width="10.42578125" style="440" bestFit="1" customWidth="1"/>
    <col min="16150" max="16379" width="9.140625" style="440"/>
    <col min="16380" max="16381" width="9" style="440" customWidth="1"/>
    <col min="16382" max="16384" width="9" style="440"/>
  </cols>
  <sheetData>
    <row r="1" spans="1:15" s="226" customFormat="1" ht="25.5" customHeight="1" x14ac:dyDescent="0.6">
      <c r="A1" s="1517" t="s">
        <v>244</v>
      </c>
      <c r="B1" s="1517"/>
      <c r="C1" s="1517"/>
      <c r="D1" s="1517"/>
      <c r="E1" s="1517"/>
      <c r="F1" s="1517"/>
      <c r="G1" s="1517"/>
      <c r="H1" s="1517"/>
      <c r="I1" s="1517"/>
      <c r="J1" s="1517"/>
      <c r="K1" s="1517"/>
      <c r="L1" s="1517"/>
      <c r="M1" s="1517"/>
      <c r="N1" s="229"/>
      <c r="O1" s="229"/>
    </row>
    <row r="2" spans="1:15" s="226" customFormat="1" ht="25.5" customHeight="1" x14ac:dyDescent="0.6">
      <c r="A2" s="1518" t="str">
        <f>'8.9.10.11'!A2:K2</f>
        <v>يادداشتهاي توضيحي صورتهاي مالي</v>
      </c>
      <c r="B2" s="1518"/>
      <c r="C2" s="1518"/>
      <c r="D2" s="1518"/>
      <c r="E2" s="1518"/>
      <c r="F2" s="1518"/>
      <c r="G2" s="1518"/>
      <c r="H2" s="1518"/>
      <c r="I2" s="1518"/>
      <c r="J2" s="1518"/>
      <c r="K2" s="1518"/>
      <c r="L2" s="1518"/>
      <c r="M2" s="1518"/>
      <c r="N2" s="229"/>
      <c r="O2" s="229"/>
    </row>
    <row r="3" spans="1:15" s="226" customFormat="1" ht="25.5" customHeight="1" x14ac:dyDescent="0.6">
      <c r="A3" s="1518" t="str">
        <f>سودوزيان!A3</f>
        <v>سال مالی منتهی به 30 اسفند 1403</v>
      </c>
      <c r="B3" s="1518"/>
      <c r="C3" s="1518"/>
      <c r="D3" s="1518"/>
      <c r="E3" s="1518"/>
      <c r="F3" s="1518"/>
      <c r="G3" s="1518"/>
      <c r="H3" s="1518"/>
      <c r="I3" s="1518"/>
      <c r="J3" s="1518"/>
      <c r="K3" s="1518"/>
      <c r="L3" s="1518"/>
      <c r="M3" s="1518"/>
      <c r="N3" s="229"/>
      <c r="O3" s="229"/>
    </row>
    <row r="4" spans="1:15" s="226" customFormat="1" ht="25.5" hidden="1" customHeight="1" x14ac:dyDescent="0.6">
      <c r="A4" s="181"/>
      <c r="B4" s="181"/>
      <c r="C4" s="181"/>
      <c r="D4" s="181"/>
      <c r="E4" s="181"/>
      <c r="F4" s="181"/>
      <c r="G4" s="181"/>
      <c r="H4" s="181"/>
      <c r="I4" s="181"/>
      <c r="J4" s="264"/>
      <c r="K4" s="264"/>
      <c r="L4" s="264"/>
      <c r="M4" s="181"/>
      <c r="N4" s="229"/>
      <c r="O4" s="229"/>
    </row>
    <row r="5" spans="1:15" ht="25.5" customHeight="1" x14ac:dyDescent="0.25">
      <c r="L5" s="915"/>
    </row>
    <row r="6" spans="1:15" ht="25.5" customHeight="1" x14ac:dyDescent="0.25">
      <c r="A6" s="919" t="s">
        <v>1019</v>
      </c>
      <c r="C6" s="1022"/>
      <c r="D6" s="1022"/>
      <c r="E6" s="1022"/>
      <c r="F6" s="1022"/>
      <c r="G6" s="1022"/>
      <c r="H6" s="1022"/>
      <c r="I6" s="1022"/>
      <c r="J6" s="1022"/>
      <c r="L6" s="915"/>
    </row>
    <row r="7" spans="1:15" ht="39.75" customHeight="1" x14ac:dyDescent="0.25">
      <c r="A7" s="919"/>
      <c r="C7" s="1022"/>
      <c r="D7" s="1022"/>
      <c r="E7" s="1022"/>
      <c r="F7" s="1022"/>
      <c r="G7" s="1022"/>
      <c r="H7" s="1022"/>
      <c r="I7" s="1022"/>
      <c r="J7" s="1022"/>
      <c r="L7" s="915"/>
      <c r="O7" s="1682" t="s">
        <v>1342</v>
      </c>
    </row>
    <row r="8" spans="1:15" ht="19.5" customHeight="1" x14ac:dyDescent="0.25">
      <c r="J8" s="916">
        <v>1403</v>
      </c>
      <c r="K8" s="261"/>
      <c r="L8" s="916">
        <v>1402</v>
      </c>
    </row>
    <row r="9" spans="1:15" ht="21.75" customHeight="1" x14ac:dyDescent="0.25">
      <c r="J9" s="1023" t="s">
        <v>591</v>
      </c>
      <c r="K9" s="260"/>
      <c r="L9" s="1023" t="s">
        <v>591</v>
      </c>
    </row>
    <row r="10" spans="1:15" ht="19.5" customHeight="1" x14ac:dyDescent="0.25">
      <c r="D10" s="248" t="s">
        <v>864</v>
      </c>
      <c r="J10" s="183">
        <v>11126720000</v>
      </c>
      <c r="K10" s="440"/>
      <c r="L10" s="931">
        <v>11126720000</v>
      </c>
      <c r="O10" s="440">
        <v>1650</v>
      </c>
    </row>
    <row r="11" spans="1:15" ht="19.5" customHeight="1" x14ac:dyDescent="0.25">
      <c r="D11" s="248" t="s">
        <v>1129</v>
      </c>
      <c r="E11" s="248"/>
      <c r="F11" s="248"/>
      <c r="J11" s="183">
        <v>9728878200</v>
      </c>
      <c r="L11" s="931">
        <v>0</v>
      </c>
      <c r="O11" s="440">
        <v>1650</v>
      </c>
    </row>
    <row r="12" spans="1:15" ht="19.5" customHeight="1" x14ac:dyDescent="0.25">
      <c r="D12" s="1680" t="s">
        <v>866</v>
      </c>
      <c r="E12" s="248"/>
      <c r="F12" s="248"/>
      <c r="J12" s="183">
        <v>9154874649</v>
      </c>
      <c r="L12" s="931">
        <v>0</v>
      </c>
      <c r="O12" s="440" t="s">
        <v>1324</v>
      </c>
    </row>
    <row r="13" spans="1:15" ht="19.5" customHeight="1" x14ac:dyDescent="0.25">
      <c r="D13" s="1680" t="s">
        <v>964</v>
      </c>
      <c r="J13" s="183">
        <v>4618875000</v>
      </c>
      <c r="K13" s="440"/>
      <c r="L13" s="931">
        <v>4618875000</v>
      </c>
      <c r="O13" s="440" t="s">
        <v>1343</v>
      </c>
    </row>
    <row r="14" spans="1:15" ht="19.5" customHeight="1" x14ac:dyDescent="0.25">
      <c r="D14" s="1680" t="s">
        <v>869</v>
      </c>
      <c r="E14" s="248"/>
      <c r="F14" s="248"/>
      <c r="J14" s="183">
        <v>2871000000</v>
      </c>
      <c r="L14" s="931">
        <v>0</v>
      </c>
      <c r="O14" s="440" t="s">
        <v>1324</v>
      </c>
    </row>
    <row r="15" spans="1:15" ht="19.5" customHeight="1" x14ac:dyDescent="0.25">
      <c r="D15" s="1680" t="s">
        <v>1135</v>
      </c>
      <c r="E15" s="1093"/>
      <c r="F15" s="1093"/>
      <c r="J15" s="183">
        <v>2580875000</v>
      </c>
      <c r="L15" s="931"/>
      <c r="O15" s="440" t="s">
        <v>1324</v>
      </c>
    </row>
    <row r="16" spans="1:15" ht="19.5" customHeight="1" x14ac:dyDescent="0.25">
      <c r="D16" s="1680" t="s">
        <v>405</v>
      </c>
      <c r="J16" s="183">
        <v>2189076650</v>
      </c>
      <c r="L16" s="931">
        <v>3013516150</v>
      </c>
      <c r="O16" s="440" t="s">
        <v>1324</v>
      </c>
    </row>
    <row r="17" spans="4:15" ht="19.5" customHeight="1" x14ac:dyDescent="0.25">
      <c r="D17" s="1680" t="s">
        <v>1130</v>
      </c>
      <c r="E17" s="248"/>
      <c r="F17" s="248"/>
      <c r="J17" s="183">
        <v>2156915632</v>
      </c>
      <c r="L17" s="931">
        <v>0</v>
      </c>
      <c r="O17" s="440" t="s">
        <v>1343</v>
      </c>
    </row>
    <row r="18" spans="4:15" ht="19.5" customHeight="1" x14ac:dyDescent="0.25">
      <c r="D18" s="1680" t="s">
        <v>1131</v>
      </c>
      <c r="J18" s="183">
        <v>2051500000</v>
      </c>
      <c r="K18" s="440"/>
      <c r="L18" s="931">
        <v>0</v>
      </c>
      <c r="O18" s="440" t="s">
        <v>1344</v>
      </c>
    </row>
    <row r="19" spans="4:15" ht="19.5" customHeight="1" x14ac:dyDescent="0.25">
      <c r="D19" s="1680" t="s">
        <v>966</v>
      </c>
      <c r="J19" s="183">
        <v>1889999997</v>
      </c>
      <c r="K19" s="440"/>
      <c r="L19" s="931">
        <v>0</v>
      </c>
      <c r="O19" s="440" t="s">
        <v>1324</v>
      </c>
    </row>
    <row r="20" spans="4:15" ht="19.5" customHeight="1" x14ac:dyDescent="0.25">
      <c r="D20" s="1680" t="s">
        <v>1132</v>
      </c>
      <c r="E20" s="1093"/>
      <c r="F20" s="1093"/>
      <c r="J20" s="183">
        <v>1634934088</v>
      </c>
      <c r="L20" s="931"/>
      <c r="O20" s="440" t="s">
        <v>1345</v>
      </c>
    </row>
    <row r="21" spans="4:15" ht="19.5" customHeight="1" x14ac:dyDescent="0.25">
      <c r="D21" s="1680" t="s">
        <v>970</v>
      </c>
      <c r="E21" s="248"/>
      <c r="F21" s="248"/>
      <c r="J21" s="183">
        <v>1586700000</v>
      </c>
      <c r="L21" s="931">
        <v>0</v>
      </c>
      <c r="O21" s="440" t="s">
        <v>1324</v>
      </c>
    </row>
    <row r="22" spans="4:15" ht="19.5" customHeight="1" x14ac:dyDescent="0.25">
      <c r="D22" s="440" t="s">
        <v>593</v>
      </c>
      <c r="J22" s="183">
        <v>1569297849</v>
      </c>
      <c r="L22" s="931">
        <v>0</v>
      </c>
      <c r="O22" s="440" t="s">
        <v>1346</v>
      </c>
    </row>
    <row r="23" spans="4:15" ht="19.5" customHeight="1" x14ac:dyDescent="0.25">
      <c r="D23" s="1680" t="s">
        <v>1134</v>
      </c>
      <c r="E23" s="1093"/>
      <c r="F23" s="1093"/>
      <c r="J23" s="183">
        <v>1476804513</v>
      </c>
      <c r="L23" s="931"/>
      <c r="O23" s="440" t="s">
        <v>1324</v>
      </c>
    </row>
    <row r="24" spans="4:15" ht="19.5" customHeight="1" x14ac:dyDescent="0.25">
      <c r="D24" s="1680" t="s">
        <v>868</v>
      </c>
      <c r="E24" s="248"/>
      <c r="F24" s="248"/>
      <c r="J24" s="183">
        <v>1252000000</v>
      </c>
      <c r="L24" s="931">
        <v>0</v>
      </c>
      <c r="O24" s="440" t="s">
        <v>1324</v>
      </c>
    </row>
    <row r="25" spans="4:15" ht="19.5" customHeight="1" x14ac:dyDescent="0.25">
      <c r="D25" s="1680" t="s">
        <v>978</v>
      </c>
      <c r="E25" s="1093"/>
      <c r="F25" s="1093"/>
      <c r="J25" s="183">
        <v>1190543970</v>
      </c>
      <c r="L25" s="931"/>
      <c r="O25" s="440" t="s">
        <v>1324</v>
      </c>
    </row>
    <row r="26" spans="4:15" ht="19.5" customHeight="1" x14ac:dyDescent="0.25">
      <c r="D26" s="1680" t="s">
        <v>1133</v>
      </c>
      <c r="E26" s="1093"/>
      <c r="F26" s="1093"/>
      <c r="J26" s="183">
        <v>1081900000</v>
      </c>
      <c r="L26" s="931"/>
      <c r="O26" s="440" t="s">
        <v>1345</v>
      </c>
    </row>
    <row r="27" spans="4:15" ht="19.5" customHeight="1" x14ac:dyDescent="0.25">
      <c r="D27" s="248" t="s">
        <v>870</v>
      </c>
      <c r="J27" s="183">
        <v>855714376</v>
      </c>
      <c r="K27" s="440"/>
      <c r="L27" s="931">
        <v>5657319976</v>
      </c>
      <c r="O27" s="440" t="s">
        <v>1346</v>
      </c>
    </row>
    <row r="28" spans="4:15" ht="19.5" customHeight="1" x14ac:dyDescent="0.25">
      <c r="D28" s="248" t="s">
        <v>965</v>
      </c>
      <c r="J28" s="183">
        <v>181288800</v>
      </c>
      <c r="K28" s="440"/>
      <c r="L28" s="931">
        <v>2447398800</v>
      </c>
      <c r="O28" s="440" t="s">
        <v>1346</v>
      </c>
    </row>
    <row r="29" spans="4:15" ht="19.5" customHeight="1" x14ac:dyDescent="0.25">
      <c r="D29" s="1680" t="s">
        <v>867</v>
      </c>
      <c r="E29" s="248"/>
      <c r="F29" s="248"/>
      <c r="J29" s="183">
        <v>38422500</v>
      </c>
      <c r="L29" s="931">
        <v>38422500</v>
      </c>
      <c r="O29" s="440">
        <v>1645</v>
      </c>
    </row>
    <row r="30" spans="4:15" ht="19.5" customHeight="1" x14ac:dyDescent="0.25">
      <c r="D30" s="248" t="s">
        <v>527</v>
      </c>
      <c r="J30" s="222">
        <v>0</v>
      </c>
      <c r="K30" s="440"/>
      <c r="L30" s="931">
        <v>1228922500</v>
      </c>
    </row>
    <row r="31" spans="4:15" ht="19.5" customHeight="1" x14ac:dyDescent="0.25">
      <c r="D31" s="248" t="s">
        <v>865</v>
      </c>
      <c r="J31" s="222">
        <v>0</v>
      </c>
      <c r="K31" s="440"/>
      <c r="L31" s="931">
        <v>50000</v>
      </c>
      <c r="O31" s="440" t="s">
        <v>1347</v>
      </c>
    </row>
    <row r="32" spans="4:15" ht="19.5" customHeight="1" x14ac:dyDescent="0.25">
      <c r="D32" s="248" t="s">
        <v>130</v>
      </c>
      <c r="J32" s="222">
        <v>4960237830</v>
      </c>
      <c r="L32" s="1097">
        <v>10128674104</v>
      </c>
    </row>
    <row r="33" spans="1:17" ht="25.5" customHeight="1" thickBot="1" x14ac:dyDescent="0.3">
      <c r="A33" s="876"/>
      <c r="B33" s="917"/>
      <c r="C33" s="917"/>
      <c r="D33" s="917"/>
      <c r="E33" s="917"/>
      <c r="F33" s="917"/>
      <c r="G33" s="917"/>
      <c r="H33" s="917"/>
      <c r="I33" s="917"/>
      <c r="J33" s="415">
        <f>SUM(J10:J32)</f>
        <v>64196559054</v>
      </c>
      <c r="K33" s="918"/>
      <c r="L33" s="415">
        <v>38259899030</v>
      </c>
      <c r="P33" s="440" t="b">
        <f>J33='15'!J13</f>
        <v>1</v>
      </c>
      <c r="Q33" s="440" t="b">
        <f>L33='15'!L13</f>
        <v>1</v>
      </c>
    </row>
    <row r="34" spans="1:17" ht="10.5" customHeight="1" thickTop="1" x14ac:dyDescent="0.25">
      <c r="A34" s="876"/>
      <c r="B34" s="917"/>
      <c r="C34" s="917"/>
      <c r="D34" s="917"/>
      <c r="E34" s="917"/>
      <c r="F34" s="917"/>
      <c r="G34" s="917"/>
      <c r="H34" s="917"/>
      <c r="I34" s="917"/>
      <c r="J34" s="437"/>
      <c r="K34" s="918"/>
      <c r="L34" s="437"/>
    </row>
    <row r="35" spans="1:17" ht="25.5" customHeight="1" x14ac:dyDescent="0.25">
      <c r="A35" s="919" t="s">
        <v>1020</v>
      </c>
      <c r="C35" s="919"/>
      <c r="D35" s="919"/>
      <c r="E35" s="919"/>
      <c r="F35" s="919"/>
      <c r="G35" s="919"/>
      <c r="H35" s="919"/>
      <c r="I35" s="919"/>
      <c r="J35" s="920"/>
      <c r="K35" s="919"/>
      <c r="L35" s="919"/>
    </row>
    <row r="36" spans="1:17" ht="11.25" customHeight="1" x14ac:dyDescent="0.25">
      <c r="A36" s="876"/>
      <c r="B36" s="919"/>
      <c r="C36" s="919"/>
      <c r="D36" s="919"/>
      <c r="E36" s="919"/>
      <c r="F36" s="919"/>
      <c r="G36" s="919"/>
      <c r="H36" s="919"/>
      <c r="I36" s="919"/>
      <c r="J36" s="920"/>
      <c r="K36" s="919"/>
      <c r="L36" s="919"/>
    </row>
    <row r="37" spans="1:17" ht="15.75" customHeight="1" x14ac:dyDescent="0.25">
      <c r="A37" s="876"/>
      <c r="B37" s="917"/>
      <c r="C37" s="917"/>
      <c r="D37" s="917"/>
      <c r="E37" s="917"/>
      <c r="F37" s="917"/>
      <c r="G37" s="917"/>
      <c r="H37" s="917"/>
      <c r="I37" s="917"/>
      <c r="J37" s="916">
        <v>1403</v>
      </c>
      <c r="K37" s="261"/>
      <c r="L37" s="916">
        <v>1402</v>
      </c>
    </row>
    <row r="38" spans="1:17" ht="19.5" customHeight="1" x14ac:dyDescent="0.25">
      <c r="A38" s="876"/>
      <c r="B38" s="917"/>
      <c r="C38" s="917"/>
      <c r="D38" s="921" t="s">
        <v>871</v>
      </c>
      <c r="E38" s="917"/>
      <c r="F38" s="917"/>
      <c r="G38" s="917"/>
      <c r="H38" s="917"/>
      <c r="I38" s="917"/>
      <c r="J38" s="1023" t="s">
        <v>591</v>
      </c>
      <c r="K38" s="260"/>
      <c r="L38" s="1023" t="s">
        <v>591</v>
      </c>
    </row>
    <row r="39" spans="1:17" ht="16.5" customHeight="1" x14ac:dyDescent="0.25">
      <c r="A39" s="876"/>
      <c r="B39" s="917"/>
      <c r="C39" s="917"/>
      <c r="D39" s="1093" t="s">
        <v>986</v>
      </c>
      <c r="E39" s="917"/>
      <c r="F39" s="917"/>
      <c r="G39" s="917"/>
      <c r="H39" s="917"/>
      <c r="I39" s="917"/>
      <c r="J39" s="222">
        <v>14722308751</v>
      </c>
      <c r="L39" s="414">
        <v>0</v>
      </c>
      <c r="O39" s="440">
        <v>1660</v>
      </c>
    </row>
    <row r="40" spans="1:17" ht="16.5" customHeight="1" x14ac:dyDescent="0.25">
      <c r="A40" s="876"/>
      <c r="B40" s="917"/>
      <c r="C40" s="917"/>
      <c r="D40" s="1093" t="s">
        <v>891</v>
      </c>
      <c r="E40" s="917"/>
      <c r="F40" s="917"/>
      <c r="G40" s="917"/>
      <c r="H40" s="917"/>
      <c r="I40" s="917"/>
      <c r="J40" s="222">
        <v>11435000000</v>
      </c>
      <c r="L40" s="414">
        <v>10295000000</v>
      </c>
      <c r="O40" s="1682" t="s">
        <v>1350</v>
      </c>
    </row>
    <row r="41" spans="1:17" ht="16.5" customHeight="1" x14ac:dyDescent="0.25">
      <c r="A41" s="876"/>
      <c r="B41" s="917"/>
      <c r="C41" s="917"/>
      <c r="D41" s="1093" t="s">
        <v>1136</v>
      </c>
      <c r="E41" s="917"/>
      <c r="F41" s="917"/>
      <c r="G41" s="917"/>
      <c r="H41" s="917"/>
      <c r="I41" s="917"/>
      <c r="J41" s="222">
        <v>2055000000</v>
      </c>
      <c r="K41" s="918"/>
      <c r="L41" s="437">
        <v>0</v>
      </c>
    </row>
    <row r="42" spans="1:17" ht="16.5" customHeight="1" x14ac:dyDescent="0.25">
      <c r="A42" s="876"/>
      <c r="B42" s="917"/>
      <c r="C42" s="917"/>
      <c r="D42" s="1093" t="s">
        <v>1137</v>
      </c>
      <c r="E42" s="917"/>
      <c r="F42" s="917"/>
      <c r="G42" s="917"/>
      <c r="H42" s="917"/>
      <c r="I42" s="917"/>
      <c r="J42" s="222">
        <v>1571048226</v>
      </c>
      <c r="L42" s="414">
        <v>0</v>
      </c>
    </row>
    <row r="43" spans="1:17" ht="16.5" customHeight="1" x14ac:dyDescent="0.25">
      <c r="A43" s="876"/>
      <c r="B43" s="917"/>
      <c r="C43" s="917"/>
      <c r="D43" s="1093" t="s">
        <v>1138</v>
      </c>
      <c r="E43" s="917"/>
      <c r="F43" s="917"/>
      <c r="G43" s="917"/>
      <c r="H43" s="917"/>
      <c r="I43" s="917"/>
      <c r="J43" s="222">
        <v>1374681000</v>
      </c>
      <c r="L43" s="414">
        <v>0</v>
      </c>
      <c r="O43" s="440" t="s">
        <v>1348</v>
      </c>
    </row>
    <row r="44" spans="1:17" ht="16.5" customHeight="1" x14ac:dyDescent="0.25">
      <c r="A44" s="876"/>
      <c r="B44" s="917"/>
      <c r="C44" s="917"/>
      <c r="D44" s="1093" t="s">
        <v>1139</v>
      </c>
      <c r="E44" s="917"/>
      <c r="F44" s="917"/>
      <c r="G44" s="917"/>
      <c r="H44" s="917"/>
      <c r="I44" s="917"/>
      <c r="J44" s="222">
        <v>1076560000</v>
      </c>
      <c r="L44" s="414">
        <v>0</v>
      </c>
      <c r="O44" s="440" t="s">
        <v>1348</v>
      </c>
    </row>
    <row r="45" spans="1:17" ht="16.5" customHeight="1" x14ac:dyDescent="0.25">
      <c r="A45" s="876"/>
      <c r="B45" s="917"/>
      <c r="C45" s="917"/>
      <c r="D45" s="1093" t="s">
        <v>1140</v>
      </c>
      <c r="E45" s="917"/>
      <c r="F45" s="917"/>
      <c r="G45" s="917"/>
      <c r="H45" s="917"/>
      <c r="I45" s="917"/>
      <c r="J45" s="222">
        <v>900000000</v>
      </c>
      <c r="L45" s="414">
        <v>0</v>
      </c>
      <c r="O45" s="440">
        <v>1660</v>
      </c>
    </row>
    <row r="46" spans="1:17" ht="16.5" customHeight="1" x14ac:dyDescent="0.25">
      <c r="A46" s="876"/>
      <c r="B46" s="917"/>
      <c r="C46" s="917"/>
      <c r="D46" s="1093" t="s">
        <v>1141</v>
      </c>
      <c r="E46" s="917"/>
      <c r="F46" s="917"/>
      <c r="G46" s="917"/>
      <c r="H46" s="917"/>
      <c r="I46" s="917"/>
      <c r="J46" s="222">
        <v>838200000</v>
      </c>
      <c r="L46" s="414">
        <v>0</v>
      </c>
      <c r="O46" s="440">
        <v>1660</v>
      </c>
    </row>
    <row r="47" spans="1:17" ht="16.5" customHeight="1" x14ac:dyDescent="0.25">
      <c r="A47" s="876"/>
      <c r="B47" s="917"/>
      <c r="C47" s="917"/>
      <c r="D47" s="1093" t="s">
        <v>1142</v>
      </c>
      <c r="E47" s="917"/>
      <c r="F47" s="917"/>
      <c r="G47" s="917"/>
      <c r="H47" s="917"/>
      <c r="I47" s="917"/>
      <c r="J47" s="222">
        <v>689979136</v>
      </c>
      <c r="L47" s="414">
        <v>0</v>
      </c>
      <c r="O47" s="440">
        <v>1660</v>
      </c>
    </row>
    <row r="48" spans="1:17" ht="16.5" customHeight="1" x14ac:dyDescent="0.25">
      <c r="A48" s="876"/>
      <c r="B48" s="917"/>
      <c r="C48" s="917"/>
      <c r="D48" s="1093" t="s">
        <v>1143</v>
      </c>
      <c r="E48" s="917"/>
      <c r="F48" s="917"/>
      <c r="G48" s="917"/>
      <c r="H48" s="917"/>
      <c r="I48" s="917"/>
      <c r="J48" s="222">
        <v>613420000</v>
      </c>
      <c r="L48" s="414">
        <v>0</v>
      </c>
      <c r="O48" s="440">
        <v>1660</v>
      </c>
    </row>
    <row r="49" spans="1:17" ht="16.5" customHeight="1" x14ac:dyDescent="0.25">
      <c r="A49" s="876"/>
      <c r="B49" s="917"/>
      <c r="C49" s="917"/>
      <c r="D49" s="1093" t="s">
        <v>1144</v>
      </c>
      <c r="E49" s="917"/>
      <c r="F49" s="917"/>
      <c r="G49" s="917"/>
      <c r="H49" s="917"/>
      <c r="I49" s="917"/>
      <c r="J49" s="222">
        <v>330000000</v>
      </c>
      <c r="L49" s="414">
        <v>0</v>
      </c>
      <c r="O49" s="440">
        <v>1660</v>
      </c>
    </row>
    <row r="50" spans="1:17" ht="16.5" customHeight="1" x14ac:dyDescent="0.25">
      <c r="A50" s="876"/>
      <c r="B50" s="917"/>
      <c r="C50" s="917"/>
      <c r="D50" s="1093" t="s">
        <v>537</v>
      </c>
      <c r="E50" s="917"/>
      <c r="F50" s="917"/>
      <c r="G50" s="917"/>
      <c r="H50" s="917"/>
      <c r="I50" s="917"/>
      <c r="J50" s="222">
        <v>0</v>
      </c>
      <c r="K50" s="918"/>
      <c r="L50" s="437">
        <v>17097118479</v>
      </c>
    </row>
    <row r="51" spans="1:17" ht="16.5" customHeight="1" x14ac:dyDescent="0.25">
      <c r="A51" s="876"/>
      <c r="B51" s="917"/>
      <c r="C51" s="917"/>
      <c r="D51" s="1093" t="s">
        <v>527</v>
      </c>
      <c r="E51" s="917"/>
      <c r="F51" s="917"/>
      <c r="G51" s="917"/>
      <c r="H51" s="917"/>
      <c r="I51" s="917"/>
      <c r="J51" s="222">
        <v>0</v>
      </c>
      <c r="L51" s="414">
        <v>3425000000</v>
      </c>
    </row>
    <row r="52" spans="1:17" ht="16.5" customHeight="1" x14ac:dyDescent="0.25">
      <c r="A52" s="876"/>
      <c r="B52" s="917"/>
      <c r="C52" s="917"/>
      <c r="D52" s="1093" t="s">
        <v>749</v>
      </c>
      <c r="E52" s="917"/>
      <c r="F52" s="917"/>
      <c r="G52" s="917"/>
      <c r="H52" s="917"/>
      <c r="I52" s="917"/>
      <c r="J52" s="222">
        <v>0</v>
      </c>
      <c r="L52" s="414">
        <v>2677258000</v>
      </c>
    </row>
    <row r="53" spans="1:17" ht="16.5" customHeight="1" x14ac:dyDescent="0.25">
      <c r="A53" s="876"/>
      <c r="B53" s="917"/>
      <c r="C53" s="917"/>
      <c r="D53" s="1093" t="s">
        <v>707</v>
      </c>
      <c r="E53" s="917"/>
      <c r="F53" s="917"/>
      <c r="G53" s="917"/>
      <c r="H53" s="917"/>
      <c r="I53" s="917"/>
      <c r="J53" s="222">
        <v>0</v>
      </c>
      <c r="L53" s="414">
        <v>2112420000</v>
      </c>
    </row>
    <row r="54" spans="1:17" ht="16.5" customHeight="1" x14ac:dyDescent="0.25">
      <c r="A54" s="876"/>
      <c r="B54" s="917"/>
      <c r="C54" s="917"/>
      <c r="D54" s="1093" t="s">
        <v>892</v>
      </c>
      <c r="E54" s="917"/>
      <c r="F54" s="917"/>
      <c r="G54" s="917"/>
      <c r="H54" s="917"/>
      <c r="I54" s="917"/>
      <c r="J54" s="222">
        <v>0</v>
      </c>
      <c r="L54" s="414">
        <v>720000000</v>
      </c>
    </row>
    <row r="55" spans="1:17" ht="16.5" customHeight="1" x14ac:dyDescent="0.25">
      <c r="A55" s="876"/>
      <c r="B55" s="917"/>
      <c r="C55" s="917"/>
      <c r="D55" s="1093" t="s">
        <v>130</v>
      </c>
      <c r="E55" s="917"/>
      <c r="F55" s="917"/>
      <c r="G55" s="917"/>
      <c r="H55" s="917"/>
      <c r="I55" s="917"/>
      <c r="J55" s="222">
        <v>1207227000</v>
      </c>
      <c r="L55" s="414">
        <v>8028708541</v>
      </c>
    </row>
    <row r="56" spans="1:17" ht="25.5" customHeight="1" thickBot="1" x14ac:dyDescent="0.3">
      <c r="A56" s="876"/>
      <c r="B56" s="917"/>
      <c r="C56" s="917"/>
      <c r="D56" s="917" t="s">
        <v>72</v>
      </c>
      <c r="E56" s="917"/>
      <c r="F56" s="917"/>
      <c r="G56" s="917"/>
      <c r="H56" s="917"/>
      <c r="I56" s="917"/>
      <c r="J56" s="415">
        <f>SUM(J39:J55)</f>
        <v>36813424113</v>
      </c>
      <c r="K56" s="918"/>
      <c r="L56" s="415">
        <v>44355505020</v>
      </c>
      <c r="O56" s="1682" t="s">
        <v>1349</v>
      </c>
      <c r="P56" s="440" t="b">
        <f>J56='15'!J14</f>
        <v>1</v>
      </c>
      <c r="Q56" s="440" t="b">
        <f>L56='15'!L14</f>
        <v>1</v>
      </c>
    </row>
    <row r="57" spans="1:17" ht="12.75" customHeight="1" thickTop="1" x14ac:dyDescent="0.25">
      <c r="A57" s="876"/>
      <c r="B57" s="917"/>
      <c r="C57" s="917"/>
      <c r="D57" s="248"/>
      <c r="E57" s="917"/>
      <c r="F57" s="917"/>
      <c r="G57" s="917"/>
      <c r="H57" s="917"/>
      <c r="I57" s="917"/>
      <c r="J57" s="222"/>
      <c r="L57" s="414"/>
    </row>
    <row r="58" spans="1:17" ht="25.5" hidden="1" customHeight="1" x14ac:dyDescent="0.25">
      <c r="A58" s="876"/>
      <c r="B58" s="917"/>
      <c r="C58" s="917"/>
      <c r="D58" s="248"/>
      <c r="E58" s="917"/>
      <c r="F58" s="917"/>
      <c r="G58" s="917"/>
      <c r="H58" s="917"/>
      <c r="I58" s="917"/>
      <c r="J58" s="222"/>
      <c r="L58" s="414"/>
    </row>
    <row r="59" spans="1:17" ht="25.5" hidden="1" customHeight="1" x14ac:dyDescent="0.25">
      <c r="A59" s="876"/>
      <c r="B59" s="917"/>
      <c r="C59" s="917"/>
      <c r="D59" s="248"/>
      <c r="E59" s="917"/>
      <c r="F59" s="917"/>
      <c r="G59" s="917"/>
      <c r="H59" s="917"/>
      <c r="I59" s="917"/>
      <c r="J59" s="222"/>
      <c r="L59" s="414"/>
    </row>
    <row r="60" spans="1:17" ht="25.5" hidden="1" customHeight="1" x14ac:dyDescent="0.25">
      <c r="A60" s="876"/>
      <c r="B60" s="917"/>
      <c r="C60" s="917"/>
      <c r="D60" s="248"/>
      <c r="E60" s="917"/>
      <c r="F60" s="917"/>
      <c r="G60" s="917"/>
      <c r="H60" s="917"/>
      <c r="I60" s="917"/>
      <c r="J60" s="222"/>
      <c r="L60" s="414"/>
    </row>
    <row r="61" spans="1:17" ht="25.5" hidden="1" customHeight="1" x14ac:dyDescent="0.25">
      <c r="A61" s="876"/>
      <c r="B61" s="917"/>
      <c r="C61" s="917"/>
      <c r="D61" s="248"/>
      <c r="E61" s="917"/>
      <c r="F61" s="917"/>
      <c r="G61" s="917"/>
      <c r="H61" s="917"/>
      <c r="I61" s="917"/>
      <c r="J61" s="222"/>
      <c r="L61" s="414"/>
    </row>
    <row r="62" spans="1:17" ht="25.5" hidden="1" customHeight="1" x14ac:dyDescent="0.25">
      <c r="A62" s="876"/>
      <c r="B62" s="917"/>
      <c r="C62" s="917"/>
      <c r="D62" s="917"/>
      <c r="E62" s="917"/>
      <c r="F62" s="917"/>
      <c r="G62" s="917"/>
      <c r="H62" s="917"/>
      <c r="I62" s="917"/>
      <c r="J62" s="922"/>
      <c r="K62" s="918"/>
      <c r="L62" s="923"/>
    </row>
    <row r="63" spans="1:17" ht="25.5" hidden="1" customHeight="1" x14ac:dyDescent="0.25">
      <c r="A63" s="876"/>
      <c r="B63" s="917"/>
      <c r="C63" s="917"/>
      <c r="D63" s="248"/>
      <c r="E63" s="917"/>
      <c r="F63" s="917"/>
      <c r="G63" s="917"/>
      <c r="H63" s="917"/>
      <c r="I63" s="917"/>
      <c r="J63" s="922"/>
      <c r="L63" s="414"/>
    </row>
    <row r="64" spans="1:17" ht="25.5" hidden="1" customHeight="1" x14ac:dyDescent="0.25">
      <c r="A64" s="876"/>
      <c r="B64" s="917"/>
      <c r="C64" s="917"/>
      <c r="D64" s="917"/>
      <c r="E64" s="917"/>
      <c r="F64" s="917"/>
      <c r="G64" s="917"/>
      <c r="H64" s="917"/>
      <c r="I64" s="917"/>
      <c r="J64" s="922">
        <v>0</v>
      </c>
      <c r="K64" s="918"/>
      <c r="L64" s="923"/>
    </row>
    <row r="65" spans="1:17" ht="25.5" hidden="1" customHeight="1" x14ac:dyDescent="0.25">
      <c r="A65" s="876"/>
      <c r="B65" s="917"/>
      <c r="C65" s="917"/>
      <c r="D65" s="917"/>
      <c r="E65" s="917"/>
      <c r="F65" s="917"/>
      <c r="G65" s="917"/>
      <c r="H65" s="917"/>
      <c r="I65" s="917"/>
      <c r="J65" s="924"/>
      <c r="K65" s="918"/>
      <c r="L65" s="924"/>
    </row>
    <row r="66" spans="1:17" s="925" customFormat="1" ht="25.5" hidden="1" customHeight="1" x14ac:dyDescent="0.25">
      <c r="A66" s="1523"/>
      <c r="B66" s="1523"/>
      <c r="C66" s="1523"/>
      <c r="D66" s="1523"/>
      <c r="E66" s="1523"/>
      <c r="F66" s="1523"/>
      <c r="G66" s="1523"/>
      <c r="H66" s="1523"/>
      <c r="I66" s="1523"/>
      <c r="J66" s="1523"/>
      <c r="K66" s="1523"/>
      <c r="L66" s="1523"/>
      <c r="M66" s="1523"/>
      <c r="N66" s="1523"/>
    </row>
    <row r="67" spans="1:17" ht="25.5" customHeight="1" x14ac:dyDescent="0.25">
      <c r="A67" s="876" t="s">
        <v>406</v>
      </c>
      <c r="B67" s="1519" t="s">
        <v>136</v>
      </c>
      <c r="C67" s="1519"/>
      <c r="D67" s="1519"/>
      <c r="E67" s="1519"/>
      <c r="F67" s="1519"/>
      <c r="G67" s="1519"/>
      <c r="H67" s="1519"/>
      <c r="I67" s="1519"/>
      <c r="J67" s="1519"/>
      <c r="K67" s="1519"/>
      <c r="L67" s="1519"/>
    </row>
    <row r="68" spans="1:17" ht="25.5" customHeight="1" x14ac:dyDescent="0.25">
      <c r="G68" s="505"/>
      <c r="H68" s="505"/>
      <c r="I68" s="505"/>
      <c r="J68" s="916">
        <v>1403</v>
      </c>
      <c r="K68" s="261"/>
      <c r="L68" s="916">
        <v>1402</v>
      </c>
      <c r="M68" s="575"/>
      <c r="N68" s="575"/>
    </row>
    <row r="69" spans="1:17" ht="25.5" customHeight="1" x14ac:dyDescent="0.25">
      <c r="J69" s="926" t="s">
        <v>591</v>
      </c>
      <c r="L69" s="926" t="s">
        <v>591</v>
      </c>
    </row>
    <row r="70" spans="1:17" ht="21" customHeight="1" x14ac:dyDescent="0.25">
      <c r="D70" s="1507" t="s">
        <v>138</v>
      </c>
      <c r="E70" s="1507"/>
      <c r="F70" s="250"/>
      <c r="J70" s="414">
        <f>645679101199+20621442+769103915802</f>
        <v>1414803638443</v>
      </c>
      <c r="L70" s="414">
        <v>1821638916854</v>
      </c>
    </row>
    <row r="71" spans="1:17" ht="21" customHeight="1" x14ac:dyDescent="0.25">
      <c r="D71" s="1507" t="s">
        <v>137</v>
      </c>
      <c r="E71" s="1507"/>
      <c r="F71" s="250"/>
      <c r="J71" s="1171">
        <f>618494654501+4132973326</f>
        <v>622627627827</v>
      </c>
      <c r="L71" s="414">
        <v>1090147709616</v>
      </c>
    </row>
    <row r="72" spans="1:17" ht="21" customHeight="1" x14ac:dyDescent="0.25">
      <c r="D72" s="1507" t="s">
        <v>502</v>
      </c>
      <c r="E72" s="1507"/>
      <c r="F72" s="250"/>
      <c r="J72" s="414">
        <v>128072484705</v>
      </c>
      <c r="L72" s="414">
        <v>231140881693</v>
      </c>
      <c r="O72" s="440">
        <f>J72-L72</f>
        <v>-103068396988</v>
      </c>
      <c r="P72" s="440">
        <f>O72+'6-1'!I29</f>
        <v>20155319601</v>
      </c>
    </row>
    <row r="73" spans="1:17" ht="21" customHeight="1" x14ac:dyDescent="0.25">
      <c r="D73" s="1507" t="s">
        <v>255</v>
      </c>
      <c r="E73" s="1507"/>
      <c r="F73" s="250"/>
      <c r="J73" s="414">
        <v>92083535810</v>
      </c>
      <c r="L73" s="414">
        <v>102580846085</v>
      </c>
    </row>
    <row r="74" spans="1:17" ht="21" customHeight="1" x14ac:dyDescent="0.25">
      <c r="D74" s="250" t="s">
        <v>875</v>
      </c>
      <c r="E74" s="250"/>
      <c r="F74" s="250"/>
      <c r="J74" s="414">
        <v>21211170971</v>
      </c>
      <c r="L74" s="414">
        <v>18399403921</v>
      </c>
      <c r="P74" s="440">
        <f>21406813478-20117922629</f>
        <v>1288890849</v>
      </c>
    </row>
    <row r="75" spans="1:17" ht="21" customHeight="1" x14ac:dyDescent="0.25">
      <c r="D75" s="1507" t="s">
        <v>139</v>
      </c>
      <c r="E75" s="1507"/>
      <c r="F75" s="250"/>
      <c r="J75" s="1171">
        <f>5790029313+1804134709+64115996877</f>
        <v>71710160899</v>
      </c>
      <c r="L75" s="414">
        <v>134645767170</v>
      </c>
      <c r="P75" s="440">
        <f>P72-P74</f>
        <v>18866428752</v>
      </c>
    </row>
    <row r="76" spans="1:17" ht="25.5" customHeight="1" thickBot="1" x14ac:dyDescent="0.65">
      <c r="G76" s="927"/>
      <c r="H76" s="928"/>
      <c r="I76" s="929"/>
      <c r="J76" s="415">
        <f>SUM(J70:J75)</f>
        <v>2350508618655</v>
      </c>
      <c r="L76" s="415">
        <v>3398553525339</v>
      </c>
      <c r="P76" s="440" t="b">
        <f>J76='وضعيت مالي'!F14</f>
        <v>1</v>
      </c>
      <c r="Q76" s="440" t="b">
        <f>L76='وضعيت مالي'!H14</f>
        <v>1</v>
      </c>
    </row>
    <row r="77" spans="1:17" ht="13.9" customHeight="1" thickTop="1" x14ac:dyDescent="0.25"/>
    <row r="78" spans="1:17" ht="25.5" customHeight="1" x14ac:dyDescent="0.25">
      <c r="A78" s="1520" t="s">
        <v>481</v>
      </c>
      <c r="B78" s="1521" t="s">
        <v>999</v>
      </c>
      <c r="C78" s="1521"/>
      <c r="D78" s="1521"/>
      <c r="E78" s="1521"/>
      <c r="F78" s="1521"/>
      <c r="G78" s="1521"/>
      <c r="H78" s="1521"/>
      <c r="I78" s="1521"/>
      <c r="J78" s="1521"/>
      <c r="K78" s="1521"/>
      <c r="L78" s="1521"/>
      <c r="M78" s="1521"/>
      <c r="N78" s="1521"/>
    </row>
    <row r="79" spans="1:17" ht="25.5" customHeight="1" x14ac:dyDescent="0.25">
      <c r="A79" s="1520"/>
      <c r="B79" s="1521"/>
      <c r="C79" s="1521"/>
      <c r="D79" s="1521"/>
      <c r="E79" s="1521"/>
      <c r="F79" s="1521"/>
      <c r="G79" s="1521"/>
      <c r="H79" s="1521"/>
      <c r="I79" s="1521"/>
      <c r="J79" s="1521"/>
      <c r="K79" s="1521"/>
      <c r="L79" s="1521"/>
      <c r="M79" s="1521"/>
      <c r="N79" s="1521"/>
    </row>
    <row r="80" spans="1:17" ht="25.5" hidden="1" customHeight="1" x14ac:dyDescent="0.25">
      <c r="A80" s="876"/>
      <c r="B80" s="1522"/>
      <c r="C80" s="1522"/>
      <c r="D80" s="1522"/>
      <c r="E80" s="1522"/>
      <c r="F80" s="1522"/>
      <c r="G80" s="1522"/>
      <c r="H80" s="1522"/>
      <c r="I80" s="1522"/>
      <c r="J80" s="1522"/>
      <c r="K80" s="1522"/>
      <c r="L80" s="1522"/>
      <c r="M80" s="1522"/>
      <c r="N80" s="1522"/>
    </row>
    <row r="81" spans="1:14" ht="25.5" hidden="1" customHeight="1" x14ac:dyDescent="0.25">
      <c r="A81" s="876"/>
      <c r="B81" s="1522"/>
      <c r="C81" s="1522"/>
      <c r="D81" s="1522"/>
      <c r="E81" s="1522"/>
      <c r="F81" s="1522"/>
      <c r="G81" s="1522"/>
      <c r="H81" s="1522"/>
      <c r="I81" s="1522"/>
      <c r="J81" s="1522"/>
      <c r="K81" s="1522"/>
      <c r="L81" s="1522"/>
      <c r="M81" s="1522"/>
      <c r="N81" s="1522"/>
    </row>
    <row r="82" spans="1:14" ht="25.5" hidden="1" customHeight="1" x14ac:dyDescent="0.25">
      <c r="A82" s="930"/>
      <c r="B82" s="1522"/>
      <c r="C82" s="1522"/>
      <c r="D82" s="1522"/>
      <c r="E82" s="1522"/>
      <c r="F82" s="1522"/>
      <c r="G82" s="1522"/>
      <c r="H82" s="1522"/>
      <c r="I82" s="1522"/>
      <c r="J82" s="1522"/>
      <c r="K82" s="1522"/>
      <c r="L82" s="1522"/>
      <c r="M82" s="1522"/>
      <c r="N82" s="1522"/>
    </row>
    <row r="83" spans="1:14" ht="11.25" customHeight="1" x14ac:dyDescent="0.25"/>
    <row r="84" spans="1:14" ht="25.5" customHeight="1" x14ac:dyDescent="0.25">
      <c r="A84" s="1469" t="s">
        <v>420</v>
      </c>
      <c r="B84" s="1469"/>
      <c r="C84" s="1469"/>
      <c r="D84" s="1469"/>
      <c r="E84" s="1469"/>
      <c r="F84" s="1469"/>
      <c r="G84" s="1469"/>
      <c r="H84" s="1469"/>
      <c r="I84" s="1469"/>
      <c r="J84" s="1469"/>
      <c r="K84" s="1469"/>
      <c r="L84" s="1469"/>
    </row>
  </sheetData>
  <customSheetViews>
    <customSheetView guid="{39716EAB-185B-4ADF-90CF-1B1041867F58}" showPageBreaks="1" printArea="1" view="pageBreakPreview" topLeftCell="A70">
      <selection activeCell="J83" sqref="J83"/>
      <pageMargins left="0" right="0" top="0" bottom="0" header="0.31496062992125984" footer="0.31496062992125984"/>
      <printOptions horizontalCentered="1"/>
      <pageSetup paperSize="9" scale="37" orientation="portrait" r:id="rId1"/>
    </customSheetView>
    <customSheetView guid="{5CB8382F-C212-4512-9396-17792C62978E}" showPageBreaks="1" printArea="1" view="pageBreakPreview" topLeftCell="A70">
      <selection activeCell="J83" sqref="J83"/>
      <pageMargins left="0" right="0" top="0" bottom="0" header="0.31496062992125984" footer="0.31496062992125984"/>
      <printOptions horizontalCentered="1"/>
      <pageSetup paperSize="9" scale="37" orientation="portrait" r:id="rId2"/>
    </customSheetView>
    <customSheetView guid="{184BCED3-EADB-44CF-BFDA-DA8D3E7206C0}" showPageBreaks="1" printArea="1" view="pageBreakPreview">
      <selection activeCell="L34" sqref="L34"/>
      <pageMargins left="0" right="0" top="0" bottom="0" header="0.31496062992125984" footer="0.31496062992125984"/>
      <printOptions horizontalCentered="1"/>
      <pageSetup paperSize="9" scale="41" orientation="portrait" r:id="rId3"/>
    </customSheetView>
  </customSheetViews>
  <mergeCells count="15">
    <mergeCell ref="A1:M1"/>
    <mergeCell ref="A2:M2"/>
    <mergeCell ref="A3:M3"/>
    <mergeCell ref="B67:L67"/>
    <mergeCell ref="A84:L84"/>
    <mergeCell ref="D70:E70"/>
    <mergeCell ref="D71:E71"/>
    <mergeCell ref="A78:A79"/>
    <mergeCell ref="D73:E73"/>
    <mergeCell ref="D72:E72"/>
    <mergeCell ref="D75:E75"/>
    <mergeCell ref="B78:N79"/>
    <mergeCell ref="B80:N81"/>
    <mergeCell ref="B82:N82"/>
    <mergeCell ref="A66:N66"/>
  </mergeCells>
  <conditionalFormatting sqref="L10:L34 L39:L54 O41:O49 O55 L56:L61 L70:L76">
    <cfRule type="cellIs" dxfId="65" priority="2" stopIfTrue="1" operator="lessThan">
      <formula>0</formula>
    </cfRule>
  </conditionalFormatting>
  <conditionalFormatting sqref="L63">
    <cfRule type="cellIs" dxfId="64" priority="13" stopIfTrue="1" operator="lessThan">
      <formula>0</formula>
    </cfRule>
  </conditionalFormatting>
  <printOptions horizontalCentered="1"/>
  <pageMargins left="0" right="0" top="0" bottom="0" header="0.31496062992126" footer="0.31496062992126"/>
  <pageSetup paperSize="9" scale="56" orientation="portrait" r:id="rId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N54"/>
  <sheetViews>
    <sheetView rightToLeft="1" view="pageBreakPreview" topLeftCell="A30" zoomScaleSheetLayoutView="100" workbookViewId="0">
      <selection activeCell="D46" sqref="D46"/>
    </sheetView>
  </sheetViews>
  <sheetFormatPr defaultRowHeight="15.75" x14ac:dyDescent="0.25"/>
  <cols>
    <col min="1" max="1" width="5" style="377" bestFit="1" customWidth="1"/>
    <col min="2" max="2" width="8.28515625" style="379" customWidth="1"/>
    <col min="3" max="3" width="0.7109375" style="379" customWidth="1"/>
    <col min="4" max="4" width="60.140625" style="379" customWidth="1"/>
    <col min="5" max="5" width="8.85546875" style="379" customWidth="1"/>
    <col min="6" max="6" width="0.7109375" style="379" customWidth="1"/>
    <col min="7" max="7" width="27.7109375" style="379" bestFit="1" customWidth="1"/>
    <col min="8" max="8" width="1.85546875" style="379" customWidth="1"/>
    <col min="9" max="9" width="25.85546875" style="363" bestFit="1" customWidth="1"/>
    <col min="10" max="10" width="1.42578125" style="379" customWidth="1"/>
    <col min="11" max="11" width="1.85546875" style="379" customWidth="1"/>
    <col min="12" max="12" width="13.140625" style="379" bestFit="1" customWidth="1"/>
    <col min="13" max="13" width="9.140625" style="379"/>
    <col min="14" max="14" width="10.42578125" style="379" bestFit="1" customWidth="1"/>
    <col min="15" max="243" width="9.140625" style="379"/>
    <col min="244" max="244" width="3.5703125" style="379" customWidth="1"/>
    <col min="245" max="245" width="4.85546875" style="379" customWidth="1"/>
    <col min="246" max="246" width="5.42578125" style="379" customWidth="1"/>
    <col min="247" max="247" width="31.28515625" style="379" customWidth="1"/>
    <col min="248" max="248" width="7.5703125" style="379" customWidth="1"/>
    <col min="249" max="249" width="2.42578125" style="379" customWidth="1"/>
    <col min="250" max="250" width="11.5703125" style="379" customWidth="1"/>
    <col min="251" max="251" width="2.42578125" style="379" customWidth="1"/>
    <col min="252" max="252" width="11.5703125" style="379" customWidth="1"/>
    <col min="253" max="253" width="2.42578125" style="379" customWidth="1"/>
    <col min="254" max="254" width="10.85546875" style="379" customWidth="1"/>
    <col min="255" max="255" width="2.42578125" style="379" customWidth="1"/>
    <col min="256" max="256" width="11.140625" style="379" customWidth="1"/>
    <col min="257" max="257" width="1.85546875" style="379" customWidth="1"/>
    <col min="258" max="258" width="11" style="379" customWidth="1"/>
    <col min="259" max="259" width="0.7109375" style="379" customWidth="1"/>
    <col min="260" max="260" width="1.85546875" style="379" customWidth="1"/>
    <col min="261" max="261" width="11.85546875" style="379" bestFit="1" customWidth="1"/>
    <col min="262" max="262" width="15.28515625" style="379" bestFit="1" customWidth="1"/>
    <col min="263" max="263" width="5" style="379" customWidth="1"/>
    <col min="264" max="264" width="10.42578125" style="379" bestFit="1" customWidth="1"/>
    <col min="265" max="265" width="5" style="379" customWidth="1"/>
    <col min="266" max="266" width="10.42578125" style="379" bestFit="1" customWidth="1"/>
    <col min="267" max="269" width="9.140625" style="379"/>
    <col min="270" max="270" width="10.42578125" style="379" bestFit="1" customWidth="1"/>
    <col min="271" max="499" width="9.140625" style="379"/>
    <col min="500" max="500" width="3.5703125" style="379" customWidth="1"/>
    <col min="501" max="501" width="4.85546875" style="379" customWidth="1"/>
    <col min="502" max="502" width="5.42578125" style="379" customWidth="1"/>
    <col min="503" max="503" width="31.28515625" style="379" customWidth="1"/>
    <col min="504" max="504" width="7.5703125" style="379" customWidth="1"/>
    <col min="505" max="505" width="2.42578125" style="379" customWidth="1"/>
    <col min="506" max="506" width="11.5703125" style="379" customWidth="1"/>
    <col min="507" max="507" width="2.42578125" style="379" customWidth="1"/>
    <col min="508" max="508" width="11.5703125" style="379" customWidth="1"/>
    <col min="509" max="509" width="2.42578125" style="379" customWidth="1"/>
    <col min="510" max="510" width="10.85546875" style="379" customWidth="1"/>
    <col min="511" max="511" width="2.42578125" style="379" customWidth="1"/>
    <col min="512" max="512" width="11.140625" style="379" customWidth="1"/>
    <col min="513" max="513" width="1.85546875" style="379" customWidth="1"/>
    <col min="514" max="514" width="11" style="379" customWidth="1"/>
    <col min="515" max="515" width="0.7109375" style="379" customWidth="1"/>
    <col min="516" max="516" width="1.85546875" style="379" customWidth="1"/>
    <col min="517" max="517" width="11.85546875" style="379" bestFit="1" customWidth="1"/>
    <col min="518" max="518" width="15.28515625" style="379" bestFit="1" customWidth="1"/>
    <col min="519" max="519" width="5" style="379" customWidth="1"/>
    <col min="520" max="520" width="10.42578125" style="379" bestFit="1" customWidth="1"/>
    <col min="521" max="521" width="5" style="379" customWidth="1"/>
    <col min="522" max="522" width="10.42578125" style="379" bestFit="1" customWidth="1"/>
    <col min="523" max="525" width="9.140625" style="379"/>
    <col min="526" max="526" width="10.42578125" style="379" bestFit="1" customWidth="1"/>
    <col min="527" max="755" width="9.140625" style="379"/>
    <col min="756" max="756" width="3.5703125" style="379" customWidth="1"/>
    <col min="757" max="757" width="4.85546875" style="379" customWidth="1"/>
    <col min="758" max="758" width="5.42578125" style="379" customWidth="1"/>
    <col min="759" max="759" width="31.28515625" style="379" customWidth="1"/>
    <col min="760" max="760" width="7.5703125" style="379" customWidth="1"/>
    <col min="761" max="761" width="2.42578125" style="379" customWidth="1"/>
    <col min="762" max="762" width="11.5703125" style="379" customWidth="1"/>
    <col min="763" max="763" width="2.42578125" style="379" customWidth="1"/>
    <col min="764" max="764" width="11.5703125" style="379" customWidth="1"/>
    <col min="765" max="765" width="2.42578125" style="379" customWidth="1"/>
    <col min="766" max="766" width="10.85546875" style="379" customWidth="1"/>
    <col min="767" max="767" width="2.42578125" style="379" customWidth="1"/>
    <col min="768" max="768" width="11.140625" style="379" customWidth="1"/>
    <col min="769" max="769" width="1.85546875" style="379" customWidth="1"/>
    <col min="770" max="770" width="11" style="379" customWidth="1"/>
    <col min="771" max="771" width="0.7109375" style="379" customWidth="1"/>
    <col min="772" max="772" width="1.85546875" style="379" customWidth="1"/>
    <col min="773" max="773" width="11.85546875" style="379" bestFit="1" customWidth="1"/>
    <col min="774" max="774" width="15.28515625" style="379" bestFit="1" customWidth="1"/>
    <col min="775" max="775" width="5" style="379" customWidth="1"/>
    <col min="776" max="776" width="10.42578125" style="379" bestFit="1" customWidth="1"/>
    <col min="777" max="777" width="5" style="379" customWidth="1"/>
    <col min="778" max="778" width="10.42578125" style="379" bestFit="1" customWidth="1"/>
    <col min="779" max="781" width="9.140625" style="379"/>
    <col min="782" max="782" width="10.42578125" style="379" bestFit="1" customWidth="1"/>
    <col min="783" max="1011" width="9.140625" style="379"/>
    <col min="1012" max="1012" width="3.5703125" style="379" customWidth="1"/>
    <col min="1013" max="1013" width="4.85546875" style="379" customWidth="1"/>
    <col min="1014" max="1014" width="5.42578125" style="379" customWidth="1"/>
    <col min="1015" max="1015" width="31.28515625" style="379" customWidth="1"/>
    <col min="1016" max="1016" width="7.5703125" style="379" customWidth="1"/>
    <col min="1017" max="1017" width="2.42578125" style="379" customWidth="1"/>
    <col min="1018" max="1018" width="11.5703125" style="379" customWidth="1"/>
    <col min="1019" max="1019" width="2.42578125" style="379" customWidth="1"/>
    <col min="1020" max="1020" width="11.5703125" style="379" customWidth="1"/>
    <col min="1021" max="1021" width="2.42578125" style="379" customWidth="1"/>
    <col min="1022" max="1022" width="10.85546875" style="379" customWidth="1"/>
    <col min="1023" max="1023" width="2.42578125" style="379" customWidth="1"/>
    <col min="1024" max="1024" width="11.140625" style="379" customWidth="1"/>
    <col min="1025" max="1025" width="1.85546875" style="379" customWidth="1"/>
    <col min="1026" max="1026" width="11" style="379" customWidth="1"/>
    <col min="1027" max="1027" width="0.7109375" style="379" customWidth="1"/>
    <col min="1028" max="1028" width="1.85546875" style="379" customWidth="1"/>
    <col min="1029" max="1029" width="11.85546875" style="379" bestFit="1" customWidth="1"/>
    <col min="1030" max="1030" width="15.28515625" style="379" bestFit="1" customWidth="1"/>
    <col min="1031" max="1031" width="5" style="379" customWidth="1"/>
    <col min="1032" max="1032" width="10.42578125" style="379" bestFit="1" customWidth="1"/>
    <col min="1033" max="1033" width="5" style="379" customWidth="1"/>
    <col min="1034" max="1034" width="10.42578125" style="379" bestFit="1" customWidth="1"/>
    <col min="1035" max="1037" width="9.140625" style="379"/>
    <col min="1038" max="1038" width="10.42578125" style="379" bestFit="1" customWidth="1"/>
    <col min="1039" max="1267" width="9.140625" style="379"/>
    <col min="1268" max="1268" width="3.5703125" style="379" customWidth="1"/>
    <col min="1269" max="1269" width="4.85546875" style="379" customWidth="1"/>
    <col min="1270" max="1270" width="5.42578125" style="379" customWidth="1"/>
    <col min="1271" max="1271" width="31.28515625" style="379" customWidth="1"/>
    <col min="1272" max="1272" width="7.5703125" style="379" customWidth="1"/>
    <col min="1273" max="1273" width="2.42578125" style="379" customWidth="1"/>
    <col min="1274" max="1274" width="11.5703125" style="379" customWidth="1"/>
    <col min="1275" max="1275" width="2.42578125" style="379" customWidth="1"/>
    <col min="1276" max="1276" width="11.5703125" style="379" customWidth="1"/>
    <col min="1277" max="1277" width="2.42578125" style="379" customWidth="1"/>
    <col min="1278" max="1278" width="10.85546875" style="379" customWidth="1"/>
    <col min="1279" max="1279" width="2.42578125" style="379" customWidth="1"/>
    <col min="1280" max="1280" width="11.140625" style="379" customWidth="1"/>
    <col min="1281" max="1281" width="1.85546875" style="379" customWidth="1"/>
    <col min="1282" max="1282" width="11" style="379" customWidth="1"/>
    <col min="1283" max="1283" width="0.7109375" style="379" customWidth="1"/>
    <col min="1284" max="1284" width="1.85546875" style="379" customWidth="1"/>
    <col min="1285" max="1285" width="11.85546875" style="379" bestFit="1" customWidth="1"/>
    <col min="1286" max="1286" width="15.28515625" style="379" bestFit="1" customWidth="1"/>
    <col min="1287" max="1287" width="5" style="379" customWidth="1"/>
    <col min="1288" max="1288" width="10.42578125" style="379" bestFit="1" customWidth="1"/>
    <col min="1289" max="1289" width="5" style="379" customWidth="1"/>
    <col min="1290" max="1290" width="10.42578125" style="379" bestFit="1" customWidth="1"/>
    <col min="1291" max="1293" width="9.140625" style="379"/>
    <col min="1294" max="1294" width="10.42578125" style="379" bestFit="1" customWidth="1"/>
    <col min="1295" max="1523" width="9.140625" style="379"/>
    <col min="1524" max="1524" width="3.5703125" style="379" customWidth="1"/>
    <col min="1525" max="1525" width="4.85546875" style="379" customWidth="1"/>
    <col min="1526" max="1526" width="5.42578125" style="379" customWidth="1"/>
    <col min="1527" max="1527" width="31.28515625" style="379" customWidth="1"/>
    <col min="1528" max="1528" width="7.5703125" style="379" customWidth="1"/>
    <col min="1529" max="1529" width="2.42578125" style="379" customWidth="1"/>
    <col min="1530" max="1530" width="11.5703125" style="379" customWidth="1"/>
    <col min="1531" max="1531" width="2.42578125" style="379" customWidth="1"/>
    <col min="1532" max="1532" width="11.5703125" style="379" customWidth="1"/>
    <col min="1533" max="1533" width="2.42578125" style="379" customWidth="1"/>
    <col min="1534" max="1534" width="10.85546875" style="379" customWidth="1"/>
    <col min="1535" max="1535" width="2.42578125" style="379" customWidth="1"/>
    <col min="1536" max="1536" width="11.140625" style="379" customWidth="1"/>
    <col min="1537" max="1537" width="1.85546875" style="379" customWidth="1"/>
    <col min="1538" max="1538" width="11" style="379" customWidth="1"/>
    <col min="1539" max="1539" width="0.7109375" style="379" customWidth="1"/>
    <col min="1540" max="1540" width="1.85546875" style="379" customWidth="1"/>
    <col min="1541" max="1541" width="11.85546875" style="379" bestFit="1" customWidth="1"/>
    <col min="1542" max="1542" width="15.28515625" style="379" bestFit="1" customWidth="1"/>
    <col min="1543" max="1543" width="5" style="379" customWidth="1"/>
    <col min="1544" max="1544" width="10.42578125" style="379" bestFit="1" customWidth="1"/>
    <col min="1545" max="1545" width="5" style="379" customWidth="1"/>
    <col min="1546" max="1546" width="10.42578125" style="379" bestFit="1" customWidth="1"/>
    <col min="1547" max="1549" width="9.140625" style="379"/>
    <col min="1550" max="1550" width="10.42578125" style="379" bestFit="1" customWidth="1"/>
    <col min="1551" max="1779" width="9.140625" style="379"/>
    <col min="1780" max="1780" width="3.5703125" style="379" customWidth="1"/>
    <col min="1781" max="1781" width="4.85546875" style="379" customWidth="1"/>
    <col min="1782" max="1782" width="5.42578125" style="379" customWidth="1"/>
    <col min="1783" max="1783" width="31.28515625" style="379" customWidth="1"/>
    <col min="1784" max="1784" width="7.5703125" style="379" customWidth="1"/>
    <col min="1785" max="1785" width="2.42578125" style="379" customWidth="1"/>
    <col min="1786" max="1786" width="11.5703125" style="379" customWidth="1"/>
    <col min="1787" max="1787" width="2.42578125" style="379" customWidth="1"/>
    <col min="1788" max="1788" width="11.5703125" style="379" customWidth="1"/>
    <col min="1789" max="1789" width="2.42578125" style="379" customWidth="1"/>
    <col min="1790" max="1790" width="10.85546875" style="379" customWidth="1"/>
    <col min="1791" max="1791" width="2.42578125" style="379" customWidth="1"/>
    <col min="1792" max="1792" width="11.140625" style="379" customWidth="1"/>
    <col min="1793" max="1793" width="1.85546875" style="379" customWidth="1"/>
    <col min="1794" max="1794" width="11" style="379" customWidth="1"/>
    <col min="1795" max="1795" width="0.7109375" style="379" customWidth="1"/>
    <col min="1796" max="1796" width="1.85546875" style="379" customWidth="1"/>
    <col min="1797" max="1797" width="11.85546875" style="379" bestFit="1" customWidth="1"/>
    <col min="1798" max="1798" width="15.28515625" style="379" bestFit="1" customWidth="1"/>
    <col min="1799" max="1799" width="5" style="379" customWidth="1"/>
    <col min="1800" max="1800" width="10.42578125" style="379" bestFit="1" customWidth="1"/>
    <col min="1801" max="1801" width="5" style="379" customWidth="1"/>
    <col min="1802" max="1802" width="10.42578125" style="379" bestFit="1" customWidth="1"/>
    <col min="1803" max="1805" width="9.140625" style="379"/>
    <col min="1806" max="1806" width="10.42578125" style="379" bestFit="1" customWidth="1"/>
    <col min="1807" max="2035" width="9.140625" style="379"/>
    <col min="2036" max="2036" width="3.5703125" style="379" customWidth="1"/>
    <col min="2037" max="2037" width="4.85546875" style="379" customWidth="1"/>
    <col min="2038" max="2038" width="5.42578125" style="379" customWidth="1"/>
    <col min="2039" max="2039" width="31.28515625" style="379" customWidth="1"/>
    <col min="2040" max="2040" width="7.5703125" style="379" customWidth="1"/>
    <col min="2041" max="2041" width="2.42578125" style="379" customWidth="1"/>
    <col min="2042" max="2042" width="11.5703125" style="379" customWidth="1"/>
    <col min="2043" max="2043" width="2.42578125" style="379" customWidth="1"/>
    <col min="2044" max="2044" width="11.5703125" style="379" customWidth="1"/>
    <col min="2045" max="2045" width="2.42578125" style="379" customWidth="1"/>
    <col min="2046" max="2046" width="10.85546875" style="379" customWidth="1"/>
    <col min="2047" max="2047" width="2.42578125" style="379" customWidth="1"/>
    <col min="2048" max="2048" width="11.140625" style="379" customWidth="1"/>
    <col min="2049" max="2049" width="1.85546875" style="379" customWidth="1"/>
    <col min="2050" max="2050" width="11" style="379" customWidth="1"/>
    <col min="2051" max="2051" width="0.7109375" style="379" customWidth="1"/>
    <col min="2052" max="2052" width="1.85546875" style="379" customWidth="1"/>
    <col min="2053" max="2053" width="11.85546875" style="379" bestFit="1" customWidth="1"/>
    <col min="2054" max="2054" width="15.28515625" style="379" bestFit="1" customWidth="1"/>
    <col min="2055" max="2055" width="5" style="379" customWidth="1"/>
    <col min="2056" max="2056" width="10.42578125" style="379" bestFit="1" customWidth="1"/>
    <col min="2057" max="2057" width="5" style="379" customWidth="1"/>
    <col min="2058" max="2058" width="10.42578125" style="379" bestFit="1" customWidth="1"/>
    <col min="2059" max="2061" width="9.140625" style="379"/>
    <col min="2062" max="2062" width="10.42578125" style="379" bestFit="1" customWidth="1"/>
    <col min="2063" max="2291" width="9.140625" style="379"/>
    <col min="2292" max="2292" width="3.5703125" style="379" customWidth="1"/>
    <col min="2293" max="2293" width="4.85546875" style="379" customWidth="1"/>
    <col min="2294" max="2294" width="5.42578125" style="379" customWidth="1"/>
    <col min="2295" max="2295" width="31.28515625" style="379" customWidth="1"/>
    <col min="2296" max="2296" width="7.5703125" style="379" customWidth="1"/>
    <col min="2297" max="2297" width="2.42578125" style="379" customWidth="1"/>
    <col min="2298" max="2298" width="11.5703125" style="379" customWidth="1"/>
    <col min="2299" max="2299" width="2.42578125" style="379" customWidth="1"/>
    <col min="2300" max="2300" width="11.5703125" style="379" customWidth="1"/>
    <col min="2301" max="2301" width="2.42578125" style="379" customWidth="1"/>
    <col min="2302" max="2302" width="10.85546875" style="379" customWidth="1"/>
    <col min="2303" max="2303" width="2.42578125" style="379" customWidth="1"/>
    <col min="2304" max="2304" width="11.140625" style="379" customWidth="1"/>
    <col min="2305" max="2305" width="1.85546875" style="379" customWidth="1"/>
    <col min="2306" max="2306" width="11" style="379" customWidth="1"/>
    <col min="2307" max="2307" width="0.7109375" style="379" customWidth="1"/>
    <col min="2308" max="2308" width="1.85546875" style="379" customWidth="1"/>
    <col min="2309" max="2309" width="11.85546875" style="379" bestFit="1" customWidth="1"/>
    <col min="2310" max="2310" width="15.28515625" style="379" bestFit="1" customWidth="1"/>
    <col min="2311" max="2311" width="5" style="379" customWidth="1"/>
    <col min="2312" max="2312" width="10.42578125" style="379" bestFit="1" customWidth="1"/>
    <col min="2313" max="2313" width="5" style="379" customWidth="1"/>
    <col min="2314" max="2314" width="10.42578125" style="379" bestFit="1" customWidth="1"/>
    <col min="2315" max="2317" width="9.140625" style="379"/>
    <col min="2318" max="2318" width="10.42578125" style="379" bestFit="1" customWidth="1"/>
    <col min="2319" max="2547" width="9.140625" style="379"/>
    <col min="2548" max="2548" width="3.5703125" style="379" customWidth="1"/>
    <col min="2549" max="2549" width="4.85546875" style="379" customWidth="1"/>
    <col min="2550" max="2550" width="5.42578125" style="379" customWidth="1"/>
    <col min="2551" max="2551" width="31.28515625" style="379" customWidth="1"/>
    <col min="2552" max="2552" width="7.5703125" style="379" customWidth="1"/>
    <col min="2553" max="2553" width="2.42578125" style="379" customWidth="1"/>
    <col min="2554" max="2554" width="11.5703125" style="379" customWidth="1"/>
    <col min="2555" max="2555" width="2.42578125" style="379" customWidth="1"/>
    <col min="2556" max="2556" width="11.5703125" style="379" customWidth="1"/>
    <col min="2557" max="2557" width="2.42578125" style="379" customWidth="1"/>
    <col min="2558" max="2558" width="10.85546875" style="379" customWidth="1"/>
    <col min="2559" max="2559" width="2.42578125" style="379" customWidth="1"/>
    <col min="2560" max="2560" width="11.140625" style="379" customWidth="1"/>
    <col min="2561" max="2561" width="1.85546875" style="379" customWidth="1"/>
    <col min="2562" max="2562" width="11" style="379" customWidth="1"/>
    <col min="2563" max="2563" width="0.7109375" style="379" customWidth="1"/>
    <col min="2564" max="2564" width="1.85546875" style="379" customWidth="1"/>
    <col min="2565" max="2565" width="11.85546875" style="379" bestFit="1" customWidth="1"/>
    <col min="2566" max="2566" width="15.28515625" style="379" bestFit="1" customWidth="1"/>
    <col min="2567" max="2567" width="5" style="379" customWidth="1"/>
    <col min="2568" max="2568" width="10.42578125" style="379" bestFit="1" customWidth="1"/>
    <col min="2569" max="2569" width="5" style="379" customWidth="1"/>
    <col min="2570" max="2570" width="10.42578125" style="379" bestFit="1" customWidth="1"/>
    <col min="2571" max="2573" width="9.140625" style="379"/>
    <col min="2574" max="2574" width="10.42578125" style="379" bestFit="1" customWidth="1"/>
    <col min="2575" max="2803" width="9.140625" style="379"/>
    <col min="2804" max="2804" width="3.5703125" style="379" customWidth="1"/>
    <col min="2805" max="2805" width="4.85546875" style="379" customWidth="1"/>
    <col min="2806" max="2806" width="5.42578125" style="379" customWidth="1"/>
    <col min="2807" max="2807" width="31.28515625" style="379" customWidth="1"/>
    <col min="2808" max="2808" width="7.5703125" style="379" customWidth="1"/>
    <col min="2809" max="2809" width="2.42578125" style="379" customWidth="1"/>
    <col min="2810" max="2810" width="11.5703125" style="379" customWidth="1"/>
    <col min="2811" max="2811" width="2.42578125" style="379" customWidth="1"/>
    <col min="2812" max="2812" width="11.5703125" style="379" customWidth="1"/>
    <col min="2813" max="2813" width="2.42578125" style="379" customWidth="1"/>
    <col min="2814" max="2814" width="10.85546875" style="379" customWidth="1"/>
    <col min="2815" max="2815" width="2.42578125" style="379" customWidth="1"/>
    <col min="2816" max="2816" width="11.140625" style="379" customWidth="1"/>
    <col min="2817" max="2817" width="1.85546875" style="379" customWidth="1"/>
    <col min="2818" max="2818" width="11" style="379" customWidth="1"/>
    <col min="2819" max="2819" width="0.7109375" style="379" customWidth="1"/>
    <col min="2820" max="2820" width="1.85546875" style="379" customWidth="1"/>
    <col min="2821" max="2821" width="11.85546875" style="379" bestFit="1" customWidth="1"/>
    <col min="2822" max="2822" width="15.28515625" style="379" bestFit="1" customWidth="1"/>
    <col min="2823" max="2823" width="5" style="379" customWidth="1"/>
    <col min="2824" max="2824" width="10.42578125" style="379" bestFit="1" customWidth="1"/>
    <col min="2825" max="2825" width="5" style="379" customWidth="1"/>
    <col min="2826" max="2826" width="10.42578125" style="379" bestFit="1" customWidth="1"/>
    <col min="2827" max="2829" width="9.140625" style="379"/>
    <col min="2830" max="2830" width="10.42578125" style="379" bestFit="1" customWidth="1"/>
    <col min="2831" max="3059" width="9.140625" style="379"/>
    <col min="3060" max="3060" width="3.5703125" style="379" customWidth="1"/>
    <col min="3061" max="3061" width="4.85546875" style="379" customWidth="1"/>
    <col min="3062" max="3062" width="5.42578125" style="379" customWidth="1"/>
    <col min="3063" max="3063" width="31.28515625" style="379" customWidth="1"/>
    <col min="3064" max="3064" width="7.5703125" style="379" customWidth="1"/>
    <col min="3065" max="3065" width="2.42578125" style="379" customWidth="1"/>
    <col min="3066" max="3066" width="11.5703125" style="379" customWidth="1"/>
    <col min="3067" max="3067" width="2.42578125" style="379" customWidth="1"/>
    <col min="3068" max="3068" width="11.5703125" style="379" customWidth="1"/>
    <col min="3069" max="3069" width="2.42578125" style="379" customWidth="1"/>
    <col min="3070" max="3070" width="10.85546875" style="379" customWidth="1"/>
    <col min="3071" max="3071" width="2.42578125" style="379" customWidth="1"/>
    <col min="3072" max="3072" width="11.140625" style="379" customWidth="1"/>
    <col min="3073" max="3073" width="1.85546875" style="379" customWidth="1"/>
    <col min="3074" max="3074" width="11" style="379" customWidth="1"/>
    <col min="3075" max="3075" width="0.7109375" style="379" customWidth="1"/>
    <col min="3076" max="3076" width="1.85546875" style="379" customWidth="1"/>
    <col min="3077" max="3077" width="11.85546875" style="379" bestFit="1" customWidth="1"/>
    <col min="3078" max="3078" width="15.28515625" style="379" bestFit="1" customWidth="1"/>
    <col min="3079" max="3079" width="5" style="379" customWidth="1"/>
    <col min="3080" max="3080" width="10.42578125" style="379" bestFit="1" customWidth="1"/>
    <col min="3081" max="3081" width="5" style="379" customWidth="1"/>
    <col min="3082" max="3082" width="10.42578125" style="379" bestFit="1" customWidth="1"/>
    <col min="3083" max="3085" width="9.140625" style="379"/>
    <col min="3086" max="3086" width="10.42578125" style="379" bestFit="1" customWidth="1"/>
    <col min="3087" max="3315" width="9.140625" style="379"/>
    <col min="3316" max="3316" width="3.5703125" style="379" customWidth="1"/>
    <col min="3317" max="3317" width="4.85546875" style="379" customWidth="1"/>
    <col min="3318" max="3318" width="5.42578125" style="379" customWidth="1"/>
    <col min="3319" max="3319" width="31.28515625" style="379" customWidth="1"/>
    <col min="3320" max="3320" width="7.5703125" style="379" customWidth="1"/>
    <col min="3321" max="3321" width="2.42578125" style="379" customWidth="1"/>
    <col min="3322" max="3322" width="11.5703125" style="379" customWidth="1"/>
    <col min="3323" max="3323" width="2.42578125" style="379" customWidth="1"/>
    <col min="3324" max="3324" width="11.5703125" style="379" customWidth="1"/>
    <col min="3325" max="3325" width="2.42578125" style="379" customWidth="1"/>
    <col min="3326" max="3326" width="10.85546875" style="379" customWidth="1"/>
    <col min="3327" max="3327" width="2.42578125" style="379" customWidth="1"/>
    <col min="3328" max="3328" width="11.140625" style="379" customWidth="1"/>
    <col min="3329" max="3329" width="1.85546875" style="379" customWidth="1"/>
    <col min="3330" max="3330" width="11" style="379" customWidth="1"/>
    <col min="3331" max="3331" width="0.7109375" style="379" customWidth="1"/>
    <col min="3332" max="3332" width="1.85546875" style="379" customWidth="1"/>
    <col min="3333" max="3333" width="11.85546875" style="379" bestFit="1" customWidth="1"/>
    <col min="3334" max="3334" width="15.28515625" style="379" bestFit="1" customWidth="1"/>
    <col min="3335" max="3335" width="5" style="379" customWidth="1"/>
    <col min="3336" max="3336" width="10.42578125" style="379" bestFit="1" customWidth="1"/>
    <col min="3337" max="3337" width="5" style="379" customWidth="1"/>
    <col min="3338" max="3338" width="10.42578125" style="379" bestFit="1" customWidth="1"/>
    <col min="3339" max="3341" width="9.140625" style="379"/>
    <col min="3342" max="3342" width="10.42578125" style="379" bestFit="1" customWidth="1"/>
    <col min="3343" max="3571" width="9.140625" style="379"/>
    <col min="3572" max="3572" width="3.5703125" style="379" customWidth="1"/>
    <col min="3573" max="3573" width="4.85546875" style="379" customWidth="1"/>
    <col min="3574" max="3574" width="5.42578125" style="379" customWidth="1"/>
    <col min="3575" max="3575" width="31.28515625" style="379" customWidth="1"/>
    <col min="3576" max="3576" width="7.5703125" style="379" customWidth="1"/>
    <col min="3577" max="3577" width="2.42578125" style="379" customWidth="1"/>
    <col min="3578" max="3578" width="11.5703125" style="379" customWidth="1"/>
    <col min="3579" max="3579" width="2.42578125" style="379" customWidth="1"/>
    <col min="3580" max="3580" width="11.5703125" style="379" customWidth="1"/>
    <col min="3581" max="3581" width="2.42578125" style="379" customWidth="1"/>
    <col min="3582" max="3582" width="10.85546875" style="379" customWidth="1"/>
    <col min="3583" max="3583" width="2.42578125" style="379" customWidth="1"/>
    <col min="3584" max="3584" width="11.140625" style="379" customWidth="1"/>
    <col min="3585" max="3585" width="1.85546875" style="379" customWidth="1"/>
    <col min="3586" max="3586" width="11" style="379" customWidth="1"/>
    <col min="3587" max="3587" width="0.7109375" style="379" customWidth="1"/>
    <col min="3588" max="3588" width="1.85546875" style="379" customWidth="1"/>
    <col min="3589" max="3589" width="11.85546875" style="379" bestFit="1" customWidth="1"/>
    <col min="3590" max="3590" width="15.28515625" style="379" bestFit="1" customWidth="1"/>
    <col min="3591" max="3591" width="5" style="379" customWidth="1"/>
    <col min="3592" max="3592" width="10.42578125" style="379" bestFit="1" customWidth="1"/>
    <col min="3593" max="3593" width="5" style="379" customWidth="1"/>
    <col min="3594" max="3594" width="10.42578125" style="379" bestFit="1" customWidth="1"/>
    <col min="3595" max="3597" width="9.140625" style="379"/>
    <col min="3598" max="3598" width="10.42578125" style="379" bestFit="1" customWidth="1"/>
    <col min="3599" max="3827" width="9.140625" style="379"/>
    <col min="3828" max="3828" width="3.5703125" style="379" customWidth="1"/>
    <col min="3829" max="3829" width="4.85546875" style="379" customWidth="1"/>
    <col min="3830" max="3830" width="5.42578125" style="379" customWidth="1"/>
    <col min="3831" max="3831" width="31.28515625" style="379" customWidth="1"/>
    <col min="3832" max="3832" width="7.5703125" style="379" customWidth="1"/>
    <col min="3833" max="3833" width="2.42578125" style="379" customWidth="1"/>
    <col min="3834" max="3834" width="11.5703125" style="379" customWidth="1"/>
    <col min="3835" max="3835" width="2.42578125" style="379" customWidth="1"/>
    <col min="3836" max="3836" width="11.5703125" style="379" customWidth="1"/>
    <col min="3837" max="3837" width="2.42578125" style="379" customWidth="1"/>
    <col min="3838" max="3838" width="10.85546875" style="379" customWidth="1"/>
    <col min="3839" max="3839" width="2.42578125" style="379" customWidth="1"/>
    <col min="3840" max="3840" width="11.140625" style="379" customWidth="1"/>
    <col min="3841" max="3841" width="1.85546875" style="379" customWidth="1"/>
    <col min="3842" max="3842" width="11" style="379" customWidth="1"/>
    <col min="3843" max="3843" width="0.7109375" style="379" customWidth="1"/>
    <col min="3844" max="3844" width="1.85546875" style="379" customWidth="1"/>
    <col min="3845" max="3845" width="11.85546875" style="379" bestFit="1" customWidth="1"/>
    <col min="3846" max="3846" width="15.28515625" style="379" bestFit="1" customWidth="1"/>
    <col min="3847" max="3847" width="5" style="379" customWidth="1"/>
    <col min="3848" max="3848" width="10.42578125" style="379" bestFit="1" customWidth="1"/>
    <col min="3849" max="3849" width="5" style="379" customWidth="1"/>
    <col min="3850" max="3850" width="10.42578125" style="379" bestFit="1" customWidth="1"/>
    <col min="3851" max="3853" width="9.140625" style="379"/>
    <col min="3854" max="3854" width="10.42578125" style="379" bestFit="1" customWidth="1"/>
    <col min="3855" max="4083" width="9.140625" style="379"/>
    <col min="4084" max="4084" width="3.5703125" style="379" customWidth="1"/>
    <col min="4085" max="4085" width="4.85546875" style="379" customWidth="1"/>
    <col min="4086" max="4086" width="5.42578125" style="379" customWidth="1"/>
    <col min="4087" max="4087" width="31.28515625" style="379" customWidth="1"/>
    <col min="4088" max="4088" width="7.5703125" style="379" customWidth="1"/>
    <col min="4089" max="4089" width="2.42578125" style="379" customWidth="1"/>
    <col min="4090" max="4090" width="11.5703125" style="379" customWidth="1"/>
    <col min="4091" max="4091" width="2.42578125" style="379" customWidth="1"/>
    <col min="4092" max="4092" width="11.5703125" style="379" customWidth="1"/>
    <col min="4093" max="4093" width="2.42578125" style="379" customWidth="1"/>
    <col min="4094" max="4094" width="10.85546875" style="379" customWidth="1"/>
    <col min="4095" max="4095" width="2.42578125" style="379" customWidth="1"/>
    <col min="4096" max="4096" width="11.140625" style="379" customWidth="1"/>
    <col min="4097" max="4097" width="1.85546875" style="379" customWidth="1"/>
    <col min="4098" max="4098" width="11" style="379" customWidth="1"/>
    <col min="4099" max="4099" width="0.7109375" style="379" customWidth="1"/>
    <col min="4100" max="4100" width="1.85546875" style="379" customWidth="1"/>
    <col min="4101" max="4101" width="11.85546875" style="379" bestFit="1" customWidth="1"/>
    <col min="4102" max="4102" width="15.28515625" style="379" bestFit="1" customWidth="1"/>
    <col min="4103" max="4103" width="5" style="379" customWidth="1"/>
    <col min="4104" max="4104" width="10.42578125" style="379" bestFit="1" customWidth="1"/>
    <col min="4105" max="4105" width="5" style="379" customWidth="1"/>
    <col min="4106" max="4106" width="10.42578125" style="379" bestFit="1" customWidth="1"/>
    <col min="4107" max="4109" width="9.140625" style="379"/>
    <col min="4110" max="4110" width="10.42578125" style="379" bestFit="1" customWidth="1"/>
    <col min="4111" max="4339" width="9.140625" style="379"/>
    <col min="4340" max="4340" width="3.5703125" style="379" customWidth="1"/>
    <col min="4341" max="4341" width="4.85546875" style="379" customWidth="1"/>
    <col min="4342" max="4342" width="5.42578125" style="379" customWidth="1"/>
    <col min="4343" max="4343" width="31.28515625" style="379" customWidth="1"/>
    <col min="4344" max="4344" width="7.5703125" style="379" customWidth="1"/>
    <col min="4345" max="4345" width="2.42578125" style="379" customWidth="1"/>
    <col min="4346" max="4346" width="11.5703125" style="379" customWidth="1"/>
    <col min="4347" max="4347" width="2.42578125" style="379" customWidth="1"/>
    <col min="4348" max="4348" width="11.5703125" style="379" customWidth="1"/>
    <col min="4349" max="4349" width="2.42578125" style="379" customWidth="1"/>
    <col min="4350" max="4350" width="10.85546875" style="379" customWidth="1"/>
    <col min="4351" max="4351" width="2.42578125" style="379" customWidth="1"/>
    <col min="4352" max="4352" width="11.140625" style="379" customWidth="1"/>
    <col min="4353" max="4353" width="1.85546875" style="379" customWidth="1"/>
    <col min="4354" max="4354" width="11" style="379" customWidth="1"/>
    <col min="4355" max="4355" width="0.7109375" style="379" customWidth="1"/>
    <col min="4356" max="4356" width="1.85546875" style="379" customWidth="1"/>
    <col min="4357" max="4357" width="11.85546875" style="379" bestFit="1" customWidth="1"/>
    <col min="4358" max="4358" width="15.28515625" style="379" bestFit="1" customWidth="1"/>
    <col min="4359" max="4359" width="5" style="379" customWidth="1"/>
    <col min="4360" max="4360" width="10.42578125" style="379" bestFit="1" customWidth="1"/>
    <col min="4361" max="4361" width="5" style="379" customWidth="1"/>
    <col min="4362" max="4362" width="10.42578125" style="379" bestFit="1" customWidth="1"/>
    <col min="4363" max="4365" width="9.140625" style="379"/>
    <col min="4366" max="4366" width="10.42578125" style="379" bestFit="1" customWidth="1"/>
    <col min="4367" max="4595" width="9.140625" style="379"/>
    <col min="4596" max="4596" width="3.5703125" style="379" customWidth="1"/>
    <col min="4597" max="4597" width="4.85546875" style="379" customWidth="1"/>
    <col min="4598" max="4598" width="5.42578125" style="379" customWidth="1"/>
    <col min="4599" max="4599" width="31.28515625" style="379" customWidth="1"/>
    <col min="4600" max="4600" width="7.5703125" style="379" customWidth="1"/>
    <col min="4601" max="4601" width="2.42578125" style="379" customWidth="1"/>
    <col min="4602" max="4602" width="11.5703125" style="379" customWidth="1"/>
    <col min="4603" max="4603" width="2.42578125" style="379" customWidth="1"/>
    <col min="4604" max="4604" width="11.5703125" style="379" customWidth="1"/>
    <col min="4605" max="4605" width="2.42578125" style="379" customWidth="1"/>
    <col min="4606" max="4606" width="10.85546875" style="379" customWidth="1"/>
    <col min="4607" max="4607" width="2.42578125" style="379" customWidth="1"/>
    <col min="4608" max="4608" width="11.140625" style="379" customWidth="1"/>
    <col min="4609" max="4609" width="1.85546875" style="379" customWidth="1"/>
    <col min="4610" max="4610" width="11" style="379" customWidth="1"/>
    <col min="4611" max="4611" width="0.7109375" style="379" customWidth="1"/>
    <col min="4612" max="4612" width="1.85546875" style="379" customWidth="1"/>
    <col min="4613" max="4613" width="11.85546875" style="379" bestFit="1" customWidth="1"/>
    <col min="4614" max="4614" width="15.28515625" style="379" bestFit="1" customWidth="1"/>
    <col min="4615" max="4615" width="5" style="379" customWidth="1"/>
    <col min="4616" max="4616" width="10.42578125" style="379" bestFit="1" customWidth="1"/>
    <col min="4617" max="4617" width="5" style="379" customWidth="1"/>
    <col min="4618" max="4618" width="10.42578125" style="379" bestFit="1" customWidth="1"/>
    <col min="4619" max="4621" width="9.140625" style="379"/>
    <col min="4622" max="4622" width="10.42578125" style="379" bestFit="1" customWidth="1"/>
    <col min="4623" max="4851" width="9.140625" style="379"/>
    <col min="4852" max="4852" width="3.5703125" style="379" customWidth="1"/>
    <col min="4853" max="4853" width="4.85546875" style="379" customWidth="1"/>
    <col min="4854" max="4854" width="5.42578125" style="379" customWidth="1"/>
    <col min="4855" max="4855" width="31.28515625" style="379" customWidth="1"/>
    <col min="4856" max="4856" width="7.5703125" style="379" customWidth="1"/>
    <col min="4857" max="4857" width="2.42578125" style="379" customWidth="1"/>
    <col min="4858" max="4858" width="11.5703125" style="379" customWidth="1"/>
    <col min="4859" max="4859" width="2.42578125" style="379" customWidth="1"/>
    <col min="4860" max="4860" width="11.5703125" style="379" customWidth="1"/>
    <col min="4861" max="4861" width="2.42578125" style="379" customWidth="1"/>
    <col min="4862" max="4862" width="10.85546875" style="379" customWidth="1"/>
    <col min="4863" max="4863" width="2.42578125" style="379" customWidth="1"/>
    <col min="4864" max="4864" width="11.140625" style="379" customWidth="1"/>
    <col min="4865" max="4865" width="1.85546875" style="379" customWidth="1"/>
    <col min="4866" max="4866" width="11" style="379" customWidth="1"/>
    <col min="4867" max="4867" width="0.7109375" style="379" customWidth="1"/>
    <col min="4868" max="4868" width="1.85546875" style="379" customWidth="1"/>
    <col min="4869" max="4869" width="11.85546875" style="379" bestFit="1" customWidth="1"/>
    <col min="4870" max="4870" width="15.28515625" style="379" bestFit="1" customWidth="1"/>
    <col min="4871" max="4871" width="5" style="379" customWidth="1"/>
    <col min="4872" max="4872" width="10.42578125" style="379" bestFit="1" customWidth="1"/>
    <col min="4873" max="4873" width="5" style="379" customWidth="1"/>
    <col min="4874" max="4874" width="10.42578125" style="379" bestFit="1" customWidth="1"/>
    <col min="4875" max="4877" width="9.140625" style="379"/>
    <col min="4878" max="4878" width="10.42578125" style="379" bestFit="1" customWidth="1"/>
    <col min="4879" max="5107" width="9.140625" style="379"/>
    <col min="5108" max="5108" width="3.5703125" style="379" customWidth="1"/>
    <col min="5109" max="5109" width="4.85546875" style="379" customWidth="1"/>
    <col min="5110" max="5110" width="5.42578125" style="379" customWidth="1"/>
    <col min="5111" max="5111" width="31.28515625" style="379" customWidth="1"/>
    <col min="5112" max="5112" width="7.5703125" style="379" customWidth="1"/>
    <col min="5113" max="5113" width="2.42578125" style="379" customWidth="1"/>
    <col min="5114" max="5114" width="11.5703125" style="379" customWidth="1"/>
    <col min="5115" max="5115" width="2.42578125" style="379" customWidth="1"/>
    <col min="5116" max="5116" width="11.5703125" style="379" customWidth="1"/>
    <col min="5117" max="5117" width="2.42578125" style="379" customWidth="1"/>
    <col min="5118" max="5118" width="10.85546875" style="379" customWidth="1"/>
    <col min="5119" max="5119" width="2.42578125" style="379" customWidth="1"/>
    <col min="5120" max="5120" width="11.140625" style="379" customWidth="1"/>
    <col min="5121" max="5121" width="1.85546875" style="379" customWidth="1"/>
    <col min="5122" max="5122" width="11" style="379" customWidth="1"/>
    <col min="5123" max="5123" width="0.7109375" style="379" customWidth="1"/>
    <col min="5124" max="5124" width="1.85546875" style="379" customWidth="1"/>
    <col min="5125" max="5125" width="11.85546875" style="379" bestFit="1" customWidth="1"/>
    <col min="5126" max="5126" width="15.28515625" style="379" bestFit="1" customWidth="1"/>
    <col min="5127" max="5127" width="5" style="379" customWidth="1"/>
    <col min="5128" max="5128" width="10.42578125" style="379" bestFit="1" customWidth="1"/>
    <col min="5129" max="5129" width="5" style="379" customWidth="1"/>
    <col min="5130" max="5130" width="10.42578125" style="379" bestFit="1" customWidth="1"/>
    <col min="5131" max="5133" width="9.140625" style="379"/>
    <col min="5134" max="5134" width="10.42578125" style="379" bestFit="1" customWidth="1"/>
    <col min="5135" max="5363" width="9.140625" style="379"/>
    <col min="5364" max="5364" width="3.5703125" style="379" customWidth="1"/>
    <col min="5365" max="5365" width="4.85546875" style="379" customWidth="1"/>
    <col min="5366" max="5366" width="5.42578125" style="379" customWidth="1"/>
    <col min="5367" max="5367" width="31.28515625" style="379" customWidth="1"/>
    <col min="5368" max="5368" width="7.5703125" style="379" customWidth="1"/>
    <col min="5369" max="5369" width="2.42578125" style="379" customWidth="1"/>
    <col min="5370" max="5370" width="11.5703125" style="379" customWidth="1"/>
    <col min="5371" max="5371" width="2.42578125" style="379" customWidth="1"/>
    <col min="5372" max="5372" width="11.5703125" style="379" customWidth="1"/>
    <col min="5373" max="5373" width="2.42578125" style="379" customWidth="1"/>
    <col min="5374" max="5374" width="10.85546875" style="379" customWidth="1"/>
    <col min="5375" max="5375" width="2.42578125" style="379" customWidth="1"/>
    <col min="5376" max="5376" width="11.140625" style="379" customWidth="1"/>
    <col min="5377" max="5377" width="1.85546875" style="379" customWidth="1"/>
    <col min="5378" max="5378" width="11" style="379" customWidth="1"/>
    <col min="5379" max="5379" width="0.7109375" style="379" customWidth="1"/>
    <col min="5380" max="5380" width="1.85546875" style="379" customWidth="1"/>
    <col min="5381" max="5381" width="11.85546875" style="379" bestFit="1" customWidth="1"/>
    <col min="5382" max="5382" width="15.28515625" style="379" bestFit="1" customWidth="1"/>
    <col min="5383" max="5383" width="5" style="379" customWidth="1"/>
    <col min="5384" max="5384" width="10.42578125" style="379" bestFit="1" customWidth="1"/>
    <col min="5385" max="5385" width="5" style="379" customWidth="1"/>
    <col min="5386" max="5386" width="10.42578125" style="379" bestFit="1" customWidth="1"/>
    <col min="5387" max="5389" width="9.140625" style="379"/>
    <col min="5390" max="5390" width="10.42578125" style="379" bestFit="1" customWidth="1"/>
    <col min="5391" max="5619" width="9.140625" style="379"/>
    <col min="5620" max="5620" width="3.5703125" style="379" customWidth="1"/>
    <col min="5621" max="5621" width="4.85546875" style="379" customWidth="1"/>
    <col min="5622" max="5622" width="5.42578125" style="379" customWidth="1"/>
    <col min="5623" max="5623" width="31.28515625" style="379" customWidth="1"/>
    <col min="5624" max="5624" width="7.5703125" style="379" customWidth="1"/>
    <col min="5625" max="5625" width="2.42578125" style="379" customWidth="1"/>
    <col min="5626" max="5626" width="11.5703125" style="379" customWidth="1"/>
    <col min="5627" max="5627" width="2.42578125" style="379" customWidth="1"/>
    <col min="5628" max="5628" width="11.5703125" style="379" customWidth="1"/>
    <col min="5629" max="5629" width="2.42578125" style="379" customWidth="1"/>
    <col min="5630" max="5630" width="10.85546875" style="379" customWidth="1"/>
    <col min="5631" max="5631" width="2.42578125" style="379" customWidth="1"/>
    <col min="5632" max="5632" width="11.140625" style="379" customWidth="1"/>
    <col min="5633" max="5633" width="1.85546875" style="379" customWidth="1"/>
    <col min="5634" max="5634" width="11" style="379" customWidth="1"/>
    <col min="5635" max="5635" width="0.7109375" style="379" customWidth="1"/>
    <col min="5636" max="5636" width="1.85546875" style="379" customWidth="1"/>
    <col min="5637" max="5637" width="11.85546875" style="379" bestFit="1" customWidth="1"/>
    <col min="5638" max="5638" width="15.28515625" style="379" bestFit="1" customWidth="1"/>
    <col min="5639" max="5639" width="5" style="379" customWidth="1"/>
    <col min="5640" max="5640" width="10.42578125" style="379" bestFit="1" customWidth="1"/>
    <col min="5641" max="5641" width="5" style="379" customWidth="1"/>
    <col min="5642" max="5642" width="10.42578125" style="379" bestFit="1" customWidth="1"/>
    <col min="5643" max="5645" width="9.140625" style="379"/>
    <col min="5646" max="5646" width="10.42578125" style="379" bestFit="1" customWidth="1"/>
    <col min="5647" max="5875" width="9.140625" style="379"/>
    <col min="5876" max="5876" width="3.5703125" style="379" customWidth="1"/>
    <col min="5877" max="5877" width="4.85546875" style="379" customWidth="1"/>
    <col min="5878" max="5878" width="5.42578125" style="379" customWidth="1"/>
    <col min="5879" max="5879" width="31.28515625" style="379" customWidth="1"/>
    <col min="5880" max="5880" width="7.5703125" style="379" customWidth="1"/>
    <col min="5881" max="5881" width="2.42578125" style="379" customWidth="1"/>
    <col min="5882" max="5882" width="11.5703125" style="379" customWidth="1"/>
    <col min="5883" max="5883" width="2.42578125" style="379" customWidth="1"/>
    <col min="5884" max="5884" width="11.5703125" style="379" customWidth="1"/>
    <col min="5885" max="5885" width="2.42578125" style="379" customWidth="1"/>
    <col min="5886" max="5886" width="10.85546875" style="379" customWidth="1"/>
    <col min="5887" max="5887" width="2.42578125" style="379" customWidth="1"/>
    <col min="5888" max="5888" width="11.140625" style="379" customWidth="1"/>
    <col min="5889" max="5889" width="1.85546875" style="379" customWidth="1"/>
    <col min="5890" max="5890" width="11" style="379" customWidth="1"/>
    <col min="5891" max="5891" width="0.7109375" style="379" customWidth="1"/>
    <col min="5892" max="5892" width="1.85546875" style="379" customWidth="1"/>
    <col min="5893" max="5893" width="11.85546875" style="379" bestFit="1" customWidth="1"/>
    <col min="5894" max="5894" width="15.28515625" style="379" bestFit="1" customWidth="1"/>
    <col min="5895" max="5895" width="5" style="379" customWidth="1"/>
    <col min="5896" max="5896" width="10.42578125" style="379" bestFit="1" customWidth="1"/>
    <col min="5897" max="5897" width="5" style="379" customWidth="1"/>
    <col min="5898" max="5898" width="10.42578125" style="379" bestFit="1" customWidth="1"/>
    <col min="5899" max="5901" width="9.140625" style="379"/>
    <col min="5902" max="5902" width="10.42578125" style="379" bestFit="1" customWidth="1"/>
    <col min="5903" max="6131" width="9.140625" style="379"/>
    <col min="6132" max="6132" width="3.5703125" style="379" customWidth="1"/>
    <col min="6133" max="6133" width="4.85546875" style="379" customWidth="1"/>
    <col min="6134" max="6134" width="5.42578125" style="379" customWidth="1"/>
    <col min="6135" max="6135" width="31.28515625" style="379" customWidth="1"/>
    <col min="6136" max="6136" width="7.5703125" style="379" customWidth="1"/>
    <col min="6137" max="6137" width="2.42578125" style="379" customWidth="1"/>
    <col min="6138" max="6138" width="11.5703125" style="379" customWidth="1"/>
    <col min="6139" max="6139" width="2.42578125" style="379" customWidth="1"/>
    <col min="6140" max="6140" width="11.5703125" style="379" customWidth="1"/>
    <col min="6141" max="6141" width="2.42578125" style="379" customWidth="1"/>
    <col min="6142" max="6142" width="10.85546875" style="379" customWidth="1"/>
    <col min="6143" max="6143" width="2.42578125" style="379" customWidth="1"/>
    <col min="6144" max="6144" width="11.140625" style="379" customWidth="1"/>
    <col min="6145" max="6145" width="1.85546875" style="379" customWidth="1"/>
    <col min="6146" max="6146" width="11" style="379" customWidth="1"/>
    <col min="6147" max="6147" width="0.7109375" style="379" customWidth="1"/>
    <col min="6148" max="6148" width="1.85546875" style="379" customWidth="1"/>
    <col min="6149" max="6149" width="11.85546875" style="379" bestFit="1" customWidth="1"/>
    <col min="6150" max="6150" width="15.28515625" style="379" bestFit="1" customWidth="1"/>
    <col min="6151" max="6151" width="5" style="379" customWidth="1"/>
    <col min="6152" max="6152" width="10.42578125" style="379" bestFit="1" customWidth="1"/>
    <col min="6153" max="6153" width="5" style="379" customWidth="1"/>
    <col min="6154" max="6154" width="10.42578125" style="379" bestFit="1" customWidth="1"/>
    <col min="6155" max="6157" width="9.140625" style="379"/>
    <col min="6158" max="6158" width="10.42578125" style="379" bestFit="1" customWidth="1"/>
    <col min="6159" max="6387" width="9.140625" style="379"/>
    <col min="6388" max="6388" width="3.5703125" style="379" customWidth="1"/>
    <col min="6389" max="6389" width="4.85546875" style="379" customWidth="1"/>
    <col min="6390" max="6390" width="5.42578125" style="379" customWidth="1"/>
    <col min="6391" max="6391" width="31.28515625" style="379" customWidth="1"/>
    <col min="6392" max="6392" width="7.5703125" style="379" customWidth="1"/>
    <col min="6393" max="6393" width="2.42578125" style="379" customWidth="1"/>
    <col min="6394" max="6394" width="11.5703125" style="379" customWidth="1"/>
    <col min="6395" max="6395" width="2.42578125" style="379" customWidth="1"/>
    <col min="6396" max="6396" width="11.5703125" style="379" customWidth="1"/>
    <col min="6397" max="6397" width="2.42578125" style="379" customWidth="1"/>
    <col min="6398" max="6398" width="10.85546875" style="379" customWidth="1"/>
    <col min="6399" max="6399" width="2.42578125" style="379" customWidth="1"/>
    <col min="6400" max="6400" width="11.140625" style="379" customWidth="1"/>
    <col min="6401" max="6401" width="1.85546875" style="379" customWidth="1"/>
    <col min="6402" max="6402" width="11" style="379" customWidth="1"/>
    <col min="6403" max="6403" width="0.7109375" style="379" customWidth="1"/>
    <col min="6404" max="6404" width="1.85546875" style="379" customWidth="1"/>
    <col min="6405" max="6405" width="11.85546875" style="379" bestFit="1" customWidth="1"/>
    <col min="6406" max="6406" width="15.28515625" style="379" bestFit="1" customWidth="1"/>
    <col min="6407" max="6407" width="5" style="379" customWidth="1"/>
    <col min="6408" max="6408" width="10.42578125" style="379" bestFit="1" customWidth="1"/>
    <col min="6409" max="6409" width="5" style="379" customWidth="1"/>
    <col min="6410" max="6410" width="10.42578125" style="379" bestFit="1" customWidth="1"/>
    <col min="6411" max="6413" width="9.140625" style="379"/>
    <col min="6414" max="6414" width="10.42578125" style="379" bestFit="1" customWidth="1"/>
    <col min="6415" max="6643" width="9.140625" style="379"/>
    <col min="6644" max="6644" width="3.5703125" style="379" customWidth="1"/>
    <col min="6645" max="6645" width="4.85546875" style="379" customWidth="1"/>
    <col min="6646" max="6646" width="5.42578125" style="379" customWidth="1"/>
    <col min="6647" max="6647" width="31.28515625" style="379" customWidth="1"/>
    <col min="6648" max="6648" width="7.5703125" style="379" customWidth="1"/>
    <col min="6649" max="6649" width="2.42578125" style="379" customWidth="1"/>
    <col min="6650" max="6650" width="11.5703125" style="379" customWidth="1"/>
    <col min="6651" max="6651" width="2.42578125" style="379" customWidth="1"/>
    <col min="6652" max="6652" width="11.5703125" style="379" customWidth="1"/>
    <col min="6653" max="6653" width="2.42578125" style="379" customWidth="1"/>
    <col min="6654" max="6654" width="10.85546875" style="379" customWidth="1"/>
    <col min="6655" max="6655" width="2.42578125" style="379" customWidth="1"/>
    <col min="6656" max="6656" width="11.140625" style="379" customWidth="1"/>
    <col min="6657" max="6657" width="1.85546875" style="379" customWidth="1"/>
    <col min="6658" max="6658" width="11" style="379" customWidth="1"/>
    <col min="6659" max="6659" width="0.7109375" style="379" customWidth="1"/>
    <col min="6660" max="6660" width="1.85546875" style="379" customWidth="1"/>
    <col min="6661" max="6661" width="11.85546875" style="379" bestFit="1" customWidth="1"/>
    <col min="6662" max="6662" width="15.28515625" style="379" bestFit="1" customWidth="1"/>
    <col min="6663" max="6663" width="5" style="379" customWidth="1"/>
    <col min="6664" max="6664" width="10.42578125" style="379" bestFit="1" customWidth="1"/>
    <col min="6665" max="6665" width="5" style="379" customWidth="1"/>
    <col min="6666" max="6666" width="10.42578125" style="379" bestFit="1" customWidth="1"/>
    <col min="6667" max="6669" width="9.140625" style="379"/>
    <col min="6670" max="6670" width="10.42578125" style="379" bestFit="1" customWidth="1"/>
    <col min="6671" max="6899" width="9.140625" style="379"/>
    <col min="6900" max="6900" width="3.5703125" style="379" customWidth="1"/>
    <col min="6901" max="6901" width="4.85546875" style="379" customWidth="1"/>
    <col min="6902" max="6902" width="5.42578125" style="379" customWidth="1"/>
    <col min="6903" max="6903" width="31.28515625" style="379" customWidth="1"/>
    <col min="6904" max="6904" width="7.5703125" style="379" customWidth="1"/>
    <col min="6905" max="6905" width="2.42578125" style="379" customWidth="1"/>
    <col min="6906" max="6906" width="11.5703125" style="379" customWidth="1"/>
    <col min="6907" max="6907" width="2.42578125" style="379" customWidth="1"/>
    <col min="6908" max="6908" width="11.5703125" style="379" customWidth="1"/>
    <col min="6909" max="6909" width="2.42578125" style="379" customWidth="1"/>
    <col min="6910" max="6910" width="10.85546875" style="379" customWidth="1"/>
    <col min="6911" max="6911" width="2.42578125" style="379" customWidth="1"/>
    <col min="6912" max="6912" width="11.140625" style="379" customWidth="1"/>
    <col min="6913" max="6913" width="1.85546875" style="379" customWidth="1"/>
    <col min="6914" max="6914" width="11" style="379" customWidth="1"/>
    <col min="6915" max="6915" width="0.7109375" style="379" customWidth="1"/>
    <col min="6916" max="6916" width="1.85546875" style="379" customWidth="1"/>
    <col min="6917" max="6917" width="11.85546875" style="379" bestFit="1" customWidth="1"/>
    <col min="6918" max="6918" width="15.28515625" style="379" bestFit="1" customWidth="1"/>
    <col min="6919" max="6919" width="5" style="379" customWidth="1"/>
    <col min="6920" max="6920" width="10.42578125" style="379" bestFit="1" customWidth="1"/>
    <col min="6921" max="6921" width="5" style="379" customWidth="1"/>
    <col min="6922" max="6922" width="10.42578125" style="379" bestFit="1" customWidth="1"/>
    <col min="6923" max="6925" width="9.140625" style="379"/>
    <col min="6926" max="6926" width="10.42578125" style="379" bestFit="1" customWidth="1"/>
    <col min="6927" max="7155" width="9.140625" style="379"/>
    <col min="7156" max="7156" width="3.5703125" style="379" customWidth="1"/>
    <col min="7157" max="7157" width="4.85546875" style="379" customWidth="1"/>
    <col min="7158" max="7158" width="5.42578125" style="379" customWidth="1"/>
    <col min="7159" max="7159" width="31.28515625" style="379" customWidth="1"/>
    <col min="7160" max="7160" width="7.5703125" style="379" customWidth="1"/>
    <col min="7161" max="7161" width="2.42578125" style="379" customWidth="1"/>
    <col min="7162" max="7162" width="11.5703125" style="379" customWidth="1"/>
    <col min="7163" max="7163" width="2.42578125" style="379" customWidth="1"/>
    <col min="7164" max="7164" width="11.5703125" style="379" customWidth="1"/>
    <col min="7165" max="7165" width="2.42578125" style="379" customWidth="1"/>
    <col min="7166" max="7166" width="10.85546875" style="379" customWidth="1"/>
    <col min="7167" max="7167" width="2.42578125" style="379" customWidth="1"/>
    <col min="7168" max="7168" width="11.140625" style="379" customWidth="1"/>
    <col min="7169" max="7169" width="1.85546875" style="379" customWidth="1"/>
    <col min="7170" max="7170" width="11" style="379" customWidth="1"/>
    <col min="7171" max="7171" width="0.7109375" style="379" customWidth="1"/>
    <col min="7172" max="7172" width="1.85546875" style="379" customWidth="1"/>
    <col min="7173" max="7173" width="11.85546875" style="379" bestFit="1" customWidth="1"/>
    <col min="7174" max="7174" width="15.28515625" style="379" bestFit="1" customWidth="1"/>
    <col min="7175" max="7175" width="5" style="379" customWidth="1"/>
    <col min="7176" max="7176" width="10.42578125" style="379" bestFit="1" customWidth="1"/>
    <col min="7177" max="7177" width="5" style="379" customWidth="1"/>
    <col min="7178" max="7178" width="10.42578125" style="379" bestFit="1" customWidth="1"/>
    <col min="7179" max="7181" width="9.140625" style="379"/>
    <col min="7182" max="7182" width="10.42578125" style="379" bestFit="1" customWidth="1"/>
    <col min="7183" max="7411" width="9.140625" style="379"/>
    <col min="7412" max="7412" width="3.5703125" style="379" customWidth="1"/>
    <col min="7413" max="7413" width="4.85546875" style="379" customWidth="1"/>
    <col min="7414" max="7414" width="5.42578125" style="379" customWidth="1"/>
    <col min="7415" max="7415" width="31.28515625" style="379" customWidth="1"/>
    <col min="7416" max="7416" width="7.5703125" style="379" customWidth="1"/>
    <col min="7417" max="7417" width="2.42578125" style="379" customWidth="1"/>
    <col min="7418" max="7418" width="11.5703125" style="379" customWidth="1"/>
    <col min="7419" max="7419" width="2.42578125" style="379" customWidth="1"/>
    <col min="7420" max="7420" width="11.5703125" style="379" customWidth="1"/>
    <col min="7421" max="7421" width="2.42578125" style="379" customWidth="1"/>
    <col min="7422" max="7422" width="10.85546875" style="379" customWidth="1"/>
    <col min="7423" max="7423" width="2.42578125" style="379" customWidth="1"/>
    <col min="7424" max="7424" width="11.140625" style="379" customWidth="1"/>
    <col min="7425" max="7425" width="1.85546875" style="379" customWidth="1"/>
    <col min="7426" max="7426" width="11" style="379" customWidth="1"/>
    <col min="7427" max="7427" width="0.7109375" style="379" customWidth="1"/>
    <col min="7428" max="7428" width="1.85546875" style="379" customWidth="1"/>
    <col min="7429" max="7429" width="11.85546875" style="379" bestFit="1" customWidth="1"/>
    <col min="7430" max="7430" width="15.28515625" style="379" bestFit="1" customWidth="1"/>
    <col min="7431" max="7431" width="5" style="379" customWidth="1"/>
    <col min="7432" max="7432" width="10.42578125" style="379" bestFit="1" customWidth="1"/>
    <col min="7433" max="7433" width="5" style="379" customWidth="1"/>
    <col min="7434" max="7434" width="10.42578125" style="379" bestFit="1" customWidth="1"/>
    <col min="7435" max="7437" width="9.140625" style="379"/>
    <col min="7438" max="7438" width="10.42578125" style="379" bestFit="1" customWidth="1"/>
    <col min="7439" max="7667" width="9.140625" style="379"/>
    <col min="7668" max="7668" width="3.5703125" style="379" customWidth="1"/>
    <col min="7669" max="7669" width="4.85546875" style="379" customWidth="1"/>
    <col min="7670" max="7670" width="5.42578125" style="379" customWidth="1"/>
    <col min="7671" max="7671" width="31.28515625" style="379" customWidth="1"/>
    <col min="7672" max="7672" width="7.5703125" style="379" customWidth="1"/>
    <col min="7673" max="7673" width="2.42578125" style="379" customWidth="1"/>
    <col min="7674" max="7674" width="11.5703125" style="379" customWidth="1"/>
    <col min="7675" max="7675" width="2.42578125" style="379" customWidth="1"/>
    <col min="7676" max="7676" width="11.5703125" style="379" customWidth="1"/>
    <col min="7677" max="7677" width="2.42578125" style="379" customWidth="1"/>
    <col min="7678" max="7678" width="10.85546875" style="379" customWidth="1"/>
    <col min="7679" max="7679" width="2.42578125" style="379" customWidth="1"/>
    <col min="7680" max="7680" width="11.140625" style="379" customWidth="1"/>
    <col min="7681" max="7681" width="1.85546875" style="379" customWidth="1"/>
    <col min="7682" max="7682" width="11" style="379" customWidth="1"/>
    <col min="7683" max="7683" width="0.7109375" style="379" customWidth="1"/>
    <col min="7684" max="7684" width="1.85546875" style="379" customWidth="1"/>
    <col min="7685" max="7685" width="11.85546875" style="379" bestFit="1" customWidth="1"/>
    <col min="7686" max="7686" width="15.28515625" style="379" bestFit="1" customWidth="1"/>
    <col min="7687" max="7687" width="5" style="379" customWidth="1"/>
    <col min="7688" max="7688" width="10.42578125" style="379" bestFit="1" customWidth="1"/>
    <col min="7689" max="7689" width="5" style="379" customWidth="1"/>
    <col min="7690" max="7690" width="10.42578125" style="379" bestFit="1" customWidth="1"/>
    <col min="7691" max="7693" width="9.140625" style="379"/>
    <col min="7694" max="7694" width="10.42578125" style="379" bestFit="1" customWidth="1"/>
    <col min="7695" max="7923" width="9.140625" style="379"/>
    <col min="7924" max="7924" width="3.5703125" style="379" customWidth="1"/>
    <col min="7925" max="7925" width="4.85546875" style="379" customWidth="1"/>
    <col min="7926" max="7926" width="5.42578125" style="379" customWidth="1"/>
    <col min="7927" max="7927" width="31.28515625" style="379" customWidth="1"/>
    <col min="7928" max="7928" width="7.5703125" style="379" customWidth="1"/>
    <col min="7929" max="7929" width="2.42578125" style="379" customWidth="1"/>
    <col min="7930" max="7930" width="11.5703125" style="379" customWidth="1"/>
    <col min="7931" max="7931" width="2.42578125" style="379" customWidth="1"/>
    <col min="7932" max="7932" width="11.5703125" style="379" customWidth="1"/>
    <col min="7933" max="7933" width="2.42578125" style="379" customWidth="1"/>
    <col min="7934" max="7934" width="10.85546875" style="379" customWidth="1"/>
    <col min="7935" max="7935" width="2.42578125" style="379" customWidth="1"/>
    <col min="7936" max="7936" width="11.140625" style="379" customWidth="1"/>
    <col min="7937" max="7937" width="1.85546875" style="379" customWidth="1"/>
    <col min="7938" max="7938" width="11" style="379" customWidth="1"/>
    <col min="7939" max="7939" width="0.7109375" style="379" customWidth="1"/>
    <col min="7940" max="7940" width="1.85546875" style="379" customWidth="1"/>
    <col min="7941" max="7941" width="11.85546875" style="379" bestFit="1" customWidth="1"/>
    <col min="7942" max="7942" width="15.28515625" style="379" bestFit="1" customWidth="1"/>
    <col min="7943" max="7943" width="5" style="379" customWidth="1"/>
    <col min="7944" max="7944" width="10.42578125" style="379" bestFit="1" customWidth="1"/>
    <col min="7945" max="7945" width="5" style="379" customWidth="1"/>
    <col min="7946" max="7946" width="10.42578125" style="379" bestFit="1" customWidth="1"/>
    <col min="7947" max="7949" width="9.140625" style="379"/>
    <col min="7950" max="7950" width="10.42578125" style="379" bestFit="1" customWidth="1"/>
    <col min="7951" max="8179" width="9.140625" style="379"/>
    <col min="8180" max="8180" width="3.5703125" style="379" customWidth="1"/>
    <col min="8181" max="8181" width="4.85546875" style="379" customWidth="1"/>
    <col min="8182" max="8182" width="5.42578125" style="379" customWidth="1"/>
    <col min="8183" max="8183" width="31.28515625" style="379" customWidth="1"/>
    <col min="8184" max="8184" width="7.5703125" style="379" customWidth="1"/>
    <col min="8185" max="8185" width="2.42578125" style="379" customWidth="1"/>
    <col min="8186" max="8186" width="11.5703125" style="379" customWidth="1"/>
    <col min="8187" max="8187" width="2.42578125" style="379" customWidth="1"/>
    <col min="8188" max="8188" width="11.5703125" style="379" customWidth="1"/>
    <col min="8189" max="8189" width="2.42578125" style="379" customWidth="1"/>
    <col min="8190" max="8190" width="10.85546875" style="379" customWidth="1"/>
    <col min="8191" max="8191" width="2.42578125" style="379" customWidth="1"/>
    <col min="8192" max="8192" width="11.140625" style="379" customWidth="1"/>
    <col min="8193" max="8193" width="1.85546875" style="379" customWidth="1"/>
    <col min="8194" max="8194" width="11" style="379" customWidth="1"/>
    <col min="8195" max="8195" width="0.7109375" style="379" customWidth="1"/>
    <col min="8196" max="8196" width="1.85546875" style="379" customWidth="1"/>
    <col min="8197" max="8197" width="11.85546875" style="379" bestFit="1" customWidth="1"/>
    <col min="8198" max="8198" width="15.28515625" style="379" bestFit="1" customWidth="1"/>
    <col min="8199" max="8199" width="5" style="379" customWidth="1"/>
    <col min="8200" max="8200" width="10.42578125" style="379" bestFit="1" customWidth="1"/>
    <col min="8201" max="8201" width="5" style="379" customWidth="1"/>
    <col min="8202" max="8202" width="10.42578125" style="379" bestFit="1" customWidth="1"/>
    <col min="8203" max="8205" width="9.140625" style="379"/>
    <col min="8206" max="8206" width="10.42578125" style="379" bestFit="1" customWidth="1"/>
    <col min="8207" max="8435" width="9.140625" style="379"/>
    <col min="8436" max="8436" width="3.5703125" style="379" customWidth="1"/>
    <col min="8437" max="8437" width="4.85546875" style="379" customWidth="1"/>
    <col min="8438" max="8438" width="5.42578125" style="379" customWidth="1"/>
    <col min="8439" max="8439" width="31.28515625" style="379" customWidth="1"/>
    <col min="8440" max="8440" width="7.5703125" style="379" customWidth="1"/>
    <col min="8441" max="8441" width="2.42578125" style="379" customWidth="1"/>
    <col min="8442" max="8442" width="11.5703125" style="379" customWidth="1"/>
    <col min="8443" max="8443" width="2.42578125" style="379" customWidth="1"/>
    <col min="8444" max="8444" width="11.5703125" style="379" customWidth="1"/>
    <col min="8445" max="8445" width="2.42578125" style="379" customWidth="1"/>
    <col min="8446" max="8446" width="10.85546875" style="379" customWidth="1"/>
    <col min="8447" max="8447" width="2.42578125" style="379" customWidth="1"/>
    <col min="8448" max="8448" width="11.140625" style="379" customWidth="1"/>
    <col min="8449" max="8449" width="1.85546875" style="379" customWidth="1"/>
    <col min="8450" max="8450" width="11" style="379" customWidth="1"/>
    <col min="8451" max="8451" width="0.7109375" style="379" customWidth="1"/>
    <col min="8452" max="8452" width="1.85546875" style="379" customWidth="1"/>
    <col min="8453" max="8453" width="11.85546875" style="379" bestFit="1" customWidth="1"/>
    <col min="8454" max="8454" width="15.28515625" style="379" bestFit="1" customWidth="1"/>
    <col min="8455" max="8455" width="5" style="379" customWidth="1"/>
    <col min="8456" max="8456" width="10.42578125" style="379" bestFit="1" customWidth="1"/>
    <col min="8457" max="8457" width="5" style="379" customWidth="1"/>
    <col min="8458" max="8458" width="10.42578125" style="379" bestFit="1" customWidth="1"/>
    <col min="8459" max="8461" width="9.140625" style="379"/>
    <col min="8462" max="8462" width="10.42578125" style="379" bestFit="1" customWidth="1"/>
    <col min="8463" max="8691" width="9.140625" style="379"/>
    <col min="8692" max="8692" width="3.5703125" style="379" customWidth="1"/>
    <col min="8693" max="8693" width="4.85546875" style="379" customWidth="1"/>
    <col min="8694" max="8694" width="5.42578125" style="379" customWidth="1"/>
    <col min="8695" max="8695" width="31.28515625" style="379" customWidth="1"/>
    <col min="8696" max="8696" width="7.5703125" style="379" customWidth="1"/>
    <col min="8697" max="8697" width="2.42578125" style="379" customWidth="1"/>
    <col min="8698" max="8698" width="11.5703125" style="379" customWidth="1"/>
    <col min="8699" max="8699" width="2.42578125" style="379" customWidth="1"/>
    <col min="8700" max="8700" width="11.5703125" style="379" customWidth="1"/>
    <col min="8701" max="8701" width="2.42578125" style="379" customWidth="1"/>
    <col min="8702" max="8702" width="10.85546875" style="379" customWidth="1"/>
    <col min="8703" max="8703" width="2.42578125" style="379" customWidth="1"/>
    <col min="8704" max="8704" width="11.140625" style="379" customWidth="1"/>
    <col min="8705" max="8705" width="1.85546875" style="379" customWidth="1"/>
    <col min="8706" max="8706" width="11" style="379" customWidth="1"/>
    <col min="8707" max="8707" width="0.7109375" style="379" customWidth="1"/>
    <col min="8708" max="8708" width="1.85546875" style="379" customWidth="1"/>
    <col min="8709" max="8709" width="11.85546875" style="379" bestFit="1" customWidth="1"/>
    <col min="8710" max="8710" width="15.28515625" style="379" bestFit="1" customWidth="1"/>
    <col min="8711" max="8711" width="5" style="379" customWidth="1"/>
    <col min="8712" max="8712" width="10.42578125" style="379" bestFit="1" customWidth="1"/>
    <col min="8713" max="8713" width="5" style="379" customWidth="1"/>
    <col min="8714" max="8714" width="10.42578125" style="379" bestFit="1" customWidth="1"/>
    <col min="8715" max="8717" width="9.140625" style="379"/>
    <col min="8718" max="8718" width="10.42578125" style="379" bestFit="1" customWidth="1"/>
    <col min="8719" max="8947" width="9.140625" style="379"/>
    <col min="8948" max="8948" width="3.5703125" style="379" customWidth="1"/>
    <col min="8949" max="8949" width="4.85546875" style="379" customWidth="1"/>
    <col min="8950" max="8950" width="5.42578125" style="379" customWidth="1"/>
    <col min="8951" max="8951" width="31.28515625" style="379" customWidth="1"/>
    <col min="8952" max="8952" width="7.5703125" style="379" customWidth="1"/>
    <col min="8953" max="8953" width="2.42578125" style="379" customWidth="1"/>
    <col min="8954" max="8954" width="11.5703125" style="379" customWidth="1"/>
    <col min="8955" max="8955" width="2.42578125" style="379" customWidth="1"/>
    <col min="8956" max="8956" width="11.5703125" style="379" customWidth="1"/>
    <col min="8957" max="8957" width="2.42578125" style="379" customWidth="1"/>
    <col min="8958" max="8958" width="10.85546875" style="379" customWidth="1"/>
    <col min="8959" max="8959" width="2.42578125" style="379" customWidth="1"/>
    <col min="8960" max="8960" width="11.140625" style="379" customWidth="1"/>
    <col min="8961" max="8961" width="1.85546875" style="379" customWidth="1"/>
    <col min="8962" max="8962" width="11" style="379" customWidth="1"/>
    <col min="8963" max="8963" width="0.7109375" style="379" customWidth="1"/>
    <col min="8964" max="8964" width="1.85546875" style="379" customWidth="1"/>
    <col min="8965" max="8965" width="11.85546875" style="379" bestFit="1" customWidth="1"/>
    <col min="8966" max="8966" width="15.28515625" style="379" bestFit="1" customWidth="1"/>
    <col min="8967" max="8967" width="5" style="379" customWidth="1"/>
    <col min="8968" max="8968" width="10.42578125" style="379" bestFit="1" customWidth="1"/>
    <col min="8969" max="8969" width="5" style="379" customWidth="1"/>
    <col min="8970" max="8970" width="10.42578125" style="379" bestFit="1" customWidth="1"/>
    <col min="8971" max="8973" width="9.140625" style="379"/>
    <col min="8974" max="8974" width="10.42578125" style="379" bestFit="1" customWidth="1"/>
    <col min="8975" max="9203" width="9.140625" style="379"/>
    <col min="9204" max="9204" width="3.5703125" style="379" customWidth="1"/>
    <col min="9205" max="9205" width="4.85546875" style="379" customWidth="1"/>
    <col min="9206" max="9206" width="5.42578125" style="379" customWidth="1"/>
    <col min="9207" max="9207" width="31.28515625" style="379" customWidth="1"/>
    <col min="9208" max="9208" width="7.5703125" style="379" customWidth="1"/>
    <col min="9209" max="9209" width="2.42578125" style="379" customWidth="1"/>
    <col min="9210" max="9210" width="11.5703125" style="379" customWidth="1"/>
    <col min="9211" max="9211" width="2.42578125" style="379" customWidth="1"/>
    <col min="9212" max="9212" width="11.5703125" style="379" customWidth="1"/>
    <col min="9213" max="9213" width="2.42578125" style="379" customWidth="1"/>
    <col min="9214" max="9214" width="10.85546875" style="379" customWidth="1"/>
    <col min="9215" max="9215" width="2.42578125" style="379" customWidth="1"/>
    <col min="9216" max="9216" width="11.140625" style="379" customWidth="1"/>
    <col min="9217" max="9217" width="1.85546875" style="379" customWidth="1"/>
    <col min="9218" max="9218" width="11" style="379" customWidth="1"/>
    <col min="9219" max="9219" width="0.7109375" style="379" customWidth="1"/>
    <col min="9220" max="9220" width="1.85546875" style="379" customWidth="1"/>
    <col min="9221" max="9221" width="11.85546875" style="379" bestFit="1" customWidth="1"/>
    <col min="9222" max="9222" width="15.28515625" style="379" bestFit="1" customWidth="1"/>
    <col min="9223" max="9223" width="5" style="379" customWidth="1"/>
    <col min="9224" max="9224" width="10.42578125" style="379" bestFit="1" customWidth="1"/>
    <col min="9225" max="9225" width="5" style="379" customWidth="1"/>
    <col min="9226" max="9226" width="10.42578125" style="379" bestFit="1" customWidth="1"/>
    <col min="9227" max="9229" width="9.140625" style="379"/>
    <col min="9230" max="9230" width="10.42578125" style="379" bestFit="1" customWidth="1"/>
    <col min="9231" max="9459" width="9.140625" style="379"/>
    <col min="9460" max="9460" width="3.5703125" style="379" customWidth="1"/>
    <col min="9461" max="9461" width="4.85546875" style="379" customWidth="1"/>
    <col min="9462" max="9462" width="5.42578125" style="379" customWidth="1"/>
    <col min="9463" max="9463" width="31.28515625" style="379" customWidth="1"/>
    <col min="9464" max="9464" width="7.5703125" style="379" customWidth="1"/>
    <col min="9465" max="9465" width="2.42578125" style="379" customWidth="1"/>
    <col min="9466" max="9466" width="11.5703125" style="379" customWidth="1"/>
    <col min="9467" max="9467" width="2.42578125" style="379" customWidth="1"/>
    <col min="9468" max="9468" width="11.5703125" style="379" customWidth="1"/>
    <col min="9469" max="9469" width="2.42578125" style="379" customWidth="1"/>
    <col min="9470" max="9470" width="10.85546875" style="379" customWidth="1"/>
    <col min="9471" max="9471" width="2.42578125" style="379" customWidth="1"/>
    <col min="9472" max="9472" width="11.140625" style="379" customWidth="1"/>
    <col min="9473" max="9473" width="1.85546875" style="379" customWidth="1"/>
    <col min="9474" max="9474" width="11" style="379" customWidth="1"/>
    <col min="9475" max="9475" width="0.7109375" style="379" customWidth="1"/>
    <col min="9476" max="9476" width="1.85546875" style="379" customWidth="1"/>
    <col min="9477" max="9477" width="11.85546875" style="379" bestFit="1" customWidth="1"/>
    <col min="9478" max="9478" width="15.28515625" style="379" bestFit="1" customWidth="1"/>
    <col min="9479" max="9479" width="5" style="379" customWidth="1"/>
    <col min="9480" max="9480" width="10.42578125" style="379" bestFit="1" customWidth="1"/>
    <col min="9481" max="9481" width="5" style="379" customWidth="1"/>
    <col min="9482" max="9482" width="10.42578125" style="379" bestFit="1" customWidth="1"/>
    <col min="9483" max="9485" width="9.140625" style="379"/>
    <col min="9486" max="9486" width="10.42578125" style="379" bestFit="1" customWidth="1"/>
    <col min="9487" max="9715" width="9.140625" style="379"/>
    <col min="9716" max="9716" width="3.5703125" style="379" customWidth="1"/>
    <col min="9717" max="9717" width="4.85546875" style="379" customWidth="1"/>
    <col min="9718" max="9718" width="5.42578125" style="379" customWidth="1"/>
    <col min="9719" max="9719" width="31.28515625" style="379" customWidth="1"/>
    <col min="9720" max="9720" width="7.5703125" style="379" customWidth="1"/>
    <col min="9721" max="9721" width="2.42578125" style="379" customWidth="1"/>
    <col min="9722" max="9722" width="11.5703125" style="379" customWidth="1"/>
    <col min="9723" max="9723" width="2.42578125" style="379" customWidth="1"/>
    <col min="9724" max="9724" width="11.5703125" style="379" customWidth="1"/>
    <col min="9725" max="9725" width="2.42578125" style="379" customWidth="1"/>
    <col min="9726" max="9726" width="10.85546875" style="379" customWidth="1"/>
    <col min="9727" max="9727" width="2.42578125" style="379" customWidth="1"/>
    <col min="9728" max="9728" width="11.140625" style="379" customWidth="1"/>
    <col min="9729" max="9729" width="1.85546875" style="379" customWidth="1"/>
    <col min="9730" max="9730" width="11" style="379" customWidth="1"/>
    <col min="9731" max="9731" width="0.7109375" style="379" customWidth="1"/>
    <col min="9732" max="9732" width="1.85546875" style="379" customWidth="1"/>
    <col min="9733" max="9733" width="11.85546875" style="379" bestFit="1" customWidth="1"/>
    <col min="9734" max="9734" width="15.28515625" style="379" bestFit="1" customWidth="1"/>
    <col min="9735" max="9735" width="5" style="379" customWidth="1"/>
    <col min="9736" max="9736" width="10.42578125" style="379" bestFit="1" customWidth="1"/>
    <col min="9737" max="9737" width="5" style="379" customWidth="1"/>
    <col min="9738" max="9738" width="10.42578125" style="379" bestFit="1" customWidth="1"/>
    <col min="9739" max="9741" width="9.140625" style="379"/>
    <col min="9742" max="9742" width="10.42578125" style="379" bestFit="1" customWidth="1"/>
    <col min="9743" max="9971" width="9.140625" style="379"/>
    <col min="9972" max="9972" width="3.5703125" style="379" customWidth="1"/>
    <col min="9973" max="9973" width="4.85546875" style="379" customWidth="1"/>
    <col min="9974" max="9974" width="5.42578125" style="379" customWidth="1"/>
    <col min="9975" max="9975" width="31.28515625" style="379" customWidth="1"/>
    <col min="9976" max="9976" width="7.5703125" style="379" customWidth="1"/>
    <col min="9977" max="9977" width="2.42578125" style="379" customWidth="1"/>
    <col min="9978" max="9978" width="11.5703125" style="379" customWidth="1"/>
    <col min="9979" max="9979" width="2.42578125" style="379" customWidth="1"/>
    <col min="9980" max="9980" width="11.5703125" style="379" customWidth="1"/>
    <col min="9981" max="9981" width="2.42578125" style="379" customWidth="1"/>
    <col min="9982" max="9982" width="10.85546875" style="379" customWidth="1"/>
    <col min="9983" max="9983" width="2.42578125" style="379" customWidth="1"/>
    <col min="9984" max="9984" width="11.140625" style="379" customWidth="1"/>
    <col min="9985" max="9985" width="1.85546875" style="379" customWidth="1"/>
    <col min="9986" max="9986" width="11" style="379" customWidth="1"/>
    <col min="9987" max="9987" width="0.7109375" style="379" customWidth="1"/>
    <col min="9988" max="9988" width="1.85546875" style="379" customWidth="1"/>
    <col min="9989" max="9989" width="11.85546875" style="379" bestFit="1" customWidth="1"/>
    <col min="9990" max="9990" width="15.28515625" style="379" bestFit="1" customWidth="1"/>
    <col min="9991" max="9991" width="5" style="379" customWidth="1"/>
    <col min="9992" max="9992" width="10.42578125" style="379" bestFit="1" customWidth="1"/>
    <col min="9993" max="9993" width="5" style="379" customWidth="1"/>
    <col min="9994" max="9994" width="10.42578125" style="379" bestFit="1" customWidth="1"/>
    <col min="9995" max="9997" width="9.140625" style="379"/>
    <col min="9998" max="9998" width="10.42578125" style="379" bestFit="1" customWidth="1"/>
    <col min="9999" max="10227" width="9.140625" style="379"/>
    <col min="10228" max="10228" width="3.5703125" style="379" customWidth="1"/>
    <col min="10229" max="10229" width="4.85546875" style="379" customWidth="1"/>
    <col min="10230" max="10230" width="5.42578125" style="379" customWidth="1"/>
    <col min="10231" max="10231" width="31.28515625" style="379" customWidth="1"/>
    <col min="10232" max="10232" width="7.5703125" style="379" customWidth="1"/>
    <col min="10233" max="10233" width="2.42578125" style="379" customWidth="1"/>
    <col min="10234" max="10234" width="11.5703125" style="379" customWidth="1"/>
    <col min="10235" max="10235" width="2.42578125" style="379" customWidth="1"/>
    <col min="10236" max="10236" width="11.5703125" style="379" customWidth="1"/>
    <col min="10237" max="10237" width="2.42578125" style="379" customWidth="1"/>
    <col min="10238" max="10238" width="10.85546875" style="379" customWidth="1"/>
    <col min="10239" max="10239" width="2.42578125" style="379" customWidth="1"/>
    <col min="10240" max="10240" width="11.140625" style="379" customWidth="1"/>
    <col min="10241" max="10241" width="1.85546875" style="379" customWidth="1"/>
    <col min="10242" max="10242" width="11" style="379" customWidth="1"/>
    <col min="10243" max="10243" width="0.7109375" style="379" customWidth="1"/>
    <col min="10244" max="10244" width="1.85546875" style="379" customWidth="1"/>
    <col min="10245" max="10245" width="11.85546875" style="379" bestFit="1" customWidth="1"/>
    <col min="10246" max="10246" width="15.28515625" style="379" bestFit="1" customWidth="1"/>
    <col min="10247" max="10247" width="5" style="379" customWidth="1"/>
    <col min="10248" max="10248" width="10.42578125" style="379" bestFit="1" customWidth="1"/>
    <col min="10249" max="10249" width="5" style="379" customWidth="1"/>
    <col min="10250" max="10250" width="10.42578125" style="379" bestFit="1" customWidth="1"/>
    <col min="10251" max="10253" width="9.140625" style="379"/>
    <col min="10254" max="10254" width="10.42578125" style="379" bestFit="1" customWidth="1"/>
    <col min="10255" max="10483" width="9.140625" style="379"/>
    <col min="10484" max="10484" width="3.5703125" style="379" customWidth="1"/>
    <col min="10485" max="10485" width="4.85546875" style="379" customWidth="1"/>
    <col min="10486" max="10486" width="5.42578125" style="379" customWidth="1"/>
    <col min="10487" max="10487" width="31.28515625" style="379" customWidth="1"/>
    <col min="10488" max="10488" width="7.5703125" style="379" customWidth="1"/>
    <col min="10489" max="10489" width="2.42578125" style="379" customWidth="1"/>
    <col min="10490" max="10490" width="11.5703125" style="379" customWidth="1"/>
    <col min="10491" max="10491" width="2.42578125" style="379" customWidth="1"/>
    <col min="10492" max="10492" width="11.5703125" style="379" customWidth="1"/>
    <col min="10493" max="10493" width="2.42578125" style="379" customWidth="1"/>
    <col min="10494" max="10494" width="10.85546875" style="379" customWidth="1"/>
    <col min="10495" max="10495" width="2.42578125" style="379" customWidth="1"/>
    <col min="10496" max="10496" width="11.140625" style="379" customWidth="1"/>
    <col min="10497" max="10497" width="1.85546875" style="379" customWidth="1"/>
    <col min="10498" max="10498" width="11" style="379" customWidth="1"/>
    <col min="10499" max="10499" width="0.7109375" style="379" customWidth="1"/>
    <col min="10500" max="10500" width="1.85546875" style="379" customWidth="1"/>
    <col min="10501" max="10501" width="11.85546875" style="379" bestFit="1" customWidth="1"/>
    <col min="10502" max="10502" width="15.28515625" style="379" bestFit="1" customWidth="1"/>
    <col min="10503" max="10503" width="5" style="379" customWidth="1"/>
    <col min="10504" max="10504" width="10.42578125" style="379" bestFit="1" customWidth="1"/>
    <col min="10505" max="10505" width="5" style="379" customWidth="1"/>
    <col min="10506" max="10506" width="10.42578125" style="379" bestFit="1" customWidth="1"/>
    <col min="10507" max="10509" width="9.140625" style="379"/>
    <col min="10510" max="10510" width="10.42578125" style="379" bestFit="1" customWidth="1"/>
    <col min="10511" max="10739" width="9.140625" style="379"/>
    <col min="10740" max="10740" width="3.5703125" style="379" customWidth="1"/>
    <col min="10741" max="10741" width="4.85546875" style="379" customWidth="1"/>
    <col min="10742" max="10742" width="5.42578125" style="379" customWidth="1"/>
    <col min="10743" max="10743" width="31.28515625" style="379" customWidth="1"/>
    <col min="10744" max="10744" width="7.5703125" style="379" customWidth="1"/>
    <col min="10745" max="10745" width="2.42578125" style="379" customWidth="1"/>
    <col min="10746" max="10746" width="11.5703125" style="379" customWidth="1"/>
    <col min="10747" max="10747" width="2.42578125" style="379" customWidth="1"/>
    <col min="10748" max="10748" width="11.5703125" style="379" customWidth="1"/>
    <col min="10749" max="10749" width="2.42578125" style="379" customWidth="1"/>
    <col min="10750" max="10750" width="10.85546875" style="379" customWidth="1"/>
    <col min="10751" max="10751" width="2.42578125" style="379" customWidth="1"/>
    <col min="10752" max="10752" width="11.140625" style="379" customWidth="1"/>
    <col min="10753" max="10753" width="1.85546875" style="379" customWidth="1"/>
    <col min="10754" max="10754" width="11" style="379" customWidth="1"/>
    <col min="10755" max="10755" width="0.7109375" style="379" customWidth="1"/>
    <col min="10756" max="10756" width="1.85546875" style="379" customWidth="1"/>
    <col min="10757" max="10757" width="11.85546875" style="379" bestFit="1" customWidth="1"/>
    <col min="10758" max="10758" width="15.28515625" style="379" bestFit="1" customWidth="1"/>
    <col min="10759" max="10759" width="5" style="379" customWidth="1"/>
    <col min="10760" max="10760" width="10.42578125" style="379" bestFit="1" customWidth="1"/>
    <col min="10761" max="10761" width="5" style="379" customWidth="1"/>
    <col min="10762" max="10762" width="10.42578125" style="379" bestFit="1" customWidth="1"/>
    <col min="10763" max="10765" width="9.140625" style="379"/>
    <col min="10766" max="10766" width="10.42578125" style="379" bestFit="1" customWidth="1"/>
    <col min="10767" max="10995" width="9.140625" style="379"/>
    <col min="10996" max="10996" width="3.5703125" style="379" customWidth="1"/>
    <col min="10997" max="10997" width="4.85546875" style="379" customWidth="1"/>
    <col min="10998" max="10998" width="5.42578125" style="379" customWidth="1"/>
    <col min="10999" max="10999" width="31.28515625" style="379" customWidth="1"/>
    <col min="11000" max="11000" width="7.5703125" style="379" customWidth="1"/>
    <col min="11001" max="11001" width="2.42578125" style="379" customWidth="1"/>
    <col min="11002" max="11002" width="11.5703125" style="379" customWidth="1"/>
    <col min="11003" max="11003" width="2.42578125" style="379" customWidth="1"/>
    <col min="11004" max="11004" width="11.5703125" style="379" customWidth="1"/>
    <col min="11005" max="11005" width="2.42578125" style="379" customWidth="1"/>
    <col min="11006" max="11006" width="10.85546875" style="379" customWidth="1"/>
    <col min="11007" max="11007" width="2.42578125" style="379" customWidth="1"/>
    <col min="11008" max="11008" width="11.140625" style="379" customWidth="1"/>
    <col min="11009" max="11009" width="1.85546875" style="379" customWidth="1"/>
    <col min="11010" max="11010" width="11" style="379" customWidth="1"/>
    <col min="11011" max="11011" width="0.7109375" style="379" customWidth="1"/>
    <col min="11012" max="11012" width="1.85546875" style="379" customWidth="1"/>
    <col min="11013" max="11013" width="11.85546875" style="379" bestFit="1" customWidth="1"/>
    <col min="11014" max="11014" width="15.28515625" style="379" bestFit="1" customWidth="1"/>
    <col min="11015" max="11015" width="5" style="379" customWidth="1"/>
    <col min="11016" max="11016" width="10.42578125" style="379" bestFit="1" customWidth="1"/>
    <col min="11017" max="11017" width="5" style="379" customWidth="1"/>
    <col min="11018" max="11018" width="10.42578125" style="379" bestFit="1" customWidth="1"/>
    <col min="11019" max="11021" width="9.140625" style="379"/>
    <col min="11022" max="11022" width="10.42578125" style="379" bestFit="1" customWidth="1"/>
    <col min="11023" max="11251" width="9.140625" style="379"/>
    <col min="11252" max="11252" width="3.5703125" style="379" customWidth="1"/>
    <col min="11253" max="11253" width="4.85546875" style="379" customWidth="1"/>
    <col min="11254" max="11254" width="5.42578125" style="379" customWidth="1"/>
    <col min="11255" max="11255" width="31.28515625" style="379" customWidth="1"/>
    <col min="11256" max="11256" width="7.5703125" style="379" customWidth="1"/>
    <col min="11257" max="11257" width="2.42578125" style="379" customWidth="1"/>
    <col min="11258" max="11258" width="11.5703125" style="379" customWidth="1"/>
    <col min="11259" max="11259" width="2.42578125" style="379" customWidth="1"/>
    <col min="11260" max="11260" width="11.5703125" style="379" customWidth="1"/>
    <col min="11261" max="11261" width="2.42578125" style="379" customWidth="1"/>
    <col min="11262" max="11262" width="10.85546875" style="379" customWidth="1"/>
    <col min="11263" max="11263" width="2.42578125" style="379" customWidth="1"/>
    <col min="11264" max="11264" width="11.140625" style="379" customWidth="1"/>
    <col min="11265" max="11265" width="1.85546875" style="379" customWidth="1"/>
    <col min="11266" max="11266" width="11" style="379" customWidth="1"/>
    <col min="11267" max="11267" width="0.7109375" style="379" customWidth="1"/>
    <col min="11268" max="11268" width="1.85546875" style="379" customWidth="1"/>
    <col min="11269" max="11269" width="11.85546875" style="379" bestFit="1" customWidth="1"/>
    <col min="11270" max="11270" width="15.28515625" style="379" bestFit="1" customWidth="1"/>
    <col min="11271" max="11271" width="5" style="379" customWidth="1"/>
    <col min="11272" max="11272" width="10.42578125" style="379" bestFit="1" customWidth="1"/>
    <col min="11273" max="11273" width="5" style="379" customWidth="1"/>
    <col min="11274" max="11274" width="10.42578125" style="379" bestFit="1" customWidth="1"/>
    <col min="11275" max="11277" width="9.140625" style="379"/>
    <col min="11278" max="11278" width="10.42578125" style="379" bestFit="1" customWidth="1"/>
    <col min="11279" max="11507" width="9.140625" style="379"/>
    <col min="11508" max="11508" width="3.5703125" style="379" customWidth="1"/>
    <col min="11509" max="11509" width="4.85546875" style="379" customWidth="1"/>
    <col min="11510" max="11510" width="5.42578125" style="379" customWidth="1"/>
    <col min="11511" max="11511" width="31.28515625" style="379" customWidth="1"/>
    <col min="11512" max="11512" width="7.5703125" style="379" customWidth="1"/>
    <col min="11513" max="11513" width="2.42578125" style="379" customWidth="1"/>
    <col min="11514" max="11514" width="11.5703125" style="379" customWidth="1"/>
    <col min="11515" max="11515" width="2.42578125" style="379" customWidth="1"/>
    <col min="11516" max="11516" width="11.5703125" style="379" customWidth="1"/>
    <col min="11517" max="11517" width="2.42578125" style="379" customWidth="1"/>
    <col min="11518" max="11518" width="10.85546875" style="379" customWidth="1"/>
    <col min="11519" max="11519" width="2.42578125" style="379" customWidth="1"/>
    <col min="11520" max="11520" width="11.140625" style="379" customWidth="1"/>
    <col min="11521" max="11521" width="1.85546875" style="379" customWidth="1"/>
    <col min="11522" max="11522" width="11" style="379" customWidth="1"/>
    <col min="11523" max="11523" width="0.7109375" style="379" customWidth="1"/>
    <col min="11524" max="11524" width="1.85546875" style="379" customWidth="1"/>
    <col min="11525" max="11525" width="11.85546875" style="379" bestFit="1" customWidth="1"/>
    <col min="11526" max="11526" width="15.28515625" style="379" bestFit="1" customWidth="1"/>
    <col min="11527" max="11527" width="5" style="379" customWidth="1"/>
    <col min="11528" max="11528" width="10.42578125" style="379" bestFit="1" customWidth="1"/>
    <col min="11529" max="11529" width="5" style="379" customWidth="1"/>
    <col min="11530" max="11530" width="10.42578125" style="379" bestFit="1" customWidth="1"/>
    <col min="11531" max="11533" width="9.140625" style="379"/>
    <col min="11534" max="11534" width="10.42578125" style="379" bestFit="1" customWidth="1"/>
    <col min="11535" max="11763" width="9.140625" style="379"/>
    <col min="11764" max="11764" width="3.5703125" style="379" customWidth="1"/>
    <col min="11765" max="11765" width="4.85546875" style="379" customWidth="1"/>
    <col min="11766" max="11766" width="5.42578125" style="379" customWidth="1"/>
    <col min="11767" max="11767" width="31.28515625" style="379" customWidth="1"/>
    <col min="11768" max="11768" width="7.5703125" style="379" customWidth="1"/>
    <col min="11769" max="11769" width="2.42578125" style="379" customWidth="1"/>
    <col min="11770" max="11770" width="11.5703125" style="379" customWidth="1"/>
    <col min="11771" max="11771" width="2.42578125" style="379" customWidth="1"/>
    <col min="11772" max="11772" width="11.5703125" style="379" customWidth="1"/>
    <col min="11773" max="11773" width="2.42578125" style="379" customWidth="1"/>
    <col min="11774" max="11774" width="10.85546875" style="379" customWidth="1"/>
    <col min="11775" max="11775" width="2.42578125" style="379" customWidth="1"/>
    <col min="11776" max="11776" width="11.140625" style="379" customWidth="1"/>
    <col min="11777" max="11777" width="1.85546875" style="379" customWidth="1"/>
    <col min="11778" max="11778" width="11" style="379" customWidth="1"/>
    <col min="11779" max="11779" width="0.7109375" style="379" customWidth="1"/>
    <col min="11780" max="11780" width="1.85546875" style="379" customWidth="1"/>
    <col min="11781" max="11781" width="11.85546875" style="379" bestFit="1" customWidth="1"/>
    <col min="11782" max="11782" width="15.28515625" style="379" bestFit="1" customWidth="1"/>
    <col min="11783" max="11783" width="5" style="379" customWidth="1"/>
    <col min="11784" max="11784" width="10.42578125" style="379" bestFit="1" customWidth="1"/>
    <col min="11785" max="11785" width="5" style="379" customWidth="1"/>
    <col min="11786" max="11786" width="10.42578125" style="379" bestFit="1" customWidth="1"/>
    <col min="11787" max="11789" width="9.140625" style="379"/>
    <col min="11790" max="11790" width="10.42578125" style="379" bestFit="1" customWidth="1"/>
    <col min="11791" max="12019" width="9.140625" style="379"/>
    <col min="12020" max="12020" width="3.5703125" style="379" customWidth="1"/>
    <col min="12021" max="12021" width="4.85546875" style="379" customWidth="1"/>
    <col min="12022" max="12022" width="5.42578125" style="379" customWidth="1"/>
    <col min="12023" max="12023" width="31.28515625" style="379" customWidth="1"/>
    <col min="12024" max="12024" width="7.5703125" style="379" customWidth="1"/>
    <col min="12025" max="12025" width="2.42578125" style="379" customWidth="1"/>
    <col min="12026" max="12026" width="11.5703125" style="379" customWidth="1"/>
    <col min="12027" max="12027" width="2.42578125" style="379" customWidth="1"/>
    <col min="12028" max="12028" width="11.5703125" style="379" customWidth="1"/>
    <col min="12029" max="12029" width="2.42578125" style="379" customWidth="1"/>
    <col min="12030" max="12030" width="10.85546875" style="379" customWidth="1"/>
    <col min="12031" max="12031" width="2.42578125" style="379" customWidth="1"/>
    <col min="12032" max="12032" width="11.140625" style="379" customWidth="1"/>
    <col min="12033" max="12033" width="1.85546875" style="379" customWidth="1"/>
    <col min="12034" max="12034" width="11" style="379" customWidth="1"/>
    <col min="12035" max="12035" width="0.7109375" style="379" customWidth="1"/>
    <col min="12036" max="12036" width="1.85546875" style="379" customWidth="1"/>
    <col min="12037" max="12037" width="11.85546875" style="379" bestFit="1" customWidth="1"/>
    <col min="12038" max="12038" width="15.28515625" style="379" bestFit="1" customWidth="1"/>
    <col min="12039" max="12039" width="5" style="379" customWidth="1"/>
    <col min="12040" max="12040" width="10.42578125" style="379" bestFit="1" customWidth="1"/>
    <col min="12041" max="12041" width="5" style="379" customWidth="1"/>
    <col min="12042" max="12042" width="10.42578125" style="379" bestFit="1" customWidth="1"/>
    <col min="12043" max="12045" width="9.140625" style="379"/>
    <col min="12046" max="12046" width="10.42578125" style="379" bestFit="1" customWidth="1"/>
    <col min="12047" max="12275" width="9.140625" style="379"/>
    <col min="12276" max="12276" width="3.5703125" style="379" customWidth="1"/>
    <col min="12277" max="12277" width="4.85546875" style="379" customWidth="1"/>
    <col min="12278" max="12278" width="5.42578125" style="379" customWidth="1"/>
    <col min="12279" max="12279" width="31.28515625" style="379" customWidth="1"/>
    <col min="12280" max="12280" width="7.5703125" style="379" customWidth="1"/>
    <col min="12281" max="12281" width="2.42578125" style="379" customWidth="1"/>
    <col min="12282" max="12282" width="11.5703125" style="379" customWidth="1"/>
    <col min="12283" max="12283" width="2.42578125" style="379" customWidth="1"/>
    <col min="12284" max="12284" width="11.5703125" style="379" customWidth="1"/>
    <col min="12285" max="12285" width="2.42578125" style="379" customWidth="1"/>
    <col min="12286" max="12286" width="10.85546875" style="379" customWidth="1"/>
    <col min="12287" max="12287" width="2.42578125" style="379" customWidth="1"/>
    <col min="12288" max="12288" width="11.140625" style="379" customWidth="1"/>
    <col min="12289" max="12289" width="1.85546875" style="379" customWidth="1"/>
    <col min="12290" max="12290" width="11" style="379" customWidth="1"/>
    <col min="12291" max="12291" width="0.7109375" style="379" customWidth="1"/>
    <col min="12292" max="12292" width="1.85546875" style="379" customWidth="1"/>
    <col min="12293" max="12293" width="11.85546875" style="379" bestFit="1" customWidth="1"/>
    <col min="12294" max="12294" width="15.28515625" style="379" bestFit="1" customWidth="1"/>
    <col min="12295" max="12295" width="5" style="379" customWidth="1"/>
    <col min="12296" max="12296" width="10.42578125" style="379" bestFit="1" customWidth="1"/>
    <col min="12297" max="12297" width="5" style="379" customWidth="1"/>
    <col min="12298" max="12298" width="10.42578125" style="379" bestFit="1" customWidth="1"/>
    <col min="12299" max="12301" width="9.140625" style="379"/>
    <col min="12302" max="12302" width="10.42578125" style="379" bestFit="1" customWidth="1"/>
    <col min="12303" max="12531" width="9.140625" style="379"/>
    <col min="12532" max="12532" width="3.5703125" style="379" customWidth="1"/>
    <col min="12533" max="12533" width="4.85546875" style="379" customWidth="1"/>
    <col min="12534" max="12534" width="5.42578125" style="379" customWidth="1"/>
    <col min="12535" max="12535" width="31.28515625" style="379" customWidth="1"/>
    <col min="12536" max="12536" width="7.5703125" style="379" customWidth="1"/>
    <col min="12537" max="12537" width="2.42578125" style="379" customWidth="1"/>
    <col min="12538" max="12538" width="11.5703125" style="379" customWidth="1"/>
    <col min="12539" max="12539" width="2.42578125" style="379" customWidth="1"/>
    <col min="12540" max="12540" width="11.5703125" style="379" customWidth="1"/>
    <col min="12541" max="12541" width="2.42578125" style="379" customWidth="1"/>
    <col min="12542" max="12542" width="10.85546875" style="379" customWidth="1"/>
    <col min="12543" max="12543" width="2.42578125" style="379" customWidth="1"/>
    <col min="12544" max="12544" width="11.140625" style="379" customWidth="1"/>
    <col min="12545" max="12545" width="1.85546875" style="379" customWidth="1"/>
    <col min="12546" max="12546" width="11" style="379" customWidth="1"/>
    <col min="12547" max="12547" width="0.7109375" style="379" customWidth="1"/>
    <col min="12548" max="12548" width="1.85546875" style="379" customWidth="1"/>
    <col min="12549" max="12549" width="11.85546875" style="379" bestFit="1" customWidth="1"/>
    <col min="12550" max="12550" width="15.28515625" style="379" bestFit="1" customWidth="1"/>
    <col min="12551" max="12551" width="5" style="379" customWidth="1"/>
    <col min="12552" max="12552" width="10.42578125" style="379" bestFit="1" customWidth="1"/>
    <col min="12553" max="12553" width="5" style="379" customWidth="1"/>
    <col min="12554" max="12554" width="10.42578125" style="379" bestFit="1" customWidth="1"/>
    <col min="12555" max="12557" width="9.140625" style="379"/>
    <col min="12558" max="12558" width="10.42578125" style="379" bestFit="1" customWidth="1"/>
    <col min="12559" max="12787" width="9.140625" style="379"/>
    <col min="12788" max="12788" width="3.5703125" style="379" customWidth="1"/>
    <col min="12789" max="12789" width="4.85546875" style="379" customWidth="1"/>
    <col min="12790" max="12790" width="5.42578125" style="379" customWidth="1"/>
    <col min="12791" max="12791" width="31.28515625" style="379" customWidth="1"/>
    <col min="12792" max="12792" width="7.5703125" style="379" customWidth="1"/>
    <col min="12793" max="12793" width="2.42578125" style="379" customWidth="1"/>
    <col min="12794" max="12794" width="11.5703125" style="379" customWidth="1"/>
    <col min="12795" max="12795" width="2.42578125" style="379" customWidth="1"/>
    <col min="12796" max="12796" width="11.5703125" style="379" customWidth="1"/>
    <col min="12797" max="12797" width="2.42578125" style="379" customWidth="1"/>
    <col min="12798" max="12798" width="10.85546875" style="379" customWidth="1"/>
    <col min="12799" max="12799" width="2.42578125" style="379" customWidth="1"/>
    <col min="12800" max="12800" width="11.140625" style="379" customWidth="1"/>
    <col min="12801" max="12801" width="1.85546875" style="379" customWidth="1"/>
    <col min="12802" max="12802" width="11" style="379" customWidth="1"/>
    <col min="12803" max="12803" width="0.7109375" style="379" customWidth="1"/>
    <col min="12804" max="12804" width="1.85546875" style="379" customWidth="1"/>
    <col min="12805" max="12805" width="11.85546875" style="379" bestFit="1" customWidth="1"/>
    <col min="12806" max="12806" width="15.28515625" style="379" bestFit="1" customWidth="1"/>
    <col min="12807" max="12807" width="5" style="379" customWidth="1"/>
    <col min="12808" max="12808" width="10.42578125" style="379" bestFit="1" customWidth="1"/>
    <col min="12809" max="12809" width="5" style="379" customWidth="1"/>
    <col min="12810" max="12810" width="10.42578125" style="379" bestFit="1" customWidth="1"/>
    <col min="12811" max="12813" width="9.140625" style="379"/>
    <col min="12814" max="12814" width="10.42578125" style="379" bestFit="1" customWidth="1"/>
    <col min="12815" max="13043" width="9.140625" style="379"/>
    <col min="13044" max="13044" width="3.5703125" style="379" customWidth="1"/>
    <col min="13045" max="13045" width="4.85546875" style="379" customWidth="1"/>
    <col min="13046" max="13046" width="5.42578125" style="379" customWidth="1"/>
    <col min="13047" max="13047" width="31.28515625" style="379" customWidth="1"/>
    <col min="13048" max="13048" width="7.5703125" style="379" customWidth="1"/>
    <col min="13049" max="13049" width="2.42578125" style="379" customWidth="1"/>
    <col min="13050" max="13050" width="11.5703125" style="379" customWidth="1"/>
    <col min="13051" max="13051" width="2.42578125" style="379" customWidth="1"/>
    <col min="13052" max="13052" width="11.5703125" style="379" customWidth="1"/>
    <col min="13053" max="13053" width="2.42578125" style="379" customWidth="1"/>
    <col min="13054" max="13054" width="10.85546875" style="379" customWidth="1"/>
    <col min="13055" max="13055" width="2.42578125" style="379" customWidth="1"/>
    <col min="13056" max="13056" width="11.140625" style="379" customWidth="1"/>
    <col min="13057" max="13057" width="1.85546875" style="379" customWidth="1"/>
    <col min="13058" max="13058" width="11" style="379" customWidth="1"/>
    <col min="13059" max="13059" width="0.7109375" style="379" customWidth="1"/>
    <col min="13060" max="13060" width="1.85546875" style="379" customWidth="1"/>
    <col min="13061" max="13061" width="11.85546875" style="379" bestFit="1" customWidth="1"/>
    <col min="13062" max="13062" width="15.28515625" style="379" bestFit="1" customWidth="1"/>
    <col min="13063" max="13063" width="5" style="379" customWidth="1"/>
    <col min="13064" max="13064" width="10.42578125" style="379" bestFit="1" customWidth="1"/>
    <col min="13065" max="13065" width="5" style="379" customWidth="1"/>
    <col min="13066" max="13066" width="10.42578125" style="379" bestFit="1" customWidth="1"/>
    <col min="13067" max="13069" width="9.140625" style="379"/>
    <col min="13070" max="13070" width="10.42578125" style="379" bestFit="1" customWidth="1"/>
    <col min="13071" max="13299" width="9.140625" style="379"/>
    <col min="13300" max="13300" width="3.5703125" style="379" customWidth="1"/>
    <col min="13301" max="13301" width="4.85546875" style="379" customWidth="1"/>
    <col min="13302" max="13302" width="5.42578125" style="379" customWidth="1"/>
    <col min="13303" max="13303" width="31.28515625" style="379" customWidth="1"/>
    <col min="13304" max="13304" width="7.5703125" style="379" customWidth="1"/>
    <col min="13305" max="13305" width="2.42578125" style="379" customWidth="1"/>
    <col min="13306" max="13306" width="11.5703125" style="379" customWidth="1"/>
    <col min="13307" max="13307" width="2.42578125" style="379" customWidth="1"/>
    <col min="13308" max="13308" width="11.5703125" style="379" customWidth="1"/>
    <col min="13309" max="13309" width="2.42578125" style="379" customWidth="1"/>
    <col min="13310" max="13310" width="10.85546875" style="379" customWidth="1"/>
    <col min="13311" max="13311" width="2.42578125" style="379" customWidth="1"/>
    <col min="13312" max="13312" width="11.140625" style="379" customWidth="1"/>
    <col min="13313" max="13313" width="1.85546875" style="379" customWidth="1"/>
    <col min="13314" max="13314" width="11" style="379" customWidth="1"/>
    <col min="13315" max="13315" width="0.7109375" style="379" customWidth="1"/>
    <col min="13316" max="13316" width="1.85546875" style="379" customWidth="1"/>
    <col min="13317" max="13317" width="11.85546875" style="379" bestFit="1" customWidth="1"/>
    <col min="13318" max="13318" width="15.28515625" style="379" bestFit="1" customWidth="1"/>
    <col min="13319" max="13319" width="5" style="379" customWidth="1"/>
    <col min="13320" max="13320" width="10.42578125" style="379" bestFit="1" customWidth="1"/>
    <col min="13321" max="13321" width="5" style="379" customWidth="1"/>
    <col min="13322" max="13322" width="10.42578125" style="379" bestFit="1" customWidth="1"/>
    <col min="13323" max="13325" width="9.140625" style="379"/>
    <col min="13326" max="13326" width="10.42578125" style="379" bestFit="1" customWidth="1"/>
    <col min="13327" max="13555" width="9.140625" style="379"/>
    <col min="13556" max="13556" width="3.5703125" style="379" customWidth="1"/>
    <col min="13557" max="13557" width="4.85546875" style="379" customWidth="1"/>
    <col min="13558" max="13558" width="5.42578125" style="379" customWidth="1"/>
    <col min="13559" max="13559" width="31.28515625" style="379" customWidth="1"/>
    <col min="13560" max="13560" width="7.5703125" style="379" customWidth="1"/>
    <col min="13561" max="13561" width="2.42578125" style="379" customWidth="1"/>
    <col min="13562" max="13562" width="11.5703125" style="379" customWidth="1"/>
    <col min="13563" max="13563" width="2.42578125" style="379" customWidth="1"/>
    <col min="13564" max="13564" width="11.5703125" style="379" customWidth="1"/>
    <col min="13565" max="13565" width="2.42578125" style="379" customWidth="1"/>
    <col min="13566" max="13566" width="10.85546875" style="379" customWidth="1"/>
    <col min="13567" max="13567" width="2.42578125" style="379" customWidth="1"/>
    <col min="13568" max="13568" width="11.140625" style="379" customWidth="1"/>
    <col min="13569" max="13569" width="1.85546875" style="379" customWidth="1"/>
    <col min="13570" max="13570" width="11" style="379" customWidth="1"/>
    <col min="13571" max="13571" width="0.7109375" style="379" customWidth="1"/>
    <col min="13572" max="13572" width="1.85546875" style="379" customWidth="1"/>
    <col min="13573" max="13573" width="11.85546875" style="379" bestFit="1" customWidth="1"/>
    <col min="13574" max="13574" width="15.28515625" style="379" bestFit="1" customWidth="1"/>
    <col min="13575" max="13575" width="5" style="379" customWidth="1"/>
    <col min="13576" max="13576" width="10.42578125" style="379" bestFit="1" customWidth="1"/>
    <col min="13577" max="13577" width="5" style="379" customWidth="1"/>
    <col min="13578" max="13578" width="10.42578125" style="379" bestFit="1" customWidth="1"/>
    <col min="13579" max="13581" width="9.140625" style="379"/>
    <col min="13582" max="13582" width="10.42578125" style="379" bestFit="1" customWidth="1"/>
    <col min="13583" max="13811" width="9.140625" style="379"/>
    <col min="13812" max="13812" width="3.5703125" style="379" customWidth="1"/>
    <col min="13813" max="13813" width="4.85546875" style="379" customWidth="1"/>
    <col min="13814" max="13814" width="5.42578125" style="379" customWidth="1"/>
    <col min="13815" max="13815" width="31.28515625" style="379" customWidth="1"/>
    <col min="13816" max="13816" width="7.5703125" style="379" customWidth="1"/>
    <col min="13817" max="13817" width="2.42578125" style="379" customWidth="1"/>
    <col min="13818" max="13818" width="11.5703125" style="379" customWidth="1"/>
    <col min="13819" max="13819" width="2.42578125" style="379" customWidth="1"/>
    <col min="13820" max="13820" width="11.5703125" style="379" customWidth="1"/>
    <col min="13821" max="13821" width="2.42578125" style="379" customWidth="1"/>
    <col min="13822" max="13822" width="10.85546875" style="379" customWidth="1"/>
    <col min="13823" max="13823" width="2.42578125" style="379" customWidth="1"/>
    <col min="13824" max="13824" width="11.140625" style="379" customWidth="1"/>
    <col min="13825" max="13825" width="1.85546875" style="379" customWidth="1"/>
    <col min="13826" max="13826" width="11" style="379" customWidth="1"/>
    <col min="13827" max="13827" width="0.7109375" style="379" customWidth="1"/>
    <col min="13828" max="13828" width="1.85546875" style="379" customWidth="1"/>
    <col min="13829" max="13829" width="11.85546875" style="379" bestFit="1" customWidth="1"/>
    <col min="13830" max="13830" width="15.28515625" style="379" bestFit="1" customWidth="1"/>
    <col min="13831" max="13831" width="5" style="379" customWidth="1"/>
    <col min="13832" max="13832" width="10.42578125" style="379" bestFit="1" customWidth="1"/>
    <col min="13833" max="13833" width="5" style="379" customWidth="1"/>
    <col min="13834" max="13834" width="10.42578125" style="379" bestFit="1" customWidth="1"/>
    <col min="13835" max="13837" width="9.140625" style="379"/>
    <col min="13838" max="13838" width="10.42578125" style="379" bestFit="1" customWidth="1"/>
    <col min="13839" max="14067" width="9.140625" style="379"/>
    <col min="14068" max="14068" width="3.5703125" style="379" customWidth="1"/>
    <col min="14069" max="14069" width="4.85546875" style="379" customWidth="1"/>
    <col min="14070" max="14070" width="5.42578125" style="379" customWidth="1"/>
    <col min="14071" max="14071" width="31.28515625" style="379" customWidth="1"/>
    <col min="14072" max="14072" width="7.5703125" style="379" customWidth="1"/>
    <col min="14073" max="14073" width="2.42578125" style="379" customWidth="1"/>
    <col min="14074" max="14074" width="11.5703125" style="379" customWidth="1"/>
    <col min="14075" max="14075" width="2.42578125" style="379" customWidth="1"/>
    <col min="14076" max="14076" width="11.5703125" style="379" customWidth="1"/>
    <col min="14077" max="14077" width="2.42578125" style="379" customWidth="1"/>
    <col min="14078" max="14078" width="10.85546875" style="379" customWidth="1"/>
    <col min="14079" max="14079" width="2.42578125" style="379" customWidth="1"/>
    <col min="14080" max="14080" width="11.140625" style="379" customWidth="1"/>
    <col min="14081" max="14081" width="1.85546875" style="379" customWidth="1"/>
    <col min="14082" max="14082" width="11" style="379" customWidth="1"/>
    <col min="14083" max="14083" width="0.7109375" style="379" customWidth="1"/>
    <col min="14084" max="14084" width="1.85546875" style="379" customWidth="1"/>
    <col min="14085" max="14085" width="11.85546875" style="379" bestFit="1" customWidth="1"/>
    <col min="14086" max="14086" width="15.28515625" style="379" bestFit="1" customWidth="1"/>
    <col min="14087" max="14087" width="5" style="379" customWidth="1"/>
    <col min="14088" max="14088" width="10.42578125" style="379" bestFit="1" customWidth="1"/>
    <col min="14089" max="14089" width="5" style="379" customWidth="1"/>
    <col min="14090" max="14090" width="10.42578125" style="379" bestFit="1" customWidth="1"/>
    <col min="14091" max="14093" width="9.140625" style="379"/>
    <col min="14094" max="14094" width="10.42578125" style="379" bestFit="1" customWidth="1"/>
    <col min="14095" max="14323" width="9.140625" style="379"/>
    <col min="14324" max="14324" width="3.5703125" style="379" customWidth="1"/>
    <col min="14325" max="14325" width="4.85546875" style="379" customWidth="1"/>
    <col min="14326" max="14326" width="5.42578125" style="379" customWidth="1"/>
    <col min="14327" max="14327" width="31.28515625" style="379" customWidth="1"/>
    <col min="14328" max="14328" width="7.5703125" style="379" customWidth="1"/>
    <col min="14329" max="14329" width="2.42578125" style="379" customWidth="1"/>
    <col min="14330" max="14330" width="11.5703125" style="379" customWidth="1"/>
    <col min="14331" max="14331" width="2.42578125" style="379" customWidth="1"/>
    <col min="14332" max="14332" width="11.5703125" style="379" customWidth="1"/>
    <col min="14333" max="14333" width="2.42578125" style="379" customWidth="1"/>
    <col min="14334" max="14334" width="10.85546875" style="379" customWidth="1"/>
    <col min="14335" max="14335" width="2.42578125" style="379" customWidth="1"/>
    <col min="14336" max="14336" width="11.140625" style="379" customWidth="1"/>
    <col min="14337" max="14337" width="1.85546875" style="379" customWidth="1"/>
    <col min="14338" max="14338" width="11" style="379" customWidth="1"/>
    <col min="14339" max="14339" width="0.7109375" style="379" customWidth="1"/>
    <col min="14340" max="14340" width="1.85546875" style="379" customWidth="1"/>
    <col min="14341" max="14341" width="11.85546875" style="379" bestFit="1" customWidth="1"/>
    <col min="14342" max="14342" width="15.28515625" style="379" bestFit="1" customWidth="1"/>
    <col min="14343" max="14343" width="5" style="379" customWidth="1"/>
    <col min="14344" max="14344" width="10.42578125" style="379" bestFit="1" customWidth="1"/>
    <col min="14345" max="14345" width="5" style="379" customWidth="1"/>
    <col min="14346" max="14346" width="10.42578125" style="379" bestFit="1" customWidth="1"/>
    <col min="14347" max="14349" width="9.140625" style="379"/>
    <col min="14350" max="14350" width="10.42578125" style="379" bestFit="1" customWidth="1"/>
    <col min="14351" max="14579" width="9.140625" style="379"/>
    <col min="14580" max="14580" width="3.5703125" style="379" customWidth="1"/>
    <col min="14581" max="14581" width="4.85546875" style="379" customWidth="1"/>
    <col min="14582" max="14582" width="5.42578125" style="379" customWidth="1"/>
    <col min="14583" max="14583" width="31.28515625" style="379" customWidth="1"/>
    <col min="14584" max="14584" width="7.5703125" style="379" customWidth="1"/>
    <col min="14585" max="14585" width="2.42578125" style="379" customWidth="1"/>
    <col min="14586" max="14586" width="11.5703125" style="379" customWidth="1"/>
    <col min="14587" max="14587" width="2.42578125" style="379" customWidth="1"/>
    <col min="14588" max="14588" width="11.5703125" style="379" customWidth="1"/>
    <col min="14589" max="14589" width="2.42578125" style="379" customWidth="1"/>
    <col min="14590" max="14590" width="10.85546875" style="379" customWidth="1"/>
    <col min="14591" max="14591" width="2.42578125" style="379" customWidth="1"/>
    <col min="14592" max="14592" width="11.140625" style="379" customWidth="1"/>
    <col min="14593" max="14593" width="1.85546875" style="379" customWidth="1"/>
    <col min="14594" max="14594" width="11" style="379" customWidth="1"/>
    <col min="14595" max="14595" width="0.7109375" style="379" customWidth="1"/>
    <col min="14596" max="14596" width="1.85546875" style="379" customWidth="1"/>
    <col min="14597" max="14597" width="11.85546875" style="379" bestFit="1" customWidth="1"/>
    <col min="14598" max="14598" width="15.28515625" style="379" bestFit="1" customWidth="1"/>
    <col min="14599" max="14599" width="5" style="379" customWidth="1"/>
    <col min="14600" max="14600" width="10.42578125" style="379" bestFit="1" customWidth="1"/>
    <col min="14601" max="14601" width="5" style="379" customWidth="1"/>
    <col min="14602" max="14602" width="10.42578125" style="379" bestFit="1" customWidth="1"/>
    <col min="14603" max="14605" width="9.140625" style="379"/>
    <col min="14606" max="14606" width="10.42578125" style="379" bestFit="1" customWidth="1"/>
    <col min="14607" max="14835" width="9.140625" style="379"/>
    <col min="14836" max="14836" width="3.5703125" style="379" customWidth="1"/>
    <col min="14837" max="14837" width="4.85546875" style="379" customWidth="1"/>
    <col min="14838" max="14838" width="5.42578125" style="379" customWidth="1"/>
    <col min="14839" max="14839" width="31.28515625" style="379" customWidth="1"/>
    <col min="14840" max="14840" width="7.5703125" style="379" customWidth="1"/>
    <col min="14841" max="14841" width="2.42578125" style="379" customWidth="1"/>
    <col min="14842" max="14842" width="11.5703125" style="379" customWidth="1"/>
    <col min="14843" max="14843" width="2.42578125" style="379" customWidth="1"/>
    <col min="14844" max="14844" width="11.5703125" style="379" customWidth="1"/>
    <col min="14845" max="14845" width="2.42578125" style="379" customWidth="1"/>
    <col min="14846" max="14846" width="10.85546875" style="379" customWidth="1"/>
    <col min="14847" max="14847" width="2.42578125" style="379" customWidth="1"/>
    <col min="14848" max="14848" width="11.140625" style="379" customWidth="1"/>
    <col min="14849" max="14849" width="1.85546875" style="379" customWidth="1"/>
    <col min="14850" max="14850" width="11" style="379" customWidth="1"/>
    <col min="14851" max="14851" width="0.7109375" style="379" customWidth="1"/>
    <col min="14852" max="14852" width="1.85546875" style="379" customWidth="1"/>
    <col min="14853" max="14853" width="11.85546875" style="379" bestFit="1" customWidth="1"/>
    <col min="14854" max="14854" width="15.28515625" style="379" bestFit="1" customWidth="1"/>
    <col min="14855" max="14855" width="5" style="379" customWidth="1"/>
    <col min="14856" max="14856" width="10.42578125" style="379" bestFit="1" customWidth="1"/>
    <col min="14857" max="14857" width="5" style="379" customWidth="1"/>
    <col min="14858" max="14858" width="10.42578125" style="379" bestFit="1" customWidth="1"/>
    <col min="14859" max="14861" width="9.140625" style="379"/>
    <col min="14862" max="14862" width="10.42578125" style="379" bestFit="1" customWidth="1"/>
    <col min="14863" max="15091" width="9.140625" style="379"/>
    <col min="15092" max="15092" width="3.5703125" style="379" customWidth="1"/>
    <col min="15093" max="15093" width="4.85546875" style="379" customWidth="1"/>
    <col min="15094" max="15094" width="5.42578125" style="379" customWidth="1"/>
    <col min="15095" max="15095" width="31.28515625" style="379" customWidth="1"/>
    <col min="15096" max="15096" width="7.5703125" style="379" customWidth="1"/>
    <col min="15097" max="15097" width="2.42578125" style="379" customWidth="1"/>
    <col min="15098" max="15098" width="11.5703125" style="379" customWidth="1"/>
    <col min="15099" max="15099" width="2.42578125" style="379" customWidth="1"/>
    <col min="15100" max="15100" width="11.5703125" style="379" customWidth="1"/>
    <col min="15101" max="15101" width="2.42578125" style="379" customWidth="1"/>
    <col min="15102" max="15102" width="10.85546875" style="379" customWidth="1"/>
    <col min="15103" max="15103" width="2.42578125" style="379" customWidth="1"/>
    <col min="15104" max="15104" width="11.140625" style="379" customWidth="1"/>
    <col min="15105" max="15105" width="1.85546875" style="379" customWidth="1"/>
    <col min="15106" max="15106" width="11" style="379" customWidth="1"/>
    <col min="15107" max="15107" width="0.7109375" style="379" customWidth="1"/>
    <col min="15108" max="15108" width="1.85546875" style="379" customWidth="1"/>
    <col min="15109" max="15109" width="11.85546875" style="379" bestFit="1" customWidth="1"/>
    <col min="15110" max="15110" width="15.28515625" style="379" bestFit="1" customWidth="1"/>
    <col min="15111" max="15111" width="5" style="379" customWidth="1"/>
    <col min="15112" max="15112" width="10.42578125" style="379" bestFit="1" customWidth="1"/>
    <col min="15113" max="15113" width="5" style="379" customWidth="1"/>
    <col min="15114" max="15114" width="10.42578125" style="379" bestFit="1" customWidth="1"/>
    <col min="15115" max="15117" width="9.140625" style="379"/>
    <col min="15118" max="15118" width="10.42578125" style="379" bestFit="1" customWidth="1"/>
    <col min="15119" max="15347" width="9.140625" style="379"/>
    <col min="15348" max="15348" width="3.5703125" style="379" customWidth="1"/>
    <col min="15349" max="15349" width="4.85546875" style="379" customWidth="1"/>
    <col min="15350" max="15350" width="5.42578125" style="379" customWidth="1"/>
    <col min="15351" max="15351" width="31.28515625" style="379" customWidth="1"/>
    <col min="15352" max="15352" width="7.5703125" style="379" customWidth="1"/>
    <col min="15353" max="15353" width="2.42578125" style="379" customWidth="1"/>
    <col min="15354" max="15354" width="11.5703125" style="379" customWidth="1"/>
    <col min="15355" max="15355" width="2.42578125" style="379" customWidth="1"/>
    <col min="15356" max="15356" width="11.5703125" style="379" customWidth="1"/>
    <col min="15357" max="15357" width="2.42578125" style="379" customWidth="1"/>
    <col min="15358" max="15358" width="10.85546875" style="379" customWidth="1"/>
    <col min="15359" max="15359" width="2.42578125" style="379" customWidth="1"/>
    <col min="15360" max="15360" width="11.140625" style="379" customWidth="1"/>
    <col min="15361" max="15361" width="1.85546875" style="379" customWidth="1"/>
    <col min="15362" max="15362" width="11" style="379" customWidth="1"/>
    <col min="15363" max="15363" width="0.7109375" style="379" customWidth="1"/>
    <col min="15364" max="15364" width="1.85546875" style="379" customWidth="1"/>
    <col min="15365" max="15365" width="11.85546875" style="379" bestFit="1" customWidth="1"/>
    <col min="15366" max="15366" width="15.28515625" style="379" bestFit="1" customWidth="1"/>
    <col min="15367" max="15367" width="5" style="379" customWidth="1"/>
    <col min="15368" max="15368" width="10.42578125" style="379" bestFit="1" customWidth="1"/>
    <col min="15369" max="15369" width="5" style="379" customWidth="1"/>
    <col min="15370" max="15370" width="10.42578125" style="379" bestFit="1" customWidth="1"/>
    <col min="15371" max="15373" width="9.140625" style="379"/>
    <col min="15374" max="15374" width="10.42578125" style="379" bestFit="1" customWidth="1"/>
    <col min="15375" max="15603" width="9.140625" style="379"/>
    <col min="15604" max="15604" width="3.5703125" style="379" customWidth="1"/>
    <col min="15605" max="15605" width="4.85546875" style="379" customWidth="1"/>
    <col min="15606" max="15606" width="5.42578125" style="379" customWidth="1"/>
    <col min="15607" max="15607" width="31.28515625" style="379" customWidth="1"/>
    <col min="15608" max="15608" width="7.5703125" style="379" customWidth="1"/>
    <col min="15609" max="15609" width="2.42578125" style="379" customWidth="1"/>
    <col min="15610" max="15610" width="11.5703125" style="379" customWidth="1"/>
    <col min="15611" max="15611" width="2.42578125" style="379" customWidth="1"/>
    <col min="15612" max="15612" width="11.5703125" style="379" customWidth="1"/>
    <col min="15613" max="15613" width="2.42578125" style="379" customWidth="1"/>
    <col min="15614" max="15614" width="10.85546875" style="379" customWidth="1"/>
    <col min="15615" max="15615" width="2.42578125" style="379" customWidth="1"/>
    <col min="15616" max="15616" width="11.140625" style="379" customWidth="1"/>
    <col min="15617" max="15617" width="1.85546875" style="379" customWidth="1"/>
    <col min="15618" max="15618" width="11" style="379" customWidth="1"/>
    <col min="15619" max="15619" width="0.7109375" style="379" customWidth="1"/>
    <col min="15620" max="15620" width="1.85546875" style="379" customWidth="1"/>
    <col min="15621" max="15621" width="11.85546875" style="379" bestFit="1" customWidth="1"/>
    <col min="15622" max="15622" width="15.28515625" style="379" bestFit="1" customWidth="1"/>
    <col min="15623" max="15623" width="5" style="379" customWidth="1"/>
    <col min="15624" max="15624" width="10.42578125" style="379" bestFit="1" customWidth="1"/>
    <col min="15625" max="15625" width="5" style="379" customWidth="1"/>
    <col min="15626" max="15626" width="10.42578125" style="379" bestFit="1" customWidth="1"/>
    <col min="15627" max="15629" width="9.140625" style="379"/>
    <col min="15630" max="15630" width="10.42578125" style="379" bestFit="1" customWidth="1"/>
    <col min="15631" max="15859" width="9.140625" style="379"/>
    <col min="15860" max="15860" width="3.5703125" style="379" customWidth="1"/>
    <col min="15861" max="15861" width="4.85546875" style="379" customWidth="1"/>
    <col min="15862" max="15862" width="5.42578125" style="379" customWidth="1"/>
    <col min="15863" max="15863" width="31.28515625" style="379" customWidth="1"/>
    <col min="15864" max="15864" width="7.5703125" style="379" customWidth="1"/>
    <col min="15865" max="15865" width="2.42578125" style="379" customWidth="1"/>
    <col min="15866" max="15866" width="11.5703125" style="379" customWidth="1"/>
    <col min="15867" max="15867" width="2.42578125" style="379" customWidth="1"/>
    <col min="15868" max="15868" width="11.5703125" style="379" customWidth="1"/>
    <col min="15869" max="15869" width="2.42578125" style="379" customWidth="1"/>
    <col min="15870" max="15870" width="10.85546875" style="379" customWidth="1"/>
    <col min="15871" max="15871" width="2.42578125" style="379" customWidth="1"/>
    <col min="15872" max="15872" width="11.140625" style="379" customWidth="1"/>
    <col min="15873" max="15873" width="1.85546875" style="379" customWidth="1"/>
    <col min="15874" max="15874" width="11" style="379" customWidth="1"/>
    <col min="15875" max="15875" width="0.7109375" style="379" customWidth="1"/>
    <col min="15876" max="15876" width="1.85546875" style="379" customWidth="1"/>
    <col min="15877" max="15877" width="11.85546875" style="379" bestFit="1" customWidth="1"/>
    <col min="15878" max="15878" width="15.28515625" style="379" bestFit="1" customWidth="1"/>
    <col min="15879" max="15879" width="5" style="379" customWidth="1"/>
    <col min="15880" max="15880" width="10.42578125" style="379" bestFit="1" customWidth="1"/>
    <col min="15881" max="15881" width="5" style="379" customWidth="1"/>
    <col min="15882" max="15882" width="10.42578125" style="379" bestFit="1" customWidth="1"/>
    <col min="15883" max="15885" width="9.140625" style="379"/>
    <col min="15886" max="15886" width="10.42578125" style="379" bestFit="1" customWidth="1"/>
    <col min="15887" max="16115" width="9.140625" style="379"/>
    <col min="16116" max="16116" width="3.5703125" style="379" customWidth="1"/>
    <col min="16117" max="16117" width="4.85546875" style="379" customWidth="1"/>
    <col min="16118" max="16118" width="5.42578125" style="379" customWidth="1"/>
    <col min="16119" max="16119" width="31.28515625" style="379" customWidth="1"/>
    <col min="16120" max="16120" width="7.5703125" style="379" customWidth="1"/>
    <col min="16121" max="16121" width="2.42578125" style="379" customWidth="1"/>
    <col min="16122" max="16122" width="11.5703125" style="379" customWidth="1"/>
    <col min="16123" max="16123" width="2.42578125" style="379" customWidth="1"/>
    <col min="16124" max="16124" width="11.5703125" style="379" customWidth="1"/>
    <col min="16125" max="16125" width="2.42578125" style="379" customWidth="1"/>
    <col min="16126" max="16126" width="10.85546875" style="379" customWidth="1"/>
    <col min="16127" max="16127" width="2.42578125" style="379" customWidth="1"/>
    <col min="16128" max="16128" width="11.140625" style="379" customWidth="1"/>
    <col min="16129" max="16129" width="1.85546875" style="379" customWidth="1"/>
    <col min="16130" max="16130" width="11" style="379" customWidth="1"/>
    <col min="16131" max="16131" width="0.7109375" style="379" customWidth="1"/>
    <col min="16132" max="16132" width="1.85546875" style="379" customWidth="1"/>
    <col min="16133" max="16133" width="11.85546875" style="379" bestFit="1" customWidth="1"/>
    <col min="16134" max="16134" width="15.28515625" style="379" bestFit="1" customWidth="1"/>
    <col min="16135" max="16135" width="5" style="379" customWidth="1"/>
    <col min="16136" max="16136" width="10.42578125" style="379" bestFit="1" customWidth="1"/>
    <col min="16137" max="16137" width="5" style="379" customWidth="1"/>
    <col min="16138" max="16138" width="10.42578125" style="379" bestFit="1" customWidth="1"/>
    <col min="16139" max="16141" width="9.140625" style="379"/>
    <col min="16142" max="16142" width="10.42578125" style="379" bestFit="1" customWidth="1"/>
    <col min="16143" max="16373" width="9.140625" style="379"/>
    <col min="16374" max="16383" width="9.140625" style="379" customWidth="1"/>
    <col min="16384" max="16384" width="9.140625" style="379"/>
  </cols>
  <sheetData>
    <row r="1" spans="1:11" s="348" customFormat="1" ht="18.75" x14ac:dyDescent="0.45">
      <c r="A1" s="1476" t="s">
        <v>244</v>
      </c>
      <c r="B1" s="1476"/>
      <c r="C1" s="1476"/>
      <c r="D1" s="1476"/>
      <c r="E1" s="1476"/>
      <c r="F1" s="1476"/>
      <c r="G1" s="1476"/>
      <c r="H1" s="1476"/>
      <c r="I1" s="1476"/>
      <c r="J1" s="1476"/>
      <c r="K1" s="347"/>
    </row>
    <row r="2" spans="1:11" s="348" customFormat="1" ht="18.75" x14ac:dyDescent="0.45">
      <c r="A2" s="1477" t="str">
        <f>'15'!A2:M2</f>
        <v>يادداشتهاي توضيحي صورتهاي مالي</v>
      </c>
      <c r="B2" s="1477"/>
      <c r="C2" s="1477"/>
      <c r="D2" s="1477"/>
      <c r="E2" s="1477"/>
      <c r="F2" s="1477"/>
      <c r="G2" s="1477"/>
      <c r="H2" s="1477"/>
      <c r="I2" s="1477"/>
      <c r="J2" s="1477"/>
      <c r="K2" s="347"/>
    </row>
    <row r="3" spans="1:11" s="348" customFormat="1" ht="18.75" x14ac:dyDescent="0.45">
      <c r="A3" s="1477" t="str">
        <f>سودوزيان!A3</f>
        <v>سال مالی منتهی به 30 اسفند 1403</v>
      </c>
      <c r="B3" s="1477"/>
      <c r="C3" s="1477"/>
      <c r="D3" s="1477"/>
      <c r="E3" s="1477"/>
      <c r="F3" s="1477"/>
      <c r="G3" s="1477"/>
      <c r="H3" s="1477"/>
      <c r="I3" s="1477"/>
      <c r="J3" s="1477"/>
      <c r="K3" s="347"/>
    </row>
    <row r="4" spans="1:11" s="344" customFormat="1" ht="24" x14ac:dyDescent="0.25">
      <c r="A4" s="876" t="s">
        <v>421</v>
      </c>
      <c r="B4" s="1524" t="s">
        <v>125</v>
      </c>
      <c r="C4" s="1524"/>
      <c r="D4" s="1524"/>
      <c r="E4" s="1524"/>
      <c r="F4" s="1524"/>
      <c r="G4" s="1524"/>
      <c r="H4" s="222"/>
      <c r="I4" s="222"/>
    </row>
    <row r="5" spans="1:11" ht="24" hidden="1" x14ac:dyDescent="0.25">
      <c r="A5" s="876"/>
      <c r="B5" s="1524"/>
      <c r="C5" s="1524"/>
      <c r="D5" s="1524"/>
      <c r="E5" s="237"/>
      <c r="F5" s="237"/>
      <c r="G5" s="237"/>
      <c r="H5" s="222"/>
      <c r="I5" s="222"/>
    </row>
    <row r="6" spans="1:11" s="354" customFormat="1" ht="20.25" customHeight="1" x14ac:dyDescent="0.5">
      <c r="A6" s="876"/>
      <c r="B6" s="235"/>
      <c r="C6" s="227"/>
      <c r="D6" s="227"/>
      <c r="E6" s="932" t="s">
        <v>438</v>
      </c>
      <c r="F6" s="227"/>
      <c r="G6" s="432">
        <v>1403</v>
      </c>
      <c r="H6" s="235"/>
      <c r="I6" s="432">
        <v>1402</v>
      </c>
      <c r="J6" s="352"/>
      <c r="K6" s="353"/>
    </row>
    <row r="7" spans="1:11" s="934" customFormat="1" ht="22.5" x14ac:dyDescent="0.25">
      <c r="A7" s="201"/>
      <c r="B7" s="222"/>
      <c r="C7" s="933"/>
      <c r="D7" s="222"/>
      <c r="E7" s="222"/>
      <c r="F7" s="222"/>
      <c r="G7" s="435" t="s">
        <v>591</v>
      </c>
      <c r="H7" s="222"/>
      <c r="I7" s="435" t="s">
        <v>591</v>
      </c>
    </row>
    <row r="8" spans="1:11" ht="21.75" customHeight="1" x14ac:dyDescent="0.25">
      <c r="A8" s="201"/>
      <c r="B8" s="1524" t="s">
        <v>127</v>
      </c>
      <c r="C8" s="1524"/>
      <c r="D8" s="1524"/>
      <c r="E8" s="222"/>
      <c r="F8" s="222"/>
      <c r="G8" s="222"/>
      <c r="H8" s="222"/>
      <c r="I8" s="222"/>
    </row>
    <row r="9" spans="1:11" ht="21.75" customHeight="1" x14ac:dyDescent="0.25">
      <c r="A9" s="201" t="s">
        <v>490</v>
      </c>
      <c r="B9" s="1524" t="s">
        <v>128</v>
      </c>
      <c r="C9" s="1524"/>
      <c r="D9" s="1524"/>
      <c r="E9" s="222"/>
      <c r="F9" s="222"/>
      <c r="G9" s="222"/>
      <c r="H9" s="222"/>
      <c r="I9" s="222"/>
    </row>
    <row r="10" spans="1:11" ht="25.5" customHeight="1" x14ac:dyDescent="0.25">
      <c r="A10" s="201"/>
      <c r="B10" s="222"/>
      <c r="C10" s="222"/>
      <c r="D10" s="1681" t="s">
        <v>1313</v>
      </c>
      <c r="E10" s="232" t="s">
        <v>482</v>
      </c>
      <c r="F10" s="222"/>
      <c r="G10" s="414">
        <f>G52</f>
        <v>711416912518</v>
      </c>
      <c r="H10" s="222"/>
      <c r="I10" s="414">
        <v>152104790909</v>
      </c>
    </row>
    <row r="11" spans="1:11" ht="26.25" customHeight="1" x14ac:dyDescent="0.25">
      <c r="A11" s="201"/>
      <c r="B11" s="222"/>
      <c r="C11" s="222"/>
      <c r="D11" s="1681" t="s">
        <v>1322</v>
      </c>
      <c r="E11" s="232" t="s">
        <v>484</v>
      </c>
      <c r="F11" s="222"/>
      <c r="G11" s="414">
        <f>'17-2'!G24</f>
        <v>321927950028</v>
      </c>
      <c r="H11" s="222"/>
      <c r="I11" s="436">
        <v>845827121380</v>
      </c>
    </row>
    <row r="12" spans="1:11" ht="24" x14ac:dyDescent="0.25">
      <c r="A12" s="201"/>
      <c r="B12" s="222"/>
      <c r="C12" s="222"/>
      <c r="D12" s="222"/>
      <c r="E12" s="222"/>
      <c r="F12" s="222"/>
      <c r="G12" s="743">
        <f>SUM(G10:G11)</f>
        <v>1033344862546</v>
      </c>
      <c r="H12" s="222"/>
      <c r="I12" s="938">
        <v>997931912289</v>
      </c>
    </row>
    <row r="13" spans="1:11" ht="24" x14ac:dyDescent="0.25">
      <c r="A13" s="201"/>
      <c r="B13" s="1524" t="s">
        <v>129</v>
      </c>
      <c r="C13" s="1524"/>
      <c r="D13" s="1524"/>
      <c r="E13" s="222"/>
      <c r="F13" s="222"/>
      <c r="G13" s="222"/>
      <c r="H13" s="222"/>
      <c r="I13" s="222"/>
    </row>
    <row r="14" spans="1:11" ht="27" customHeight="1" x14ac:dyDescent="0.25">
      <c r="A14" s="201"/>
      <c r="B14" s="222"/>
      <c r="C14" s="222"/>
      <c r="D14" s="1681" t="s">
        <v>1316</v>
      </c>
      <c r="E14" s="232"/>
      <c r="F14" s="222"/>
      <c r="G14" s="1286">
        <f>1816544544676+120000000000</f>
        <v>1936544544676</v>
      </c>
      <c r="H14" s="222"/>
      <c r="I14" s="414">
        <v>438721050232</v>
      </c>
    </row>
    <row r="15" spans="1:11" ht="24.75" customHeight="1" x14ac:dyDescent="0.25">
      <c r="A15" s="201"/>
      <c r="B15" s="222"/>
      <c r="C15" s="222"/>
      <c r="D15" s="1681" t="s">
        <v>1315</v>
      </c>
      <c r="E15" s="232" t="s">
        <v>483</v>
      </c>
      <c r="F15" s="222"/>
      <c r="G15" s="414">
        <f>'17-2'!G49</f>
        <v>3316583793431</v>
      </c>
      <c r="H15" s="222"/>
      <c r="I15" s="437">
        <v>2774894212516</v>
      </c>
    </row>
    <row r="16" spans="1:11" ht="23.25" customHeight="1" x14ac:dyDescent="0.25">
      <c r="A16" s="201"/>
      <c r="B16" s="222"/>
      <c r="C16" s="222"/>
      <c r="D16" s="222"/>
      <c r="E16" s="222"/>
      <c r="F16" s="222"/>
      <c r="G16" s="197">
        <f>SUM(G14:G15)</f>
        <v>5253128338107</v>
      </c>
      <c r="H16" s="222"/>
      <c r="I16" s="197">
        <v>3213615262748</v>
      </c>
    </row>
    <row r="17" spans="1:9" ht="23.25" customHeight="1" x14ac:dyDescent="0.25">
      <c r="A17" s="201"/>
      <c r="B17" s="222"/>
      <c r="C17" s="222"/>
      <c r="D17" s="222"/>
      <c r="E17" s="222"/>
      <c r="F17" s="222"/>
      <c r="G17" s="938">
        <f>G16+G12</f>
        <v>6286473200653</v>
      </c>
      <c r="H17" s="222"/>
      <c r="I17" s="938">
        <v>4211547175037</v>
      </c>
    </row>
    <row r="18" spans="1:9" ht="24" x14ac:dyDescent="0.25">
      <c r="A18" s="201"/>
      <c r="B18" s="222"/>
      <c r="C18" s="222"/>
      <c r="D18" s="222"/>
      <c r="E18" s="222"/>
      <c r="F18" s="222"/>
      <c r="G18" s="346"/>
      <c r="H18" s="222"/>
      <c r="I18" s="346"/>
    </row>
    <row r="19" spans="1:9" ht="21.75" customHeight="1" x14ac:dyDescent="0.25">
      <c r="A19" s="201"/>
      <c r="B19" s="1524" t="s">
        <v>1066</v>
      </c>
      <c r="C19" s="1524"/>
      <c r="D19" s="1524"/>
      <c r="E19" s="222"/>
      <c r="F19" s="222"/>
      <c r="G19" s="222"/>
      <c r="H19" s="222"/>
      <c r="I19" s="222"/>
    </row>
    <row r="20" spans="1:9" ht="24" x14ac:dyDescent="0.25">
      <c r="A20" s="201"/>
      <c r="B20" s="1524" t="s">
        <v>128</v>
      </c>
      <c r="C20" s="1524"/>
      <c r="D20" s="1524"/>
      <c r="E20" s="222"/>
      <c r="F20" s="222"/>
      <c r="G20" s="222"/>
      <c r="H20" s="222"/>
      <c r="I20" s="222"/>
    </row>
    <row r="21" spans="1:9" ht="22.5" x14ac:dyDescent="0.25">
      <c r="A21" s="201"/>
      <c r="B21" s="222"/>
      <c r="C21" s="222"/>
      <c r="D21" s="237" t="s">
        <v>62</v>
      </c>
      <c r="E21" s="222"/>
      <c r="F21" s="222"/>
      <c r="G21" s="222">
        <v>0</v>
      </c>
      <c r="H21" s="222"/>
      <c r="I21" s="222">
        <v>0</v>
      </c>
    </row>
    <row r="22" spans="1:9" ht="22.5" x14ac:dyDescent="0.25">
      <c r="A22" s="201"/>
      <c r="B22" s="222"/>
      <c r="C22" s="222"/>
      <c r="D22" s="237" t="s">
        <v>873</v>
      </c>
      <c r="E22" s="222"/>
      <c r="F22" s="222"/>
      <c r="G22" s="222">
        <v>0</v>
      </c>
      <c r="H22" s="222"/>
      <c r="I22" s="222">
        <v>0</v>
      </c>
    </row>
    <row r="23" spans="1:9" ht="24.75" x14ac:dyDescent="0.25">
      <c r="A23" s="201"/>
      <c r="B23" s="222"/>
      <c r="C23" s="222"/>
      <c r="D23" s="237" t="s">
        <v>94</v>
      </c>
      <c r="E23" s="222"/>
      <c r="F23" s="222"/>
      <c r="G23" s="497">
        <v>0</v>
      </c>
      <c r="H23" s="222"/>
      <c r="I23" s="436">
        <v>0</v>
      </c>
    </row>
    <row r="24" spans="1:9" ht="24" x14ac:dyDescent="0.25">
      <c r="A24" s="201"/>
      <c r="B24" s="222"/>
      <c r="C24" s="222"/>
      <c r="D24" s="222"/>
      <c r="E24" s="222"/>
      <c r="F24" s="222"/>
      <c r="G24" s="497">
        <f>SUM(G21:G23)</f>
        <v>0</v>
      </c>
      <c r="H24" s="222"/>
      <c r="I24" s="938">
        <v>0</v>
      </c>
    </row>
    <row r="25" spans="1:9" ht="22.5" customHeight="1" x14ac:dyDescent="0.25">
      <c r="A25" s="201"/>
      <c r="B25" s="222"/>
      <c r="C25" s="222"/>
      <c r="D25" s="222"/>
      <c r="E25" s="222"/>
      <c r="F25" s="222"/>
      <c r="G25" s="222"/>
      <c r="H25" s="222"/>
      <c r="I25" s="222"/>
    </row>
    <row r="26" spans="1:9" ht="24" x14ac:dyDescent="0.25">
      <c r="A26" s="201"/>
      <c r="B26" s="1524" t="s">
        <v>129</v>
      </c>
      <c r="C26" s="1524"/>
      <c r="D26" s="1524"/>
      <c r="E26" s="222"/>
      <c r="F26" s="222"/>
      <c r="G26" s="222"/>
      <c r="H26" s="222"/>
      <c r="I26" s="222"/>
    </row>
    <row r="27" spans="1:9" ht="24.75" x14ac:dyDescent="0.25">
      <c r="A27" s="201"/>
      <c r="B27" s="222"/>
      <c r="C27" s="222"/>
      <c r="D27" s="1683" t="s">
        <v>1317</v>
      </c>
      <c r="E27" s="232" t="s">
        <v>485</v>
      </c>
      <c r="F27" s="222"/>
      <c r="G27" s="414">
        <f>'17-4'!G23</f>
        <v>227348476754</v>
      </c>
      <c r="H27" s="222"/>
      <c r="I27" s="414">
        <v>27291770983</v>
      </c>
    </row>
    <row r="28" spans="1:9" ht="19.5" customHeight="1" x14ac:dyDescent="0.25">
      <c r="A28" s="201"/>
      <c r="B28" s="222"/>
      <c r="C28" s="222"/>
      <c r="D28" s="1683" t="s">
        <v>1318</v>
      </c>
      <c r="E28" s="232" t="s">
        <v>486</v>
      </c>
      <c r="F28" s="222"/>
      <c r="G28" s="414">
        <f>'17-4'!G46</f>
        <v>9172000454</v>
      </c>
      <c r="H28" s="222"/>
      <c r="I28" s="414">
        <v>9179688119</v>
      </c>
    </row>
    <row r="29" spans="1:9" ht="19.5" customHeight="1" x14ac:dyDescent="0.25">
      <c r="A29" s="201"/>
      <c r="B29" s="222"/>
      <c r="C29" s="222"/>
      <c r="D29" s="1680" t="s">
        <v>1319</v>
      </c>
      <c r="E29" s="222"/>
      <c r="F29" s="222"/>
      <c r="G29" s="414">
        <f>2656666674+455000000</f>
        <v>3111666674</v>
      </c>
      <c r="H29" s="222"/>
      <c r="I29" s="414">
        <v>96672978</v>
      </c>
    </row>
    <row r="30" spans="1:9" ht="25.5" customHeight="1" x14ac:dyDescent="0.25">
      <c r="A30" s="201"/>
      <c r="B30" s="222"/>
      <c r="C30" s="222"/>
      <c r="D30" s="1683" t="s">
        <v>1320</v>
      </c>
      <c r="E30" s="232"/>
      <c r="F30" s="222"/>
      <c r="G30" s="414">
        <v>1785653250</v>
      </c>
      <c r="H30" s="222"/>
      <c r="I30" s="414">
        <v>1094553780</v>
      </c>
    </row>
    <row r="31" spans="1:9" ht="19.5" customHeight="1" x14ac:dyDescent="0.25">
      <c r="A31" s="201"/>
      <c r="B31" s="222"/>
      <c r="C31" s="222"/>
      <c r="D31" s="1680" t="s">
        <v>1321</v>
      </c>
      <c r="E31" s="222"/>
      <c r="F31" s="222"/>
      <c r="G31" s="414">
        <v>961922388</v>
      </c>
      <c r="H31" s="222"/>
      <c r="I31" s="414">
        <v>6300000000</v>
      </c>
    </row>
    <row r="32" spans="1:9" ht="30.75" customHeight="1" x14ac:dyDescent="0.25">
      <c r="A32" s="201"/>
      <c r="B32" s="222"/>
      <c r="C32" s="222"/>
      <c r="D32" s="237" t="s">
        <v>130</v>
      </c>
      <c r="E32" s="232" t="s">
        <v>1021</v>
      </c>
      <c r="F32" s="222"/>
      <c r="G32" s="414">
        <f>'17-6'!G14</f>
        <v>18637928829</v>
      </c>
      <c r="H32" s="222"/>
      <c r="I32" s="414">
        <v>7647012879</v>
      </c>
    </row>
    <row r="33" spans="1:14" ht="21.75" customHeight="1" x14ac:dyDescent="0.25">
      <c r="A33" s="201"/>
      <c r="B33" s="222"/>
      <c r="C33" s="222"/>
      <c r="D33" s="222"/>
      <c r="E33" s="222"/>
      <c r="F33" s="222"/>
      <c r="G33" s="935">
        <f>SUM(G27:G32)-1</f>
        <v>261017648348</v>
      </c>
      <c r="H33" s="222"/>
      <c r="I33" s="935">
        <v>51609698739</v>
      </c>
    </row>
    <row r="34" spans="1:14" ht="24" customHeight="1" thickBot="1" x14ac:dyDescent="0.3">
      <c r="A34" s="201"/>
      <c r="B34" s="222"/>
      <c r="C34" s="222"/>
      <c r="D34" s="222"/>
      <c r="E34" s="222"/>
      <c r="F34" s="222"/>
      <c r="G34" s="936">
        <f>G17+G24+G33</f>
        <v>6547490849001</v>
      </c>
      <c r="H34" s="346"/>
      <c r="I34" s="204">
        <v>4263156873776</v>
      </c>
      <c r="L34" s="379">
        <f>G34-'وضعيت مالي'!F15</f>
        <v>0</v>
      </c>
      <c r="M34" s="379" t="b">
        <f>G34='وضعيت مالي'!F15</f>
        <v>1</v>
      </c>
      <c r="N34" s="379" t="b">
        <f>I34='وضعيت مالي'!H15</f>
        <v>1</v>
      </c>
    </row>
    <row r="35" spans="1:14" ht="12.75" customHeight="1" thickTop="1" x14ac:dyDescent="0.25">
      <c r="A35" s="201"/>
      <c r="B35" s="222"/>
      <c r="C35" s="222"/>
      <c r="D35" s="222"/>
      <c r="E35" s="222"/>
      <c r="F35" s="222"/>
      <c r="G35" s="414"/>
      <c r="H35" s="222"/>
      <c r="I35" s="222"/>
    </row>
    <row r="36" spans="1:14" ht="23.25" hidden="1" customHeight="1" x14ac:dyDescent="0.25">
      <c r="A36" s="201"/>
      <c r="B36" s="222"/>
      <c r="C36" s="237"/>
      <c r="D36" s="237"/>
      <c r="E36" s="237"/>
      <c r="F36" s="237"/>
      <c r="G36" s="937"/>
      <c r="H36" s="222"/>
      <c r="I36" s="222"/>
    </row>
    <row r="37" spans="1:14" ht="22.5" x14ac:dyDescent="0.25">
      <c r="A37" s="201"/>
      <c r="B37" s="367" t="s">
        <v>1065</v>
      </c>
      <c r="C37" s="237"/>
      <c r="D37" s="1525" t="s">
        <v>363</v>
      </c>
      <c r="E37" s="1525"/>
      <c r="F37" s="1525"/>
      <c r="G37" s="1525"/>
      <c r="H37" s="222"/>
      <c r="I37" s="222"/>
    </row>
    <row r="38" spans="1:14" ht="19.5" customHeight="1" x14ac:dyDescent="0.25">
      <c r="A38" s="201"/>
      <c r="B38" s="222"/>
      <c r="C38" s="222"/>
      <c r="D38" s="222"/>
      <c r="E38" s="222"/>
      <c r="F38" s="222"/>
      <c r="G38" s="432">
        <v>1403</v>
      </c>
      <c r="H38" s="741"/>
      <c r="I38" s="432">
        <v>1402</v>
      </c>
    </row>
    <row r="39" spans="1:14" ht="22.5" x14ac:dyDescent="0.25">
      <c r="A39" s="201"/>
      <c r="B39" s="222"/>
      <c r="C39" s="222"/>
      <c r="D39" s="222"/>
      <c r="E39" s="222"/>
      <c r="F39" s="222"/>
      <c r="G39" s="435" t="s">
        <v>591</v>
      </c>
      <c r="H39" s="222"/>
      <c r="I39" s="435" t="s">
        <v>591</v>
      </c>
    </row>
    <row r="40" spans="1:14" ht="21" customHeight="1" x14ac:dyDescent="0.25">
      <c r="A40" s="201"/>
      <c r="B40" s="222"/>
      <c r="C40" s="222"/>
      <c r="D40" s="237" t="s">
        <v>1145</v>
      </c>
      <c r="E40" s="222"/>
      <c r="F40" s="222"/>
      <c r="G40" s="195">
        <v>236475295620</v>
      </c>
      <c r="H40" s="222"/>
      <c r="I40" s="414">
        <v>0</v>
      </c>
    </row>
    <row r="41" spans="1:14" ht="21" customHeight="1" x14ac:dyDescent="0.25">
      <c r="A41" s="201"/>
      <c r="B41" s="222"/>
      <c r="C41" s="222"/>
      <c r="D41" s="237" t="s">
        <v>533</v>
      </c>
      <c r="E41" s="222"/>
      <c r="F41" s="222"/>
      <c r="G41" s="195">
        <f>145271670307+24000000000</f>
        <v>169271670307</v>
      </c>
      <c r="H41" s="222"/>
      <c r="I41" s="414">
        <v>0</v>
      </c>
    </row>
    <row r="42" spans="1:14" ht="21" customHeight="1" x14ac:dyDescent="0.25">
      <c r="A42" s="201"/>
      <c r="B42" s="222"/>
      <c r="C42" s="222"/>
      <c r="D42" s="237" t="s">
        <v>535</v>
      </c>
      <c r="E42" s="222"/>
      <c r="F42" s="222"/>
      <c r="G42" s="195">
        <f>143684523891+10543308600</f>
        <v>154227832491</v>
      </c>
      <c r="H42" s="222"/>
      <c r="I42" s="414">
        <v>23167584695</v>
      </c>
    </row>
    <row r="43" spans="1:14" ht="21" customHeight="1" x14ac:dyDescent="0.25">
      <c r="A43" s="201"/>
      <c r="B43" s="222"/>
      <c r="C43" s="222"/>
      <c r="D43" s="237" t="s">
        <v>532</v>
      </c>
      <c r="E43" s="222"/>
      <c r="F43" s="222"/>
      <c r="G43" s="195">
        <v>61160410136</v>
      </c>
      <c r="H43" s="222"/>
      <c r="I43" s="414">
        <v>22964777378</v>
      </c>
    </row>
    <row r="44" spans="1:14" ht="21" customHeight="1" x14ac:dyDescent="0.25">
      <c r="A44" s="201"/>
      <c r="B44" s="222"/>
      <c r="C44" s="222"/>
      <c r="D44" s="237" t="s">
        <v>872</v>
      </c>
      <c r="E44" s="222"/>
      <c r="F44" s="222"/>
      <c r="G44" s="195">
        <v>55000000000</v>
      </c>
      <c r="H44" s="222"/>
      <c r="I44" s="414">
        <v>0</v>
      </c>
    </row>
    <row r="45" spans="1:14" ht="21" customHeight="1" x14ac:dyDescent="0.25">
      <c r="A45" s="201"/>
      <c r="B45" s="222"/>
      <c r="C45" s="222"/>
      <c r="D45" s="237" t="s">
        <v>1146</v>
      </c>
      <c r="E45" s="222"/>
      <c r="F45" s="222"/>
      <c r="G45" s="195">
        <v>17388619004</v>
      </c>
      <c r="H45" s="222"/>
      <c r="I45" s="414">
        <v>0</v>
      </c>
    </row>
    <row r="46" spans="1:14" ht="21" customHeight="1" x14ac:dyDescent="0.25">
      <c r="A46" s="201"/>
      <c r="B46" s="222"/>
      <c r="C46" s="222"/>
      <c r="D46" s="237" t="s">
        <v>1148</v>
      </c>
      <c r="E46" s="222"/>
      <c r="F46" s="222"/>
      <c r="G46" s="195">
        <v>9984344158</v>
      </c>
      <c r="H46" s="222"/>
      <c r="I46" s="414">
        <v>0</v>
      </c>
    </row>
    <row r="47" spans="1:14" ht="21" customHeight="1" x14ac:dyDescent="0.25">
      <c r="A47" s="201"/>
      <c r="B47" s="222"/>
      <c r="C47" s="222"/>
      <c r="D47" s="237" t="s">
        <v>1149</v>
      </c>
      <c r="E47" s="222"/>
      <c r="F47" s="222"/>
      <c r="G47" s="195">
        <v>5162085802</v>
      </c>
      <c r="H47" s="222"/>
      <c r="I47" s="414">
        <v>0</v>
      </c>
    </row>
    <row r="48" spans="1:14" ht="21" customHeight="1" x14ac:dyDescent="0.25">
      <c r="A48" s="201"/>
      <c r="B48" s="222"/>
      <c r="C48" s="222"/>
      <c r="D48" s="237" t="s">
        <v>1147</v>
      </c>
      <c r="E48" s="222"/>
      <c r="F48" s="222"/>
      <c r="G48" s="195">
        <v>2746655000</v>
      </c>
      <c r="H48" s="222"/>
      <c r="I48" s="414">
        <v>0</v>
      </c>
    </row>
    <row r="49" spans="1:14" ht="21" customHeight="1" x14ac:dyDescent="0.25">
      <c r="A49" s="201"/>
      <c r="B49" s="222"/>
      <c r="C49" s="222"/>
      <c r="D49" s="237" t="s">
        <v>370</v>
      </c>
      <c r="E49" s="222"/>
      <c r="F49" s="222"/>
      <c r="G49" s="195">
        <v>0</v>
      </c>
      <c r="H49" s="222"/>
      <c r="I49" s="414">
        <v>58730747361</v>
      </c>
    </row>
    <row r="50" spans="1:14" ht="21" customHeight="1" x14ac:dyDescent="0.25">
      <c r="A50" s="201"/>
      <c r="B50" s="222"/>
      <c r="C50" s="222"/>
      <c r="D50" s="237" t="s">
        <v>941</v>
      </c>
      <c r="E50" s="222"/>
      <c r="F50" s="222"/>
      <c r="G50" s="195">
        <v>0</v>
      </c>
      <c r="H50" s="222"/>
      <c r="I50" s="414">
        <v>45520200000</v>
      </c>
    </row>
    <row r="51" spans="1:14" ht="21" customHeight="1" x14ac:dyDescent="0.25">
      <c r="A51" s="201"/>
      <c r="B51" s="222"/>
      <c r="C51" s="222"/>
      <c r="D51" s="237" t="s">
        <v>526</v>
      </c>
      <c r="E51" s="222"/>
      <c r="F51" s="222"/>
      <c r="G51" s="195">
        <v>0</v>
      </c>
      <c r="H51" s="222"/>
      <c r="I51" s="414">
        <v>1721481475</v>
      </c>
    </row>
    <row r="52" spans="1:14" ht="25.5" customHeight="1" thickBot="1" x14ac:dyDescent="0.3">
      <c r="A52" s="201"/>
      <c r="B52" s="222"/>
      <c r="C52" s="222"/>
      <c r="D52" s="222"/>
      <c r="E52" s="222"/>
      <c r="F52" s="222"/>
      <c r="G52" s="204">
        <f>SUM(G40:G51)</f>
        <v>711416912518</v>
      </c>
      <c r="H52" s="222"/>
      <c r="I52" s="204">
        <f>SUM(I40:I51)</f>
        <v>152104790909</v>
      </c>
      <c r="M52" s="379" t="b">
        <f>G52=G10</f>
        <v>1</v>
      </c>
      <c r="N52" s="379" t="b">
        <f>I52=I10</f>
        <v>1</v>
      </c>
    </row>
    <row r="53" spans="1:14" ht="18" customHeight="1" thickTop="1" x14ac:dyDescent="0.25">
      <c r="A53" s="201"/>
      <c r="B53" s="222"/>
      <c r="C53" s="222"/>
      <c r="D53" s="183"/>
      <c r="E53" s="222"/>
      <c r="F53" s="222"/>
      <c r="G53" s="346"/>
      <c r="H53" s="222"/>
      <c r="I53" s="346"/>
    </row>
    <row r="54" spans="1:14" ht="20.25" customHeight="1" x14ac:dyDescent="0.25">
      <c r="A54" s="1407">
        <v>22</v>
      </c>
      <c r="B54" s="1407"/>
      <c r="C54" s="1407"/>
      <c r="D54" s="1407"/>
      <c r="E54" s="1407"/>
      <c r="F54" s="1407"/>
      <c r="G54" s="1407"/>
      <c r="H54" s="1407"/>
      <c r="I54" s="1407"/>
      <c r="J54" s="1407"/>
    </row>
  </sheetData>
  <customSheetViews>
    <customSheetView guid="{39716EAB-185B-4ADF-90CF-1B1041867F58}" showPageBreaks="1" printArea="1" hiddenRows="1" view="pageBreakPreview" topLeftCell="A20">
      <selection activeCell="G34" sqref="G34"/>
      <pageMargins left="0.39370078740157499" right="0.78740157480314998" top="0.39370078740157499" bottom="0.39370078740157499" header="0.31496062992126" footer="0.31496062992126"/>
      <pageSetup paperSize="9" scale="63" orientation="portrait" r:id="rId1"/>
    </customSheetView>
    <customSheetView guid="{5CB8382F-C212-4512-9396-17792C62978E}" showPageBreaks="1" printArea="1" hiddenRows="1" view="pageBreakPreview" topLeftCell="A20">
      <selection activeCell="G34" sqref="G34"/>
      <pageMargins left="0.39370078740157499" right="0.78740157480314998" top="0.39370078740157499" bottom="0.39370078740157499" header="0.31496062992126" footer="0.31496062992126"/>
      <pageSetup paperSize="9" scale="63" orientation="portrait" r:id="rId2"/>
    </customSheetView>
    <customSheetView guid="{184BCED3-EADB-44CF-BFDA-DA8D3E7206C0}" showPageBreaks="1" printArea="1" hiddenRows="1" view="pageBreakPreview" topLeftCell="A55">
      <selection activeCell="D58" sqref="D58"/>
      <pageMargins left="0.39370078740157499" right="0.78740157480314998" top="0.39370078740157499" bottom="0.39370078740157499" header="0.31496062992126" footer="0.31496062992126"/>
      <pageSetup paperSize="9" scale="63" orientation="portrait" r:id="rId3"/>
    </customSheetView>
  </customSheetViews>
  <mergeCells count="13">
    <mergeCell ref="A54:J54"/>
    <mergeCell ref="D37:G37"/>
    <mergeCell ref="B8:D8"/>
    <mergeCell ref="B9:D9"/>
    <mergeCell ref="B13:D13"/>
    <mergeCell ref="B19:D19"/>
    <mergeCell ref="B20:D20"/>
    <mergeCell ref="B26:D26"/>
    <mergeCell ref="A1:J1"/>
    <mergeCell ref="A2:J2"/>
    <mergeCell ref="A3:J3"/>
    <mergeCell ref="B4:G4"/>
    <mergeCell ref="B5:D5"/>
  </mergeCells>
  <conditionalFormatting sqref="G10:G12">
    <cfRule type="cellIs" dxfId="63" priority="4" stopIfTrue="1" operator="lessThan">
      <formula>0</formula>
    </cfRule>
  </conditionalFormatting>
  <conditionalFormatting sqref="G14:G17">
    <cfRule type="cellIs" dxfId="62" priority="2" stopIfTrue="1" operator="lessThan">
      <formula>0</formula>
    </cfRule>
  </conditionalFormatting>
  <conditionalFormatting sqref="G52">
    <cfRule type="cellIs" dxfId="61" priority="1" stopIfTrue="1" operator="lessThan">
      <formula>0</formula>
    </cfRule>
  </conditionalFormatting>
  <conditionalFormatting sqref="I10:I12 G27:G32 I27:I34 I40:I52">
    <cfRule type="cellIs" dxfId="60" priority="19" stopIfTrue="1" operator="lessThan">
      <formula>0</formula>
    </cfRule>
  </conditionalFormatting>
  <conditionalFormatting sqref="I14:I17">
    <cfRule type="cellIs" dxfId="59" priority="15" stopIfTrue="1" operator="lessThan">
      <formula>0</formula>
    </cfRule>
  </conditionalFormatting>
  <conditionalFormatting sqref="I23:I24">
    <cfRule type="cellIs" dxfId="58" priority="13" stopIfTrue="1" operator="lessThan">
      <formula>0</formula>
    </cfRule>
  </conditionalFormatting>
  <hyperlinks>
    <hyperlink ref="A1:XFD3" r:id="rId4" display="http://modiriatmali.com/" xr:uid="{00000000-0004-0000-1700-000000000000}"/>
  </hyperlinks>
  <printOptions horizontalCentered="1"/>
  <pageMargins left="0" right="0" top="0.39370078740157499" bottom="0.39370078740157499" header="0.31496062992126" footer="0.31496062992126"/>
  <pageSetup paperSize="9" scale="70" orientation="portrait" r:id="rId5"/>
  <ignoredErrors>
    <ignoredError sqref="E15 E31 E29" twoDigitTextYear="1"/>
  </ignoredErrors>
  <legacyDrawing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O85"/>
  <sheetViews>
    <sheetView rightToLeft="1" view="pageBreakPreview" topLeftCell="B1" zoomScale="93" zoomScaleSheetLayoutView="93" workbookViewId="0">
      <selection activeCell="G24" sqref="G24"/>
    </sheetView>
  </sheetViews>
  <sheetFormatPr defaultRowHeight="15.75" x14ac:dyDescent="0.25"/>
  <cols>
    <col min="1" max="1" width="5" style="377" hidden="1" customWidth="1"/>
    <col min="2" max="2" width="6.85546875" style="379" bestFit="1" customWidth="1"/>
    <col min="3" max="3" width="0.7109375" style="379" customWidth="1"/>
    <col min="4" max="4" width="49.140625" style="379" customWidth="1"/>
    <col min="5" max="5" width="4.7109375" style="379" customWidth="1"/>
    <col min="6" max="6" width="0.7109375" style="379" customWidth="1"/>
    <col min="7" max="7" width="25.5703125" style="379" bestFit="1" customWidth="1"/>
    <col min="8" max="8" width="0.85546875" style="379" customWidth="1"/>
    <col min="9" max="9" width="24.28515625" style="379" bestFit="1" customWidth="1"/>
    <col min="10" max="11" width="1.85546875" style="379" customWidth="1"/>
    <col min="12" max="12" width="15.5703125" style="441" bestFit="1" customWidth="1"/>
    <col min="13" max="13" width="15.28515625" style="441" bestFit="1" customWidth="1"/>
    <col min="14" max="14" width="18.140625" style="379" bestFit="1" customWidth="1"/>
    <col min="15" max="15" width="10.42578125" style="379" bestFit="1" customWidth="1"/>
    <col min="16" max="16" width="5" style="379" customWidth="1"/>
    <col min="17" max="17" width="10.42578125" style="379" bestFit="1" customWidth="1"/>
    <col min="18" max="20" width="9.140625" style="379"/>
    <col min="21" max="21" width="10.42578125" style="379" bestFit="1" customWidth="1"/>
    <col min="22" max="250" width="9.140625" style="379"/>
    <col min="251" max="251" width="3.5703125" style="379" customWidth="1"/>
    <col min="252" max="252" width="4.85546875" style="379" customWidth="1"/>
    <col min="253" max="253" width="5.42578125" style="379" customWidth="1"/>
    <col min="254" max="254" width="31.28515625" style="379" customWidth="1"/>
    <col min="255" max="255" width="7.5703125" style="379" customWidth="1"/>
    <col min="256" max="256" width="2.42578125" style="379" customWidth="1"/>
    <col min="257" max="257" width="11.5703125" style="379" customWidth="1"/>
    <col min="258" max="258" width="2.42578125" style="379" customWidth="1"/>
    <col min="259" max="259" width="11.5703125" style="379" customWidth="1"/>
    <col min="260" max="260" width="2.42578125" style="379" customWidth="1"/>
    <col min="261" max="261" width="10.85546875" style="379" customWidth="1"/>
    <col min="262" max="262" width="2.42578125" style="379" customWidth="1"/>
    <col min="263" max="263" width="11.140625" style="379" customWidth="1"/>
    <col min="264" max="264" width="1.85546875" style="379" customWidth="1"/>
    <col min="265" max="265" width="11" style="379" customWidth="1"/>
    <col min="266" max="266" width="0.7109375" style="379" customWidth="1"/>
    <col min="267" max="267" width="1.85546875" style="379" customWidth="1"/>
    <col min="268" max="268" width="11.85546875" style="379" bestFit="1" customWidth="1"/>
    <col min="269" max="269" width="15.28515625" style="379" bestFit="1" customWidth="1"/>
    <col min="270" max="270" width="5" style="379" customWidth="1"/>
    <col min="271" max="271" width="10.42578125" style="379" bestFit="1" customWidth="1"/>
    <col min="272" max="272" width="5" style="379" customWidth="1"/>
    <col min="273" max="273" width="10.42578125" style="379" bestFit="1" customWidth="1"/>
    <col min="274" max="276" width="9.140625" style="379"/>
    <col min="277" max="277" width="10.42578125" style="379" bestFit="1" customWidth="1"/>
    <col min="278" max="506" width="9.140625" style="379"/>
    <col min="507" max="507" width="3.5703125" style="379" customWidth="1"/>
    <col min="508" max="508" width="4.85546875" style="379" customWidth="1"/>
    <col min="509" max="509" width="5.42578125" style="379" customWidth="1"/>
    <col min="510" max="510" width="31.28515625" style="379" customWidth="1"/>
    <col min="511" max="511" width="7.5703125" style="379" customWidth="1"/>
    <col min="512" max="512" width="2.42578125" style="379" customWidth="1"/>
    <col min="513" max="513" width="11.5703125" style="379" customWidth="1"/>
    <col min="514" max="514" width="2.42578125" style="379" customWidth="1"/>
    <col min="515" max="515" width="11.5703125" style="379" customWidth="1"/>
    <col min="516" max="516" width="2.42578125" style="379" customWidth="1"/>
    <col min="517" max="517" width="10.85546875" style="379" customWidth="1"/>
    <col min="518" max="518" width="2.42578125" style="379" customWidth="1"/>
    <col min="519" max="519" width="11.140625" style="379" customWidth="1"/>
    <col min="520" max="520" width="1.85546875" style="379" customWidth="1"/>
    <col min="521" max="521" width="11" style="379" customWidth="1"/>
    <col min="522" max="522" width="0.7109375" style="379" customWidth="1"/>
    <col min="523" max="523" width="1.85546875" style="379" customWidth="1"/>
    <col min="524" max="524" width="11.85546875" style="379" bestFit="1" customWidth="1"/>
    <col min="525" max="525" width="15.28515625" style="379" bestFit="1" customWidth="1"/>
    <col min="526" max="526" width="5" style="379" customWidth="1"/>
    <col min="527" max="527" width="10.42578125" style="379" bestFit="1" customWidth="1"/>
    <col min="528" max="528" width="5" style="379" customWidth="1"/>
    <col min="529" max="529" width="10.42578125" style="379" bestFit="1" customWidth="1"/>
    <col min="530" max="532" width="9.140625" style="379"/>
    <col min="533" max="533" width="10.42578125" style="379" bestFit="1" customWidth="1"/>
    <col min="534" max="762" width="9.140625" style="379"/>
    <col min="763" max="763" width="3.5703125" style="379" customWidth="1"/>
    <col min="764" max="764" width="4.85546875" style="379" customWidth="1"/>
    <col min="765" max="765" width="5.42578125" style="379" customWidth="1"/>
    <col min="766" max="766" width="31.28515625" style="379" customWidth="1"/>
    <col min="767" max="767" width="7.5703125" style="379" customWidth="1"/>
    <col min="768" max="768" width="2.42578125" style="379" customWidth="1"/>
    <col min="769" max="769" width="11.5703125" style="379" customWidth="1"/>
    <col min="770" max="770" width="2.42578125" style="379" customWidth="1"/>
    <col min="771" max="771" width="11.5703125" style="379" customWidth="1"/>
    <col min="772" max="772" width="2.42578125" style="379" customWidth="1"/>
    <col min="773" max="773" width="10.85546875" style="379" customWidth="1"/>
    <col min="774" max="774" width="2.42578125" style="379" customWidth="1"/>
    <col min="775" max="775" width="11.140625" style="379" customWidth="1"/>
    <col min="776" max="776" width="1.85546875" style="379" customWidth="1"/>
    <col min="777" max="777" width="11" style="379" customWidth="1"/>
    <col min="778" max="778" width="0.7109375" style="379" customWidth="1"/>
    <col min="779" max="779" width="1.85546875" style="379" customWidth="1"/>
    <col min="780" max="780" width="11.85546875" style="379" bestFit="1" customWidth="1"/>
    <col min="781" max="781" width="15.28515625" style="379" bestFit="1" customWidth="1"/>
    <col min="782" max="782" width="5" style="379" customWidth="1"/>
    <col min="783" max="783" width="10.42578125" style="379" bestFit="1" customWidth="1"/>
    <col min="784" max="784" width="5" style="379" customWidth="1"/>
    <col min="785" max="785" width="10.42578125" style="379" bestFit="1" customWidth="1"/>
    <col min="786" max="788" width="9.140625" style="379"/>
    <col min="789" max="789" width="10.42578125" style="379" bestFit="1" customWidth="1"/>
    <col min="790" max="1018" width="9.140625" style="379"/>
    <col min="1019" max="1019" width="3.5703125" style="379" customWidth="1"/>
    <col min="1020" max="1020" width="4.85546875" style="379" customWidth="1"/>
    <col min="1021" max="1021" width="5.42578125" style="379" customWidth="1"/>
    <col min="1022" max="1022" width="31.28515625" style="379" customWidth="1"/>
    <col min="1023" max="1023" width="7.5703125" style="379" customWidth="1"/>
    <col min="1024" max="1024" width="2.42578125" style="379" customWidth="1"/>
    <col min="1025" max="1025" width="11.5703125" style="379" customWidth="1"/>
    <col min="1026" max="1026" width="2.42578125" style="379" customWidth="1"/>
    <col min="1027" max="1027" width="11.5703125" style="379" customWidth="1"/>
    <col min="1028" max="1028" width="2.42578125" style="379" customWidth="1"/>
    <col min="1029" max="1029" width="10.85546875" style="379" customWidth="1"/>
    <col min="1030" max="1030" width="2.42578125" style="379" customWidth="1"/>
    <col min="1031" max="1031" width="11.140625" style="379" customWidth="1"/>
    <col min="1032" max="1032" width="1.85546875" style="379" customWidth="1"/>
    <col min="1033" max="1033" width="11" style="379" customWidth="1"/>
    <col min="1034" max="1034" width="0.7109375" style="379" customWidth="1"/>
    <col min="1035" max="1035" width="1.85546875" style="379" customWidth="1"/>
    <col min="1036" max="1036" width="11.85546875" style="379" bestFit="1" customWidth="1"/>
    <col min="1037" max="1037" width="15.28515625" style="379" bestFit="1" customWidth="1"/>
    <col min="1038" max="1038" width="5" style="379" customWidth="1"/>
    <col min="1039" max="1039" width="10.42578125" style="379" bestFit="1" customWidth="1"/>
    <col min="1040" max="1040" width="5" style="379" customWidth="1"/>
    <col min="1041" max="1041" width="10.42578125" style="379" bestFit="1" customWidth="1"/>
    <col min="1042" max="1044" width="9.140625" style="379"/>
    <col min="1045" max="1045" width="10.42578125" style="379" bestFit="1" customWidth="1"/>
    <col min="1046" max="1274" width="9.140625" style="379"/>
    <col min="1275" max="1275" width="3.5703125" style="379" customWidth="1"/>
    <col min="1276" max="1276" width="4.85546875" style="379" customWidth="1"/>
    <col min="1277" max="1277" width="5.42578125" style="379" customWidth="1"/>
    <col min="1278" max="1278" width="31.28515625" style="379" customWidth="1"/>
    <col min="1279" max="1279" width="7.5703125" style="379" customWidth="1"/>
    <col min="1280" max="1280" width="2.42578125" style="379" customWidth="1"/>
    <col min="1281" max="1281" width="11.5703125" style="379" customWidth="1"/>
    <col min="1282" max="1282" width="2.42578125" style="379" customWidth="1"/>
    <col min="1283" max="1283" width="11.5703125" style="379" customWidth="1"/>
    <col min="1284" max="1284" width="2.42578125" style="379" customWidth="1"/>
    <col min="1285" max="1285" width="10.85546875" style="379" customWidth="1"/>
    <col min="1286" max="1286" width="2.42578125" style="379" customWidth="1"/>
    <col min="1287" max="1287" width="11.140625" style="379" customWidth="1"/>
    <col min="1288" max="1288" width="1.85546875" style="379" customWidth="1"/>
    <col min="1289" max="1289" width="11" style="379" customWidth="1"/>
    <col min="1290" max="1290" width="0.7109375" style="379" customWidth="1"/>
    <col min="1291" max="1291" width="1.85546875" style="379" customWidth="1"/>
    <col min="1292" max="1292" width="11.85546875" style="379" bestFit="1" customWidth="1"/>
    <col min="1293" max="1293" width="15.28515625" style="379" bestFit="1" customWidth="1"/>
    <col min="1294" max="1294" width="5" style="379" customWidth="1"/>
    <col min="1295" max="1295" width="10.42578125" style="379" bestFit="1" customWidth="1"/>
    <col min="1296" max="1296" width="5" style="379" customWidth="1"/>
    <col min="1297" max="1297" width="10.42578125" style="379" bestFit="1" customWidth="1"/>
    <col min="1298" max="1300" width="9.140625" style="379"/>
    <col min="1301" max="1301" width="10.42578125" style="379" bestFit="1" customWidth="1"/>
    <col min="1302" max="1530" width="9.140625" style="379"/>
    <col min="1531" max="1531" width="3.5703125" style="379" customWidth="1"/>
    <col min="1532" max="1532" width="4.85546875" style="379" customWidth="1"/>
    <col min="1533" max="1533" width="5.42578125" style="379" customWidth="1"/>
    <col min="1534" max="1534" width="31.28515625" style="379" customWidth="1"/>
    <col min="1535" max="1535" width="7.5703125" style="379" customWidth="1"/>
    <col min="1536" max="1536" width="2.42578125" style="379" customWidth="1"/>
    <col min="1537" max="1537" width="11.5703125" style="379" customWidth="1"/>
    <col min="1538" max="1538" width="2.42578125" style="379" customWidth="1"/>
    <col min="1539" max="1539" width="11.5703125" style="379" customWidth="1"/>
    <col min="1540" max="1540" width="2.42578125" style="379" customWidth="1"/>
    <col min="1541" max="1541" width="10.85546875" style="379" customWidth="1"/>
    <col min="1542" max="1542" width="2.42578125" style="379" customWidth="1"/>
    <col min="1543" max="1543" width="11.140625" style="379" customWidth="1"/>
    <col min="1544" max="1544" width="1.85546875" style="379" customWidth="1"/>
    <col min="1545" max="1545" width="11" style="379" customWidth="1"/>
    <col min="1546" max="1546" width="0.7109375" style="379" customWidth="1"/>
    <col min="1547" max="1547" width="1.85546875" style="379" customWidth="1"/>
    <col min="1548" max="1548" width="11.85546875" style="379" bestFit="1" customWidth="1"/>
    <col min="1549" max="1549" width="15.28515625" style="379" bestFit="1" customWidth="1"/>
    <col min="1550" max="1550" width="5" style="379" customWidth="1"/>
    <col min="1551" max="1551" width="10.42578125" style="379" bestFit="1" customWidth="1"/>
    <col min="1552" max="1552" width="5" style="379" customWidth="1"/>
    <col min="1553" max="1553" width="10.42578125" style="379" bestFit="1" customWidth="1"/>
    <col min="1554" max="1556" width="9.140625" style="379"/>
    <col min="1557" max="1557" width="10.42578125" style="379" bestFit="1" customWidth="1"/>
    <col min="1558" max="1786" width="9.140625" style="379"/>
    <col min="1787" max="1787" width="3.5703125" style="379" customWidth="1"/>
    <col min="1788" max="1788" width="4.85546875" style="379" customWidth="1"/>
    <col min="1789" max="1789" width="5.42578125" style="379" customWidth="1"/>
    <col min="1790" max="1790" width="31.28515625" style="379" customWidth="1"/>
    <col min="1791" max="1791" width="7.5703125" style="379" customWidth="1"/>
    <col min="1792" max="1792" width="2.42578125" style="379" customWidth="1"/>
    <col min="1793" max="1793" width="11.5703125" style="379" customWidth="1"/>
    <col min="1794" max="1794" width="2.42578125" style="379" customWidth="1"/>
    <col min="1795" max="1795" width="11.5703125" style="379" customWidth="1"/>
    <col min="1796" max="1796" width="2.42578125" style="379" customWidth="1"/>
    <col min="1797" max="1797" width="10.85546875" style="379" customWidth="1"/>
    <col min="1798" max="1798" width="2.42578125" style="379" customWidth="1"/>
    <col min="1799" max="1799" width="11.140625" style="379" customWidth="1"/>
    <col min="1800" max="1800" width="1.85546875" style="379" customWidth="1"/>
    <col min="1801" max="1801" width="11" style="379" customWidth="1"/>
    <col min="1802" max="1802" width="0.7109375" style="379" customWidth="1"/>
    <col min="1803" max="1803" width="1.85546875" style="379" customWidth="1"/>
    <col min="1804" max="1804" width="11.85546875" style="379" bestFit="1" customWidth="1"/>
    <col min="1805" max="1805" width="15.28515625" style="379" bestFit="1" customWidth="1"/>
    <col min="1806" max="1806" width="5" style="379" customWidth="1"/>
    <col min="1807" max="1807" width="10.42578125" style="379" bestFit="1" customWidth="1"/>
    <col min="1808" max="1808" width="5" style="379" customWidth="1"/>
    <col min="1809" max="1809" width="10.42578125" style="379" bestFit="1" customWidth="1"/>
    <col min="1810" max="1812" width="9.140625" style="379"/>
    <col min="1813" max="1813" width="10.42578125" style="379" bestFit="1" customWidth="1"/>
    <col min="1814" max="2042" width="9.140625" style="379"/>
    <col min="2043" max="2043" width="3.5703125" style="379" customWidth="1"/>
    <col min="2044" max="2044" width="4.85546875" style="379" customWidth="1"/>
    <col min="2045" max="2045" width="5.42578125" style="379" customWidth="1"/>
    <col min="2046" max="2046" width="31.28515625" style="379" customWidth="1"/>
    <col min="2047" max="2047" width="7.5703125" style="379" customWidth="1"/>
    <col min="2048" max="2048" width="2.42578125" style="379" customWidth="1"/>
    <col min="2049" max="2049" width="11.5703125" style="379" customWidth="1"/>
    <col min="2050" max="2050" width="2.42578125" style="379" customWidth="1"/>
    <col min="2051" max="2051" width="11.5703125" style="379" customWidth="1"/>
    <col min="2052" max="2052" width="2.42578125" style="379" customWidth="1"/>
    <col min="2053" max="2053" width="10.85546875" style="379" customWidth="1"/>
    <col min="2054" max="2054" width="2.42578125" style="379" customWidth="1"/>
    <col min="2055" max="2055" width="11.140625" style="379" customWidth="1"/>
    <col min="2056" max="2056" width="1.85546875" style="379" customWidth="1"/>
    <col min="2057" max="2057" width="11" style="379" customWidth="1"/>
    <col min="2058" max="2058" width="0.7109375" style="379" customWidth="1"/>
    <col min="2059" max="2059" width="1.85546875" style="379" customWidth="1"/>
    <col min="2060" max="2060" width="11.85546875" style="379" bestFit="1" customWidth="1"/>
    <col min="2061" max="2061" width="15.28515625" style="379" bestFit="1" customWidth="1"/>
    <col min="2062" max="2062" width="5" style="379" customWidth="1"/>
    <col min="2063" max="2063" width="10.42578125" style="379" bestFit="1" customWidth="1"/>
    <col min="2064" max="2064" width="5" style="379" customWidth="1"/>
    <col min="2065" max="2065" width="10.42578125" style="379" bestFit="1" customWidth="1"/>
    <col min="2066" max="2068" width="9.140625" style="379"/>
    <col min="2069" max="2069" width="10.42578125" style="379" bestFit="1" customWidth="1"/>
    <col min="2070" max="2298" width="9.140625" style="379"/>
    <col min="2299" max="2299" width="3.5703125" style="379" customWidth="1"/>
    <col min="2300" max="2300" width="4.85546875" style="379" customWidth="1"/>
    <col min="2301" max="2301" width="5.42578125" style="379" customWidth="1"/>
    <col min="2302" max="2302" width="31.28515625" style="379" customWidth="1"/>
    <col min="2303" max="2303" width="7.5703125" style="379" customWidth="1"/>
    <col min="2304" max="2304" width="2.42578125" style="379" customWidth="1"/>
    <col min="2305" max="2305" width="11.5703125" style="379" customWidth="1"/>
    <col min="2306" max="2306" width="2.42578125" style="379" customWidth="1"/>
    <col min="2307" max="2307" width="11.5703125" style="379" customWidth="1"/>
    <col min="2308" max="2308" width="2.42578125" style="379" customWidth="1"/>
    <col min="2309" max="2309" width="10.85546875" style="379" customWidth="1"/>
    <col min="2310" max="2310" width="2.42578125" style="379" customWidth="1"/>
    <col min="2311" max="2311" width="11.140625" style="379" customWidth="1"/>
    <col min="2312" max="2312" width="1.85546875" style="379" customWidth="1"/>
    <col min="2313" max="2313" width="11" style="379" customWidth="1"/>
    <col min="2314" max="2314" width="0.7109375" style="379" customWidth="1"/>
    <col min="2315" max="2315" width="1.85546875" style="379" customWidth="1"/>
    <col min="2316" max="2316" width="11.85546875" style="379" bestFit="1" customWidth="1"/>
    <col min="2317" max="2317" width="15.28515625" style="379" bestFit="1" customWidth="1"/>
    <col min="2318" max="2318" width="5" style="379" customWidth="1"/>
    <col min="2319" max="2319" width="10.42578125" style="379" bestFit="1" customWidth="1"/>
    <col min="2320" max="2320" width="5" style="379" customWidth="1"/>
    <col min="2321" max="2321" width="10.42578125" style="379" bestFit="1" customWidth="1"/>
    <col min="2322" max="2324" width="9.140625" style="379"/>
    <col min="2325" max="2325" width="10.42578125" style="379" bestFit="1" customWidth="1"/>
    <col min="2326" max="2554" width="9.140625" style="379"/>
    <col min="2555" max="2555" width="3.5703125" style="379" customWidth="1"/>
    <col min="2556" max="2556" width="4.85546875" style="379" customWidth="1"/>
    <col min="2557" max="2557" width="5.42578125" style="379" customWidth="1"/>
    <col min="2558" max="2558" width="31.28515625" style="379" customWidth="1"/>
    <col min="2559" max="2559" width="7.5703125" style="379" customWidth="1"/>
    <col min="2560" max="2560" width="2.42578125" style="379" customWidth="1"/>
    <col min="2561" max="2561" width="11.5703125" style="379" customWidth="1"/>
    <col min="2562" max="2562" width="2.42578125" style="379" customWidth="1"/>
    <col min="2563" max="2563" width="11.5703125" style="379" customWidth="1"/>
    <col min="2564" max="2564" width="2.42578125" style="379" customWidth="1"/>
    <col min="2565" max="2565" width="10.85546875" style="379" customWidth="1"/>
    <col min="2566" max="2566" width="2.42578125" style="379" customWidth="1"/>
    <col min="2567" max="2567" width="11.140625" style="379" customWidth="1"/>
    <col min="2568" max="2568" width="1.85546875" style="379" customWidth="1"/>
    <col min="2569" max="2569" width="11" style="379" customWidth="1"/>
    <col min="2570" max="2570" width="0.7109375" style="379" customWidth="1"/>
    <col min="2571" max="2571" width="1.85546875" style="379" customWidth="1"/>
    <col min="2572" max="2572" width="11.85546875" style="379" bestFit="1" customWidth="1"/>
    <col min="2573" max="2573" width="15.28515625" style="379" bestFit="1" customWidth="1"/>
    <col min="2574" max="2574" width="5" style="379" customWidth="1"/>
    <col min="2575" max="2575" width="10.42578125" style="379" bestFit="1" customWidth="1"/>
    <col min="2576" max="2576" width="5" style="379" customWidth="1"/>
    <col min="2577" max="2577" width="10.42578125" style="379" bestFit="1" customWidth="1"/>
    <col min="2578" max="2580" width="9.140625" style="379"/>
    <col min="2581" max="2581" width="10.42578125" style="379" bestFit="1" customWidth="1"/>
    <col min="2582" max="2810" width="9.140625" style="379"/>
    <col min="2811" max="2811" width="3.5703125" style="379" customWidth="1"/>
    <col min="2812" max="2812" width="4.85546875" style="379" customWidth="1"/>
    <col min="2813" max="2813" width="5.42578125" style="379" customWidth="1"/>
    <col min="2814" max="2814" width="31.28515625" style="379" customWidth="1"/>
    <col min="2815" max="2815" width="7.5703125" style="379" customWidth="1"/>
    <col min="2816" max="2816" width="2.42578125" style="379" customWidth="1"/>
    <col min="2817" max="2817" width="11.5703125" style="379" customWidth="1"/>
    <col min="2818" max="2818" width="2.42578125" style="379" customWidth="1"/>
    <col min="2819" max="2819" width="11.5703125" style="379" customWidth="1"/>
    <col min="2820" max="2820" width="2.42578125" style="379" customWidth="1"/>
    <col min="2821" max="2821" width="10.85546875" style="379" customWidth="1"/>
    <col min="2822" max="2822" width="2.42578125" style="379" customWidth="1"/>
    <col min="2823" max="2823" width="11.140625" style="379" customWidth="1"/>
    <col min="2824" max="2824" width="1.85546875" style="379" customWidth="1"/>
    <col min="2825" max="2825" width="11" style="379" customWidth="1"/>
    <col min="2826" max="2826" width="0.7109375" style="379" customWidth="1"/>
    <col min="2827" max="2827" width="1.85546875" style="379" customWidth="1"/>
    <col min="2828" max="2828" width="11.85546875" style="379" bestFit="1" customWidth="1"/>
    <col min="2829" max="2829" width="15.28515625" style="379" bestFit="1" customWidth="1"/>
    <col min="2830" max="2830" width="5" style="379" customWidth="1"/>
    <col min="2831" max="2831" width="10.42578125" style="379" bestFit="1" customWidth="1"/>
    <col min="2832" max="2832" width="5" style="379" customWidth="1"/>
    <col min="2833" max="2833" width="10.42578125" style="379" bestFit="1" customWidth="1"/>
    <col min="2834" max="2836" width="9.140625" style="379"/>
    <col min="2837" max="2837" width="10.42578125" style="379" bestFit="1" customWidth="1"/>
    <col min="2838" max="3066" width="9.140625" style="379"/>
    <col min="3067" max="3067" width="3.5703125" style="379" customWidth="1"/>
    <col min="3068" max="3068" width="4.85546875" style="379" customWidth="1"/>
    <col min="3069" max="3069" width="5.42578125" style="379" customWidth="1"/>
    <col min="3070" max="3070" width="31.28515625" style="379" customWidth="1"/>
    <col min="3071" max="3071" width="7.5703125" style="379" customWidth="1"/>
    <col min="3072" max="3072" width="2.42578125" style="379" customWidth="1"/>
    <col min="3073" max="3073" width="11.5703125" style="379" customWidth="1"/>
    <col min="3074" max="3074" width="2.42578125" style="379" customWidth="1"/>
    <col min="3075" max="3075" width="11.5703125" style="379" customWidth="1"/>
    <col min="3076" max="3076" width="2.42578125" style="379" customWidth="1"/>
    <col min="3077" max="3077" width="10.85546875" style="379" customWidth="1"/>
    <col min="3078" max="3078" width="2.42578125" style="379" customWidth="1"/>
    <col min="3079" max="3079" width="11.140625" style="379" customWidth="1"/>
    <col min="3080" max="3080" width="1.85546875" style="379" customWidth="1"/>
    <col min="3081" max="3081" width="11" style="379" customWidth="1"/>
    <col min="3082" max="3082" width="0.7109375" style="379" customWidth="1"/>
    <col min="3083" max="3083" width="1.85546875" style="379" customWidth="1"/>
    <col min="3084" max="3084" width="11.85546875" style="379" bestFit="1" customWidth="1"/>
    <col min="3085" max="3085" width="15.28515625" style="379" bestFit="1" customWidth="1"/>
    <col min="3086" max="3086" width="5" style="379" customWidth="1"/>
    <col min="3087" max="3087" width="10.42578125" style="379" bestFit="1" customWidth="1"/>
    <col min="3088" max="3088" width="5" style="379" customWidth="1"/>
    <col min="3089" max="3089" width="10.42578125" style="379" bestFit="1" customWidth="1"/>
    <col min="3090" max="3092" width="9.140625" style="379"/>
    <col min="3093" max="3093" width="10.42578125" style="379" bestFit="1" customWidth="1"/>
    <col min="3094" max="3322" width="9.140625" style="379"/>
    <col min="3323" max="3323" width="3.5703125" style="379" customWidth="1"/>
    <col min="3324" max="3324" width="4.85546875" style="379" customWidth="1"/>
    <col min="3325" max="3325" width="5.42578125" style="379" customWidth="1"/>
    <col min="3326" max="3326" width="31.28515625" style="379" customWidth="1"/>
    <col min="3327" max="3327" width="7.5703125" style="379" customWidth="1"/>
    <col min="3328" max="3328" width="2.42578125" style="379" customWidth="1"/>
    <col min="3329" max="3329" width="11.5703125" style="379" customWidth="1"/>
    <col min="3330" max="3330" width="2.42578125" style="379" customWidth="1"/>
    <col min="3331" max="3331" width="11.5703125" style="379" customWidth="1"/>
    <col min="3332" max="3332" width="2.42578125" style="379" customWidth="1"/>
    <col min="3333" max="3333" width="10.85546875" style="379" customWidth="1"/>
    <col min="3334" max="3334" width="2.42578125" style="379" customWidth="1"/>
    <col min="3335" max="3335" width="11.140625" style="379" customWidth="1"/>
    <col min="3336" max="3336" width="1.85546875" style="379" customWidth="1"/>
    <col min="3337" max="3337" width="11" style="379" customWidth="1"/>
    <col min="3338" max="3338" width="0.7109375" style="379" customWidth="1"/>
    <col min="3339" max="3339" width="1.85546875" style="379" customWidth="1"/>
    <col min="3340" max="3340" width="11.85546875" style="379" bestFit="1" customWidth="1"/>
    <col min="3341" max="3341" width="15.28515625" style="379" bestFit="1" customWidth="1"/>
    <col min="3342" max="3342" width="5" style="379" customWidth="1"/>
    <col min="3343" max="3343" width="10.42578125" style="379" bestFit="1" customWidth="1"/>
    <col min="3344" max="3344" width="5" style="379" customWidth="1"/>
    <col min="3345" max="3345" width="10.42578125" style="379" bestFit="1" customWidth="1"/>
    <col min="3346" max="3348" width="9.140625" style="379"/>
    <col min="3349" max="3349" width="10.42578125" style="379" bestFit="1" customWidth="1"/>
    <col min="3350" max="3578" width="9.140625" style="379"/>
    <col min="3579" max="3579" width="3.5703125" style="379" customWidth="1"/>
    <col min="3580" max="3580" width="4.85546875" style="379" customWidth="1"/>
    <col min="3581" max="3581" width="5.42578125" style="379" customWidth="1"/>
    <col min="3582" max="3582" width="31.28515625" style="379" customWidth="1"/>
    <col min="3583" max="3583" width="7.5703125" style="379" customWidth="1"/>
    <col min="3584" max="3584" width="2.42578125" style="379" customWidth="1"/>
    <col min="3585" max="3585" width="11.5703125" style="379" customWidth="1"/>
    <col min="3586" max="3586" width="2.42578125" style="379" customWidth="1"/>
    <col min="3587" max="3587" width="11.5703125" style="379" customWidth="1"/>
    <col min="3588" max="3588" width="2.42578125" style="379" customWidth="1"/>
    <col min="3589" max="3589" width="10.85546875" style="379" customWidth="1"/>
    <col min="3590" max="3590" width="2.42578125" style="379" customWidth="1"/>
    <col min="3591" max="3591" width="11.140625" style="379" customWidth="1"/>
    <col min="3592" max="3592" width="1.85546875" style="379" customWidth="1"/>
    <col min="3593" max="3593" width="11" style="379" customWidth="1"/>
    <col min="3594" max="3594" width="0.7109375" style="379" customWidth="1"/>
    <col min="3595" max="3595" width="1.85546875" style="379" customWidth="1"/>
    <col min="3596" max="3596" width="11.85546875" style="379" bestFit="1" customWidth="1"/>
    <col min="3597" max="3597" width="15.28515625" style="379" bestFit="1" customWidth="1"/>
    <col min="3598" max="3598" width="5" style="379" customWidth="1"/>
    <col min="3599" max="3599" width="10.42578125" style="379" bestFit="1" customWidth="1"/>
    <col min="3600" max="3600" width="5" style="379" customWidth="1"/>
    <col min="3601" max="3601" width="10.42578125" style="379" bestFit="1" customWidth="1"/>
    <col min="3602" max="3604" width="9.140625" style="379"/>
    <col min="3605" max="3605" width="10.42578125" style="379" bestFit="1" customWidth="1"/>
    <col min="3606" max="3834" width="9.140625" style="379"/>
    <col min="3835" max="3835" width="3.5703125" style="379" customWidth="1"/>
    <col min="3836" max="3836" width="4.85546875" style="379" customWidth="1"/>
    <col min="3837" max="3837" width="5.42578125" style="379" customWidth="1"/>
    <col min="3838" max="3838" width="31.28515625" style="379" customWidth="1"/>
    <col min="3839" max="3839" width="7.5703125" style="379" customWidth="1"/>
    <col min="3840" max="3840" width="2.42578125" style="379" customWidth="1"/>
    <col min="3841" max="3841" width="11.5703125" style="379" customWidth="1"/>
    <col min="3842" max="3842" width="2.42578125" style="379" customWidth="1"/>
    <col min="3843" max="3843" width="11.5703125" style="379" customWidth="1"/>
    <col min="3844" max="3844" width="2.42578125" style="379" customWidth="1"/>
    <col min="3845" max="3845" width="10.85546875" style="379" customWidth="1"/>
    <col min="3846" max="3846" width="2.42578125" style="379" customWidth="1"/>
    <col min="3847" max="3847" width="11.140625" style="379" customWidth="1"/>
    <col min="3848" max="3848" width="1.85546875" style="379" customWidth="1"/>
    <col min="3849" max="3849" width="11" style="379" customWidth="1"/>
    <col min="3850" max="3850" width="0.7109375" style="379" customWidth="1"/>
    <col min="3851" max="3851" width="1.85546875" style="379" customWidth="1"/>
    <col min="3852" max="3852" width="11.85546875" style="379" bestFit="1" customWidth="1"/>
    <col min="3853" max="3853" width="15.28515625" style="379" bestFit="1" customWidth="1"/>
    <col min="3854" max="3854" width="5" style="379" customWidth="1"/>
    <col min="3855" max="3855" width="10.42578125" style="379" bestFit="1" customWidth="1"/>
    <col min="3856" max="3856" width="5" style="379" customWidth="1"/>
    <col min="3857" max="3857" width="10.42578125" style="379" bestFit="1" customWidth="1"/>
    <col min="3858" max="3860" width="9.140625" style="379"/>
    <col min="3861" max="3861" width="10.42578125" style="379" bestFit="1" customWidth="1"/>
    <col min="3862" max="4090" width="9.140625" style="379"/>
    <col min="4091" max="4091" width="3.5703125" style="379" customWidth="1"/>
    <col min="4092" max="4092" width="4.85546875" style="379" customWidth="1"/>
    <col min="4093" max="4093" width="5.42578125" style="379" customWidth="1"/>
    <col min="4094" max="4094" width="31.28515625" style="379" customWidth="1"/>
    <col min="4095" max="4095" width="7.5703125" style="379" customWidth="1"/>
    <col min="4096" max="4096" width="2.42578125" style="379" customWidth="1"/>
    <col min="4097" max="4097" width="11.5703125" style="379" customWidth="1"/>
    <col min="4098" max="4098" width="2.42578125" style="379" customWidth="1"/>
    <col min="4099" max="4099" width="11.5703125" style="379" customWidth="1"/>
    <col min="4100" max="4100" width="2.42578125" style="379" customWidth="1"/>
    <col min="4101" max="4101" width="10.85546875" style="379" customWidth="1"/>
    <col min="4102" max="4102" width="2.42578125" style="379" customWidth="1"/>
    <col min="4103" max="4103" width="11.140625" style="379" customWidth="1"/>
    <col min="4104" max="4104" width="1.85546875" style="379" customWidth="1"/>
    <col min="4105" max="4105" width="11" style="379" customWidth="1"/>
    <col min="4106" max="4106" width="0.7109375" style="379" customWidth="1"/>
    <col min="4107" max="4107" width="1.85546875" style="379" customWidth="1"/>
    <col min="4108" max="4108" width="11.85546875" style="379" bestFit="1" customWidth="1"/>
    <col min="4109" max="4109" width="15.28515625" style="379" bestFit="1" customWidth="1"/>
    <col min="4110" max="4110" width="5" style="379" customWidth="1"/>
    <col min="4111" max="4111" width="10.42578125" style="379" bestFit="1" customWidth="1"/>
    <col min="4112" max="4112" width="5" style="379" customWidth="1"/>
    <col min="4113" max="4113" width="10.42578125" style="379" bestFit="1" customWidth="1"/>
    <col min="4114" max="4116" width="9.140625" style="379"/>
    <col min="4117" max="4117" width="10.42578125" style="379" bestFit="1" customWidth="1"/>
    <col min="4118" max="4346" width="9.140625" style="379"/>
    <col min="4347" max="4347" width="3.5703125" style="379" customWidth="1"/>
    <col min="4348" max="4348" width="4.85546875" style="379" customWidth="1"/>
    <col min="4349" max="4349" width="5.42578125" style="379" customWidth="1"/>
    <col min="4350" max="4350" width="31.28515625" style="379" customWidth="1"/>
    <col min="4351" max="4351" width="7.5703125" style="379" customWidth="1"/>
    <col min="4352" max="4352" width="2.42578125" style="379" customWidth="1"/>
    <col min="4353" max="4353" width="11.5703125" style="379" customWidth="1"/>
    <col min="4354" max="4354" width="2.42578125" style="379" customWidth="1"/>
    <col min="4355" max="4355" width="11.5703125" style="379" customWidth="1"/>
    <col min="4356" max="4356" width="2.42578125" style="379" customWidth="1"/>
    <col min="4357" max="4357" width="10.85546875" style="379" customWidth="1"/>
    <col min="4358" max="4358" width="2.42578125" style="379" customWidth="1"/>
    <col min="4359" max="4359" width="11.140625" style="379" customWidth="1"/>
    <col min="4360" max="4360" width="1.85546875" style="379" customWidth="1"/>
    <col min="4361" max="4361" width="11" style="379" customWidth="1"/>
    <col min="4362" max="4362" width="0.7109375" style="379" customWidth="1"/>
    <col min="4363" max="4363" width="1.85546875" style="379" customWidth="1"/>
    <col min="4364" max="4364" width="11.85546875" style="379" bestFit="1" customWidth="1"/>
    <col min="4365" max="4365" width="15.28515625" style="379" bestFit="1" customWidth="1"/>
    <col min="4366" max="4366" width="5" style="379" customWidth="1"/>
    <col min="4367" max="4367" width="10.42578125" style="379" bestFit="1" customWidth="1"/>
    <col min="4368" max="4368" width="5" style="379" customWidth="1"/>
    <col min="4369" max="4369" width="10.42578125" style="379" bestFit="1" customWidth="1"/>
    <col min="4370" max="4372" width="9.140625" style="379"/>
    <col min="4373" max="4373" width="10.42578125" style="379" bestFit="1" customWidth="1"/>
    <col min="4374" max="4602" width="9.140625" style="379"/>
    <col min="4603" max="4603" width="3.5703125" style="379" customWidth="1"/>
    <col min="4604" max="4604" width="4.85546875" style="379" customWidth="1"/>
    <col min="4605" max="4605" width="5.42578125" style="379" customWidth="1"/>
    <col min="4606" max="4606" width="31.28515625" style="379" customWidth="1"/>
    <col min="4607" max="4607" width="7.5703125" style="379" customWidth="1"/>
    <col min="4608" max="4608" width="2.42578125" style="379" customWidth="1"/>
    <col min="4609" max="4609" width="11.5703125" style="379" customWidth="1"/>
    <col min="4610" max="4610" width="2.42578125" style="379" customWidth="1"/>
    <col min="4611" max="4611" width="11.5703125" style="379" customWidth="1"/>
    <col min="4612" max="4612" width="2.42578125" style="379" customWidth="1"/>
    <col min="4613" max="4613" width="10.85546875" style="379" customWidth="1"/>
    <col min="4614" max="4614" width="2.42578125" style="379" customWidth="1"/>
    <col min="4615" max="4615" width="11.140625" style="379" customWidth="1"/>
    <col min="4616" max="4616" width="1.85546875" style="379" customWidth="1"/>
    <col min="4617" max="4617" width="11" style="379" customWidth="1"/>
    <col min="4618" max="4618" width="0.7109375" style="379" customWidth="1"/>
    <col min="4619" max="4619" width="1.85546875" style="379" customWidth="1"/>
    <col min="4620" max="4620" width="11.85546875" style="379" bestFit="1" customWidth="1"/>
    <col min="4621" max="4621" width="15.28515625" style="379" bestFit="1" customWidth="1"/>
    <col min="4622" max="4622" width="5" style="379" customWidth="1"/>
    <col min="4623" max="4623" width="10.42578125" style="379" bestFit="1" customWidth="1"/>
    <col min="4624" max="4624" width="5" style="379" customWidth="1"/>
    <col min="4625" max="4625" width="10.42578125" style="379" bestFit="1" customWidth="1"/>
    <col min="4626" max="4628" width="9.140625" style="379"/>
    <col min="4629" max="4629" width="10.42578125" style="379" bestFit="1" customWidth="1"/>
    <col min="4630" max="4858" width="9.140625" style="379"/>
    <col min="4859" max="4859" width="3.5703125" style="379" customWidth="1"/>
    <col min="4860" max="4860" width="4.85546875" style="379" customWidth="1"/>
    <col min="4861" max="4861" width="5.42578125" style="379" customWidth="1"/>
    <col min="4862" max="4862" width="31.28515625" style="379" customWidth="1"/>
    <col min="4863" max="4863" width="7.5703125" style="379" customWidth="1"/>
    <col min="4864" max="4864" width="2.42578125" style="379" customWidth="1"/>
    <col min="4865" max="4865" width="11.5703125" style="379" customWidth="1"/>
    <col min="4866" max="4866" width="2.42578125" style="379" customWidth="1"/>
    <col min="4867" max="4867" width="11.5703125" style="379" customWidth="1"/>
    <col min="4868" max="4868" width="2.42578125" style="379" customWidth="1"/>
    <col min="4869" max="4869" width="10.85546875" style="379" customWidth="1"/>
    <col min="4870" max="4870" width="2.42578125" style="379" customWidth="1"/>
    <col min="4871" max="4871" width="11.140625" style="379" customWidth="1"/>
    <col min="4872" max="4872" width="1.85546875" style="379" customWidth="1"/>
    <col min="4873" max="4873" width="11" style="379" customWidth="1"/>
    <col min="4874" max="4874" width="0.7109375" style="379" customWidth="1"/>
    <col min="4875" max="4875" width="1.85546875" style="379" customWidth="1"/>
    <col min="4876" max="4876" width="11.85546875" style="379" bestFit="1" customWidth="1"/>
    <col min="4877" max="4877" width="15.28515625" style="379" bestFit="1" customWidth="1"/>
    <col min="4878" max="4878" width="5" style="379" customWidth="1"/>
    <col min="4879" max="4879" width="10.42578125" style="379" bestFit="1" customWidth="1"/>
    <col min="4880" max="4880" width="5" style="379" customWidth="1"/>
    <col min="4881" max="4881" width="10.42578125" style="379" bestFit="1" customWidth="1"/>
    <col min="4882" max="4884" width="9.140625" style="379"/>
    <col min="4885" max="4885" width="10.42578125" style="379" bestFit="1" customWidth="1"/>
    <col min="4886" max="5114" width="9.140625" style="379"/>
    <col min="5115" max="5115" width="3.5703125" style="379" customWidth="1"/>
    <col min="5116" max="5116" width="4.85546875" style="379" customWidth="1"/>
    <col min="5117" max="5117" width="5.42578125" style="379" customWidth="1"/>
    <col min="5118" max="5118" width="31.28515625" style="379" customWidth="1"/>
    <col min="5119" max="5119" width="7.5703125" style="379" customWidth="1"/>
    <col min="5120" max="5120" width="2.42578125" style="379" customWidth="1"/>
    <col min="5121" max="5121" width="11.5703125" style="379" customWidth="1"/>
    <col min="5122" max="5122" width="2.42578125" style="379" customWidth="1"/>
    <col min="5123" max="5123" width="11.5703125" style="379" customWidth="1"/>
    <col min="5124" max="5124" width="2.42578125" style="379" customWidth="1"/>
    <col min="5125" max="5125" width="10.85546875" style="379" customWidth="1"/>
    <col min="5126" max="5126" width="2.42578125" style="379" customWidth="1"/>
    <col min="5127" max="5127" width="11.140625" style="379" customWidth="1"/>
    <col min="5128" max="5128" width="1.85546875" style="379" customWidth="1"/>
    <col min="5129" max="5129" width="11" style="379" customWidth="1"/>
    <col min="5130" max="5130" width="0.7109375" style="379" customWidth="1"/>
    <col min="5131" max="5131" width="1.85546875" style="379" customWidth="1"/>
    <col min="5132" max="5132" width="11.85546875" style="379" bestFit="1" customWidth="1"/>
    <col min="5133" max="5133" width="15.28515625" style="379" bestFit="1" customWidth="1"/>
    <col min="5134" max="5134" width="5" style="379" customWidth="1"/>
    <col min="5135" max="5135" width="10.42578125" style="379" bestFit="1" customWidth="1"/>
    <col min="5136" max="5136" width="5" style="379" customWidth="1"/>
    <col min="5137" max="5137" width="10.42578125" style="379" bestFit="1" customWidth="1"/>
    <col min="5138" max="5140" width="9.140625" style="379"/>
    <col min="5141" max="5141" width="10.42578125" style="379" bestFit="1" customWidth="1"/>
    <col min="5142" max="5370" width="9.140625" style="379"/>
    <col min="5371" max="5371" width="3.5703125" style="379" customWidth="1"/>
    <col min="5372" max="5372" width="4.85546875" style="379" customWidth="1"/>
    <col min="5373" max="5373" width="5.42578125" style="379" customWidth="1"/>
    <col min="5374" max="5374" width="31.28515625" style="379" customWidth="1"/>
    <col min="5375" max="5375" width="7.5703125" style="379" customWidth="1"/>
    <col min="5376" max="5376" width="2.42578125" style="379" customWidth="1"/>
    <col min="5377" max="5377" width="11.5703125" style="379" customWidth="1"/>
    <col min="5378" max="5378" width="2.42578125" style="379" customWidth="1"/>
    <col min="5379" max="5379" width="11.5703125" style="379" customWidth="1"/>
    <col min="5380" max="5380" width="2.42578125" style="379" customWidth="1"/>
    <col min="5381" max="5381" width="10.85546875" style="379" customWidth="1"/>
    <col min="5382" max="5382" width="2.42578125" style="379" customWidth="1"/>
    <col min="5383" max="5383" width="11.140625" style="379" customWidth="1"/>
    <col min="5384" max="5384" width="1.85546875" style="379" customWidth="1"/>
    <col min="5385" max="5385" width="11" style="379" customWidth="1"/>
    <col min="5386" max="5386" width="0.7109375" style="379" customWidth="1"/>
    <col min="5387" max="5387" width="1.85546875" style="379" customWidth="1"/>
    <col min="5388" max="5388" width="11.85546875" style="379" bestFit="1" customWidth="1"/>
    <col min="5389" max="5389" width="15.28515625" style="379" bestFit="1" customWidth="1"/>
    <col min="5390" max="5390" width="5" style="379" customWidth="1"/>
    <col min="5391" max="5391" width="10.42578125" style="379" bestFit="1" customWidth="1"/>
    <col min="5392" max="5392" width="5" style="379" customWidth="1"/>
    <col min="5393" max="5393" width="10.42578125" style="379" bestFit="1" customWidth="1"/>
    <col min="5394" max="5396" width="9.140625" style="379"/>
    <col min="5397" max="5397" width="10.42578125" style="379" bestFit="1" customWidth="1"/>
    <col min="5398" max="5626" width="9.140625" style="379"/>
    <col min="5627" max="5627" width="3.5703125" style="379" customWidth="1"/>
    <col min="5628" max="5628" width="4.85546875" style="379" customWidth="1"/>
    <col min="5629" max="5629" width="5.42578125" style="379" customWidth="1"/>
    <col min="5630" max="5630" width="31.28515625" style="379" customWidth="1"/>
    <col min="5631" max="5631" width="7.5703125" style="379" customWidth="1"/>
    <col min="5632" max="5632" width="2.42578125" style="379" customWidth="1"/>
    <col min="5633" max="5633" width="11.5703125" style="379" customWidth="1"/>
    <col min="5634" max="5634" width="2.42578125" style="379" customWidth="1"/>
    <col min="5635" max="5635" width="11.5703125" style="379" customWidth="1"/>
    <col min="5636" max="5636" width="2.42578125" style="379" customWidth="1"/>
    <col min="5637" max="5637" width="10.85546875" style="379" customWidth="1"/>
    <col min="5638" max="5638" width="2.42578125" style="379" customWidth="1"/>
    <col min="5639" max="5639" width="11.140625" style="379" customWidth="1"/>
    <col min="5640" max="5640" width="1.85546875" style="379" customWidth="1"/>
    <col min="5641" max="5641" width="11" style="379" customWidth="1"/>
    <col min="5642" max="5642" width="0.7109375" style="379" customWidth="1"/>
    <col min="5643" max="5643" width="1.85546875" style="379" customWidth="1"/>
    <col min="5644" max="5644" width="11.85546875" style="379" bestFit="1" customWidth="1"/>
    <col min="5645" max="5645" width="15.28515625" style="379" bestFit="1" customWidth="1"/>
    <col min="5646" max="5646" width="5" style="379" customWidth="1"/>
    <col min="5647" max="5647" width="10.42578125" style="379" bestFit="1" customWidth="1"/>
    <col min="5648" max="5648" width="5" style="379" customWidth="1"/>
    <col min="5649" max="5649" width="10.42578125" style="379" bestFit="1" customWidth="1"/>
    <col min="5650" max="5652" width="9.140625" style="379"/>
    <col min="5653" max="5653" width="10.42578125" style="379" bestFit="1" customWidth="1"/>
    <col min="5654" max="5882" width="9.140625" style="379"/>
    <col min="5883" max="5883" width="3.5703125" style="379" customWidth="1"/>
    <col min="5884" max="5884" width="4.85546875" style="379" customWidth="1"/>
    <col min="5885" max="5885" width="5.42578125" style="379" customWidth="1"/>
    <col min="5886" max="5886" width="31.28515625" style="379" customWidth="1"/>
    <col min="5887" max="5887" width="7.5703125" style="379" customWidth="1"/>
    <col min="5888" max="5888" width="2.42578125" style="379" customWidth="1"/>
    <col min="5889" max="5889" width="11.5703125" style="379" customWidth="1"/>
    <col min="5890" max="5890" width="2.42578125" style="379" customWidth="1"/>
    <col min="5891" max="5891" width="11.5703125" style="379" customWidth="1"/>
    <col min="5892" max="5892" width="2.42578125" style="379" customWidth="1"/>
    <col min="5893" max="5893" width="10.85546875" style="379" customWidth="1"/>
    <col min="5894" max="5894" width="2.42578125" style="379" customWidth="1"/>
    <col min="5895" max="5895" width="11.140625" style="379" customWidth="1"/>
    <col min="5896" max="5896" width="1.85546875" style="379" customWidth="1"/>
    <col min="5897" max="5897" width="11" style="379" customWidth="1"/>
    <col min="5898" max="5898" width="0.7109375" style="379" customWidth="1"/>
    <col min="5899" max="5899" width="1.85546875" style="379" customWidth="1"/>
    <col min="5900" max="5900" width="11.85546875" style="379" bestFit="1" customWidth="1"/>
    <col min="5901" max="5901" width="15.28515625" style="379" bestFit="1" customWidth="1"/>
    <col min="5902" max="5902" width="5" style="379" customWidth="1"/>
    <col min="5903" max="5903" width="10.42578125" style="379" bestFit="1" customWidth="1"/>
    <col min="5904" max="5904" width="5" style="379" customWidth="1"/>
    <col min="5905" max="5905" width="10.42578125" style="379" bestFit="1" customWidth="1"/>
    <col min="5906" max="5908" width="9.140625" style="379"/>
    <col min="5909" max="5909" width="10.42578125" style="379" bestFit="1" customWidth="1"/>
    <col min="5910" max="6138" width="9.140625" style="379"/>
    <col min="6139" max="6139" width="3.5703125" style="379" customWidth="1"/>
    <col min="6140" max="6140" width="4.85546875" style="379" customWidth="1"/>
    <col min="6141" max="6141" width="5.42578125" style="379" customWidth="1"/>
    <col min="6142" max="6142" width="31.28515625" style="379" customWidth="1"/>
    <col min="6143" max="6143" width="7.5703125" style="379" customWidth="1"/>
    <col min="6144" max="6144" width="2.42578125" style="379" customWidth="1"/>
    <col min="6145" max="6145" width="11.5703125" style="379" customWidth="1"/>
    <col min="6146" max="6146" width="2.42578125" style="379" customWidth="1"/>
    <col min="6147" max="6147" width="11.5703125" style="379" customWidth="1"/>
    <col min="6148" max="6148" width="2.42578125" style="379" customWidth="1"/>
    <col min="6149" max="6149" width="10.85546875" style="379" customWidth="1"/>
    <col min="6150" max="6150" width="2.42578125" style="379" customWidth="1"/>
    <col min="6151" max="6151" width="11.140625" style="379" customWidth="1"/>
    <col min="6152" max="6152" width="1.85546875" style="379" customWidth="1"/>
    <col min="6153" max="6153" width="11" style="379" customWidth="1"/>
    <col min="6154" max="6154" width="0.7109375" style="379" customWidth="1"/>
    <col min="6155" max="6155" width="1.85546875" style="379" customWidth="1"/>
    <col min="6156" max="6156" width="11.85546875" style="379" bestFit="1" customWidth="1"/>
    <col min="6157" max="6157" width="15.28515625" style="379" bestFit="1" customWidth="1"/>
    <col min="6158" max="6158" width="5" style="379" customWidth="1"/>
    <col min="6159" max="6159" width="10.42578125" style="379" bestFit="1" customWidth="1"/>
    <col min="6160" max="6160" width="5" style="379" customWidth="1"/>
    <col min="6161" max="6161" width="10.42578125" style="379" bestFit="1" customWidth="1"/>
    <col min="6162" max="6164" width="9.140625" style="379"/>
    <col min="6165" max="6165" width="10.42578125" style="379" bestFit="1" customWidth="1"/>
    <col min="6166" max="6394" width="9.140625" style="379"/>
    <col min="6395" max="6395" width="3.5703125" style="379" customWidth="1"/>
    <col min="6396" max="6396" width="4.85546875" style="379" customWidth="1"/>
    <col min="6397" max="6397" width="5.42578125" style="379" customWidth="1"/>
    <col min="6398" max="6398" width="31.28515625" style="379" customWidth="1"/>
    <col min="6399" max="6399" width="7.5703125" style="379" customWidth="1"/>
    <col min="6400" max="6400" width="2.42578125" style="379" customWidth="1"/>
    <col min="6401" max="6401" width="11.5703125" style="379" customWidth="1"/>
    <col min="6402" max="6402" width="2.42578125" style="379" customWidth="1"/>
    <col min="6403" max="6403" width="11.5703125" style="379" customWidth="1"/>
    <col min="6404" max="6404" width="2.42578125" style="379" customWidth="1"/>
    <col min="6405" max="6405" width="10.85546875" style="379" customWidth="1"/>
    <col min="6406" max="6406" width="2.42578125" style="379" customWidth="1"/>
    <col min="6407" max="6407" width="11.140625" style="379" customWidth="1"/>
    <col min="6408" max="6408" width="1.85546875" style="379" customWidth="1"/>
    <col min="6409" max="6409" width="11" style="379" customWidth="1"/>
    <col min="6410" max="6410" width="0.7109375" style="379" customWidth="1"/>
    <col min="6411" max="6411" width="1.85546875" style="379" customWidth="1"/>
    <col min="6412" max="6412" width="11.85546875" style="379" bestFit="1" customWidth="1"/>
    <col min="6413" max="6413" width="15.28515625" style="379" bestFit="1" customWidth="1"/>
    <col min="6414" max="6414" width="5" style="379" customWidth="1"/>
    <col min="6415" max="6415" width="10.42578125" style="379" bestFit="1" customWidth="1"/>
    <col min="6416" max="6416" width="5" style="379" customWidth="1"/>
    <col min="6417" max="6417" width="10.42578125" style="379" bestFit="1" customWidth="1"/>
    <col min="6418" max="6420" width="9.140625" style="379"/>
    <col min="6421" max="6421" width="10.42578125" style="379" bestFit="1" customWidth="1"/>
    <col min="6422" max="6650" width="9.140625" style="379"/>
    <col min="6651" max="6651" width="3.5703125" style="379" customWidth="1"/>
    <col min="6652" max="6652" width="4.85546875" style="379" customWidth="1"/>
    <col min="6653" max="6653" width="5.42578125" style="379" customWidth="1"/>
    <col min="6654" max="6654" width="31.28515625" style="379" customWidth="1"/>
    <col min="6655" max="6655" width="7.5703125" style="379" customWidth="1"/>
    <col min="6656" max="6656" width="2.42578125" style="379" customWidth="1"/>
    <col min="6657" max="6657" width="11.5703125" style="379" customWidth="1"/>
    <col min="6658" max="6658" width="2.42578125" style="379" customWidth="1"/>
    <col min="6659" max="6659" width="11.5703125" style="379" customWidth="1"/>
    <col min="6660" max="6660" width="2.42578125" style="379" customWidth="1"/>
    <col min="6661" max="6661" width="10.85546875" style="379" customWidth="1"/>
    <col min="6662" max="6662" width="2.42578125" style="379" customWidth="1"/>
    <col min="6663" max="6663" width="11.140625" style="379" customWidth="1"/>
    <col min="6664" max="6664" width="1.85546875" style="379" customWidth="1"/>
    <col min="6665" max="6665" width="11" style="379" customWidth="1"/>
    <col min="6666" max="6666" width="0.7109375" style="379" customWidth="1"/>
    <col min="6667" max="6667" width="1.85546875" style="379" customWidth="1"/>
    <col min="6668" max="6668" width="11.85546875" style="379" bestFit="1" customWidth="1"/>
    <col min="6669" max="6669" width="15.28515625" style="379" bestFit="1" customWidth="1"/>
    <col min="6670" max="6670" width="5" style="379" customWidth="1"/>
    <col min="6671" max="6671" width="10.42578125" style="379" bestFit="1" customWidth="1"/>
    <col min="6672" max="6672" width="5" style="379" customWidth="1"/>
    <col min="6673" max="6673" width="10.42578125" style="379" bestFit="1" customWidth="1"/>
    <col min="6674" max="6676" width="9.140625" style="379"/>
    <col min="6677" max="6677" width="10.42578125" style="379" bestFit="1" customWidth="1"/>
    <col min="6678" max="6906" width="9.140625" style="379"/>
    <col min="6907" max="6907" width="3.5703125" style="379" customWidth="1"/>
    <col min="6908" max="6908" width="4.85546875" style="379" customWidth="1"/>
    <col min="6909" max="6909" width="5.42578125" style="379" customWidth="1"/>
    <col min="6910" max="6910" width="31.28515625" style="379" customWidth="1"/>
    <col min="6911" max="6911" width="7.5703125" style="379" customWidth="1"/>
    <col min="6912" max="6912" width="2.42578125" style="379" customWidth="1"/>
    <col min="6913" max="6913" width="11.5703125" style="379" customWidth="1"/>
    <col min="6914" max="6914" width="2.42578125" style="379" customWidth="1"/>
    <col min="6915" max="6915" width="11.5703125" style="379" customWidth="1"/>
    <col min="6916" max="6916" width="2.42578125" style="379" customWidth="1"/>
    <col min="6917" max="6917" width="10.85546875" style="379" customWidth="1"/>
    <col min="6918" max="6918" width="2.42578125" style="379" customWidth="1"/>
    <col min="6919" max="6919" width="11.140625" style="379" customWidth="1"/>
    <col min="6920" max="6920" width="1.85546875" style="379" customWidth="1"/>
    <col min="6921" max="6921" width="11" style="379" customWidth="1"/>
    <col min="6922" max="6922" width="0.7109375" style="379" customWidth="1"/>
    <col min="6923" max="6923" width="1.85546875" style="379" customWidth="1"/>
    <col min="6924" max="6924" width="11.85546875" style="379" bestFit="1" customWidth="1"/>
    <col min="6925" max="6925" width="15.28515625" style="379" bestFit="1" customWidth="1"/>
    <col min="6926" max="6926" width="5" style="379" customWidth="1"/>
    <col min="6927" max="6927" width="10.42578125" style="379" bestFit="1" customWidth="1"/>
    <col min="6928" max="6928" width="5" style="379" customWidth="1"/>
    <col min="6929" max="6929" width="10.42578125" style="379" bestFit="1" customWidth="1"/>
    <col min="6930" max="6932" width="9.140625" style="379"/>
    <col min="6933" max="6933" width="10.42578125" style="379" bestFit="1" customWidth="1"/>
    <col min="6934" max="7162" width="9.140625" style="379"/>
    <col min="7163" max="7163" width="3.5703125" style="379" customWidth="1"/>
    <col min="7164" max="7164" width="4.85546875" style="379" customWidth="1"/>
    <col min="7165" max="7165" width="5.42578125" style="379" customWidth="1"/>
    <col min="7166" max="7166" width="31.28515625" style="379" customWidth="1"/>
    <col min="7167" max="7167" width="7.5703125" style="379" customWidth="1"/>
    <col min="7168" max="7168" width="2.42578125" style="379" customWidth="1"/>
    <col min="7169" max="7169" width="11.5703125" style="379" customWidth="1"/>
    <col min="7170" max="7170" width="2.42578125" style="379" customWidth="1"/>
    <col min="7171" max="7171" width="11.5703125" style="379" customWidth="1"/>
    <col min="7172" max="7172" width="2.42578125" style="379" customWidth="1"/>
    <col min="7173" max="7173" width="10.85546875" style="379" customWidth="1"/>
    <col min="7174" max="7174" width="2.42578125" style="379" customWidth="1"/>
    <col min="7175" max="7175" width="11.140625" style="379" customWidth="1"/>
    <col min="7176" max="7176" width="1.85546875" style="379" customWidth="1"/>
    <col min="7177" max="7177" width="11" style="379" customWidth="1"/>
    <col min="7178" max="7178" width="0.7109375" style="379" customWidth="1"/>
    <col min="7179" max="7179" width="1.85546875" style="379" customWidth="1"/>
    <col min="7180" max="7180" width="11.85546875" style="379" bestFit="1" customWidth="1"/>
    <col min="7181" max="7181" width="15.28515625" style="379" bestFit="1" customWidth="1"/>
    <col min="7182" max="7182" width="5" style="379" customWidth="1"/>
    <col min="7183" max="7183" width="10.42578125" style="379" bestFit="1" customWidth="1"/>
    <col min="7184" max="7184" width="5" style="379" customWidth="1"/>
    <col min="7185" max="7185" width="10.42578125" style="379" bestFit="1" customWidth="1"/>
    <col min="7186" max="7188" width="9.140625" style="379"/>
    <col min="7189" max="7189" width="10.42578125" style="379" bestFit="1" customWidth="1"/>
    <col min="7190" max="7418" width="9.140625" style="379"/>
    <col min="7419" max="7419" width="3.5703125" style="379" customWidth="1"/>
    <col min="7420" max="7420" width="4.85546875" style="379" customWidth="1"/>
    <col min="7421" max="7421" width="5.42578125" style="379" customWidth="1"/>
    <col min="7422" max="7422" width="31.28515625" style="379" customWidth="1"/>
    <col min="7423" max="7423" width="7.5703125" style="379" customWidth="1"/>
    <col min="7424" max="7424" width="2.42578125" style="379" customWidth="1"/>
    <col min="7425" max="7425" width="11.5703125" style="379" customWidth="1"/>
    <col min="7426" max="7426" width="2.42578125" style="379" customWidth="1"/>
    <col min="7427" max="7427" width="11.5703125" style="379" customWidth="1"/>
    <col min="7428" max="7428" width="2.42578125" style="379" customWidth="1"/>
    <col min="7429" max="7429" width="10.85546875" style="379" customWidth="1"/>
    <col min="7430" max="7430" width="2.42578125" style="379" customWidth="1"/>
    <col min="7431" max="7431" width="11.140625" style="379" customWidth="1"/>
    <col min="7432" max="7432" width="1.85546875" style="379" customWidth="1"/>
    <col min="7433" max="7433" width="11" style="379" customWidth="1"/>
    <col min="7434" max="7434" width="0.7109375" style="379" customWidth="1"/>
    <col min="7435" max="7435" width="1.85546875" style="379" customWidth="1"/>
    <col min="7436" max="7436" width="11.85546875" style="379" bestFit="1" customWidth="1"/>
    <col min="7437" max="7437" width="15.28515625" style="379" bestFit="1" customWidth="1"/>
    <col min="7438" max="7438" width="5" style="379" customWidth="1"/>
    <col min="7439" max="7439" width="10.42578125" style="379" bestFit="1" customWidth="1"/>
    <col min="7440" max="7440" width="5" style="379" customWidth="1"/>
    <col min="7441" max="7441" width="10.42578125" style="379" bestFit="1" customWidth="1"/>
    <col min="7442" max="7444" width="9.140625" style="379"/>
    <col min="7445" max="7445" width="10.42578125" style="379" bestFit="1" customWidth="1"/>
    <col min="7446" max="7674" width="9.140625" style="379"/>
    <col min="7675" max="7675" width="3.5703125" style="379" customWidth="1"/>
    <col min="7676" max="7676" width="4.85546875" style="379" customWidth="1"/>
    <col min="7677" max="7677" width="5.42578125" style="379" customWidth="1"/>
    <col min="7678" max="7678" width="31.28515625" style="379" customWidth="1"/>
    <col min="7679" max="7679" width="7.5703125" style="379" customWidth="1"/>
    <col min="7680" max="7680" width="2.42578125" style="379" customWidth="1"/>
    <col min="7681" max="7681" width="11.5703125" style="379" customWidth="1"/>
    <col min="7682" max="7682" width="2.42578125" style="379" customWidth="1"/>
    <col min="7683" max="7683" width="11.5703125" style="379" customWidth="1"/>
    <col min="7684" max="7684" width="2.42578125" style="379" customWidth="1"/>
    <col min="7685" max="7685" width="10.85546875" style="379" customWidth="1"/>
    <col min="7686" max="7686" width="2.42578125" style="379" customWidth="1"/>
    <col min="7687" max="7687" width="11.140625" style="379" customWidth="1"/>
    <col min="7688" max="7688" width="1.85546875" style="379" customWidth="1"/>
    <col min="7689" max="7689" width="11" style="379" customWidth="1"/>
    <col min="7690" max="7690" width="0.7109375" style="379" customWidth="1"/>
    <col min="7691" max="7691" width="1.85546875" style="379" customWidth="1"/>
    <col min="7692" max="7692" width="11.85546875" style="379" bestFit="1" customWidth="1"/>
    <col min="7693" max="7693" width="15.28515625" style="379" bestFit="1" customWidth="1"/>
    <col min="7694" max="7694" width="5" style="379" customWidth="1"/>
    <col min="7695" max="7695" width="10.42578125" style="379" bestFit="1" customWidth="1"/>
    <col min="7696" max="7696" width="5" style="379" customWidth="1"/>
    <col min="7697" max="7697" width="10.42578125" style="379" bestFit="1" customWidth="1"/>
    <col min="7698" max="7700" width="9.140625" style="379"/>
    <col min="7701" max="7701" width="10.42578125" style="379" bestFit="1" customWidth="1"/>
    <col min="7702" max="7930" width="9.140625" style="379"/>
    <col min="7931" max="7931" width="3.5703125" style="379" customWidth="1"/>
    <col min="7932" max="7932" width="4.85546875" style="379" customWidth="1"/>
    <col min="7933" max="7933" width="5.42578125" style="379" customWidth="1"/>
    <col min="7934" max="7934" width="31.28515625" style="379" customWidth="1"/>
    <col min="7935" max="7935" width="7.5703125" style="379" customWidth="1"/>
    <col min="7936" max="7936" width="2.42578125" style="379" customWidth="1"/>
    <col min="7937" max="7937" width="11.5703125" style="379" customWidth="1"/>
    <col min="7938" max="7938" width="2.42578125" style="379" customWidth="1"/>
    <col min="7939" max="7939" width="11.5703125" style="379" customWidth="1"/>
    <col min="7940" max="7940" width="2.42578125" style="379" customWidth="1"/>
    <col min="7941" max="7941" width="10.85546875" style="379" customWidth="1"/>
    <col min="7942" max="7942" width="2.42578125" style="379" customWidth="1"/>
    <col min="7943" max="7943" width="11.140625" style="379" customWidth="1"/>
    <col min="7944" max="7944" width="1.85546875" style="379" customWidth="1"/>
    <col min="7945" max="7945" width="11" style="379" customWidth="1"/>
    <col min="7946" max="7946" width="0.7109375" style="379" customWidth="1"/>
    <col min="7947" max="7947" width="1.85546875" style="379" customWidth="1"/>
    <col min="7948" max="7948" width="11.85546875" style="379" bestFit="1" customWidth="1"/>
    <col min="7949" max="7949" width="15.28515625" style="379" bestFit="1" customWidth="1"/>
    <col min="7950" max="7950" width="5" style="379" customWidth="1"/>
    <col min="7951" max="7951" width="10.42578125" style="379" bestFit="1" customWidth="1"/>
    <col min="7952" max="7952" width="5" style="379" customWidth="1"/>
    <col min="7953" max="7953" width="10.42578125" style="379" bestFit="1" customWidth="1"/>
    <col min="7954" max="7956" width="9.140625" style="379"/>
    <col min="7957" max="7957" width="10.42578125" style="379" bestFit="1" customWidth="1"/>
    <col min="7958" max="8186" width="9.140625" style="379"/>
    <col min="8187" max="8187" width="3.5703125" style="379" customWidth="1"/>
    <col min="8188" max="8188" width="4.85546875" style="379" customWidth="1"/>
    <col min="8189" max="8189" width="5.42578125" style="379" customWidth="1"/>
    <col min="8190" max="8190" width="31.28515625" style="379" customWidth="1"/>
    <col min="8191" max="8191" width="7.5703125" style="379" customWidth="1"/>
    <col min="8192" max="8192" width="2.42578125" style="379" customWidth="1"/>
    <col min="8193" max="8193" width="11.5703125" style="379" customWidth="1"/>
    <col min="8194" max="8194" width="2.42578125" style="379" customWidth="1"/>
    <col min="8195" max="8195" width="11.5703125" style="379" customWidth="1"/>
    <col min="8196" max="8196" width="2.42578125" style="379" customWidth="1"/>
    <col min="8197" max="8197" width="10.85546875" style="379" customWidth="1"/>
    <col min="8198" max="8198" width="2.42578125" style="379" customWidth="1"/>
    <col min="8199" max="8199" width="11.140625" style="379" customWidth="1"/>
    <col min="8200" max="8200" width="1.85546875" style="379" customWidth="1"/>
    <col min="8201" max="8201" width="11" style="379" customWidth="1"/>
    <col min="8202" max="8202" width="0.7109375" style="379" customWidth="1"/>
    <col min="8203" max="8203" width="1.85546875" style="379" customWidth="1"/>
    <col min="8204" max="8204" width="11.85546875" style="379" bestFit="1" customWidth="1"/>
    <col min="8205" max="8205" width="15.28515625" style="379" bestFit="1" customWidth="1"/>
    <col min="8206" max="8206" width="5" style="379" customWidth="1"/>
    <col min="8207" max="8207" width="10.42578125" style="379" bestFit="1" customWidth="1"/>
    <col min="8208" max="8208" width="5" style="379" customWidth="1"/>
    <col min="8209" max="8209" width="10.42578125" style="379" bestFit="1" customWidth="1"/>
    <col min="8210" max="8212" width="9.140625" style="379"/>
    <col min="8213" max="8213" width="10.42578125" style="379" bestFit="1" customWidth="1"/>
    <col min="8214" max="8442" width="9.140625" style="379"/>
    <col min="8443" max="8443" width="3.5703125" style="379" customWidth="1"/>
    <col min="8444" max="8444" width="4.85546875" style="379" customWidth="1"/>
    <col min="8445" max="8445" width="5.42578125" style="379" customWidth="1"/>
    <col min="8446" max="8446" width="31.28515625" style="379" customWidth="1"/>
    <col min="8447" max="8447" width="7.5703125" style="379" customWidth="1"/>
    <col min="8448" max="8448" width="2.42578125" style="379" customWidth="1"/>
    <col min="8449" max="8449" width="11.5703125" style="379" customWidth="1"/>
    <col min="8450" max="8450" width="2.42578125" style="379" customWidth="1"/>
    <col min="8451" max="8451" width="11.5703125" style="379" customWidth="1"/>
    <col min="8452" max="8452" width="2.42578125" style="379" customWidth="1"/>
    <col min="8453" max="8453" width="10.85546875" style="379" customWidth="1"/>
    <col min="8454" max="8454" width="2.42578125" style="379" customWidth="1"/>
    <col min="8455" max="8455" width="11.140625" style="379" customWidth="1"/>
    <col min="8456" max="8456" width="1.85546875" style="379" customWidth="1"/>
    <col min="8457" max="8457" width="11" style="379" customWidth="1"/>
    <col min="8458" max="8458" width="0.7109375" style="379" customWidth="1"/>
    <col min="8459" max="8459" width="1.85546875" style="379" customWidth="1"/>
    <col min="8460" max="8460" width="11.85546875" style="379" bestFit="1" customWidth="1"/>
    <col min="8461" max="8461" width="15.28515625" style="379" bestFit="1" customWidth="1"/>
    <col min="8462" max="8462" width="5" style="379" customWidth="1"/>
    <col min="8463" max="8463" width="10.42578125" style="379" bestFit="1" customWidth="1"/>
    <col min="8464" max="8464" width="5" style="379" customWidth="1"/>
    <col min="8465" max="8465" width="10.42578125" style="379" bestFit="1" customWidth="1"/>
    <col min="8466" max="8468" width="9.140625" style="379"/>
    <col min="8469" max="8469" width="10.42578125" style="379" bestFit="1" customWidth="1"/>
    <col min="8470" max="8698" width="9.140625" style="379"/>
    <col min="8699" max="8699" width="3.5703125" style="379" customWidth="1"/>
    <col min="8700" max="8700" width="4.85546875" style="379" customWidth="1"/>
    <col min="8701" max="8701" width="5.42578125" style="379" customWidth="1"/>
    <col min="8702" max="8702" width="31.28515625" style="379" customWidth="1"/>
    <col min="8703" max="8703" width="7.5703125" style="379" customWidth="1"/>
    <col min="8704" max="8704" width="2.42578125" style="379" customWidth="1"/>
    <col min="8705" max="8705" width="11.5703125" style="379" customWidth="1"/>
    <col min="8706" max="8706" width="2.42578125" style="379" customWidth="1"/>
    <col min="8707" max="8707" width="11.5703125" style="379" customWidth="1"/>
    <col min="8708" max="8708" width="2.42578125" style="379" customWidth="1"/>
    <col min="8709" max="8709" width="10.85546875" style="379" customWidth="1"/>
    <col min="8710" max="8710" width="2.42578125" style="379" customWidth="1"/>
    <col min="8711" max="8711" width="11.140625" style="379" customWidth="1"/>
    <col min="8712" max="8712" width="1.85546875" style="379" customWidth="1"/>
    <col min="8713" max="8713" width="11" style="379" customWidth="1"/>
    <col min="8714" max="8714" width="0.7109375" style="379" customWidth="1"/>
    <col min="8715" max="8715" width="1.85546875" style="379" customWidth="1"/>
    <col min="8716" max="8716" width="11.85546875" style="379" bestFit="1" customWidth="1"/>
    <col min="8717" max="8717" width="15.28515625" style="379" bestFit="1" customWidth="1"/>
    <col min="8718" max="8718" width="5" style="379" customWidth="1"/>
    <col min="8719" max="8719" width="10.42578125" style="379" bestFit="1" customWidth="1"/>
    <col min="8720" max="8720" width="5" style="379" customWidth="1"/>
    <col min="8721" max="8721" width="10.42578125" style="379" bestFit="1" customWidth="1"/>
    <col min="8722" max="8724" width="9.140625" style="379"/>
    <col min="8725" max="8725" width="10.42578125" style="379" bestFit="1" customWidth="1"/>
    <col min="8726" max="8954" width="9.140625" style="379"/>
    <col min="8955" max="8955" width="3.5703125" style="379" customWidth="1"/>
    <col min="8956" max="8956" width="4.85546875" style="379" customWidth="1"/>
    <col min="8957" max="8957" width="5.42578125" style="379" customWidth="1"/>
    <col min="8958" max="8958" width="31.28515625" style="379" customWidth="1"/>
    <col min="8959" max="8959" width="7.5703125" style="379" customWidth="1"/>
    <col min="8960" max="8960" width="2.42578125" style="379" customWidth="1"/>
    <col min="8961" max="8961" width="11.5703125" style="379" customWidth="1"/>
    <col min="8962" max="8962" width="2.42578125" style="379" customWidth="1"/>
    <col min="8963" max="8963" width="11.5703125" style="379" customWidth="1"/>
    <col min="8964" max="8964" width="2.42578125" style="379" customWidth="1"/>
    <col min="8965" max="8965" width="10.85546875" style="379" customWidth="1"/>
    <col min="8966" max="8966" width="2.42578125" style="379" customWidth="1"/>
    <col min="8967" max="8967" width="11.140625" style="379" customWidth="1"/>
    <col min="8968" max="8968" width="1.85546875" style="379" customWidth="1"/>
    <col min="8969" max="8969" width="11" style="379" customWidth="1"/>
    <col min="8970" max="8970" width="0.7109375" style="379" customWidth="1"/>
    <col min="8971" max="8971" width="1.85546875" style="379" customWidth="1"/>
    <col min="8972" max="8972" width="11.85546875" style="379" bestFit="1" customWidth="1"/>
    <col min="8973" max="8973" width="15.28515625" style="379" bestFit="1" customWidth="1"/>
    <col min="8974" max="8974" width="5" style="379" customWidth="1"/>
    <col min="8975" max="8975" width="10.42578125" style="379" bestFit="1" customWidth="1"/>
    <col min="8976" max="8976" width="5" style="379" customWidth="1"/>
    <col min="8977" max="8977" width="10.42578125" style="379" bestFit="1" customWidth="1"/>
    <col min="8978" max="8980" width="9.140625" style="379"/>
    <col min="8981" max="8981" width="10.42578125" style="379" bestFit="1" customWidth="1"/>
    <col min="8982" max="9210" width="9.140625" style="379"/>
    <col min="9211" max="9211" width="3.5703125" style="379" customWidth="1"/>
    <col min="9212" max="9212" width="4.85546875" style="379" customWidth="1"/>
    <col min="9213" max="9213" width="5.42578125" style="379" customWidth="1"/>
    <col min="9214" max="9214" width="31.28515625" style="379" customWidth="1"/>
    <col min="9215" max="9215" width="7.5703125" style="379" customWidth="1"/>
    <col min="9216" max="9216" width="2.42578125" style="379" customWidth="1"/>
    <col min="9217" max="9217" width="11.5703125" style="379" customWidth="1"/>
    <col min="9218" max="9218" width="2.42578125" style="379" customWidth="1"/>
    <col min="9219" max="9219" width="11.5703125" style="379" customWidth="1"/>
    <col min="9220" max="9220" width="2.42578125" style="379" customWidth="1"/>
    <col min="9221" max="9221" width="10.85546875" style="379" customWidth="1"/>
    <col min="9222" max="9222" width="2.42578125" style="379" customWidth="1"/>
    <col min="9223" max="9223" width="11.140625" style="379" customWidth="1"/>
    <col min="9224" max="9224" width="1.85546875" style="379" customWidth="1"/>
    <col min="9225" max="9225" width="11" style="379" customWidth="1"/>
    <col min="9226" max="9226" width="0.7109375" style="379" customWidth="1"/>
    <col min="9227" max="9227" width="1.85546875" style="379" customWidth="1"/>
    <col min="9228" max="9228" width="11.85546875" style="379" bestFit="1" customWidth="1"/>
    <col min="9229" max="9229" width="15.28515625" style="379" bestFit="1" customWidth="1"/>
    <col min="9230" max="9230" width="5" style="379" customWidth="1"/>
    <col min="9231" max="9231" width="10.42578125" style="379" bestFit="1" customWidth="1"/>
    <col min="9232" max="9232" width="5" style="379" customWidth="1"/>
    <col min="9233" max="9233" width="10.42578125" style="379" bestFit="1" customWidth="1"/>
    <col min="9234" max="9236" width="9.140625" style="379"/>
    <col min="9237" max="9237" width="10.42578125" style="379" bestFit="1" customWidth="1"/>
    <col min="9238" max="9466" width="9.140625" style="379"/>
    <col min="9467" max="9467" width="3.5703125" style="379" customWidth="1"/>
    <col min="9468" max="9468" width="4.85546875" style="379" customWidth="1"/>
    <col min="9469" max="9469" width="5.42578125" style="379" customWidth="1"/>
    <col min="9470" max="9470" width="31.28515625" style="379" customWidth="1"/>
    <col min="9471" max="9471" width="7.5703125" style="379" customWidth="1"/>
    <col min="9472" max="9472" width="2.42578125" style="379" customWidth="1"/>
    <col min="9473" max="9473" width="11.5703125" style="379" customWidth="1"/>
    <col min="9474" max="9474" width="2.42578125" style="379" customWidth="1"/>
    <col min="9475" max="9475" width="11.5703125" style="379" customWidth="1"/>
    <col min="9476" max="9476" width="2.42578125" style="379" customWidth="1"/>
    <col min="9477" max="9477" width="10.85546875" style="379" customWidth="1"/>
    <col min="9478" max="9478" width="2.42578125" style="379" customWidth="1"/>
    <col min="9479" max="9479" width="11.140625" style="379" customWidth="1"/>
    <col min="9480" max="9480" width="1.85546875" style="379" customWidth="1"/>
    <col min="9481" max="9481" width="11" style="379" customWidth="1"/>
    <col min="9482" max="9482" width="0.7109375" style="379" customWidth="1"/>
    <col min="9483" max="9483" width="1.85546875" style="379" customWidth="1"/>
    <col min="9484" max="9484" width="11.85546875" style="379" bestFit="1" customWidth="1"/>
    <col min="9485" max="9485" width="15.28515625" style="379" bestFit="1" customWidth="1"/>
    <col min="9486" max="9486" width="5" style="379" customWidth="1"/>
    <col min="9487" max="9487" width="10.42578125" style="379" bestFit="1" customWidth="1"/>
    <col min="9488" max="9488" width="5" style="379" customWidth="1"/>
    <col min="9489" max="9489" width="10.42578125" style="379" bestFit="1" customWidth="1"/>
    <col min="9490" max="9492" width="9.140625" style="379"/>
    <col min="9493" max="9493" width="10.42578125" style="379" bestFit="1" customWidth="1"/>
    <col min="9494" max="9722" width="9.140625" style="379"/>
    <col min="9723" max="9723" width="3.5703125" style="379" customWidth="1"/>
    <col min="9724" max="9724" width="4.85546875" style="379" customWidth="1"/>
    <col min="9725" max="9725" width="5.42578125" style="379" customWidth="1"/>
    <col min="9726" max="9726" width="31.28515625" style="379" customWidth="1"/>
    <col min="9727" max="9727" width="7.5703125" style="379" customWidth="1"/>
    <col min="9728" max="9728" width="2.42578125" style="379" customWidth="1"/>
    <col min="9729" max="9729" width="11.5703125" style="379" customWidth="1"/>
    <col min="9730" max="9730" width="2.42578125" style="379" customWidth="1"/>
    <col min="9731" max="9731" width="11.5703125" style="379" customWidth="1"/>
    <col min="9732" max="9732" width="2.42578125" style="379" customWidth="1"/>
    <col min="9733" max="9733" width="10.85546875" style="379" customWidth="1"/>
    <col min="9734" max="9734" width="2.42578125" style="379" customWidth="1"/>
    <col min="9735" max="9735" width="11.140625" style="379" customWidth="1"/>
    <col min="9736" max="9736" width="1.85546875" style="379" customWidth="1"/>
    <col min="9737" max="9737" width="11" style="379" customWidth="1"/>
    <col min="9738" max="9738" width="0.7109375" style="379" customWidth="1"/>
    <col min="9739" max="9739" width="1.85546875" style="379" customWidth="1"/>
    <col min="9740" max="9740" width="11.85546875" style="379" bestFit="1" customWidth="1"/>
    <col min="9741" max="9741" width="15.28515625" style="379" bestFit="1" customWidth="1"/>
    <col min="9742" max="9742" width="5" style="379" customWidth="1"/>
    <col min="9743" max="9743" width="10.42578125" style="379" bestFit="1" customWidth="1"/>
    <col min="9744" max="9744" width="5" style="379" customWidth="1"/>
    <col min="9745" max="9745" width="10.42578125" style="379" bestFit="1" customWidth="1"/>
    <col min="9746" max="9748" width="9.140625" style="379"/>
    <col min="9749" max="9749" width="10.42578125" style="379" bestFit="1" customWidth="1"/>
    <col min="9750" max="9978" width="9.140625" style="379"/>
    <col min="9979" max="9979" width="3.5703125" style="379" customWidth="1"/>
    <col min="9980" max="9980" width="4.85546875" style="379" customWidth="1"/>
    <col min="9981" max="9981" width="5.42578125" style="379" customWidth="1"/>
    <col min="9982" max="9982" width="31.28515625" style="379" customWidth="1"/>
    <col min="9983" max="9983" width="7.5703125" style="379" customWidth="1"/>
    <col min="9984" max="9984" width="2.42578125" style="379" customWidth="1"/>
    <col min="9985" max="9985" width="11.5703125" style="379" customWidth="1"/>
    <col min="9986" max="9986" width="2.42578125" style="379" customWidth="1"/>
    <col min="9987" max="9987" width="11.5703125" style="379" customWidth="1"/>
    <col min="9988" max="9988" width="2.42578125" style="379" customWidth="1"/>
    <col min="9989" max="9989" width="10.85546875" style="379" customWidth="1"/>
    <col min="9990" max="9990" width="2.42578125" style="379" customWidth="1"/>
    <col min="9991" max="9991" width="11.140625" style="379" customWidth="1"/>
    <col min="9992" max="9992" width="1.85546875" style="379" customWidth="1"/>
    <col min="9993" max="9993" width="11" style="379" customWidth="1"/>
    <col min="9994" max="9994" width="0.7109375" style="379" customWidth="1"/>
    <col min="9995" max="9995" width="1.85546875" style="379" customWidth="1"/>
    <col min="9996" max="9996" width="11.85546875" style="379" bestFit="1" customWidth="1"/>
    <col min="9997" max="9997" width="15.28515625" style="379" bestFit="1" customWidth="1"/>
    <col min="9998" max="9998" width="5" style="379" customWidth="1"/>
    <col min="9999" max="9999" width="10.42578125" style="379" bestFit="1" customWidth="1"/>
    <col min="10000" max="10000" width="5" style="379" customWidth="1"/>
    <col min="10001" max="10001" width="10.42578125" style="379" bestFit="1" customWidth="1"/>
    <col min="10002" max="10004" width="9.140625" style="379"/>
    <col min="10005" max="10005" width="10.42578125" style="379" bestFit="1" customWidth="1"/>
    <col min="10006" max="10234" width="9.140625" style="379"/>
    <col min="10235" max="10235" width="3.5703125" style="379" customWidth="1"/>
    <col min="10236" max="10236" width="4.85546875" style="379" customWidth="1"/>
    <col min="10237" max="10237" width="5.42578125" style="379" customWidth="1"/>
    <col min="10238" max="10238" width="31.28515625" style="379" customWidth="1"/>
    <col min="10239" max="10239" width="7.5703125" style="379" customWidth="1"/>
    <col min="10240" max="10240" width="2.42578125" style="379" customWidth="1"/>
    <col min="10241" max="10241" width="11.5703125" style="379" customWidth="1"/>
    <col min="10242" max="10242" width="2.42578125" style="379" customWidth="1"/>
    <col min="10243" max="10243" width="11.5703125" style="379" customWidth="1"/>
    <col min="10244" max="10244" width="2.42578125" style="379" customWidth="1"/>
    <col min="10245" max="10245" width="10.85546875" style="379" customWidth="1"/>
    <col min="10246" max="10246" width="2.42578125" style="379" customWidth="1"/>
    <col min="10247" max="10247" width="11.140625" style="379" customWidth="1"/>
    <col min="10248" max="10248" width="1.85546875" style="379" customWidth="1"/>
    <col min="10249" max="10249" width="11" style="379" customWidth="1"/>
    <col min="10250" max="10250" width="0.7109375" style="379" customWidth="1"/>
    <col min="10251" max="10251" width="1.85546875" style="379" customWidth="1"/>
    <col min="10252" max="10252" width="11.85546875" style="379" bestFit="1" customWidth="1"/>
    <col min="10253" max="10253" width="15.28515625" style="379" bestFit="1" customWidth="1"/>
    <col min="10254" max="10254" width="5" style="379" customWidth="1"/>
    <col min="10255" max="10255" width="10.42578125" style="379" bestFit="1" customWidth="1"/>
    <col min="10256" max="10256" width="5" style="379" customWidth="1"/>
    <col min="10257" max="10257" width="10.42578125" style="379" bestFit="1" customWidth="1"/>
    <col min="10258" max="10260" width="9.140625" style="379"/>
    <col min="10261" max="10261" width="10.42578125" style="379" bestFit="1" customWidth="1"/>
    <col min="10262" max="10490" width="9.140625" style="379"/>
    <col min="10491" max="10491" width="3.5703125" style="379" customWidth="1"/>
    <col min="10492" max="10492" width="4.85546875" style="379" customWidth="1"/>
    <col min="10493" max="10493" width="5.42578125" style="379" customWidth="1"/>
    <col min="10494" max="10494" width="31.28515625" style="379" customWidth="1"/>
    <col min="10495" max="10495" width="7.5703125" style="379" customWidth="1"/>
    <col min="10496" max="10496" width="2.42578125" style="379" customWidth="1"/>
    <col min="10497" max="10497" width="11.5703125" style="379" customWidth="1"/>
    <col min="10498" max="10498" width="2.42578125" style="379" customWidth="1"/>
    <col min="10499" max="10499" width="11.5703125" style="379" customWidth="1"/>
    <col min="10500" max="10500" width="2.42578125" style="379" customWidth="1"/>
    <col min="10501" max="10501" width="10.85546875" style="379" customWidth="1"/>
    <col min="10502" max="10502" width="2.42578125" style="379" customWidth="1"/>
    <col min="10503" max="10503" width="11.140625" style="379" customWidth="1"/>
    <col min="10504" max="10504" width="1.85546875" style="379" customWidth="1"/>
    <col min="10505" max="10505" width="11" style="379" customWidth="1"/>
    <col min="10506" max="10506" width="0.7109375" style="379" customWidth="1"/>
    <col min="10507" max="10507" width="1.85546875" style="379" customWidth="1"/>
    <col min="10508" max="10508" width="11.85546875" style="379" bestFit="1" customWidth="1"/>
    <col min="10509" max="10509" width="15.28515625" style="379" bestFit="1" customWidth="1"/>
    <col min="10510" max="10510" width="5" style="379" customWidth="1"/>
    <col min="10511" max="10511" width="10.42578125" style="379" bestFit="1" customWidth="1"/>
    <col min="10512" max="10512" width="5" style="379" customWidth="1"/>
    <col min="10513" max="10513" width="10.42578125" style="379" bestFit="1" customWidth="1"/>
    <col min="10514" max="10516" width="9.140625" style="379"/>
    <col min="10517" max="10517" width="10.42578125" style="379" bestFit="1" customWidth="1"/>
    <col min="10518" max="10746" width="9.140625" style="379"/>
    <col min="10747" max="10747" width="3.5703125" style="379" customWidth="1"/>
    <col min="10748" max="10748" width="4.85546875" style="379" customWidth="1"/>
    <col min="10749" max="10749" width="5.42578125" style="379" customWidth="1"/>
    <col min="10750" max="10750" width="31.28515625" style="379" customWidth="1"/>
    <col min="10751" max="10751" width="7.5703125" style="379" customWidth="1"/>
    <col min="10752" max="10752" width="2.42578125" style="379" customWidth="1"/>
    <col min="10753" max="10753" width="11.5703125" style="379" customWidth="1"/>
    <col min="10754" max="10754" width="2.42578125" style="379" customWidth="1"/>
    <col min="10755" max="10755" width="11.5703125" style="379" customWidth="1"/>
    <col min="10756" max="10756" width="2.42578125" style="379" customWidth="1"/>
    <col min="10757" max="10757" width="10.85546875" style="379" customWidth="1"/>
    <col min="10758" max="10758" width="2.42578125" style="379" customWidth="1"/>
    <col min="10759" max="10759" width="11.140625" style="379" customWidth="1"/>
    <col min="10760" max="10760" width="1.85546875" style="379" customWidth="1"/>
    <col min="10761" max="10761" width="11" style="379" customWidth="1"/>
    <col min="10762" max="10762" width="0.7109375" style="379" customWidth="1"/>
    <col min="10763" max="10763" width="1.85546875" style="379" customWidth="1"/>
    <col min="10764" max="10764" width="11.85546875" style="379" bestFit="1" customWidth="1"/>
    <col min="10765" max="10765" width="15.28515625" style="379" bestFit="1" customWidth="1"/>
    <col min="10766" max="10766" width="5" style="379" customWidth="1"/>
    <col min="10767" max="10767" width="10.42578125" style="379" bestFit="1" customWidth="1"/>
    <col min="10768" max="10768" width="5" style="379" customWidth="1"/>
    <col min="10769" max="10769" width="10.42578125" style="379" bestFit="1" customWidth="1"/>
    <col min="10770" max="10772" width="9.140625" style="379"/>
    <col min="10773" max="10773" width="10.42578125" style="379" bestFit="1" customWidth="1"/>
    <col min="10774" max="11002" width="9.140625" style="379"/>
    <col min="11003" max="11003" width="3.5703125" style="379" customWidth="1"/>
    <col min="11004" max="11004" width="4.85546875" style="379" customWidth="1"/>
    <col min="11005" max="11005" width="5.42578125" style="379" customWidth="1"/>
    <col min="11006" max="11006" width="31.28515625" style="379" customWidth="1"/>
    <col min="11007" max="11007" width="7.5703125" style="379" customWidth="1"/>
    <col min="11008" max="11008" width="2.42578125" style="379" customWidth="1"/>
    <col min="11009" max="11009" width="11.5703125" style="379" customWidth="1"/>
    <col min="11010" max="11010" width="2.42578125" style="379" customWidth="1"/>
    <col min="11011" max="11011" width="11.5703125" style="379" customWidth="1"/>
    <col min="11012" max="11012" width="2.42578125" style="379" customWidth="1"/>
    <col min="11013" max="11013" width="10.85546875" style="379" customWidth="1"/>
    <col min="11014" max="11014" width="2.42578125" style="379" customWidth="1"/>
    <col min="11015" max="11015" width="11.140625" style="379" customWidth="1"/>
    <col min="11016" max="11016" width="1.85546875" style="379" customWidth="1"/>
    <col min="11017" max="11017" width="11" style="379" customWidth="1"/>
    <col min="11018" max="11018" width="0.7109375" style="379" customWidth="1"/>
    <col min="11019" max="11019" width="1.85546875" style="379" customWidth="1"/>
    <col min="11020" max="11020" width="11.85546875" style="379" bestFit="1" customWidth="1"/>
    <col min="11021" max="11021" width="15.28515625" style="379" bestFit="1" customWidth="1"/>
    <col min="11022" max="11022" width="5" style="379" customWidth="1"/>
    <col min="11023" max="11023" width="10.42578125" style="379" bestFit="1" customWidth="1"/>
    <col min="11024" max="11024" width="5" style="379" customWidth="1"/>
    <col min="11025" max="11025" width="10.42578125" style="379" bestFit="1" customWidth="1"/>
    <col min="11026" max="11028" width="9.140625" style="379"/>
    <col min="11029" max="11029" width="10.42578125" style="379" bestFit="1" customWidth="1"/>
    <col min="11030" max="11258" width="9.140625" style="379"/>
    <col min="11259" max="11259" width="3.5703125" style="379" customWidth="1"/>
    <col min="11260" max="11260" width="4.85546875" style="379" customWidth="1"/>
    <col min="11261" max="11261" width="5.42578125" style="379" customWidth="1"/>
    <col min="11262" max="11262" width="31.28515625" style="379" customWidth="1"/>
    <col min="11263" max="11263" width="7.5703125" style="379" customWidth="1"/>
    <col min="11264" max="11264" width="2.42578125" style="379" customWidth="1"/>
    <col min="11265" max="11265" width="11.5703125" style="379" customWidth="1"/>
    <col min="11266" max="11266" width="2.42578125" style="379" customWidth="1"/>
    <col min="11267" max="11267" width="11.5703125" style="379" customWidth="1"/>
    <col min="11268" max="11268" width="2.42578125" style="379" customWidth="1"/>
    <col min="11269" max="11269" width="10.85546875" style="379" customWidth="1"/>
    <col min="11270" max="11270" width="2.42578125" style="379" customWidth="1"/>
    <col min="11271" max="11271" width="11.140625" style="379" customWidth="1"/>
    <col min="11272" max="11272" width="1.85546875" style="379" customWidth="1"/>
    <col min="11273" max="11273" width="11" style="379" customWidth="1"/>
    <col min="11274" max="11274" width="0.7109375" style="379" customWidth="1"/>
    <col min="11275" max="11275" width="1.85546875" style="379" customWidth="1"/>
    <col min="11276" max="11276" width="11.85546875" style="379" bestFit="1" customWidth="1"/>
    <col min="11277" max="11277" width="15.28515625" style="379" bestFit="1" customWidth="1"/>
    <col min="11278" max="11278" width="5" style="379" customWidth="1"/>
    <col min="11279" max="11279" width="10.42578125" style="379" bestFit="1" customWidth="1"/>
    <col min="11280" max="11280" width="5" style="379" customWidth="1"/>
    <col min="11281" max="11281" width="10.42578125" style="379" bestFit="1" customWidth="1"/>
    <col min="11282" max="11284" width="9.140625" style="379"/>
    <col min="11285" max="11285" width="10.42578125" style="379" bestFit="1" customWidth="1"/>
    <col min="11286" max="11514" width="9.140625" style="379"/>
    <col min="11515" max="11515" width="3.5703125" style="379" customWidth="1"/>
    <col min="11516" max="11516" width="4.85546875" style="379" customWidth="1"/>
    <col min="11517" max="11517" width="5.42578125" style="379" customWidth="1"/>
    <col min="11518" max="11518" width="31.28515625" style="379" customWidth="1"/>
    <col min="11519" max="11519" width="7.5703125" style="379" customWidth="1"/>
    <col min="11520" max="11520" width="2.42578125" style="379" customWidth="1"/>
    <col min="11521" max="11521" width="11.5703125" style="379" customWidth="1"/>
    <col min="11522" max="11522" width="2.42578125" style="379" customWidth="1"/>
    <col min="11523" max="11523" width="11.5703125" style="379" customWidth="1"/>
    <col min="11524" max="11524" width="2.42578125" style="379" customWidth="1"/>
    <col min="11525" max="11525" width="10.85546875" style="379" customWidth="1"/>
    <col min="11526" max="11526" width="2.42578125" style="379" customWidth="1"/>
    <col min="11527" max="11527" width="11.140625" style="379" customWidth="1"/>
    <col min="11528" max="11528" width="1.85546875" style="379" customWidth="1"/>
    <col min="11529" max="11529" width="11" style="379" customWidth="1"/>
    <col min="11530" max="11530" width="0.7109375" style="379" customWidth="1"/>
    <col min="11531" max="11531" width="1.85546875" style="379" customWidth="1"/>
    <col min="11532" max="11532" width="11.85546875" style="379" bestFit="1" customWidth="1"/>
    <col min="11533" max="11533" width="15.28515625" style="379" bestFit="1" customWidth="1"/>
    <col min="11534" max="11534" width="5" style="379" customWidth="1"/>
    <col min="11535" max="11535" width="10.42578125" style="379" bestFit="1" customWidth="1"/>
    <col min="11536" max="11536" width="5" style="379" customWidth="1"/>
    <col min="11537" max="11537" width="10.42578125" style="379" bestFit="1" customWidth="1"/>
    <col min="11538" max="11540" width="9.140625" style="379"/>
    <col min="11541" max="11541" width="10.42578125" style="379" bestFit="1" customWidth="1"/>
    <col min="11542" max="11770" width="9.140625" style="379"/>
    <col min="11771" max="11771" width="3.5703125" style="379" customWidth="1"/>
    <col min="11772" max="11772" width="4.85546875" style="379" customWidth="1"/>
    <col min="11773" max="11773" width="5.42578125" style="379" customWidth="1"/>
    <col min="11774" max="11774" width="31.28515625" style="379" customWidth="1"/>
    <col min="11775" max="11775" width="7.5703125" style="379" customWidth="1"/>
    <col min="11776" max="11776" width="2.42578125" style="379" customWidth="1"/>
    <col min="11777" max="11777" width="11.5703125" style="379" customWidth="1"/>
    <col min="11778" max="11778" width="2.42578125" style="379" customWidth="1"/>
    <col min="11779" max="11779" width="11.5703125" style="379" customWidth="1"/>
    <col min="11780" max="11780" width="2.42578125" style="379" customWidth="1"/>
    <col min="11781" max="11781" width="10.85546875" style="379" customWidth="1"/>
    <col min="11782" max="11782" width="2.42578125" style="379" customWidth="1"/>
    <col min="11783" max="11783" width="11.140625" style="379" customWidth="1"/>
    <col min="11784" max="11784" width="1.85546875" style="379" customWidth="1"/>
    <col min="11785" max="11785" width="11" style="379" customWidth="1"/>
    <col min="11786" max="11786" width="0.7109375" style="379" customWidth="1"/>
    <col min="11787" max="11787" width="1.85546875" style="379" customWidth="1"/>
    <col min="11788" max="11788" width="11.85546875" style="379" bestFit="1" customWidth="1"/>
    <col min="11789" max="11789" width="15.28515625" style="379" bestFit="1" customWidth="1"/>
    <col min="11790" max="11790" width="5" style="379" customWidth="1"/>
    <col min="11791" max="11791" width="10.42578125" style="379" bestFit="1" customWidth="1"/>
    <col min="11792" max="11792" width="5" style="379" customWidth="1"/>
    <col min="11793" max="11793" width="10.42578125" style="379" bestFit="1" customWidth="1"/>
    <col min="11794" max="11796" width="9.140625" style="379"/>
    <col min="11797" max="11797" width="10.42578125" style="379" bestFit="1" customWidth="1"/>
    <col min="11798" max="12026" width="9.140625" style="379"/>
    <col min="12027" max="12027" width="3.5703125" style="379" customWidth="1"/>
    <col min="12028" max="12028" width="4.85546875" style="379" customWidth="1"/>
    <col min="12029" max="12029" width="5.42578125" style="379" customWidth="1"/>
    <col min="12030" max="12030" width="31.28515625" style="379" customWidth="1"/>
    <col min="12031" max="12031" width="7.5703125" style="379" customWidth="1"/>
    <col min="12032" max="12032" width="2.42578125" style="379" customWidth="1"/>
    <col min="12033" max="12033" width="11.5703125" style="379" customWidth="1"/>
    <col min="12034" max="12034" width="2.42578125" style="379" customWidth="1"/>
    <col min="12035" max="12035" width="11.5703125" style="379" customWidth="1"/>
    <col min="12036" max="12036" width="2.42578125" style="379" customWidth="1"/>
    <col min="12037" max="12037" width="10.85546875" style="379" customWidth="1"/>
    <col min="12038" max="12038" width="2.42578125" style="379" customWidth="1"/>
    <col min="12039" max="12039" width="11.140625" style="379" customWidth="1"/>
    <col min="12040" max="12040" width="1.85546875" style="379" customWidth="1"/>
    <col min="12041" max="12041" width="11" style="379" customWidth="1"/>
    <col min="12042" max="12042" width="0.7109375" style="379" customWidth="1"/>
    <col min="12043" max="12043" width="1.85546875" style="379" customWidth="1"/>
    <col min="12044" max="12044" width="11.85546875" style="379" bestFit="1" customWidth="1"/>
    <col min="12045" max="12045" width="15.28515625" style="379" bestFit="1" customWidth="1"/>
    <col min="12046" max="12046" width="5" style="379" customWidth="1"/>
    <col min="12047" max="12047" width="10.42578125" style="379" bestFit="1" customWidth="1"/>
    <col min="12048" max="12048" width="5" style="379" customWidth="1"/>
    <col min="12049" max="12049" width="10.42578125" style="379" bestFit="1" customWidth="1"/>
    <col min="12050" max="12052" width="9.140625" style="379"/>
    <col min="12053" max="12053" width="10.42578125" style="379" bestFit="1" customWidth="1"/>
    <col min="12054" max="12282" width="9.140625" style="379"/>
    <col min="12283" max="12283" width="3.5703125" style="379" customWidth="1"/>
    <col min="12284" max="12284" width="4.85546875" style="379" customWidth="1"/>
    <col min="12285" max="12285" width="5.42578125" style="379" customWidth="1"/>
    <col min="12286" max="12286" width="31.28515625" style="379" customWidth="1"/>
    <col min="12287" max="12287" width="7.5703125" style="379" customWidth="1"/>
    <col min="12288" max="12288" width="2.42578125" style="379" customWidth="1"/>
    <col min="12289" max="12289" width="11.5703125" style="379" customWidth="1"/>
    <col min="12290" max="12290" width="2.42578125" style="379" customWidth="1"/>
    <col min="12291" max="12291" width="11.5703125" style="379" customWidth="1"/>
    <col min="12292" max="12292" width="2.42578125" style="379" customWidth="1"/>
    <col min="12293" max="12293" width="10.85546875" style="379" customWidth="1"/>
    <col min="12294" max="12294" width="2.42578125" style="379" customWidth="1"/>
    <col min="12295" max="12295" width="11.140625" style="379" customWidth="1"/>
    <col min="12296" max="12296" width="1.85546875" style="379" customWidth="1"/>
    <col min="12297" max="12297" width="11" style="379" customWidth="1"/>
    <col min="12298" max="12298" width="0.7109375" style="379" customWidth="1"/>
    <col min="12299" max="12299" width="1.85546875" style="379" customWidth="1"/>
    <col min="12300" max="12300" width="11.85546875" style="379" bestFit="1" customWidth="1"/>
    <col min="12301" max="12301" width="15.28515625" style="379" bestFit="1" customWidth="1"/>
    <col min="12302" max="12302" width="5" style="379" customWidth="1"/>
    <col min="12303" max="12303" width="10.42578125" style="379" bestFit="1" customWidth="1"/>
    <col min="12304" max="12304" width="5" style="379" customWidth="1"/>
    <col min="12305" max="12305" width="10.42578125" style="379" bestFit="1" customWidth="1"/>
    <col min="12306" max="12308" width="9.140625" style="379"/>
    <col min="12309" max="12309" width="10.42578125" style="379" bestFit="1" customWidth="1"/>
    <col min="12310" max="12538" width="9.140625" style="379"/>
    <col min="12539" max="12539" width="3.5703125" style="379" customWidth="1"/>
    <col min="12540" max="12540" width="4.85546875" style="379" customWidth="1"/>
    <col min="12541" max="12541" width="5.42578125" style="379" customWidth="1"/>
    <col min="12542" max="12542" width="31.28515625" style="379" customWidth="1"/>
    <col min="12543" max="12543" width="7.5703125" style="379" customWidth="1"/>
    <col min="12544" max="12544" width="2.42578125" style="379" customWidth="1"/>
    <col min="12545" max="12545" width="11.5703125" style="379" customWidth="1"/>
    <col min="12546" max="12546" width="2.42578125" style="379" customWidth="1"/>
    <col min="12547" max="12547" width="11.5703125" style="379" customWidth="1"/>
    <col min="12548" max="12548" width="2.42578125" style="379" customWidth="1"/>
    <col min="12549" max="12549" width="10.85546875" style="379" customWidth="1"/>
    <col min="12550" max="12550" width="2.42578125" style="379" customWidth="1"/>
    <col min="12551" max="12551" width="11.140625" style="379" customWidth="1"/>
    <col min="12552" max="12552" width="1.85546875" style="379" customWidth="1"/>
    <col min="12553" max="12553" width="11" style="379" customWidth="1"/>
    <col min="12554" max="12554" width="0.7109375" style="379" customWidth="1"/>
    <col min="12555" max="12555" width="1.85546875" style="379" customWidth="1"/>
    <col min="12556" max="12556" width="11.85546875" style="379" bestFit="1" customWidth="1"/>
    <col min="12557" max="12557" width="15.28515625" style="379" bestFit="1" customWidth="1"/>
    <col min="12558" max="12558" width="5" style="379" customWidth="1"/>
    <col min="12559" max="12559" width="10.42578125" style="379" bestFit="1" customWidth="1"/>
    <col min="12560" max="12560" width="5" style="379" customWidth="1"/>
    <col min="12561" max="12561" width="10.42578125" style="379" bestFit="1" customWidth="1"/>
    <col min="12562" max="12564" width="9.140625" style="379"/>
    <col min="12565" max="12565" width="10.42578125" style="379" bestFit="1" customWidth="1"/>
    <col min="12566" max="12794" width="9.140625" style="379"/>
    <col min="12795" max="12795" width="3.5703125" style="379" customWidth="1"/>
    <col min="12796" max="12796" width="4.85546875" style="379" customWidth="1"/>
    <col min="12797" max="12797" width="5.42578125" style="379" customWidth="1"/>
    <col min="12798" max="12798" width="31.28515625" style="379" customWidth="1"/>
    <col min="12799" max="12799" width="7.5703125" style="379" customWidth="1"/>
    <col min="12800" max="12800" width="2.42578125" style="379" customWidth="1"/>
    <col min="12801" max="12801" width="11.5703125" style="379" customWidth="1"/>
    <col min="12802" max="12802" width="2.42578125" style="379" customWidth="1"/>
    <col min="12803" max="12803" width="11.5703125" style="379" customWidth="1"/>
    <col min="12804" max="12804" width="2.42578125" style="379" customWidth="1"/>
    <col min="12805" max="12805" width="10.85546875" style="379" customWidth="1"/>
    <col min="12806" max="12806" width="2.42578125" style="379" customWidth="1"/>
    <col min="12807" max="12807" width="11.140625" style="379" customWidth="1"/>
    <col min="12808" max="12808" width="1.85546875" style="379" customWidth="1"/>
    <col min="12809" max="12809" width="11" style="379" customWidth="1"/>
    <col min="12810" max="12810" width="0.7109375" style="379" customWidth="1"/>
    <col min="12811" max="12811" width="1.85546875" style="379" customWidth="1"/>
    <col min="12812" max="12812" width="11.85546875" style="379" bestFit="1" customWidth="1"/>
    <col min="12813" max="12813" width="15.28515625" style="379" bestFit="1" customWidth="1"/>
    <col min="12814" max="12814" width="5" style="379" customWidth="1"/>
    <col min="12815" max="12815" width="10.42578125" style="379" bestFit="1" customWidth="1"/>
    <col min="12816" max="12816" width="5" style="379" customWidth="1"/>
    <col min="12817" max="12817" width="10.42578125" style="379" bestFit="1" customWidth="1"/>
    <col min="12818" max="12820" width="9.140625" style="379"/>
    <col min="12821" max="12821" width="10.42578125" style="379" bestFit="1" customWidth="1"/>
    <col min="12822" max="13050" width="9.140625" style="379"/>
    <col min="13051" max="13051" width="3.5703125" style="379" customWidth="1"/>
    <col min="13052" max="13052" width="4.85546875" style="379" customWidth="1"/>
    <col min="13053" max="13053" width="5.42578125" style="379" customWidth="1"/>
    <col min="13054" max="13054" width="31.28515625" style="379" customWidth="1"/>
    <col min="13055" max="13055" width="7.5703125" style="379" customWidth="1"/>
    <col min="13056" max="13056" width="2.42578125" style="379" customWidth="1"/>
    <col min="13057" max="13057" width="11.5703125" style="379" customWidth="1"/>
    <col min="13058" max="13058" width="2.42578125" style="379" customWidth="1"/>
    <col min="13059" max="13059" width="11.5703125" style="379" customWidth="1"/>
    <col min="13060" max="13060" width="2.42578125" style="379" customWidth="1"/>
    <col min="13061" max="13061" width="10.85546875" style="379" customWidth="1"/>
    <col min="13062" max="13062" width="2.42578125" style="379" customWidth="1"/>
    <col min="13063" max="13063" width="11.140625" style="379" customWidth="1"/>
    <col min="13064" max="13064" width="1.85546875" style="379" customWidth="1"/>
    <col min="13065" max="13065" width="11" style="379" customWidth="1"/>
    <col min="13066" max="13066" width="0.7109375" style="379" customWidth="1"/>
    <col min="13067" max="13067" width="1.85546875" style="379" customWidth="1"/>
    <col min="13068" max="13068" width="11.85546875" style="379" bestFit="1" customWidth="1"/>
    <col min="13069" max="13069" width="15.28515625" style="379" bestFit="1" customWidth="1"/>
    <col min="13070" max="13070" width="5" style="379" customWidth="1"/>
    <col min="13071" max="13071" width="10.42578125" style="379" bestFit="1" customWidth="1"/>
    <col min="13072" max="13072" width="5" style="379" customWidth="1"/>
    <col min="13073" max="13073" width="10.42578125" style="379" bestFit="1" customWidth="1"/>
    <col min="13074" max="13076" width="9.140625" style="379"/>
    <col min="13077" max="13077" width="10.42578125" style="379" bestFit="1" customWidth="1"/>
    <col min="13078" max="13306" width="9.140625" style="379"/>
    <col min="13307" max="13307" width="3.5703125" style="379" customWidth="1"/>
    <col min="13308" max="13308" width="4.85546875" style="379" customWidth="1"/>
    <col min="13309" max="13309" width="5.42578125" style="379" customWidth="1"/>
    <col min="13310" max="13310" width="31.28515625" style="379" customWidth="1"/>
    <col min="13311" max="13311" width="7.5703125" style="379" customWidth="1"/>
    <col min="13312" max="13312" width="2.42578125" style="379" customWidth="1"/>
    <col min="13313" max="13313" width="11.5703125" style="379" customWidth="1"/>
    <col min="13314" max="13314" width="2.42578125" style="379" customWidth="1"/>
    <col min="13315" max="13315" width="11.5703125" style="379" customWidth="1"/>
    <col min="13316" max="13316" width="2.42578125" style="379" customWidth="1"/>
    <col min="13317" max="13317" width="10.85546875" style="379" customWidth="1"/>
    <col min="13318" max="13318" width="2.42578125" style="379" customWidth="1"/>
    <col min="13319" max="13319" width="11.140625" style="379" customWidth="1"/>
    <col min="13320" max="13320" width="1.85546875" style="379" customWidth="1"/>
    <col min="13321" max="13321" width="11" style="379" customWidth="1"/>
    <col min="13322" max="13322" width="0.7109375" style="379" customWidth="1"/>
    <col min="13323" max="13323" width="1.85546875" style="379" customWidth="1"/>
    <col min="13324" max="13324" width="11.85546875" style="379" bestFit="1" customWidth="1"/>
    <col min="13325" max="13325" width="15.28515625" style="379" bestFit="1" customWidth="1"/>
    <col min="13326" max="13326" width="5" style="379" customWidth="1"/>
    <col min="13327" max="13327" width="10.42578125" style="379" bestFit="1" customWidth="1"/>
    <col min="13328" max="13328" width="5" style="379" customWidth="1"/>
    <col min="13329" max="13329" width="10.42578125" style="379" bestFit="1" customWidth="1"/>
    <col min="13330" max="13332" width="9.140625" style="379"/>
    <col min="13333" max="13333" width="10.42578125" style="379" bestFit="1" customWidth="1"/>
    <col min="13334" max="13562" width="9.140625" style="379"/>
    <col min="13563" max="13563" width="3.5703125" style="379" customWidth="1"/>
    <col min="13564" max="13564" width="4.85546875" style="379" customWidth="1"/>
    <col min="13565" max="13565" width="5.42578125" style="379" customWidth="1"/>
    <col min="13566" max="13566" width="31.28515625" style="379" customWidth="1"/>
    <col min="13567" max="13567" width="7.5703125" style="379" customWidth="1"/>
    <col min="13568" max="13568" width="2.42578125" style="379" customWidth="1"/>
    <col min="13569" max="13569" width="11.5703125" style="379" customWidth="1"/>
    <col min="13570" max="13570" width="2.42578125" style="379" customWidth="1"/>
    <col min="13571" max="13571" width="11.5703125" style="379" customWidth="1"/>
    <col min="13572" max="13572" width="2.42578125" style="379" customWidth="1"/>
    <col min="13573" max="13573" width="10.85546875" style="379" customWidth="1"/>
    <col min="13574" max="13574" width="2.42578125" style="379" customWidth="1"/>
    <col min="13575" max="13575" width="11.140625" style="379" customWidth="1"/>
    <col min="13576" max="13576" width="1.85546875" style="379" customWidth="1"/>
    <col min="13577" max="13577" width="11" style="379" customWidth="1"/>
    <col min="13578" max="13578" width="0.7109375" style="379" customWidth="1"/>
    <col min="13579" max="13579" width="1.85546875" style="379" customWidth="1"/>
    <col min="13580" max="13580" width="11.85546875" style="379" bestFit="1" customWidth="1"/>
    <col min="13581" max="13581" width="15.28515625" style="379" bestFit="1" customWidth="1"/>
    <col min="13582" max="13582" width="5" style="379" customWidth="1"/>
    <col min="13583" max="13583" width="10.42578125" style="379" bestFit="1" customWidth="1"/>
    <col min="13584" max="13584" width="5" style="379" customWidth="1"/>
    <col min="13585" max="13585" width="10.42578125" style="379" bestFit="1" customWidth="1"/>
    <col min="13586" max="13588" width="9.140625" style="379"/>
    <col min="13589" max="13589" width="10.42578125" style="379" bestFit="1" customWidth="1"/>
    <col min="13590" max="13818" width="9.140625" style="379"/>
    <col min="13819" max="13819" width="3.5703125" style="379" customWidth="1"/>
    <col min="13820" max="13820" width="4.85546875" style="379" customWidth="1"/>
    <col min="13821" max="13821" width="5.42578125" style="379" customWidth="1"/>
    <col min="13822" max="13822" width="31.28515625" style="379" customWidth="1"/>
    <col min="13823" max="13823" width="7.5703125" style="379" customWidth="1"/>
    <col min="13824" max="13824" width="2.42578125" style="379" customWidth="1"/>
    <col min="13825" max="13825" width="11.5703125" style="379" customWidth="1"/>
    <col min="13826" max="13826" width="2.42578125" style="379" customWidth="1"/>
    <col min="13827" max="13827" width="11.5703125" style="379" customWidth="1"/>
    <col min="13828" max="13828" width="2.42578125" style="379" customWidth="1"/>
    <col min="13829" max="13829" width="10.85546875" style="379" customWidth="1"/>
    <col min="13830" max="13830" width="2.42578125" style="379" customWidth="1"/>
    <col min="13831" max="13831" width="11.140625" style="379" customWidth="1"/>
    <col min="13832" max="13832" width="1.85546875" style="379" customWidth="1"/>
    <col min="13833" max="13833" width="11" style="379" customWidth="1"/>
    <col min="13834" max="13834" width="0.7109375" style="379" customWidth="1"/>
    <col min="13835" max="13835" width="1.85546875" style="379" customWidth="1"/>
    <col min="13836" max="13836" width="11.85546875" style="379" bestFit="1" customWidth="1"/>
    <col min="13837" max="13837" width="15.28515625" style="379" bestFit="1" customWidth="1"/>
    <col min="13838" max="13838" width="5" style="379" customWidth="1"/>
    <col min="13839" max="13839" width="10.42578125" style="379" bestFit="1" customWidth="1"/>
    <col min="13840" max="13840" width="5" style="379" customWidth="1"/>
    <col min="13841" max="13841" width="10.42578125" style="379" bestFit="1" customWidth="1"/>
    <col min="13842" max="13844" width="9.140625" style="379"/>
    <col min="13845" max="13845" width="10.42578125" style="379" bestFit="1" customWidth="1"/>
    <col min="13846" max="14074" width="9.140625" style="379"/>
    <col min="14075" max="14075" width="3.5703125" style="379" customWidth="1"/>
    <col min="14076" max="14076" width="4.85546875" style="379" customWidth="1"/>
    <col min="14077" max="14077" width="5.42578125" style="379" customWidth="1"/>
    <col min="14078" max="14078" width="31.28515625" style="379" customWidth="1"/>
    <col min="14079" max="14079" width="7.5703125" style="379" customWidth="1"/>
    <col min="14080" max="14080" width="2.42578125" style="379" customWidth="1"/>
    <col min="14081" max="14081" width="11.5703125" style="379" customWidth="1"/>
    <col min="14082" max="14082" width="2.42578125" style="379" customWidth="1"/>
    <col min="14083" max="14083" width="11.5703125" style="379" customWidth="1"/>
    <col min="14084" max="14084" width="2.42578125" style="379" customWidth="1"/>
    <col min="14085" max="14085" width="10.85546875" style="379" customWidth="1"/>
    <col min="14086" max="14086" width="2.42578125" style="379" customWidth="1"/>
    <col min="14087" max="14087" width="11.140625" style="379" customWidth="1"/>
    <col min="14088" max="14088" width="1.85546875" style="379" customWidth="1"/>
    <col min="14089" max="14089" width="11" style="379" customWidth="1"/>
    <col min="14090" max="14090" width="0.7109375" style="379" customWidth="1"/>
    <col min="14091" max="14091" width="1.85546875" style="379" customWidth="1"/>
    <col min="14092" max="14092" width="11.85546875" style="379" bestFit="1" customWidth="1"/>
    <col min="14093" max="14093" width="15.28515625" style="379" bestFit="1" customWidth="1"/>
    <col min="14094" max="14094" width="5" style="379" customWidth="1"/>
    <col min="14095" max="14095" width="10.42578125" style="379" bestFit="1" customWidth="1"/>
    <col min="14096" max="14096" width="5" style="379" customWidth="1"/>
    <col min="14097" max="14097" width="10.42578125" style="379" bestFit="1" customWidth="1"/>
    <col min="14098" max="14100" width="9.140625" style="379"/>
    <col min="14101" max="14101" width="10.42578125" style="379" bestFit="1" customWidth="1"/>
    <col min="14102" max="14330" width="9.140625" style="379"/>
    <col min="14331" max="14331" width="3.5703125" style="379" customWidth="1"/>
    <col min="14332" max="14332" width="4.85546875" style="379" customWidth="1"/>
    <col min="14333" max="14333" width="5.42578125" style="379" customWidth="1"/>
    <col min="14334" max="14334" width="31.28515625" style="379" customWidth="1"/>
    <col min="14335" max="14335" width="7.5703125" style="379" customWidth="1"/>
    <col min="14336" max="14336" width="2.42578125" style="379" customWidth="1"/>
    <col min="14337" max="14337" width="11.5703125" style="379" customWidth="1"/>
    <col min="14338" max="14338" width="2.42578125" style="379" customWidth="1"/>
    <col min="14339" max="14339" width="11.5703125" style="379" customWidth="1"/>
    <col min="14340" max="14340" width="2.42578125" style="379" customWidth="1"/>
    <col min="14341" max="14341" width="10.85546875" style="379" customWidth="1"/>
    <col min="14342" max="14342" width="2.42578125" style="379" customWidth="1"/>
    <col min="14343" max="14343" width="11.140625" style="379" customWidth="1"/>
    <col min="14344" max="14344" width="1.85546875" style="379" customWidth="1"/>
    <col min="14345" max="14345" width="11" style="379" customWidth="1"/>
    <col min="14346" max="14346" width="0.7109375" style="379" customWidth="1"/>
    <col min="14347" max="14347" width="1.85546875" style="379" customWidth="1"/>
    <col min="14348" max="14348" width="11.85546875" style="379" bestFit="1" customWidth="1"/>
    <col min="14349" max="14349" width="15.28515625" style="379" bestFit="1" customWidth="1"/>
    <col min="14350" max="14350" width="5" style="379" customWidth="1"/>
    <col min="14351" max="14351" width="10.42578125" style="379" bestFit="1" customWidth="1"/>
    <col min="14352" max="14352" width="5" style="379" customWidth="1"/>
    <col min="14353" max="14353" width="10.42578125" style="379" bestFit="1" customWidth="1"/>
    <col min="14354" max="14356" width="9.140625" style="379"/>
    <col min="14357" max="14357" width="10.42578125" style="379" bestFit="1" customWidth="1"/>
    <col min="14358" max="14586" width="9.140625" style="379"/>
    <col min="14587" max="14587" width="3.5703125" style="379" customWidth="1"/>
    <col min="14588" max="14588" width="4.85546875" style="379" customWidth="1"/>
    <col min="14589" max="14589" width="5.42578125" style="379" customWidth="1"/>
    <col min="14590" max="14590" width="31.28515625" style="379" customWidth="1"/>
    <col min="14591" max="14591" width="7.5703125" style="379" customWidth="1"/>
    <col min="14592" max="14592" width="2.42578125" style="379" customWidth="1"/>
    <col min="14593" max="14593" width="11.5703125" style="379" customWidth="1"/>
    <col min="14594" max="14594" width="2.42578125" style="379" customWidth="1"/>
    <col min="14595" max="14595" width="11.5703125" style="379" customWidth="1"/>
    <col min="14596" max="14596" width="2.42578125" style="379" customWidth="1"/>
    <col min="14597" max="14597" width="10.85546875" style="379" customWidth="1"/>
    <col min="14598" max="14598" width="2.42578125" style="379" customWidth="1"/>
    <col min="14599" max="14599" width="11.140625" style="379" customWidth="1"/>
    <col min="14600" max="14600" width="1.85546875" style="379" customWidth="1"/>
    <col min="14601" max="14601" width="11" style="379" customWidth="1"/>
    <col min="14602" max="14602" width="0.7109375" style="379" customWidth="1"/>
    <col min="14603" max="14603" width="1.85546875" style="379" customWidth="1"/>
    <col min="14604" max="14604" width="11.85546875" style="379" bestFit="1" customWidth="1"/>
    <col min="14605" max="14605" width="15.28515625" style="379" bestFit="1" customWidth="1"/>
    <col min="14606" max="14606" width="5" style="379" customWidth="1"/>
    <col min="14607" max="14607" width="10.42578125" style="379" bestFit="1" customWidth="1"/>
    <col min="14608" max="14608" width="5" style="379" customWidth="1"/>
    <col min="14609" max="14609" width="10.42578125" style="379" bestFit="1" customWidth="1"/>
    <col min="14610" max="14612" width="9.140625" style="379"/>
    <col min="14613" max="14613" width="10.42578125" style="379" bestFit="1" customWidth="1"/>
    <col min="14614" max="14842" width="9.140625" style="379"/>
    <col min="14843" max="14843" width="3.5703125" style="379" customWidth="1"/>
    <col min="14844" max="14844" width="4.85546875" style="379" customWidth="1"/>
    <col min="14845" max="14845" width="5.42578125" style="379" customWidth="1"/>
    <col min="14846" max="14846" width="31.28515625" style="379" customWidth="1"/>
    <col min="14847" max="14847" width="7.5703125" style="379" customWidth="1"/>
    <col min="14848" max="14848" width="2.42578125" style="379" customWidth="1"/>
    <col min="14849" max="14849" width="11.5703125" style="379" customWidth="1"/>
    <col min="14850" max="14850" width="2.42578125" style="379" customWidth="1"/>
    <col min="14851" max="14851" width="11.5703125" style="379" customWidth="1"/>
    <col min="14852" max="14852" width="2.42578125" style="379" customWidth="1"/>
    <col min="14853" max="14853" width="10.85546875" style="379" customWidth="1"/>
    <col min="14854" max="14854" width="2.42578125" style="379" customWidth="1"/>
    <col min="14855" max="14855" width="11.140625" style="379" customWidth="1"/>
    <col min="14856" max="14856" width="1.85546875" style="379" customWidth="1"/>
    <col min="14857" max="14857" width="11" style="379" customWidth="1"/>
    <col min="14858" max="14858" width="0.7109375" style="379" customWidth="1"/>
    <col min="14859" max="14859" width="1.85546875" style="379" customWidth="1"/>
    <col min="14860" max="14860" width="11.85546875" style="379" bestFit="1" customWidth="1"/>
    <col min="14861" max="14861" width="15.28515625" style="379" bestFit="1" customWidth="1"/>
    <col min="14862" max="14862" width="5" style="379" customWidth="1"/>
    <col min="14863" max="14863" width="10.42578125" style="379" bestFit="1" customWidth="1"/>
    <col min="14864" max="14864" width="5" style="379" customWidth="1"/>
    <col min="14865" max="14865" width="10.42578125" style="379" bestFit="1" customWidth="1"/>
    <col min="14866" max="14868" width="9.140625" style="379"/>
    <col min="14869" max="14869" width="10.42578125" style="379" bestFit="1" customWidth="1"/>
    <col min="14870" max="15098" width="9.140625" style="379"/>
    <col min="15099" max="15099" width="3.5703125" style="379" customWidth="1"/>
    <col min="15100" max="15100" width="4.85546875" style="379" customWidth="1"/>
    <col min="15101" max="15101" width="5.42578125" style="379" customWidth="1"/>
    <col min="15102" max="15102" width="31.28515625" style="379" customWidth="1"/>
    <col min="15103" max="15103" width="7.5703125" style="379" customWidth="1"/>
    <col min="15104" max="15104" width="2.42578125" style="379" customWidth="1"/>
    <col min="15105" max="15105" width="11.5703125" style="379" customWidth="1"/>
    <col min="15106" max="15106" width="2.42578125" style="379" customWidth="1"/>
    <col min="15107" max="15107" width="11.5703125" style="379" customWidth="1"/>
    <col min="15108" max="15108" width="2.42578125" style="379" customWidth="1"/>
    <col min="15109" max="15109" width="10.85546875" style="379" customWidth="1"/>
    <col min="15110" max="15110" width="2.42578125" style="379" customWidth="1"/>
    <col min="15111" max="15111" width="11.140625" style="379" customWidth="1"/>
    <col min="15112" max="15112" width="1.85546875" style="379" customWidth="1"/>
    <col min="15113" max="15113" width="11" style="379" customWidth="1"/>
    <col min="15114" max="15114" width="0.7109375" style="379" customWidth="1"/>
    <col min="15115" max="15115" width="1.85546875" style="379" customWidth="1"/>
    <col min="15116" max="15116" width="11.85546875" style="379" bestFit="1" customWidth="1"/>
    <col min="15117" max="15117" width="15.28515625" style="379" bestFit="1" customWidth="1"/>
    <col min="15118" max="15118" width="5" style="379" customWidth="1"/>
    <col min="15119" max="15119" width="10.42578125" style="379" bestFit="1" customWidth="1"/>
    <col min="15120" max="15120" width="5" style="379" customWidth="1"/>
    <col min="15121" max="15121" width="10.42578125" style="379" bestFit="1" customWidth="1"/>
    <col min="15122" max="15124" width="9.140625" style="379"/>
    <col min="15125" max="15125" width="10.42578125" style="379" bestFit="1" customWidth="1"/>
    <col min="15126" max="15354" width="9.140625" style="379"/>
    <col min="15355" max="15355" width="3.5703125" style="379" customWidth="1"/>
    <col min="15356" max="15356" width="4.85546875" style="379" customWidth="1"/>
    <col min="15357" max="15357" width="5.42578125" style="379" customWidth="1"/>
    <col min="15358" max="15358" width="31.28515625" style="379" customWidth="1"/>
    <col min="15359" max="15359" width="7.5703125" style="379" customWidth="1"/>
    <col min="15360" max="15360" width="2.42578125" style="379" customWidth="1"/>
    <col min="15361" max="15361" width="11.5703125" style="379" customWidth="1"/>
    <col min="15362" max="15362" width="2.42578125" style="379" customWidth="1"/>
    <col min="15363" max="15363" width="11.5703125" style="379" customWidth="1"/>
    <col min="15364" max="15364" width="2.42578125" style="379" customWidth="1"/>
    <col min="15365" max="15365" width="10.85546875" style="379" customWidth="1"/>
    <col min="15366" max="15366" width="2.42578125" style="379" customWidth="1"/>
    <col min="15367" max="15367" width="11.140625" style="379" customWidth="1"/>
    <col min="15368" max="15368" width="1.85546875" style="379" customWidth="1"/>
    <col min="15369" max="15369" width="11" style="379" customWidth="1"/>
    <col min="15370" max="15370" width="0.7109375" style="379" customWidth="1"/>
    <col min="15371" max="15371" width="1.85546875" style="379" customWidth="1"/>
    <col min="15372" max="15372" width="11.85546875" style="379" bestFit="1" customWidth="1"/>
    <col min="15373" max="15373" width="15.28515625" style="379" bestFit="1" customWidth="1"/>
    <col min="15374" max="15374" width="5" style="379" customWidth="1"/>
    <col min="15375" max="15375" width="10.42578125" style="379" bestFit="1" customWidth="1"/>
    <col min="15376" max="15376" width="5" style="379" customWidth="1"/>
    <col min="15377" max="15377" width="10.42578125" style="379" bestFit="1" customWidth="1"/>
    <col min="15378" max="15380" width="9.140625" style="379"/>
    <col min="15381" max="15381" width="10.42578125" style="379" bestFit="1" customWidth="1"/>
    <col min="15382" max="15610" width="9.140625" style="379"/>
    <col min="15611" max="15611" width="3.5703125" style="379" customWidth="1"/>
    <col min="15612" max="15612" width="4.85546875" style="379" customWidth="1"/>
    <col min="15613" max="15613" width="5.42578125" style="379" customWidth="1"/>
    <col min="15614" max="15614" width="31.28515625" style="379" customWidth="1"/>
    <col min="15615" max="15615" width="7.5703125" style="379" customWidth="1"/>
    <col min="15616" max="15616" width="2.42578125" style="379" customWidth="1"/>
    <col min="15617" max="15617" width="11.5703125" style="379" customWidth="1"/>
    <col min="15618" max="15618" width="2.42578125" style="379" customWidth="1"/>
    <col min="15619" max="15619" width="11.5703125" style="379" customWidth="1"/>
    <col min="15620" max="15620" width="2.42578125" style="379" customWidth="1"/>
    <col min="15621" max="15621" width="10.85546875" style="379" customWidth="1"/>
    <col min="15622" max="15622" width="2.42578125" style="379" customWidth="1"/>
    <col min="15623" max="15623" width="11.140625" style="379" customWidth="1"/>
    <col min="15624" max="15624" width="1.85546875" style="379" customWidth="1"/>
    <col min="15625" max="15625" width="11" style="379" customWidth="1"/>
    <col min="15626" max="15626" width="0.7109375" style="379" customWidth="1"/>
    <col min="15627" max="15627" width="1.85546875" style="379" customWidth="1"/>
    <col min="15628" max="15628" width="11.85546875" style="379" bestFit="1" customWidth="1"/>
    <col min="15629" max="15629" width="15.28515625" style="379" bestFit="1" customWidth="1"/>
    <col min="15630" max="15630" width="5" style="379" customWidth="1"/>
    <col min="15631" max="15631" width="10.42578125" style="379" bestFit="1" customWidth="1"/>
    <col min="15632" max="15632" width="5" style="379" customWidth="1"/>
    <col min="15633" max="15633" width="10.42578125" style="379" bestFit="1" customWidth="1"/>
    <col min="15634" max="15636" width="9.140625" style="379"/>
    <col min="15637" max="15637" width="10.42578125" style="379" bestFit="1" customWidth="1"/>
    <col min="15638" max="15866" width="9.140625" style="379"/>
    <col min="15867" max="15867" width="3.5703125" style="379" customWidth="1"/>
    <col min="15868" max="15868" width="4.85546875" style="379" customWidth="1"/>
    <col min="15869" max="15869" width="5.42578125" style="379" customWidth="1"/>
    <col min="15870" max="15870" width="31.28515625" style="379" customWidth="1"/>
    <col min="15871" max="15871" width="7.5703125" style="379" customWidth="1"/>
    <col min="15872" max="15872" width="2.42578125" style="379" customWidth="1"/>
    <col min="15873" max="15873" width="11.5703125" style="379" customWidth="1"/>
    <col min="15874" max="15874" width="2.42578125" style="379" customWidth="1"/>
    <col min="15875" max="15875" width="11.5703125" style="379" customWidth="1"/>
    <col min="15876" max="15876" width="2.42578125" style="379" customWidth="1"/>
    <col min="15877" max="15877" width="10.85546875" style="379" customWidth="1"/>
    <col min="15878" max="15878" width="2.42578125" style="379" customWidth="1"/>
    <col min="15879" max="15879" width="11.140625" style="379" customWidth="1"/>
    <col min="15880" max="15880" width="1.85546875" style="379" customWidth="1"/>
    <col min="15881" max="15881" width="11" style="379" customWidth="1"/>
    <col min="15882" max="15882" width="0.7109375" style="379" customWidth="1"/>
    <col min="15883" max="15883" width="1.85546875" style="379" customWidth="1"/>
    <col min="15884" max="15884" width="11.85546875" style="379" bestFit="1" customWidth="1"/>
    <col min="15885" max="15885" width="15.28515625" style="379" bestFit="1" customWidth="1"/>
    <col min="15886" max="15886" width="5" style="379" customWidth="1"/>
    <col min="15887" max="15887" width="10.42578125" style="379" bestFit="1" customWidth="1"/>
    <col min="15888" max="15888" width="5" style="379" customWidth="1"/>
    <col min="15889" max="15889" width="10.42578125" style="379" bestFit="1" customWidth="1"/>
    <col min="15890" max="15892" width="9.140625" style="379"/>
    <col min="15893" max="15893" width="10.42578125" style="379" bestFit="1" customWidth="1"/>
    <col min="15894" max="16122" width="9.140625" style="379"/>
    <col min="16123" max="16123" width="3.5703125" style="379" customWidth="1"/>
    <col min="16124" max="16124" width="4.85546875" style="379" customWidth="1"/>
    <col min="16125" max="16125" width="5.42578125" style="379" customWidth="1"/>
    <col min="16126" max="16126" width="31.28515625" style="379" customWidth="1"/>
    <col min="16127" max="16127" width="7.5703125" style="379" customWidth="1"/>
    <col min="16128" max="16128" width="2.42578125" style="379" customWidth="1"/>
    <col min="16129" max="16129" width="11.5703125" style="379" customWidth="1"/>
    <col min="16130" max="16130" width="2.42578125" style="379" customWidth="1"/>
    <col min="16131" max="16131" width="11.5703125" style="379" customWidth="1"/>
    <col min="16132" max="16132" width="2.42578125" style="379" customWidth="1"/>
    <col min="16133" max="16133" width="10.85546875" style="379" customWidth="1"/>
    <col min="16134" max="16134" width="2.42578125" style="379" customWidth="1"/>
    <col min="16135" max="16135" width="11.140625" style="379" customWidth="1"/>
    <col min="16136" max="16136" width="1.85546875" style="379" customWidth="1"/>
    <col min="16137" max="16137" width="11" style="379" customWidth="1"/>
    <col min="16138" max="16138" width="0.7109375" style="379" customWidth="1"/>
    <col min="16139" max="16139" width="1.85546875" style="379" customWidth="1"/>
    <col min="16140" max="16140" width="11.85546875" style="379" bestFit="1" customWidth="1"/>
    <col min="16141" max="16141" width="15.28515625" style="379" bestFit="1" customWidth="1"/>
    <col min="16142" max="16142" width="5" style="379" customWidth="1"/>
    <col min="16143" max="16143" width="10.42578125" style="379" bestFit="1" customWidth="1"/>
    <col min="16144" max="16144" width="5" style="379" customWidth="1"/>
    <col min="16145" max="16145" width="10.42578125" style="379" bestFit="1" customWidth="1"/>
    <col min="16146" max="16148" width="9.140625" style="379"/>
    <col min="16149" max="16149" width="10.42578125" style="379" bestFit="1" customWidth="1"/>
    <col min="16150" max="16384" width="9.140625" style="379"/>
  </cols>
  <sheetData>
    <row r="1" spans="1:15" s="348" customFormat="1" ht="18.75" x14ac:dyDescent="0.45">
      <c r="A1" s="1476" t="s">
        <v>244</v>
      </c>
      <c r="B1" s="1476"/>
      <c r="C1" s="1476"/>
      <c r="D1" s="1476"/>
      <c r="E1" s="1476"/>
      <c r="F1" s="1476"/>
      <c r="G1" s="1476"/>
      <c r="H1" s="1476"/>
      <c r="I1" s="1476"/>
      <c r="J1" s="347"/>
      <c r="K1" s="347"/>
      <c r="L1" s="347"/>
      <c r="M1" s="347"/>
      <c r="N1" s="347"/>
      <c r="O1" s="347"/>
    </row>
    <row r="2" spans="1:15" s="348" customFormat="1" ht="18.75" x14ac:dyDescent="0.45">
      <c r="A2" s="1477" t="str">
        <f>تاريخچه!A2</f>
        <v>يادداشتهاي توضيحي صورتهاي مالي</v>
      </c>
      <c r="B2" s="1477"/>
      <c r="C2" s="1477"/>
      <c r="D2" s="1477"/>
      <c r="E2" s="1477"/>
      <c r="F2" s="1477"/>
      <c r="G2" s="1477"/>
      <c r="H2" s="1477"/>
      <c r="I2" s="1477"/>
      <c r="J2" s="347"/>
      <c r="K2" s="347"/>
      <c r="L2" s="347"/>
      <c r="M2" s="347"/>
      <c r="N2" s="347"/>
      <c r="O2" s="347"/>
    </row>
    <row r="3" spans="1:15" s="348" customFormat="1" ht="18.75" x14ac:dyDescent="0.45">
      <c r="A3" s="1477" t="str">
        <f>سودوزيان!A3</f>
        <v>سال مالی منتهی به 30 اسفند 1403</v>
      </c>
      <c r="B3" s="1477"/>
      <c r="C3" s="1477"/>
      <c r="D3" s="1477"/>
      <c r="E3" s="1477"/>
      <c r="F3" s="1477"/>
      <c r="G3" s="1477"/>
      <c r="H3" s="1477"/>
      <c r="I3" s="1477"/>
      <c r="J3" s="347"/>
      <c r="K3" s="347"/>
      <c r="L3" s="347"/>
      <c r="M3" s="347"/>
      <c r="N3" s="347"/>
      <c r="O3" s="347"/>
    </row>
    <row r="4" spans="1:15" s="348" customFormat="1" ht="18.75" x14ac:dyDescent="0.45">
      <c r="A4" s="349"/>
      <c r="B4" s="349"/>
      <c r="C4" s="349"/>
      <c r="D4" s="349"/>
      <c r="E4" s="349"/>
      <c r="F4" s="349"/>
      <c r="G4" s="349"/>
      <c r="H4" s="349"/>
      <c r="I4" s="349"/>
      <c r="J4" s="347"/>
      <c r="K4" s="347"/>
      <c r="L4" s="347"/>
      <c r="M4" s="347"/>
      <c r="N4" s="347"/>
      <c r="O4" s="347"/>
    </row>
    <row r="5" spans="1:15" s="348" customFormat="1" ht="18.75" hidden="1" x14ac:dyDescent="0.45">
      <c r="A5" s="349"/>
      <c r="B5" s="349"/>
      <c r="C5" s="349"/>
      <c r="D5" s="349"/>
      <c r="E5" s="349"/>
      <c r="F5" s="349"/>
      <c r="G5" s="349"/>
      <c r="H5" s="349"/>
      <c r="I5" s="349"/>
      <c r="J5" s="347"/>
      <c r="K5" s="347"/>
      <c r="L5" s="347"/>
      <c r="M5" s="347"/>
      <c r="N5" s="347"/>
      <c r="O5" s="347"/>
    </row>
    <row r="6" spans="1:15" s="179" customFormat="1" ht="26.25" customHeight="1" x14ac:dyDescent="0.25">
      <c r="A6" s="201"/>
      <c r="B6" s="939" t="str">
        <f>'17'!E11</f>
        <v>17-2</v>
      </c>
      <c r="D6" s="1525" t="s">
        <v>365</v>
      </c>
      <c r="E6" s="1525"/>
      <c r="F6" s="1525"/>
      <c r="G6" s="1525"/>
      <c r="H6" s="247"/>
      <c r="I6" s="247"/>
      <c r="L6" s="178"/>
      <c r="M6" s="178"/>
    </row>
    <row r="7" spans="1:15" s="179" customFormat="1" ht="18" customHeight="1" x14ac:dyDescent="0.25">
      <c r="A7" s="201"/>
      <c r="B7" s="512"/>
      <c r="E7" s="434"/>
      <c r="G7" s="729">
        <v>1403</v>
      </c>
      <c r="H7" s="235"/>
      <c r="I7" s="432">
        <v>1402</v>
      </c>
      <c r="L7" s="178"/>
      <c r="M7" s="178"/>
    </row>
    <row r="8" spans="1:15" s="179" customFormat="1" ht="18.75" customHeight="1" x14ac:dyDescent="0.25">
      <c r="A8" s="201"/>
      <c r="B8" s="512"/>
      <c r="G8" s="434" t="s">
        <v>591</v>
      </c>
      <c r="H8" s="434"/>
      <c r="I8" s="435" t="s">
        <v>591</v>
      </c>
      <c r="L8" s="178"/>
      <c r="M8" s="178"/>
    </row>
    <row r="9" spans="1:15" s="189" customFormat="1" ht="21" customHeight="1" x14ac:dyDescent="0.25">
      <c r="A9" s="180"/>
      <c r="B9" s="1311"/>
      <c r="D9" s="30" t="s">
        <v>1296</v>
      </c>
      <c r="G9" s="1312">
        <v>180000000000</v>
      </c>
      <c r="H9" s="183"/>
      <c r="I9" s="1312">
        <v>400000000000</v>
      </c>
      <c r="L9" s="1313"/>
      <c r="M9" s="1313"/>
    </row>
    <row r="10" spans="1:15" s="179" customFormat="1" ht="21" customHeight="1" x14ac:dyDescent="0.25">
      <c r="A10" s="201" t="s">
        <v>490</v>
      </c>
      <c r="B10" s="512"/>
      <c r="D10" s="8" t="s">
        <v>948</v>
      </c>
      <c r="G10" s="414">
        <v>70501859075</v>
      </c>
      <c r="H10" s="222"/>
      <c r="I10" s="414">
        <v>50497835034</v>
      </c>
      <c r="L10" s="178"/>
      <c r="M10" s="178"/>
    </row>
    <row r="11" spans="1:15" s="179" customFormat="1" ht="21" customHeight="1" x14ac:dyDescent="0.25">
      <c r="A11" s="201"/>
      <c r="B11" s="512"/>
      <c r="D11" s="8" t="s">
        <v>949</v>
      </c>
      <c r="G11" s="414">
        <v>37948584181</v>
      </c>
      <c r="H11" s="195"/>
      <c r="I11" s="414">
        <v>4043099778</v>
      </c>
      <c r="L11" s="178"/>
      <c r="M11" s="178"/>
    </row>
    <row r="12" spans="1:15" s="179" customFormat="1" ht="21" customHeight="1" x14ac:dyDescent="0.25">
      <c r="A12" s="201"/>
      <c r="B12" s="512"/>
      <c r="D12" s="1682" t="s">
        <v>1314</v>
      </c>
      <c r="G12" s="414">
        <v>9376068754</v>
      </c>
      <c r="H12" s="414"/>
      <c r="I12" s="414">
        <v>0</v>
      </c>
      <c r="L12" s="178"/>
      <c r="M12" s="178"/>
    </row>
    <row r="13" spans="1:15" s="179" customFormat="1" ht="21" customHeight="1" x14ac:dyDescent="0.25">
      <c r="A13" s="201"/>
      <c r="B13" s="512"/>
      <c r="D13" s="8" t="s">
        <v>532</v>
      </c>
      <c r="G13" s="414">
        <v>8892391566</v>
      </c>
      <c r="H13" s="222"/>
      <c r="I13" s="414">
        <v>54972189985</v>
      </c>
      <c r="L13" s="178"/>
      <c r="M13" s="178"/>
    </row>
    <row r="14" spans="1:15" s="179" customFormat="1" ht="21" customHeight="1" x14ac:dyDescent="0.25">
      <c r="A14" s="201"/>
      <c r="B14" s="512"/>
      <c r="D14" s="8" t="s">
        <v>944</v>
      </c>
      <c r="G14" s="414">
        <v>8492241258</v>
      </c>
      <c r="H14" s="222"/>
      <c r="I14" s="414">
        <v>4346895956</v>
      </c>
      <c r="L14" s="178"/>
      <c r="M14" s="178"/>
    </row>
    <row r="15" spans="1:15" s="179" customFormat="1" ht="21" customHeight="1" x14ac:dyDescent="0.25">
      <c r="A15" s="201"/>
      <c r="B15" s="512"/>
      <c r="D15" s="8" t="s">
        <v>1120</v>
      </c>
      <c r="G15" s="414">
        <v>6716805194</v>
      </c>
      <c r="H15" s="414"/>
      <c r="I15" s="414">
        <v>0</v>
      </c>
      <c r="L15" s="178"/>
      <c r="M15" s="178"/>
    </row>
    <row r="16" spans="1:15" s="179" customFormat="1" ht="21" customHeight="1" x14ac:dyDescent="0.25">
      <c r="A16" s="201"/>
      <c r="B16" s="512"/>
      <c r="D16" s="8" t="s">
        <v>872</v>
      </c>
      <c r="G16" s="414">
        <v>0</v>
      </c>
      <c r="H16" s="222"/>
      <c r="I16" s="414">
        <v>188224623428</v>
      </c>
      <c r="L16" s="178"/>
      <c r="M16" s="178"/>
    </row>
    <row r="17" spans="1:13" s="179" customFormat="1" ht="21" customHeight="1" x14ac:dyDescent="0.25">
      <c r="A17" s="201"/>
      <c r="B17" s="512"/>
      <c r="D17" s="8" t="s">
        <v>946</v>
      </c>
      <c r="G17" s="414">
        <v>0</v>
      </c>
      <c r="H17" s="222"/>
      <c r="I17" s="414">
        <v>90524146298</v>
      </c>
      <c r="L17" s="178"/>
      <c r="M17" s="178"/>
    </row>
    <row r="18" spans="1:13" s="179" customFormat="1" ht="21" customHeight="1" x14ac:dyDescent="0.25">
      <c r="A18" s="201"/>
      <c r="B18" s="512"/>
      <c r="D18" s="8" t="s">
        <v>877</v>
      </c>
      <c r="G18" s="414">
        <v>0</v>
      </c>
      <c r="H18" s="222"/>
      <c r="I18" s="414">
        <v>36904087837</v>
      </c>
      <c r="L18" s="178"/>
      <c r="M18" s="178"/>
    </row>
    <row r="19" spans="1:13" s="179" customFormat="1" ht="21" customHeight="1" x14ac:dyDescent="0.25">
      <c r="A19" s="201"/>
      <c r="B19" s="512"/>
      <c r="D19" s="8" t="s">
        <v>534</v>
      </c>
      <c r="G19" s="414">
        <v>0</v>
      </c>
      <c r="H19" s="222"/>
      <c r="I19" s="414">
        <v>15412499224</v>
      </c>
      <c r="L19" s="178"/>
      <c r="M19" s="178"/>
    </row>
    <row r="20" spans="1:13" s="179" customFormat="1" ht="21" customHeight="1" x14ac:dyDescent="0.25">
      <c r="A20" s="201"/>
      <c r="B20" s="512"/>
      <c r="D20" s="8" t="s">
        <v>967</v>
      </c>
      <c r="G20" s="414">
        <v>0</v>
      </c>
      <c r="H20" s="195"/>
      <c r="I20" s="414">
        <v>901743840</v>
      </c>
      <c r="L20" s="178"/>
      <c r="M20" s="178"/>
    </row>
    <row r="21" spans="1:13" s="179" customFormat="1" ht="23.25" hidden="1" customHeight="1" x14ac:dyDescent="0.25">
      <c r="A21" s="201"/>
      <c r="B21" s="512"/>
      <c r="D21" s="179" t="s">
        <v>947</v>
      </c>
      <c r="G21" s="414">
        <v>0</v>
      </c>
      <c r="H21" s="414"/>
      <c r="I21" s="222">
        <v>0</v>
      </c>
      <c r="L21" s="178"/>
      <c r="M21" s="178"/>
    </row>
    <row r="22" spans="1:13" s="179" customFormat="1" ht="26.25" hidden="1" customHeight="1" x14ac:dyDescent="0.25">
      <c r="A22" s="201"/>
      <c r="B22" s="512"/>
      <c r="D22" s="179" t="s">
        <v>950</v>
      </c>
      <c r="G22" s="414">
        <v>0</v>
      </c>
      <c r="H22" s="414"/>
      <c r="I22" s="414">
        <v>0</v>
      </c>
      <c r="L22" s="178"/>
      <c r="M22" s="178"/>
    </row>
    <row r="23" spans="1:13" s="179" customFormat="1" ht="26.25" hidden="1" customHeight="1" x14ac:dyDescent="0.25">
      <c r="A23" s="201"/>
      <c r="B23" s="512"/>
      <c r="D23" s="179" t="s">
        <v>153</v>
      </c>
      <c r="G23" s="414">
        <v>0</v>
      </c>
      <c r="H23" s="414"/>
      <c r="I23" s="414">
        <v>0</v>
      </c>
      <c r="L23" s="178"/>
      <c r="M23" s="178"/>
    </row>
    <row r="24" spans="1:13" s="179" customFormat="1" ht="21.75" customHeight="1" thickBot="1" x14ac:dyDescent="0.3">
      <c r="A24" s="201"/>
      <c r="B24" s="512"/>
      <c r="G24" s="438">
        <f>SUM(G9:G23)</f>
        <v>321927950028</v>
      </c>
      <c r="H24" s="1126"/>
      <c r="I24" s="438">
        <v>845827121380</v>
      </c>
      <c r="L24" s="178" t="b">
        <f>G24='17'!G11</f>
        <v>1</v>
      </c>
      <c r="M24" s="178" t="b">
        <f>I24='17'!I11</f>
        <v>1</v>
      </c>
    </row>
    <row r="25" spans="1:13" s="179" customFormat="1" ht="21.75" customHeight="1" thickTop="1" x14ac:dyDescent="0.25">
      <c r="A25" s="201"/>
      <c r="B25" s="10" t="s">
        <v>1298</v>
      </c>
      <c r="D25" s="1526" t="s">
        <v>1308</v>
      </c>
      <c r="E25" s="1526"/>
      <c r="F25" s="1526"/>
      <c r="G25" s="1526"/>
      <c r="H25" s="1526"/>
      <c r="I25" s="1526"/>
      <c r="L25" s="178"/>
      <c r="M25" s="178"/>
    </row>
    <row r="26" spans="1:13" s="179" customFormat="1" ht="26.25" customHeight="1" x14ac:dyDescent="0.25">
      <c r="A26" s="201"/>
      <c r="B26" s="939" t="str">
        <f>'17'!E15</f>
        <v>17-3</v>
      </c>
      <c r="D26" s="1525" t="s">
        <v>367</v>
      </c>
      <c r="E26" s="1525"/>
      <c r="F26" s="1525"/>
      <c r="G26" s="1525"/>
      <c r="H26" s="247"/>
      <c r="I26" s="247"/>
      <c r="L26" s="208"/>
      <c r="M26" s="208"/>
    </row>
    <row r="27" spans="1:13" s="179" customFormat="1" ht="20.25" customHeight="1" x14ac:dyDescent="0.25">
      <c r="A27" s="201"/>
      <c r="B27" s="512"/>
      <c r="G27" s="817">
        <v>1403</v>
      </c>
      <c r="H27" s="877"/>
      <c r="I27" s="432">
        <v>1402</v>
      </c>
      <c r="J27" s="208"/>
    </row>
    <row r="28" spans="1:13" s="179" customFormat="1" ht="18" customHeight="1" x14ac:dyDescent="0.25">
      <c r="A28" s="201"/>
      <c r="B28" s="512"/>
      <c r="G28" s="434" t="s">
        <v>494</v>
      </c>
      <c r="H28" s="222"/>
      <c r="I28" s="435" t="s">
        <v>494</v>
      </c>
      <c r="J28" s="208"/>
    </row>
    <row r="29" spans="1:13" s="179" customFormat="1" ht="18.75" customHeight="1" x14ac:dyDescent="0.45">
      <c r="A29" s="201"/>
      <c r="B29" s="512"/>
      <c r="D29" s="179" t="s">
        <v>536</v>
      </c>
      <c r="G29" s="414">
        <v>692418706238</v>
      </c>
      <c r="H29" s="222"/>
      <c r="I29" s="414">
        <v>649916120421</v>
      </c>
      <c r="J29" s="940"/>
    </row>
    <row r="30" spans="1:13" s="179" customFormat="1" ht="18.75" customHeight="1" x14ac:dyDescent="0.45">
      <c r="A30" s="201"/>
      <c r="B30" s="512"/>
      <c r="D30" s="179" t="s">
        <v>369</v>
      </c>
      <c r="G30" s="414">
        <v>668894238539</v>
      </c>
      <c r="H30" s="222"/>
      <c r="I30" s="414">
        <v>518369572322</v>
      </c>
      <c r="J30" s="940"/>
    </row>
    <row r="31" spans="1:13" s="179" customFormat="1" ht="18.75" customHeight="1" x14ac:dyDescent="0.45">
      <c r="A31" s="201"/>
      <c r="B31" s="512"/>
      <c r="D31" s="179" t="s">
        <v>534</v>
      </c>
      <c r="G31" s="414">
        <v>425630368512</v>
      </c>
      <c r="H31" s="222"/>
      <c r="I31" s="414">
        <v>273423608289</v>
      </c>
      <c r="J31" s="940"/>
    </row>
    <row r="32" spans="1:13" s="179" customFormat="1" ht="18.75" customHeight="1" x14ac:dyDescent="0.45">
      <c r="A32" s="201"/>
      <c r="B32" s="512"/>
      <c r="D32" s="179" t="s">
        <v>370</v>
      </c>
      <c r="G32" s="414">
        <v>345258783438</v>
      </c>
      <c r="H32" s="222"/>
      <c r="I32" s="414">
        <v>67931189047</v>
      </c>
      <c r="J32" s="940"/>
    </row>
    <row r="33" spans="1:10" s="179" customFormat="1" ht="18.75" customHeight="1" x14ac:dyDescent="0.45">
      <c r="A33" s="201"/>
      <c r="B33" s="512"/>
      <c r="D33" s="179" t="s">
        <v>368</v>
      </c>
      <c r="G33" s="414">
        <v>231150800378</v>
      </c>
      <c r="H33" s="222"/>
      <c r="I33" s="414">
        <v>25498648442</v>
      </c>
      <c r="J33" s="940"/>
    </row>
    <row r="34" spans="1:10" s="179" customFormat="1" ht="18.75" customHeight="1" x14ac:dyDescent="0.45">
      <c r="A34" s="201"/>
      <c r="B34" s="512"/>
      <c r="D34" s="179" t="s">
        <v>364</v>
      </c>
      <c r="G34" s="414">
        <v>201094554298</v>
      </c>
      <c r="H34" s="222"/>
      <c r="I34" s="414">
        <v>275368285946</v>
      </c>
      <c r="J34" s="940"/>
    </row>
    <row r="35" spans="1:10" s="179" customFormat="1" ht="18.75" customHeight="1" x14ac:dyDescent="0.45">
      <c r="A35" s="201"/>
      <c r="B35" s="512"/>
      <c r="D35" s="179" t="s">
        <v>872</v>
      </c>
      <c r="G35" s="414">
        <v>206198363283</v>
      </c>
      <c r="H35" s="222"/>
      <c r="I35" s="414">
        <v>109735091085</v>
      </c>
      <c r="J35" s="940"/>
    </row>
    <row r="36" spans="1:10" s="179" customFormat="1" ht="18.75" customHeight="1" x14ac:dyDescent="0.45">
      <c r="A36" s="201"/>
      <c r="B36" s="512"/>
      <c r="D36" s="179" t="s">
        <v>533</v>
      </c>
      <c r="G36" s="414">
        <v>105537963884</v>
      </c>
      <c r="H36" s="222"/>
      <c r="I36" s="414">
        <v>87998552432</v>
      </c>
      <c r="J36" s="940"/>
    </row>
    <row r="37" spans="1:10" s="179" customFormat="1" ht="18.75" customHeight="1" x14ac:dyDescent="0.45">
      <c r="A37" s="201"/>
      <c r="B37" s="512"/>
      <c r="D37" s="179" t="s">
        <v>935</v>
      </c>
      <c r="G37" s="414">
        <v>86483670066</v>
      </c>
      <c r="H37" s="222"/>
      <c r="I37" s="414">
        <v>155412741603</v>
      </c>
      <c r="J37" s="940"/>
    </row>
    <row r="38" spans="1:10" s="179" customFormat="1" ht="18.75" customHeight="1" x14ac:dyDescent="0.45">
      <c r="A38" s="201"/>
      <c r="B38" s="512"/>
      <c r="D38" s="179" t="s">
        <v>407</v>
      </c>
      <c r="G38" s="414">
        <v>85361333016</v>
      </c>
      <c r="H38" s="222"/>
      <c r="I38" s="414">
        <v>128836589371</v>
      </c>
      <c r="J38" s="940"/>
    </row>
    <row r="39" spans="1:10" s="179" customFormat="1" ht="18.75" customHeight="1" x14ac:dyDescent="0.45">
      <c r="A39" s="201"/>
      <c r="B39" s="512"/>
      <c r="D39" s="179" t="s">
        <v>1152</v>
      </c>
      <c r="G39" s="414">
        <v>81352451514</v>
      </c>
      <c r="H39" s="222"/>
      <c r="I39" s="414">
        <v>0</v>
      </c>
      <c r="J39" s="940"/>
    </row>
    <row r="40" spans="1:10" s="179" customFormat="1" ht="18.75" customHeight="1" x14ac:dyDescent="0.45">
      <c r="A40" s="201"/>
      <c r="B40" s="512"/>
      <c r="D40" s="179" t="s">
        <v>1153</v>
      </c>
      <c r="G40" s="414">
        <v>72531395660</v>
      </c>
      <c r="H40" s="222"/>
      <c r="I40" s="414">
        <v>0</v>
      </c>
      <c r="J40" s="940"/>
    </row>
    <row r="41" spans="1:10" s="179" customFormat="1" ht="18.75" customHeight="1" x14ac:dyDescent="0.45">
      <c r="A41" s="201"/>
      <c r="B41" s="512"/>
      <c r="D41" s="179" t="s">
        <v>497</v>
      </c>
      <c r="G41" s="414">
        <v>45709851907</v>
      </c>
      <c r="H41" s="222"/>
      <c r="I41" s="414">
        <v>432298792440</v>
      </c>
      <c r="J41" s="940"/>
    </row>
    <row r="42" spans="1:10" s="179" customFormat="1" ht="18.75" customHeight="1" x14ac:dyDescent="0.45">
      <c r="A42" s="201"/>
      <c r="B42" s="512"/>
      <c r="D42" s="179" t="s">
        <v>877</v>
      </c>
      <c r="G42" s="414">
        <v>23776974984</v>
      </c>
      <c r="H42" s="222"/>
      <c r="I42" s="414">
        <v>0</v>
      </c>
      <c r="J42" s="940"/>
    </row>
    <row r="43" spans="1:10" s="179" customFormat="1" ht="18.75" customHeight="1" x14ac:dyDescent="0.45">
      <c r="A43" s="201"/>
      <c r="B43" s="512"/>
      <c r="D43" s="179" t="s">
        <v>500</v>
      </c>
      <c r="G43" s="414">
        <v>22291799912</v>
      </c>
      <c r="H43" s="222"/>
      <c r="I43" s="414">
        <v>14602383659</v>
      </c>
      <c r="J43" s="940"/>
    </row>
    <row r="44" spans="1:10" s="179" customFormat="1" ht="18.75" customHeight="1" x14ac:dyDescent="0.45">
      <c r="A44" s="201"/>
      <c r="B44" s="512"/>
      <c r="D44" s="179" t="s">
        <v>1154</v>
      </c>
      <c r="G44" s="414">
        <v>8451298680</v>
      </c>
      <c r="H44" s="222"/>
      <c r="I44" s="414">
        <v>0</v>
      </c>
      <c r="J44" s="940"/>
    </row>
    <row r="45" spans="1:10" s="179" customFormat="1" ht="18.75" customHeight="1" x14ac:dyDescent="0.45">
      <c r="A45" s="201"/>
      <c r="B45" s="512"/>
      <c r="D45" s="179" t="s">
        <v>498</v>
      </c>
      <c r="G45" s="414">
        <v>6802082106</v>
      </c>
      <c r="H45" s="222"/>
      <c r="I45" s="414">
        <v>6802082106</v>
      </c>
      <c r="J45" s="940"/>
    </row>
    <row r="46" spans="1:10" s="179" customFormat="1" ht="18.75" customHeight="1" x14ac:dyDescent="0.45">
      <c r="A46" s="201"/>
      <c r="B46" s="512"/>
      <c r="D46" s="179" t="s">
        <v>958</v>
      </c>
      <c r="G46" s="414">
        <v>4312345767</v>
      </c>
      <c r="H46" s="222"/>
      <c r="I46" s="414">
        <v>20003739568</v>
      </c>
      <c r="J46" s="940"/>
    </row>
    <row r="47" spans="1:10" s="179" customFormat="1" ht="18.75" customHeight="1" x14ac:dyDescent="0.45">
      <c r="A47" s="201"/>
      <c r="B47" s="512"/>
      <c r="D47" s="179" t="s">
        <v>878</v>
      </c>
      <c r="G47" s="414">
        <v>1707448867</v>
      </c>
      <c r="H47" s="222"/>
      <c r="I47" s="414">
        <v>6233778899</v>
      </c>
      <c r="J47" s="940"/>
    </row>
    <row r="48" spans="1:10" s="179" customFormat="1" ht="18.75" customHeight="1" x14ac:dyDescent="0.45">
      <c r="A48" s="201"/>
      <c r="B48" s="512"/>
      <c r="D48" s="179" t="s">
        <v>130</v>
      </c>
      <c r="G48" s="414">
        <v>1619362382</v>
      </c>
      <c r="H48" s="222"/>
      <c r="I48" s="414">
        <v>2463036886</v>
      </c>
      <c r="J48" s="940"/>
    </row>
    <row r="49" spans="1:14" s="179" customFormat="1" ht="18.75" customHeight="1" thickBot="1" x14ac:dyDescent="0.3">
      <c r="A49" s="201"/>
      <c r="B49" s="512"/>
      <c r="G49" s="438">
        <f>SUM(G29:G48)</f>
        <v>3316583793431</v>
      </c>
      <c r="H49" s="222"/>
      <c r="I49" s="204">
        <v>2774894212516</v>
      </c>
      <c r="J49" s="208"/>
      <c r="K49" s="208"/>
      <c r="M49" s="179" t="b">
        <f>G49='17'!G15</f>
        <v>1</v>
      </c>
      <c r="N49" s="179" t="b">
        <f>I49='17'!I15</f>
        <v>1</v>
      </c>
    </row>
    <row r="50" spans="1:14" s="179" customFormat="1" ht="25.5" customHeight="1" thickTop="1" x14ac:dyDescent="0.25">
      <c r="A50" s="201"/>
      <c r="B50" s="367"/>
      <c r="D50" s="1525"/>
      <c r="E50" s="1525"/>
      <c r="F50" s="1525"/>
      <c r="G50" s="1525"/>
      <c r="H50" s="346"/>
      <c r="I50" s="346"/>
      <c r="L50" s="208"/>
      <c r="M50" s="208"/>
      <c r="N50" s="208"/>
    </row>
    <row r="51" spans="1:14" ht="15.75" customHeight="1" x14ac:dyDescent="0.25">
      <c r="A51" s="1414">
        <v>23</v>
      </c>
      <c r="B51" s="1414"/>
      <c r="C51" s="1414"/>
      <c r="D51" s="1414"/>
      <c r="E51" s="1414"/>
      <c r="F51" s="1414"/>
      <c r="G51" s="1414"/>
      <c r="H51" s="1414"/>
      <c r="I51" s="1414"/>
      <c r="J51" s="1414"/>
      <c r="L51" s="379"/>
      <c r="M51" s="379"/>
    </row>
    <row r="52" spans="1:14" x14ac:dyDescent="0.25">
      <c r="L52" s="379"/>
      <c r="M52" s="379"/>
    </row>
    <row r="53" spans="1:14" x14ac:dyDescent="0.25">
      <c r="L53" s="379"/>
      <c r="M53" s="379"/>
    </row>
    <row r="54" spans="1:14" x14ac:dyDescent="0.25">
      <c r="L54" s="379"/>
      <c r="M54" s="379"/>
    </row>
    <row r="55" spans="1:14" x14ac:dyDescent="0.25">
      <c r="L55" s="379"/>
      <c r="M55" s="379"/>
    </row>
    <row r="56" spans="1:14" x14ac:dyDescent="0.25">
      <c r="L56" s="379"/>
      <c r="M56" s="379"/>
    </row>
    <row r="57" spans="1:14" x14ac:dyDescent="0.25">
      <c r="L57" s="379"/>
      <c r="M57" s="379"/>
    </row>
    <row r="58" spans="1:14" x14ac:dyDescent="0.25">
      <c r="L58" s="379"/>
      <c r="M58" s="379"/>
    </row>
    <row r="59" spans="1:14" x14ac:dyDescent="0.25">
      <c r="L59" s="379"/>
      <c r="M59" s="379"/>
    </row>
    <row r="60" spans="1:14" x14ac:dyDescent="0.25">
      <c r="L60" s="379"/>
      <c r="M60" s="379"/>
    </row>
    <row r="61" spans="1:14" x14ac:dyDescent="0.25">
      <c r="L61" s="379"/>
      <c r="M61" s="379"/>
    </row>
    <row r="62" spans="1:14" x14ac:dyDescent="0.25">
      <c r="L62" s="379"/>
      <c r="M62" s="379"/>
    </row>
    <row r="63" spans="1:14" x14ac:dyDescent="0.25">
      <c r="L63" s="379"/>
      <c r="M63" s="379"/>
    </row>
    <row r="64" spans="1:14" x14ac:dyDescent="0.25">
      <c r="L64" s="379"/>
      <c r="M64" s="379"/>
    </row>
    <row r="65" spans="12:13" x14ac:dyDescent="0.25">
      <c r="L65" s="379"/>
      <c r="M65" s="379"/>
    </row>
    <row r="66" spans="12:13" x14ac:dyDescent="0.25">
      <c r="L66" s="379"/>
      <c r="M66" s="379"/>
    </row>
    <row r="67" spans="12:13" x14ac:dyDescent="0.25">
      <c r="L67" s="379"/>
      <c r="M67" s="379"/>
    </row>
    <row r="68" spans="12:13" x14ac:dyDescent="0.25">
      <c r="L68" s="379"/>
      <c r="M68" s="379"/>
    </row>
    <row r="69" spans="12:13" x14ac:dyDescent="0.25">
      <c r="L69" s="379"/>
      <c r="M69" s="379"/>
    </row>
    <row r="70" spans="12:13" x14ac:dyDescent="0.25">
      <c r="L70" s="379"/>
      <c r="M70" s="379"/>
    </row>
    <row r="71" spans="12:13" x14ac:dyDescent="0.25">
      <c r="L71" s="379"/>
      <c r="M71" s="379"/>
    </row>
    <row r="72" spans="12:13" x14ac:dyDescent="0.25">
      <c r="L72" s="379"/>
      <c r="M72" s="379"/>
    </row>
    <row r="73" spans="12:13" x14ac:dyDescent="0.25">
      <c r="L73" s="379"/>
      <c r="M73" s="379"/>
    </row>
    <row r="74" spans="12:13" x14ac:dyDescent="0.25">
      <c r="L74" s="379"/>
      <c r="M74" s="379"/>
    </row>
    <row r="75" spans="12:13" x14ac:dyDescent="0.25">
      <c r="L75" s="379"/>
      <c r="M75" s="379"/>
    </row>
    <row r="76" spans="12:13" x14ac:dyDescent="0.25">
      <c r="L76" s="379"/>
      <c r="M76" s="379"/>
    </row>
    <row r="77" spans="12:13" x14ac:dyDescent="0.25">
      <c r="L77" s="379"/>
      <c r="M77" s="379"/>
    </row>
    <row r="78" spans="12:13" x14ac:dyDescent="0.25">
      <c r="L78" s="379"/>
      <c r="M78" s="379"/>
    </row>
    <row r="79" spans="12:13" x14ac:dyDescent="0.25">
      <c r="L79" s="379"/>
      <c r="M79" s="379"/>
    </row>
    <row r="80" spans="12:13" x14ac:dyDescent="0.25">
      <c r="L80" s="379"/>
      <c r="M80" s="379"/>
    </row>
    <row r="81" spans="12:13" x14ac:dyDescent="0.25">
      <c r="L81" s="379"/>
      <c r="M81" s="379"/>
    </row>
    <row r="82" spans="12:13" x14ac:dyDescent="0.25">
      <c r="L82" s="379"/>
      <c r="M82" s="379"/>
    </row>
    <row r="83" spans="12:13" x14ac:dyDescent="0.25">
      <c r="L83" s="379"/>
      <c r="M83" s="379"/>
    </row>
    <row r="84" spans="12:13" x14ac:dyDescent="0.25">
      <c r="L84" s="379"/>
      <c r="M84" s="379"/>
    </row>
    <row r="85" spans="12:13" x14ac:dyDescent="0.25">
      <c r="L85" s="379"/>
      <c r="M85" s="379"/>
    </row>
  </sheetData>
  <customSheetViews>
    <customSheetView guid="{39716EAB-185B-4ADF-90CF-1B1041867F58}" scale="93" showPageBreaks="1" printArea="1" view="pageBreakPreview" topLeftCell="A10">
      <selection activeCell="I48" sqref="I48"/>
      <pageMargins left="0.39370078740157499" right="0.78740157480314998" top="0.39370078740157499" bottom="0.39370078740157499" header="0.31496062992126" footer="0.31496062992126"/>
      <pageSetup paperSize="9" scale="60" orientation="portrait" r:id="rId1"/>
    </customSheetView>
    <customSheetView guid="{5CB8382F-C212-4512-9396-17792C62978E}" scale="93" showPageBreaks="1" printArea="1" view="pageBreakPreview" topLeftCell="A10">
      <selection activeCell="I48" sqref="I48"/>
      <pageMargins left="0.39370078740157499" right="0.78740157480314998" top="0.39370078740157499" bottom="0.39370078740157499" header="0.31496062992126" footer="0.31496062992126"/>
      <pageSetup paperSize="9" scale="60" orientation="portrait" r:id="rId2"/>
    </customSheetView>
    <customSheetView guid="{184BCED3-EADB-44CF-BFDA-DA8D3E7206C0}" scale="93" showPageBreaks="1" printArea="1" view="pageBreakPreview" topLeftCell="A49">
      <selection activeCell="I13" sqref="I13"/>
      <pageMargins left="0.39370078740157499" right="0.78740157480314998" top="0.39370078740157499" bottom="0.39370078740157499" header="0.31496062992126" footer="0.31496062992126"/>
      <pageSetup paperSize="9" scale="60" orientation="portrait" r:id="rId3"/>
    </customSheetView>
  </customSheetViews>
  <mergeCells count="8">
    <mergeCell ref="A51:J51"/>
    <mergeCell ref="D26:G26"/>
    <mergeCell ref="A1:I1"/>
    <mergeCell ref="A2:I2"/>
    <mergeCell ref="A3:I3"/>
    <mergeCell ref="D6:G6"/>
    <mergeCell ref="D50:G50"/>
    <mergeCell ref="D25:I25"/>
  </mergeCells>
  <conditionalFormatting sqref="I29:I49">
    <cfRule type="cellIs" dxfId="57" priority="1" stopIfTrue="1" operator="lessThan">
      <formula>0</formula>
    </cfRule>
  </conditionalFormatting>
  <hyperlinks>
    <hyperlink ref="A1:XFD3" r:id="rId4" display="http://modiriatmali.com/" xr:uid="{00000000-0004-0000-1800-000000000000}"/>
  </hyperlinks>
  <printOptions horizontalCentered="1"/>
  <pageMargins left="0" right="0" top="0.39370078740157499" bottom="0.39370078740157499" header="0.31496062992126" footer="0.31496062992126"/>
  <pageSetup paperSize="9" scale="80" orientation="portrait"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P53"/>
  <sheetViews>
    <sheetView rightToLeft="1" view="pageBreakPreview" topLeftCell="B1" zoomScale="82" zoomScaleNormal="100" zoomScaleSheetLayoutView="82" workbookViewId="0">
      <selection activeCell="G46" sqref="G46"/>
    </sheetView>
  </sheetViews>
  <sheetFormatPr defaultRowHeight="24.75" x14ac:dyDescent="0.25"/>
  <cols>
    <col min="1" max="1" width="5" style="428" hidden="1" customWidth="1"/>
    <col min="2" max="2" width="9.140625" style="421" bestFit="1" customWidth="1"/>
    <col min="3" max="3" width="0.7109375" style="421" customWidth="1"/>
    <col min="4" max="4" width="47.85546875" style="421" customWidth="1"/>
    <col min="5" max="5" width="9.42578125" style="421" bestFit="1" customWidth="1"/>
    <col min="6" max="6" width="0.7109375" style="421" customWidth="1"/>
    <col min="7" max="7" width="25.140625" style="424" bestFit="1" customWidth="1"/>
    <col min="8" max="9" width="0.7109375" style="424" customWidth="1"/>
    <col min="10" max="10" width="24" style="424" bestFit="1" customWidth="1"/>
    <col min="11" max="11" width="0.7109375" style="421" customWidth="1"/>
    <col min="12" max="12" width="1.85546875" style="421" customWidth="1"/>
    <col min="13" max="13" width="28" style="429" bestFit="1" customWidth="1"/>
    <col min="14" max="14" width="27.140625" style="429" bestFit="1" customWidth="1"/>
    <col min="15" max="15" width="5" style="421" customWidth="1"/>
    <col min="16" max="16" width="28.42578125" style="421" bestFit="1" customWidth="1"/>
    <col min="17" max="17" width="5" style="421" customWidth="1"/>
    <col min="18" max="18" width="10.42578125" style="421" bestFit="1" customWidth="1"/>
    <col min="19" max="21" width="9.140625" style="421"/>
    <col min="22" max="22" width="10.42578125" style="421" bestFit="1" customWidth="1"/>
    <col min="23" max="251" width="9.140625" style="421"/>
    <col min="252" max="252" width="3.5703125" style="421" customWidth="1"/>
    <col min="253" max="253" width="4.85546875" style="421" customWidth="1"/>
    <col min="254" max="254" width="5.42578125" style="421" customWidth="1"/>
    <col min="255" max="255" width="31.28515625" style="421" customWidth="1"/>
    <col min="256" max="256" width="7.5703125" style="421" customWidth="1"/>
    <col min="257" max="257" width="2.42578125" style="421" customWidth="1"/>
    <col min="258" max="258" width="11.5703125" style="421" customWidth="1"/>
    <col min="259" max="259" width="2.42578125" style="421" customWidth="1"/>
    <col min="260" max="260" width="11.5703125" style="421" customWidth="1"/>
    <col min="261" max="261" width="2.42578125" style="421" customWidth="1"/>
    <col min="262" max="262" width="10.85546875" style="421" customWidth="1"/>
    <col min="263" max="263" width="2.42578125" style="421" customWidth="1"/>
    <col min="264" max="264" width="11.140625" style="421" customWidth="1"/>
    <col min="265" max="265" width="1.85546875" style="421" customWidth="1"/>
    <col min="266" max="266" width="11" style="421" customWidth="1"/>
    <col min="267" max="267" width="0.7109375" style="421" customWidth="1"/>
    <col min="268" max="268" width="1.85546875" style="421" customWidth="1"/>
    <col min="269" max="269" width="11.85546875" style="421" bestFit="1" customWidth="1"/>
    <col min="270" max="270" width="15.28515625" style="421" bestFit="1" customWidth="1"/>
    <col min="271" max="271" width="5" style="421" customWidth="1"/>
    <col min="272" max="272" width="10.42578125" style="421" bestFit="1" customWidth="1"/>
    <col min="273" max="273" width="5" style="421" customWidth="1"/>
    <col min="274" max="274" width="10.42578125" style="421" bestFit="1" customWidth="1"/>
    <col min="275" max="277" width="9.140625" style="421"/>
    <col min="278" max="278" width="10.42578125" style="421" bestFit="1" customWidth="1"/>
    <col min="279" max="507" width="9.140625" style="421"/>
    <col min="508" max="508" width="3.5703125" style="421" customWidth="1"/>
    <col min="509" max="509" width="4.85546875" style="421" customWidth="1"/>
    <col min="510" max="510" width="5.42578125" style="421" customWidth="1"/>
    <col min="511" max="511" width="31.28515625" style="421" customWidth="1"/>
    <col min="512" max="512" width="7.5703125" style="421" customWidth="1"/>
    <col min="513" max="513" width="2.42578125" style="421" customWidth="1"/>
    <col min="514" max="514" width="11.5703125" style="421" customWidth="1"/>
    <col min="515" max="515" width="2.42578125" style="421" customWidth="1"/>
    <col min="516" max="516" width="11.5703125" style="421" customWidth="1"/>
    <col min="517" max="517" width="2.42578125" style="421" customWidth="1"/>
    <col min="518" max="518" width="10.85546875" style="421" customWidth="1"/>
    <col min="519" max="519" width="2.42578125" style="421" customWidth="1"/>
    <col min="520" max="520" width="11.140625" style="421" customWidth="1"/>
    <col min="521" max="521" width="1.85546875" style="421" customWidth="1"/>
    <col min="522" max="522" width="11" style="421" customWidth="1"/>
    <col min="523" max="523" width="0.7109375" style="421" customWidth="1"/>
    <col min="524" max="524" width="1.85546875" style="421" customWidth="1"/>
    <col min="525" max="525" width="11.85546875" style="421" bestFit="1" customWidth="1"/>
    <col min="526" max="526" width="15.28515625" style="421" bestFit="1" customWidth="1"/>
    <col min="527" max="527" width="5" style="421" customWidth="1"/>
    <col min="528" max="528" width="10.42578125" style="421" bestFit="1" customWidth="1"/>
    <col min="529" max="529" width="5" style="421" customWidth="1"/>
    <col min="530" max="530" width="10.42578125" style="421" bestFit="1" customWidth="1"/>
    <col min="531" max="533" width="9.140625" style="421"/>
    <col min="534" max="534" width="10.42578125" style="421" bestFit="1" customWidth="1"/>
    <col min="535" max="763" width="9.140625" style="421"/>
    <col min="764" max="764" width="3.5703125" style="421" customWidth="1"/>
    <col min="765" max="765" width="4.85546875" style="421" customWidth="1"/>
    <col min="766" max="766" width="5.42578125" style="421" customWidth="1"/>
    <col min="767" max="767" width="31.28515625" style="421" customWidth="1"/>
    <col min="768" max="768" width="7.5703125" style="421" customWidth="1"/>
    <col min="769" max="769" width="2.42578125" style="421" customWidth="1"/>
    <col min="770" max="770" width="11.5703125" style="421" customWidth="1"/>
    <col min="771" max="771" width="2.42578125" style="421" customWidth="1"/>
    <col min="772" max="772" width="11.5703125" style="421" customWidth="1"/>
    <col min="773" max="773" width="2.42578125" style="421" customWidth="1"/>
    <col min="774" max="774" width="10.85546875" style="421" customWidth="1"/>
    <col min="775" max="775" width="2.42578125" style="421" customWidth="1"/>
    <col min="776" max="776" width="11.140625" style="421" customWidth="1"/>
    <col min="777" max="777" width="1.85546875" style="421" customWidth="1"/>
    <col min="778" max="778" width="11" style="421" customWidth="1"/>
    <col min="779" max="779" width="0.7109375" style="421" customWidth="1"/>
    <col min="780" max="780" width="1.85546875" style="421" customWidth="1"/>
    <col min="781" max="781" width="11.85546875" style="421" bestFit="1" customWidth="1"/>
    <col min="782" max="782" width="15.28515625" style="421" bestFit="1" customWidth="1"/>
    <col min="783" max="783" width="5" style="421" customWidth="1"/>
    <col min="784" max="784" width="10.42578125" style="421" bestFit="1" customWidth="1"/>
    <col min="785" max="785" width="5" style="421" customWidth="1"/>
    <col min="786" max="786" width="10.42578125" style="421" bestFit="1" customWidth="1"/>
    <col min="787" max="789" width="9.140625" style="421"/>
    <col min="790" max="790" width="10.42578125" style="421" bestFit="1" customWidth="1"/>
    <col min="791" max="1019" width="9.140625" style="421"/>
    <col min="1020" max="1020" width="3.5703125" style="421" customWidth="1"/>
    <col min="1021" max="1021" width="4.85546875" style="421" customWidth="1"/>
    <col min="1022" max="1022" width="5.42578125" style="421" customWidth="1"/>
    <col min="1023" max="1023" width="31.28515625" style="421" customWidth="1"/>
    <col min="1024" max="1024" width="7.5703125" style="421" customWidth="1"/>
    <col min="1025" max="1025" width="2.42578125" style="421" customWidth="1"/>
    <col min="1026" max="1026" width="11.5703125" style="421" customWidth="1"/>
    <col min="1027" max="1027" width="2.42578125" style="421" customWidth="1"/>
    <col min="1028" max="1028" width="11.5703125" style="421" customWidth="1"/>
    <col min="1029" max="1029" width="2.42578125" style="421" customWidth="1"/>
    <col min="1030" max="1030" width="10.85546875" style="421" customWidth="1"/>
    <col min="1031" max="1031" width="2.42578125" style="421" customWidth="1"/>
    <col min="1032" max="1032" width="11.140625" style="421" customWidth="1"/>
    <col min="1033" max="1033" width="1.85546875" style="421" customWidth="1"/>
    <col min="1034" max="1034" width="11" style="421" customWidth="1"/>
    <col min="1035" max="1035" width="0.7109375" style="421" customWidth="1"/>
    <col min="1036" max="1036" width="1.85546875" style="421" customWidth="1"/>
    <col min="1037" max="1037" width="11.85546875" style="421" bestFit="1" customWidth="1"/>
    <col min="1038" max="1038" width="15.28515625" style="421" bestFit="1" customWidth="1"/>
    <col min="1039" max="1039" width="5" style="421" customWidth="1"/>
    <col min="1040" max="1040" width="10.42578125" style="421" bestFit="1" customWidth="1"/>
    <col min="1041" max="1041" width="5" style="421" customWidth="1"/>
    <col min="1042" max="1042" width="10.42578125" style="421" bestFit="1" customWidth="1"/>
    <col min="1043" max="1045" width="9.140625" style="421"/>
    <col min="1046" max="1046" width="10.42578125" style="421" bestFit="1" customWidth="1"/>
    <col min="1047" max="1275" width="9.140625" style="421"/>
    <col min="1276" max="1276" width="3.5703125" style="421" customWidth="1"/>
    <col min="1277" max="1277" width="4.85546875" style="421" customWidth="1"/>
    <col min="1278" max="1278" width="5.42578125" style="421" customWidth="1"/>
    <col min="1279" max="1279" width="31.28515625" style="421" customWidth="1"/>
    <col min="1280" max="1280" width="7.5703125" style="421" customWidth="1"/>
    <col min="1281" max="1281" width="2.42578125" style="421" customWidth="1"/>
    <col min="1282" max="1282" width="11.5703125" style="421" customWidth="1"/>
    <col min="1283" max="1283" width="2.42578125" style="421" customWidth="1"/>
    <col min="1284" max="1284" width="11.5703125" style="421" customWidth="1"/>
    <col min="1285" max="1285" width="2.42578125" style="421" customWidth="1"/>
    <col min="1286" max="1286" width="10.85546875" style="421" customWidth="1"/>
    <col min="1287" max="1287" width="2.42578125" style="421" customWidth="1"/>
    <col min="1288" max="1288" width="11.140625" style="421" customWidth="1"/>
    <col min="1289" max="1289" width="1.85546875" style="421" customWidth="1"/>
    <col min="1290" max="1290" width="11" style="421" customWidth="1"/>
    <col min="1291" max="1291" width="0.7109375" style="421" customWidth="1"/>
    <col min="1292" max="1292" width="1.85546875" style="421" customWidth="1"/>
    <col min="1293" max="1293" width="11.85546875" style="421" bestFit="1" customWidth="1"/>
    <col min="1294" max="1294" width="15.28515625" style="421" bestFit="1" customWidth="1"/>
    <col min="1295" max="1295" width="5" style="421" customWidth="1"/>
    <col min="1296" max="1296" width="10.42578125" style="421" bestFit="1" customWidth="1"/>
    <col min="1297" max="1297" width="5" style="421" customWidth="1"/>
    <col min="1298" max="1298" width="10.42578125" style="421" bestFit="1" customWidth="1"/>
    <col min="1299" max="1301" width="9.140625" style="421"/>
    <col min="1302" max="1302" width="10.42578125" style="421" bestFit="1" customWidth="1"/>
    <col min="1303" max="1531" width="9.140625" style="421"/>
    <col min="1532" max="1532" width="3.5703125" style="421" customWidth="1"/>
    <col min="1533" max="1533" width="4.85546875" style="421" customWidth="1"/>
    <col min="1534" max="1534" width="5.42578125" style="421" customWidth="1"/>
    <col min="1535" max="1535" width="31.28515625" style="421" customWidth="1"/>
    <col min="1536" max="1536" width="7.5703125" style="421" customWidth="1"/>
    <col min="1537" max="1537" width="2.42578125" style="421" customWidth="1"/>
    <col min="1538" max="1538" width="11.5703125" style="421" customWidth="1"/>
    <col min="1539" max="1539" width="2.42578125" style="421" customWidth="1"/>
    <col min="1540" max="1540" width="11.5703125" style="421" customWidth="1"/>
    <col min="1541" max="1541" width="2.42578125" style="421" customWidth="1"/>
    <col min="1542" max="1542" width="10.85546875" style="421" customWidth="1"/>
    <col min="1543" max="1543" width="2.42578125" style="421" customWidth="1"/>
    <col min="1544" max="1544" width="11.140625" style="421" customWidth="1"/>
    <col min="1545" max="1545" width="1.85546875" style="421" customWidth="1"/>
    <col min="1546" max="1546" width="11" style="421" customWidth="1"/>
    <col min="1547" max="1547" width="0.7109375" style="421" customWidth="1"/>
    <col min="1548" max="1548" width="1.85546875" style="421" customWidth="1"/>
    <col min="1549" max="1549" width="11.85546875" style="421" bestFit="1" customWidth="1"/>
    <col min="1550" max="1550" width="15.28515625" style="421" bestFit="1" customWidth="1"/>
    <col min="1551" max="1551" width="5" style="421" customWidth="1"/>
    <col min="1552" max="1552" width="10.42578125" style="421" bestFit="1" customWidth="1"/>
    <col min="1553" max="1553" width="5" style="421" customWidth="1"/>
    <col min="1554" max="1554" width="10.42578125" style="421" bestFit="1" customWidth="1"/>
    <col min="1555" max="1557" width="9.140625" style="421"/>
    <col min="1558" max="1558" width="10.42578125" style="421" bestFit="1" customWidth="1"/>
    <col min="1559" max="1787" width="9.140625" style="421"/>
    <col min="1788" max="1788" width="3.5703125" style="421" customWidth="1"/>
    <col min="1789" max="1789" width="4.85546875" style="421" customWidth="1"/>
    <col min="1790" max="1790" width="5.42578125" style="421" customWidth="1"/>
    <col min="1791" max="1791" width="31.28515625" style="421" customWidth="1"/>
    <col min="1792" max="1792" width="7.5703125" style="421" customWidth="1"/>
    <col min="1793" max="1793" width="2.42578125" style="421" customWidth="1"/>
    <col min="1794" max="1794" width="11.5703125" style="421" customWidth="1"/>
    <col min="1795" max="1795" width="2.42578125" style="421" customWidth="1"/>
    <col min="1796" max="1796" width="11.5703125" style="421" customWidth="1"/>
    <col min="1797" max="1797" width="2.42578125" style="421" customWidth="1"/>
    <col min="1798" max="1798" width="10.85546875" style="421" customWidth="1"/>
    <col min="1799" max="1799" width="2.42578125" style="421" customWidth="1"/>
    <col min="1800" max="1800" width="11.140625" style="421" customWidth="1"/>
    <col min="1801" max="1801" width="1.85546875" style="421" customWidth="1"/>
    <col min="1802" max="1802" width="11" style="421" customWidth="1"/>
    <col min="1803" max="1803" width="0.7109375" style="421" customWidth="1"/>
    <col min="1804" max="1804" width="1.85546875" style="421" customWidth="1"/>
    <col min="1805" max="1805" width="11.85546875" style="421" bestFit="1" customWidth="1"/>
    <col min="1806" max="1806" width="15.28515625" style="421" bestFit="1" customWidth="1"/>
    <col min="1807" max="1807" width="5" style="421" customWidth="1"/>
    <col min="1808" max="1808" width="10.42578125" style="421" bestFit="1" customWidth="1"/>
    <col min="1809" max="1809" width="5" style="421" customWidth="1"/>
    <col min="1810" max="1810" width="10.42578125" style="421" bestFit="1" customWidth="1"/>
    <col min="1811" max="1813" width="9.140625" style="421"/>
    <col min="1814" max="1814" width="10.42578125" style="421" bestFit="1" customWidth="1"/>
    <col min="1815" max="2043" width="9.140625" style="421"/>
    <col min="2044" max="2044" width="3.5703125" style="421" customWidth="1"/>
    <col min="2045" max="2045" width="4.85546875" style="421" customWidth="1"/>
    <col min="2046" max="2046" width="5.42578125" style="421" customWidth="1"/>
    <col min="2047" max="2047" width="31.28515625" style="421" customWidth="1"/>
    <col min="2048" max="2048" width="7.5703125" style="421" customWidth="1"/>
    <col min="2049" max="2049" width="2.42578125" style="421" customWidth="1"/>
    <col min="2050" max="2050" width="11.5703125" style="421" customWidth="1"/>
    <col min="2051" max="2051" width="2.42578125" style="421" customWidth="1"/>
    <col min="2052" max="2052" width="11.5703125" style="421" customWidth="1"/>
    <col min="2053" max="2053" width="2.42578125" style="421" customWidth="1"/>
    <col min="2054" max="2054" width="10.85546875" style="421" customWidth="1"/>
    <col min="2055" max="2055" width="2.42578125" style="421" customWidth="1"/>
    <col min="2056" max="2056" width="11.140625" style="421" customWidth="1"/>
    <col min="2057" max="2057" width="1.85546875" style="421" customWidth="1"/>
    <col min="2058" max="2058" width="11" style="421" customWidth="1"/>
    <col min="2059" max="2059" width="0.7109375" style="421" customWidth="1"/>
    <col min="2060" max="2060" width="1.85546875" style="421" customWidth="1"/>
    <col min="2061" max="2061" width="11.85546875" style="421" bestFit="1" customWidth="1"/>
    <col min="2062" max="2062" width="15.28515625" style="421" bestFit="1" customWidth="1"/>
    <col min="2063" max="2063" width="5" style="421" customWidth="1"/>
    <col min="2064" max="2064" width="10.42578125" style="421" bestFit="1" customWidth="1"/>
    <col min="2065" max="2065" width="5" style="421" customWidth="1"/>
    <col min="2066" max="2066" width="10.42578125" style="421" bestFit="1" customWidth="1"/>
    <col min="2067" max="2069" width="9.140625" style="421"/>
    <col min="2070" max="2070" width="10.42578125" style="421" bestFit="1" customWidth="1"/>
    <col min="2071" max="2299" width="9.140625" style="421"/>
    <col min="2300" max="2300" width="3.5703125" style="421" customWidth="1"/>
    <col min="2301" max="2301" width="4.85546875" style="421" customWidth="1"/>
    <col min="2302" max="2302" width="5.42578125" style="421" customWidth="1"/>
    <col min="2303" max="2303" width="31.28515625" style="421" customWidth="1"/>
    <col min="2304" max="2304" width="7.5703125" style="421" customWidth="1"/>
    <col min="2305" max="2305" width="2.42578125" style="421" customWidth="1"/>
    <col min="2306" max="2306" width="11.5703125" style="421" customWidth="1"/>
    <col min="2307" max="2307" width="2.42578125" style="421" customWidth="1"/>
    <col min="2308" max="2308" width="11.5703125" style="421" customWidth="1"/>
    <col min="2309" max="2309" width="2.42578125" style="421" customWidth="1"/>
    <col min="2310" max="2310" width="10.85546875" style="421" customWidth="1"/>
    <col min="2311" max="2311" width="2.42578125" style="421" customWidth="1"/>
    <col min="2312" max="2312" width="11.140625" style="421" customWidth="1"/>
    <col min="2313" max="2313" width="1.85546875" style="421" customWidth="1"/>
    <col min="2314" max="2314" width="11" style="421" customWidth="1"/>
    <col min="2315" max="2315" width="0.7109375" style="421" customWidth="1"/>
    <col min="2316" max="2316" width="1.85546875" style="421" customWidth="1"/>
    <col min="2317" max="2317" width="11.85546875" style="421" bestFit="1" customWidth="1"/>
    <col min="2318" max="2318" width="15.28515625" style="421" bestFit="1" customWidth="1"/>
    <col min="2319" max="2319" width="5" style="421" customWidth="1"/>
    <col min="2320" max="2320" width="10.42578125" style="421" bestFit="1" customWidth="1"/>
    <col min="2321" max="2321" width="5" style="421" customWidth="1"/>
    <col min="2322" max="2322" width="10.42578125" style="421" bestFit="1" customWidth="1"/>
    <col min="2323" max="2325" width="9.140625" style="421"/>
    <col min="2326" max="2326" width="10.42578125" style="421" bestFit="1" customWidth="1"/>
    <col min="2327" max="2555" width="9.140625" style="421"/>
    <col min="2556" max="2556" width="3.5703125" style="421" customWidth="1"/>
    <col min="2557" max="2557" width="4.85546875" style="421" customWidth="1"/>
    <col min="2558" max="2558" width="5.42578125" style="421" customWidth="1"/>
    <col min="2559" max="2559" width="31.28515625" style="421" customWidth="1"/>
    <col min="2560" max="2560" width="7.5703125" style="421" customWidth="1"/>
    <col min="2561" max="2561" width="2.42578125" style="421" customWidth="1"/>
    <col min="2562" max="2562" width="11.5703125" style="421" customWidth="1"/>
    <col min="2563" max="2563" width="2.42578125" style="421" customWidth="1"/>
    <col min="2564" max="2564" width="11.5703125" style="421" customWidth="1"/>
    <col min="2565" max="2565" width="2.42578125" style="421" customWidth="1"/>
    <col min="2566" max="2566" width="10.85546875" style="421" customWidth="1"/>
    <col min="2567" max="2567" width="2.42578125" style="421" customWidth="1"/>
    <col min="2568" max="2568" width="11.140625" style="421" customWidth="1"/>
    <col min="2569" max="2569" width="1.85546875" style="421" customWidth="1"/>
    <col min="2570" max="2570" width="11" style="421" customWidth="1"/>
    <col min="2571" max="2571" width="0.7109375" style="421" customWidth="1"/>
    <col min="2572" max="2572" width="1.85546875" style="421" customWidth="1"/>
    <col min="2573" max="2573" width="11.85546875" style="421" bestFit="1" customWidth="1"/>
    <col min="2574" max="2574" width="15.28515625" style="421" bestFit="1" customWidth="1"/>
    <col min="2575" max="2575" width="5" style="421" customWidth="1"/>
    <col min="2576" max="2576" width="10.42578125" style="421" bestFit="1" customWidth="1"/>
    <col min="2577" max="2577" width="5" style="421" customWidth="1"/>
    <col min="2578" max="2578" width="10.42578125" style="421" bestFit="1" customWidth="1"/>
    <col min="2579" max="2581" width="9.140625" style="421"/>
    <col min="2582" max="2582" width="10.42578125" style="421" bestFit="1" customWidth="1"/>
    <col min="2583" max="2811" width="9.140625" style="421"/>
    <col min="2812" max="2812" width="3.5703125" style="421" customWidth="1"/>
    <col min="2813" max="2813" width="4.85546875" style="421" customWidth="1"/>
    <col min="2814" max="2814" width="5.42578125" style="421" customWidth="1"/>
    <col min="2815" max="2815" width="31.28515625" style="421" customWidth="1"/>
    <col min="2816" max="2816" width="7.5703125" style="421" customWidth="1"/>
    <col min="2817" max="2817" width="2.42578125" style="421" customWidth="1"/>
    <col min="2818" max="2818" width="11.5703125" style="421" customWidth="1"/>
    <col min="2819" max="2819" width="2.42578125" style="421" customWidth="1"/>
    <col min="2820" max="2820" width="11.5703125" style="421" customWidth="1"/>
    <col min="2821" max="2821" width="2.42578125" style="421" customWidth="1"/>
    <col min="2822" max="2822" width="10.85546875" style="421" customWidth="1"/>
    <col min="2823" max="2823" width="2.42578125" style="421" customWidth="1"/>
    <col min="2824" max="2824" width="11.140625" style="421" customWidth="1"/>
    <col min="2825" max="2825" width="1.85546875" style="421" customWidth="1"/>
    <col min="2826" max="2826" width="11" style="421" customWidth="1"/>
    <col min="2827" max="2827" width="0.7109375" style="421" customWidth="1"/>
    <col min="2828" max="2828" width="1.85546875" style="421" customWidth="1"/>
    <col min="2829" max="2829" width="11.85546875" style="421" bestFit="1" customWidth="1"/>
    <col min="2830" max="2830" width="15.28515625" style="421" bestFit="1" customWidth="1"/>
    <col min="2831" max="2831" width="5" style="421" customWidth="1"/>
    <col min="2832" max="2832" width="10.42578125" style="421" bestFit="1" customWidth="1"/>
    <col min="2833" max="2833" width="5" style="421" customWidth="1"/>
    <col min="2834" max="2834" width="10.42578125" style="421" bestFit="1" customWidth="1"/>
    <col min="2835" max="2837" width="9.140625" style="421"/>
    <col min="2838" max="2838" width="10.42578125" style="421" bestFit="1" customWidth="1"/>
    <col min="2839" max="3067" width="9.140625" style="421"/>
    <col min="3068" max="3068" width="3.5703125" style="421" customWidth="1"/>
    <col min="3069" max="3069" width="4.85546875" style="421" customWidth="1"/>
    <col min="3070" max="3070" width="5.42578125" style="421" customWidth="1"/>
    <col min="3071" max="3071" width="31.28515625" style="421" customWidth="1"/>
    <col min="3072" max="3072" width="7.5703125" style="421" customWidth="1"/>
    <col min="3073" max="3073" width="2.42578125" style="421" customWidth="1"/>
    <col min="3074" max="3074" width="11.5703125" style="421" customWidth="1"/>
    <col min="3075" max="3075" width="2.42578125" style="421" customWidth="1"/>
    <col min="3076" max="3076" width="11.5703125" style="421" customWidth="1"/>
    <col min="3077" max="3077" width="2.42578125" style="421" customWidth="1"/>
    <col min="3078" max="3078" width="10.85546875" style="421" customWidth="1"/>
    <col min="3079" max="3079" width="2.42578125" style="421" customWidth="1"/>
    <col min="3080" max="3080" width="11.140625" style="421" customWidth="1"/>
    <col min="3081" max="3081" width="1.85546875" style="421" customWidth="1"/>
    <col min="3082" max="3082" width="11" style="421" customWidth="1"/>
    <col min="3083" max="3083" width="0.7109375" style="421" customWidth="1"/>
    <col min="3084" max="3084" width="1.85546875" style="421" customWidth="1"/>
    <col min="3085" max="3085" width="11.85546875" style="421" bestFit="1" customWidth="1"/>
    <col min="3086" max="3086" width="15.28515625" style="421" bestFit="1" customWidth="1"/>
    <col min="3087" max="3087" width="5" style="421" customWidth="1"/>
    <col min="3088" max="3088" width="10.42578125" style="421" bestFit="1" customWidth="1"/>
    <col min="3089" max="3089" width="5" style="421" customWidth="1"/>
    <col min="3090" max="3090" width="10.42578125" style="421" bestFit="1" customWidth="1"/>
    <col min="3091" max="3093" width="9.140625" style="421"/>
    <col min="3094" max="3094" width="10.42578125" style="421" bestFit="1" customWidth="1"/>
    <col min="3095" max="3323" width="9.140625" style="421"/>
    <col min="3324" max="3324" width="3.5703125" style="421" customWidth="1"/>
    <col min="3325" max="3325" width="4.85546875" style="421" customWidth="1"/>
    <col min="3326" max="3326" width="5.42578125" style="421" customWidth="1"/>
    <col min="3327" max="3327" width="31.28515625" style="421" customWidth="1"/>
    <col min="3328" max="3328" width="7.5703125" style="421" customWidth="1"/>
    <col min="3329" max="3329" width="2.42578125" style="421" customWidth="1"/>
    <col min="3330" max="3330" width="11.5703125" style="421" customWidth="1"/>
    <col min="3331" max="3331" width="2.42578125" style="421" customWidth="1"/>
    <col min="3332" max="3332" width="11.5703125" style="421" customWidth="1"/>
    <col min="3333" max="3333" width="2.42578125" style="421" customWidth="1"/>
    <col min="3334" max="3334" width="10.85546875" style="421" customWidth="1"/>
    <col min="3335" max="3335" width="2.42578125" style="421" customWidth="1"/>
    <col min="3336" max="3336" width="11.140625" style="421" customWidth="1"/>
    <col min="3337" max="3337" width="1.85546875" style="421" customWidth="1"/>
    <col min="3338" max="3338" width="11" style="421" customWidth="1"/>
    <col min="3339" max="3339" width="0.7109375" style="421" customWidth="1"/>
    <col min="3340" max="3340" width="1.85546875" style="421" customWidth="1"/>
    <col min="3341" max="3341" width="11.85546875" style="421" bestFit="1" customWidth="1"/>
    <col min="3342" max="3342" width="15.28515625" style="421" bestFit="1" customWidth="1"/>
    <col min="3343" max="3343" width="5" style="421" customWidth="1"/>
    <col min="3344" max="3344" width="10.42578125" style="421" bestFit="1" customWidth="1"/>
    <col min="3345" max="3345" width="5" style="421" customWidth="1"/>
    <col min="3346" max="3346" width="10.42578125" style="421" bestFit="1" customWidth="1"/>
    <col min="3347" max="3349" width="9.140625" style="421"/>
    <col min="3350" max="3350" width="10.42578125" style="421" bestFit="1" customWidth="1"/>
    <col min="3351" max="3579" width="9.140625" style="421"/>
    <col min="3580" max="3580" width="3.5703125" style="421" customWidth="1"/>
    <col min="3581" max="3581" width="4.85546875" style="421" customWidth="1"/>
    <col min="3582" max="3582" width="5.42578125" style="421" customWidth="1"/>
    <col min="3583" max="3583" width="31.28515625" style="421" customWidth="1"/>
    <col min="3584" max="3584" width="7.5703125" style="421" customWidth="1"/>
    <col min="3585" max="3585" width="2.42578125" style="421" customWidth="1"/>
    <col min="3586" max="3586" width="11.5703125" style="421" customWidth="1"/>
    <col min="3587" max="3587" width="2.42578125" style="421" customWidth="1"/>
    <col min="3588" max="3588" width="11.5703125" style="421" customWidth="1"/>
    <col min="3589" max="3589" width="2.42578125" style="421" customWidth="1"/>
    <col min="3590" max="3590" width="10.85546875" style="421" customWidth="1"/>
    <col min="3591" max="3591" width="2.42578125" style="421" customWidth="1"/>
    <col min="3592" max="3592" width="11.140625" style="421" customWidth="1"/>
    <col min="3593" max="3593" width="1.85546875" style="421" customWidth="1"/>
    <col min="3594" max="3594" width="11" style="421" customWidth="1"/>
    <col min="3595" max="3595" width="0.7109375" style="421" customWidth="1"/>
    <col min="3596" max="3596" width="1.85546875" style="421" customWidth="1"/>
    <col min="3597" max="3597" width="11.85546875" style="421" bestFit="1" customWidth="1"/>
    <col min="3598" max="3598" width="15.28515625" style="421" bestFit="1" customWidth="1"/>
    <col min="3599" max="3599" width="5" style="421" customWidth="1"/>
    <col min="3600" max="3600" width="10.42578125" style="421" bestFit="1" customWidth="1"/>
    <col min="3601" max="3601" width="5" style="421" customWidth="1"/>
    <col min="3602" max="3602" width="10.42578125" style="421" bestFit="1" customWidth="1"/>
    <col min="3603" max="3605" width="9.140625" style="421"/>
    <col min="3606" max="3606" width="10.42578125" style="421" bestFit="1" customWidth="1"/>
    <col min="3607" max="3835" width="9.140625" style="421"/>
    <col min="3836" max="3836" width="3.5703125" style="421" customWidth="1"/>
    <col min="3837" max="3837" width="4.85546875" style="421" customWidth="1"/>
    <col min="3838" max="3838" width="5.42578125" style="421" customWidth="1"/>
    <col min="3839" max="3839" width="31.28515625" style="421" customWidth="1"/>
    <col min="3840" max="3840" width="7.5703125" style="421" customWidth="1"/>
    <col min="3841" max="3841" width="2.42578125" style="421" customWidth="1"/>
    <col min="3842" max="3842" width="11.5703125" style="421" customWidth="1"/>
    <col min="3843" max="3843" width="2.42578125" style="421" customWidth="1"/>
    <col min="3844" max="3844" width="11.5703125" style="421" customWidth="1"/>
    <col min="3845" max="3845" width="2.42578125" style="421" customWidth="1"/>
    <col min="3846" max="3846" width="10.85546875" style="421" customWidth="1"/>
    <col min="3847" max="3847" width="2.42578125" style="421" customWidth="1"/>
    <col min="3848" max="3848" width="11.140625" style="421" customWidth="1"/>
    <col min="3849" max="3849" width="1.85546875" style="421" customWidth="1"/>
    <col min="3850" max="3850" width="11" style="421" customWidth="1"/>
    <col min="3851" max="3851" width="0.7109375" style="421" customWidth="1"/>
    <col min="3852" max="3852" width="1.85546875" style="421" customWidth="1"/>
    <col min="3853" max="3853" width="11.85546875" style="421" bestFit="1" customWidth="1"/>
    <col min="3854" max="3854" width="15.28515625" style="421" bestFit="1" customWidth="1"/>
    <col min="3855" max="3855" width="5" style="421" customWidth="1"/>
    <col min="3856" max="3856" width="10.42578125" style="421" bestFit="1" customWidth="1"/>
    <col min="3857" max="3857" width="5" style="421" customWidth="1"/>
    <col min="3858" max="3858" width="10.42578125" style="421" bestFit="1" customWidth="1"/>
    <col min="3859" max="3861" width="9.140625" style="421"/>
    <col min="3862" max="3862" width="10.42578125" style="421" bestFit="1" customWidth="1"/>
    <col min="3863" max="4091" width="9.140625" style="421"/>
    <col min="4092" max="4092" width="3.5703125" style="421" customWidth="1"/>
    <col min="4093" max="4093" width="4.85546875" style="421" customWidth="1"/>
    <col min="4094" max="4094" width="5.42578125" style="421" customWidth="1"/>
    <col min="4095" max="4095" width="31.28515625" style="421" customWidth="1"/>
    <col min="4096" max="4096" width="7.5703125" style="421" customWidth="1"/>
    <col min="4097" max="4097" width="2.42578125" style="421" customWidth="1"/>
    <col min="4098" max="4098" width="11.5703125" style="421" customWidth="1"/>
    <col min="4099" max="4099" width="2.42578125" style="421" customWidth="1"/>
    <col min="4100" max="4100" width="11.5703125" style="421" customWidth="1"/>
    <col min="4101" max="4101" width="2.42578125" style="421" customWidth="1"/>
    <col min="4102" max="4102" width="10.85546875" style="421" customWidth="1"/>
    <col min="4103" max="4103" width="2.42578125" style="421" customWidth="1"/>
    <col min="4104" max="4104" width="11.140625" style="421" customWidth="1"/>
    <col min="4105" max="4105" width="1.85546875" style="421" customWidth="1"/>
    <col min="4106" max="4106" width="11" style="421" customWidth="1"/>
    <col min="4107" max="4107" width="0.7109375" style="421" customWidth="1"/>
    <col min="4108" max="4108" width="1.85546875" style="421" customWidth="1"/>
    <col min="4109" max="4109" width="11.85546875" style="421" bestFit="1" customWidth="1"/>
    <col min="4110" max="4110" width="15.28515625" style="421" bestFit="1" customWidth="1"/>
    <col min="4111" max="4111" width="5" style="421" customWidth="1"/>
    <col min="4112" max="4112" width="10.42578125" style="421" bestFit="1" customWidth="1"/>
    <col min="4113" max="4113" width="5" style="421" customWidth="1"/>
    <col min="4114" max="4114" width="10.42578125" style="421" bestFit="1" customWidth="1"/>
    <col min="4115" max="4117" width="9.140625" style="421"/>
    <col min="4118" max="4118" width="10.42578125" style="421" bestFit="1" customWidth="1"/>
    <col min="4119" max="4347" width="9.140625" style="421"/>
    <col min="4348" max="4348" width="3.5703125" style="421" customWidth="1"/>
    <col min="4349" max="4349" width="4.85546875" style="421" customWidth="1"/>
    <col min="4350" max="4350" width="5.42578125" style="421" customWidth="1"/>
    <col min="4351" max="4351" width="31.28515625" style="421" customWidth="1"/>
    <col min="4352" max="4352" width="7.5703125" style="421" customWidth="1"/>
    <col min="4353" max="4353" width="2.42578125" style="421" customWidth="1"/>
    <col min="4354" max="4354" width="11.5703125" style="421" customWidth="1"/>
    <col min="4355" max="4355" width="2.42578125" style="421" customWidth="1"/>
    <col min="4356" max="4356" width="11.5703125" style="421" customWidth="1"/>
    <col min="4357" max="4357" width="2.42578125" style="421" customWidth="1"/>
    <col min="4358" max="4358" width="10.85546875" style="421" customWidth="1"/>
    <col min="4359" max="4359" width="2.42578125" style="421" customWidth="1"/>
    <col min="4360" max="4360" width="11.140625" style="421" customWidth="1"/>
    <col min="4361" max="4361" width="1.85546875" style="421" customWidth="1"/>
    <col min="4362" max="4362" width="11" style="421" customWidth="1"/>
    <col min="4363" max="4363" width="0.7109375" style="421" customWidth="1"/>
    <col min="4364" max="4364" width="1.85546875" style="421" customWidth="1"/>
    <col min="4365" max="4365" width="11.85546875" style="421" bestFit="1" customWidth="1"/>
    <col min="4366" max="4366" width="15.28515625" style="421" bestFit="1" customWidth="1"/>
    <col min="4367" max="4367" width="5" style="421" customWidth="1"/>
    <col min="4368" max="4368" width="10.42578125" style="421" bestFit="1" customWidth="1"/>
    <col min="4369" max="4369" width="5" style="421" customWidth="1"/>
    <col min="4370" max="4370" width="10.42578125" style="421" bestFit="1" customWidth="1"/>
    <col min="4371" max="4373" width="9.140625" style="421"/>
    <col min="4374" max="4374" width="10.42578125" style="421" bestFit="1" customWidth="1"/>
    <col min="4375" max="4603" width="9.140625" style="421"/>
    <col min="4604" max="4604" width="3.5703125" style="421" customWidth="1"/>
    <col min="4605" max="4605" width="4.85546875" style="421" customWidth="1"/>
    <col min="4606" max="4606" width="5.42578125" style="421" customWidth="1"/>
    <col min="4607" max="4607" width="31.28515625" style="421" customWidth="1"/>
    <col min="4608" max="4608" width="7.5703125" style="421" customWidth="1"/>
    <col min="4609" max="4609" width="2.42578125" style="421" customWidth="1"/>
    <col min="4610" max="4610" width="11.5703125" style="421" customWidth="1"/>
    <col min="4611" max="4611" width="2.42578125" style="421" customWidth="1"/>
    <col min="4612" max="4612" width="11.5703125" style="421" customWidth="1"/>
    <col min="4613" max="4613" width="2.42578125" style="421" customWidth="1"/>
    <col min="4614" max="4614" width="10.85546875" style="421" customWidth="1"/>
    <col min="4615" max="4615" width="2.42578125" style="421" customWidth="1"/>
    <col min="4616" max="4616" width="11.140625" style="421" customWidth="1"/>
    <col min="4617" max="4617" width="1.85546875" style="421" customWidth="1"/>
    <col min="4618" max="4618" width="11" style="421" customWidth="1"/>
    <col min="4619" max="4619" width="0.7109375" style="421" customWidth="1"/>
    <col min="4620" max="4620" width="1.85546875" style="421" customWidth="1"/>
    <col min="4621" max="4621" width="11.85546875" style="421" bestFit="1" customWidth="1"/>
    <col min="4622" max="4622" width="15.28515625" style="421" bestFit="1" customWidth="1"/>
    <col min="4623" max="4623" width="5" style="421" customWidth="1"/>
    <col min="4624" max="4624" width="10.42578125" style="421" bestFit="1" customWidth="1"/>
    <col min="4625" max="4625" width="5" style="421" customWidth="1"/>
    <col min="4626" max="4626" width="10.42578125" style="421" bestFit="1" customWidth="1"/>
    <col min="4627" max="4629" width="9.140625" style="421"/>
    <col min="4630" max="4630" width="10.42578125" style="421" bestFit="1" customWidth="1"/>
    <col min="4631" max="4859" width="9.140625" style="421"/>
    <col min="4860" max="4860" width="3.5703125" style="421" customWidth="1"/>
    <col min="4861" max="4861" width="4.85546875" style="421" customWidth="1"/>
    <col min="4862" max="4862" width="5.42578125" style="421" customWidth="1"/>
    <col min="4863" max="4863" width="31.28515625" style="421" customWidth="1"/>
    <col min="4864" max="4864" width="7.5703125" style="421" customWidth="1"/>
    <col min="4865" max="4865" width="2.42578125" style="421" customWidth="1"/>
    <col min="4866" max="4866" width="11.5703125" style="421" customWidth="1"/>
    <col min="4867" max="4867" width="2.42578125" style="421" customWidth="1"/>
    <col min="4868" max="4868" width="11.5703125" style="421" customWidth="1"/>
    <col min="4869" max="4869" width="2.42578125" style="421" customWidth="1"/>
    <col min="4870" max="4870" width="10.85546875" style="421" customWidth="1"/>
    <col min="4871" max="4871" width="2.42578125" style="421" customWidth="1"/>
    <col min="4872" max="4872" width="11.140625" style="421" customWidth="1"/>
    <col min="4873" max="4873" width="1.85546875" style="421" customWidth="1"/>
    <col min="4874" max="4874" width="11" style="421" customWidth="1"/>
    <col min="4875" max="4875" width="0.7109375" style="421" customWidth="1"/>
    <col min="4876" max="4876" width="1.85546875" style="421" customWidth="1"/>
    <col min="4877" max="4877" width="11.85546875" style="421" bestFit="1" customWidth="1"/>
    <col min="4878" max="4878" width="15.28515625" style="421" bestFit="1" customWidth="1"/>
    <col min="4879" max="4879" width="5" style="421" customWidth="1"/>
    <col min="4880" max="4880" width="10.42578125" style="421" bestFit="1" customWidth="1"/>
    <col min="4881" max="4881" width="5" style="421" customWidth="1"/>
    <col min="4882" max="4882" width="10.42578125" style="421" bestFit="1" customWidth="1"/>
    <col min="4883" max="4885" width="9.140625" style="421"/>
    <col min="4886" max="4886" width="10.42578125" style="421" bestFit="1" customWidth="1"/>
    <col min="4887" max="5115" width="9.140625" style="421"/>
    <col min="5116" max="5116" width="3.5703125" style="421" customWidth="1"/>
    <col min="5117" max="5117" width="4.85546875" style="421" customWidth="1"/>
    <col min="5118" max="5118" width="5.42578125" style="421" customWidth="1"/>
    <col min="5119" max="5119" width="31.28515625" style="421" customWidth="1"/>
    <col min="5120" max="5120" width="7.5703125" style="421" customWidth="1"/>
    <col min="5121" max="5121" width="2.42578125" style="421" customWidth="1"/>
    <col min="5122" max="5122" width="11.5703125" style="421" customWidth="1"/>
    <col min="5123" max="5123" width="2.42578125" style="421" customWidth="1"/>
    <col min="5124" max="5124" width="11.5703125" style="421" customWidth="1"/>
    <col min="5125" max="5125" width="2.42578125" style="421" customWidth="1"/>
    <col min="5126" max="5126" width="10.85546875" style="421" customWidth="1"/>
    <col min="5127" max="5127" width="2.42578125" style="421" customWidth="1"/>
    <col min="5128" max="5128" width="11.140625" style="421" customWidth="1"/>
    <col min="5129" max="5129" width="1.85546875" style="421" customWidth="1"/>
    <col min="5130" max="5130" width="11" style="421" customWidth="1"/>
    <col min="5131" max="5131" width="0.7109375" style="421" customWidth="1"/>
    <col min="5132" max="5132" width="1.85546875" style="421" customWidth="1"/>
    <col min="5133" max="5133" width="11.85546875" style="421" bestFit="1" customWidth="1"/>
    <col min="5134" max="5134" width="15.28515625" style="421" bestFit="1" customWidth="1"/>
    <col min="5135" max="5135" width="5" style="421" customWidth="1"/>
    <col min="5136" max="5136" width="10.42578125" style="421" bestFit="1" customWidth="1"/>
    <col min="5137" max="5137" width="5" style="421" customWidth="1"/>
    <col min="5138" max="5138" width="10.42578125" style="421" bestFit="1" customWidth="1"/>
    <col min="5139" max="5141" width="9.140625" style="421"/>
    <col min="5142" max="5142" width="10.42578125" style="421" bestFit="1" customWidth="1"/>
    <col min="5143" max="5371" width="9.140625" style="421"/>
    <col min="5372" max="5372" width="3.5703125" style="421" customWidth="1"/>
    <col min="5373" max="5373" width="4.85546875" style="421" customWidth="1"/>
    <col min="5374" max="5374" width="5.42578125" style="421" customWidth="1"/>
    <col min="5375" max="5375" width="31.28515625" style="421" customWidth="1"/>
    <col min="5376" max="5376" width="7.5703125" style="421" customWidth="1"/>
    <col min="5377" max="5377" width="2.42578125" style="421" customWidth="1"/>
    <col min="5378" max="5378" width="11.5703125" style="421" customWidth="1"/>
    <col min="5379" max="5379" width="2.42578125" style="421" customWidth="1"/>
    <col min="5380" max="5380" width="11.5703125" style="421" customWidth="1"/>
    <col min="5381" max="5381" width="2.42578125" style="421" customWidth="1"/>
    <col min="5382" max="5382" width="10.85546875" style="421" customWidth="1"/>
    <col min="5383" max="5383" width="2.42578125" style="421" customWidth="1"/>
    <col min="5384" max="5384" width="11.140625" style="421" customWidth="1"/>
    <col min="5385" max="5385" width="1.85546875" style="421" customWidth="1"/>
    <col min="5386" max="5386" width="11" style="421" customWidth="1"/>
    <col min="5387" max="5387" width="0.7109375" style="421" customWidth="1"/>
    <col min="5388" max="5388" width="1.85546875" style="421" customWidth="1"/>
    <col min="5389" max="5389" width="11.85546875" style="421" bestFit="1" customWidth="1"/>
    <col min="5390" max="5390" width="15.28515625" style="421" bestFit="1" customWidth="1"/>
    <col min="5391" max="5391" width="5" style="421" customWidth="1"/>
    <col min="5392" max="5392" width="10.42578125" style="421" bestFit="1" customWidth="1"/>
    <col min="5393" max="5393" width="5" style="421" customWidth="1"/>
    <col min="5394" max="5394" width="10.42578125" style="421" bestFit="1" customWidth="1"/>
    <col min="5395" max="5397" width="9.140625" style="421"/>
    <col min="5398" max="5398" width="10.42578125" style="421" bestFit="1" customWidth="1"/>
    <col min="5399" max="5627" width="9.140625" style="421"/>
    <col min="5628" max="5628" width="3.5703125" style="421" customWidth="1"/>
    <col min="5629" max="5629" width="4.85546875" style="421" customWidth="1"/>
    <col min="5630" max="5630" width="5.42578125" style="421" customWidth="1"/>
    <col min="5631" max="5631" width="31.28515625" style="421" customWidth="1"/>
    <col min="5632" max="5632" width="7.5703125" style="421" customWidth="1"/>
    <col min="5633" max="5633" width="2.42578125" style="421" customWidth="1"/>
    <col min="5634" max="5634" width="11.5703125" style="421" customWidth="1"/>
    <col min="5635" max="5635" width="2.42578125" style="421" customWidth="1"/>
    <col min="5636" max="5636" width="11.5703125" style="421" customWidth="1"/>
    <col min="5637" max="5637" width="2.42578125" style="421" customWidth="1"/>
    <col min="5638" max="5638" width="10.85546875" style="421" customWidth="1"/>
    <col min="5639" max="5639" width="2.42578125" style="421" customWidth="1"/>
    <col min="5640" max="5640" width="11.140625" style="421" customWidth="1"/>
    <col min="5641" max="5641" width="1.85546875" style="421" customWidth="1"/>
    <col min="5642" max="5642" width="11" style="421" customWidth="1"/>
    <col min="5643" max="5643" width="0.7109375" style="421" customWidth="1"/>
    <col min="5644" max="5644" width="1.85546875" style="421" customWidth="1"/>
    <col min="5645" max="5645" width="11.85546875" style="421" bestFit="1" customWidth="1"/>
    <col min="5646" max="5646" width="15.28515625" style="421" bestFit="1" customWidth="1"/>
    <col min="5647" max="5647" width="5" style="421" customWidth="1"/>
    <col min="5648" max="5648" width="10.42578125" style="421" bestFit="1" customWidth="1"/>
    <col min="5649" max="5649" width="5" style="421" customWidth="1"/>
    <col min="5650" max="5650" width="10.42578125" style="421" bestFit="1" customWidth="1"/>
    <col min="5651" max="5653" width="9.140625" style="421"/>
    <col min="5654" max="5654" width="10.42578125" style="421" bestFit="1" customWidth="1"/>
    <col min="5655" max="5883" width="9.140625" style="421"/>
    <col min="5884" max="5884" width="3.5703125" style="421" customWidth="1"/>
    <col min="5885" max="5885" width="4.85546875" style="421" customWidth="1"/>
    <col min="5886" max="5886" width="5.42578125" style="421" customWidth="1"/>
    <col min="5887" max="5887" width="31.28515625" style="421" customWidth="1"/>
    <col min="5888" max="5888" width="7.5703125" style="421" customWidth="1"/>
    <col min="5889" max="5889" width="2.42578125" style="421" customWidth="1"/>
    <col min="5890" max="5890" width="11.5703125" style="421" customWidth="1"/>
    <col min="5891" max="5891" width="2.42578125" style="421" customWidth="1"/>
    <col min="5892" max="5892" width="11.5703125" style="421" customWidth="1"/>
    <col min="5893" max="5893" width="2.42578125" style="421" customWidth="1"/>
    <col min="5894" max="5894" width="10.85546875" style="421" customWidth="1"/>
    <col min="5895" max="5895" width="2.42578125" style="421" customWidth="1"/>
    <col min="5896" max="5896" width="11.140625" style="421" customWidth="1"/>
    <col min="5897" max="5897" width="1.85546875" style="421" customWidth="1"/>
    <col min="5898" max="5898" width="11" style="421" customWidth="1"/>
    <col min="5899" max="5899" width="0.7109375" style="421" customWidth="1"/>
    <col min="5900" max="5900" width="1.85546875" style="421" customWidth="1"/>
    <col min="5901" max="5901" width="11.85546875" style="421" bestFit="1" customWidth="1"/>
    <col min="5902" max="5902" width="15.28515625" style="421" bestFit="1" customWidth="1"/>
    <col min="5903" max="5903" width="5" style="421" customWidth="1"/>
    <col min="5904" max="5904" width="10.42578125" style="421" bestFit="1" customWidth="1"/>
    <col min="5905" max="5905" width="5" style="421" customWidth="1"/>
    <col min="5906" max="5906" width="10.42578125" style="421" bestFit="1" customWidth="1"/>
    <col min="5907" max="5909" width="9.140625" style="421"/>
    <col min="5910" max="5910" width="10.42578125" style="421" bestFit="1" customWidth="1"/>
    <col min="5911" max="6139" width="9.140625" style="421"/>
    <col min="6140" max="6140" width="3.5703125" style="421" customWidth="1"/>
    <col min="6141" max="6141" width="4.85546875" style="421" customWidth="1"/>
    <col min="6142" max="6142" width="5.42578125" style="421" customWidth="1"/>
    <col min="6143" max="6143" width="31.28515625" style="421" customWidth="1"/>
    <col min="6144" max="6144" width="7.5703125" style="421" customWidth="1"/>
    <col min="6145" max="6145" width="2.42578125" style="421" customWidth="1"/>
    <col min="6146" max="6146" width="11.5703125" style="421" customWidth="1"/>
    <col min="6147" max="6147" width="2.42578125" style="421" customWidth="1"/>
    <col min="6148" max="6148" width="11.5703125" style="421" customWidth="1"/>
    <col min="6149" max="6149" width="2.42578125" style="421" customWidth="1"/>
    <col min="6150" max="6150" width="10.85546875" style="421" customWidth="1"/>
    <col min="6151" max="6151" width="2.42578125" style="421" customWidth="1"/>
    <col min="6152" max="6152" width="11.140625" style="421" customWidth="1"/>
    <col min="6153" max="6153" width="1.85546875" style="421" customWidth="1"/>
    <col min="6154" max="6154" width="11" style="421" customWidth="1"/>
    <col min="6155" max="6155" width="0.7109375" style="421" customWidth="1"/>
    <col min="6156" max="6156" width="1.85546875" style="421" customWidth="1"/>
    <col min="6157" max="6157" width="11.85546875" style="421" bestFit="1" customWidth="1"/>
    <col min="6158" max="6158" width="15.28515625" style="421" bestFit="1" customWidth="1"/>
    <col min="6159" max="6159" width="5" style="421" customWidth="1"/>
    <col min="6160" max="6160" width="10.42578125" style="421" bestFit="1" customWidth="1"/>
    <col min="6161" max="6161" width="5" style="421" customWidth="1"/>
    <col min="6162" max="6162" width="10.42578125" style="421" bestFit="1" customWidth="1"/>
    <col min="6163" max="6165" width="9.140625" style="421"/>
    <col min="6166" max="6166" width="10.42578125" style="421" bestFit="1" customWidth="1"/>
    <col min="6167" max="6395" width="9.140625" style="421"/>
    <col min="6396" max="6396" width="3.5703125" style="421" customWidth="1"/>
    <col min="6397" max="6397" width="4.85546875" style="421" customWidth="1"/>
    <col min="6398" max="6398" width="5.42578125" style="421" customWidth="1"/>
    <col min="6399" max="6399" width="31.28515625" style="421" customWidth="1"/>
    <col min="6400" max="6400" width="7.5703125" style="421" customWidth="1"/>
    <col min="6401" max="6401" width="2.42578125" style="421" customWidth="1"/>
    <col min="6402" max="6402" width="11.5703125" style="421" customWidth="1"/>
    <col min="6403" max="6403" width="2.42578125" style="421" customWidth="1"/>
    <col min="6404" max="6404" width="11.5703125" style="421" customWidth="1"/>
    <col min="6405" max="6405" width="2.42578125" style="421" customWidth="1"/>
    <col min="6406" max="6406" width="10.85546875" style="421" customWidth="1"/>
    <col min="6407" max="6407" width="2.42578125" style="421" customWidth="1"/>
    <col min="6408" max="6408" width="11.140625" style="421" customWidth="1"/>
    <col min="6409" max="6409" width="1.85546875" style="421" customWidth="1"/>
    <col min="6410" max="6410" width="11" style="421" customWidth="1"/>
    <col min="6411" max="6411" width="0.7109375" style="421" customWidth="1"/>
    <col min="6412" max="6412" width="1.85546875" style="421" customWidth="1"/>
    <col min="6413" max="6413" width="11.85546875" style="421" bestFit="1" customWidth="1"/>
    <col min="6414" max="6414" width="15.28515625" style="421" bestFit="1" customWidth="1"/>
    <col min="6415" max="6415" width="5" style="421" customWidth="1"/>
    <col min="6416" max="6416" width="10.42578125" style="421" bestFit="1" customWidth="1"/>
    <col min="6417" max="6417" width="5" style="421" customWidth="1"/>
    <col min="6418" max="6418" width="10.42578125" style="421" bestFit="1" customWidth="1"/>
    <col min="6419" max="6421" width="9.140625" style="421"/>
    <col min="6422" max="6422" width="10.42578125" style="421" bestFit="1" customWidth="1"/>
    <col min="6423" max="6651" width="9.140625" style="421"/>
    <col min="6652" max="6652" width="3.5703125" style="421" customWidth="1"/>
    <col min="6653" max="6653" width="4.85546875" style="421" customWidth="1"/>
    <col min="6654" max="6654" width="5.42578125" style="421" customWidth="1"/>
    <col min="6655" max="6655" width="31.28515625" style="421" customWidth="1"/>
    <col min="6656" max="6656" width="7.5703125" style="421" customWidth="1"/>
    <col min="6657" max="6657" width="2.42578125" style="421" customWidth="1"/>
    <col min="6658" max="6658" width="11.5703125" style="421" customWidth="1"/>
    <col min="6659" max="6659" width="2.42578125" style="421" customWidth="1"/>
    <col min="6660" max="6660" width="11.5703125" style="421" customWidth="1"/>
    <col min="6661" max="6661" width="2.42578125" style="421" customWidth="1"/>
    <col min="6662" max="6662" width="10.85546875" style="421" customWidth="1"/>
    <col min="6663" max="6663" width="2.42578125" style="421" customWidth="1"/>
    <col min="6664" max="6664" width="11.140625" style="421" customWidth="1"/>
    <col min="6665" max="6665" width="1.85546875" style="421" customWidth="1"/>
    <col min="6666" max="6666" width="11" style="421" customWidth="1"/>
    <col min="6667" max="6667" width="0.7109375" style="421" customWidth="1"/>
    <col min="6668" max="6668" width="1.85546875" style="421" customWidth="1"/>
    <col min="6669" max="6669" width="11.85546875" style="421" bestFit="1" customWidth="1"/>
    <col min="6670" max="6670" width="15.28515625" style="421" bestFit="1" customWidth="1"/>
    <col min="6671" max="6671" width="5" style="421" customWidth="1"/>
    <col min="6672" max="6672" width="10.42578125" style="421" bestFit="1" customWidth="1"/>
    <col min="6673" max="6673" width="5" style="421" customWidth="1"/>
    <col min="6674" max="6674" width="10.42578125" style="421" bestFit="1" customWidth="1"/>
    <col min="6675" max="6677" width="9.140625" style="421"/>
    <col min="6678" max="6678" width="10.42578125" style="421" bestFit="1" customWidth="1"/>
    <col min="6679" max="6907" width="9.140625" style="421"/>
    <col min="6908" max="6908" width="3.5703125" style="421" customWidth="1"/>
    <col min="6909" max="6909" width="4.85546875" style="421" customWidth="1"/>
    <col min="6910" max="6910" width="5.42578125" style="421" customWidth="1"/>
    <col min="6911" max="6911" width="31.28515625" style="421" customWidth="1"/>
    <col min="6912" max="6912" width="7.5703125" style="421" customWidth="1"/>
    <col min="6913" max="6913" width="2.42578125" style="421" customWidth="1"/>
    <col min="6914" max="6914" width="11.5703125" style="421" customWidth="1"/>
    <col min="6915" max="6915" width="2.42578125" style="421" customWidth="1"/>
    <col min="6916" max="6916" width="11.5703125" style="421" customWidth="1"/>
    <col min="6917" max="6917" width="2.42578125" style="421" customWidth="1"/>
    <col min="6918" max="6918" width="10.85546875" style="421" customWidth="1"/>
    <col min="6919" max="6919" width="2.42578125" style="421" customWidth="1"/>
    <col min="6920" max="6920" width="11.140625" style="421" customWidth="1"/>
    <col min="6921" max="6921" width="1.85546875" style="421" customWidth="1"/>
    <col min="6922" max="6922" width="11" style="421" customWidth="1"/>
    <col min="6923" max="6923" width="0.7109375" style="421" customWidth="1"/>
    <col min="6924" max="6924" width="1.85546875" style="421" customWidth="1"/>
    <col min="6925" max="6925" width="11.85546875" style="421" bestFit="1" customWidth="1"/>
    <col min="6926" max="6926" width="15.28515625" style="421" bestFit="1" customWidth="1"/>
    <col min="6927" max="6927" width="5" style="421" customWidth="1"/>
    <col min="6928" max="6928" width="10.42578125" style="421" bestFit="1" customWidth="1"/>
    <col min="6929" max="6929" width="5" style="421" customWidth="1"/>
    <col min="6930" max="6930" width="10.42578125" style="421" bestFit="1" customWidth="1"/>
    <col min="6931" max="6933" width="9.140625" style="421"/>
    <col min="6934" max="6934" width="10.42578125" style="421" bestFit="1" customWidth="1"/>
    <col min="6935" max="7163" width="9.140625" style="421"/>
    <col min="7164" max="7164" width="3.5703125" style="421" customWidth="1"/>
    <col min="7165" max="7165" width="4.85546875" style="421" customWidth="1"/>
    <col min="7166" max="7166" width="5.42578125" style="421" customWidth="1"/>
    <col min="7167" max="7167" width="31.28515625" style="421" customWidth="1"/>
    <col min="7168" max="7168" width="7.5703125" style="421" customWidth="1"/>
    <col min="7169" max="7169" width="2.42578125" style="421" customWidth="1"/>
    <col min="7170" max="7170" width="11.5703125" style="421" customWidth="1"/>
    <col min="7171" max="7171" width="2.42578125" style="421" customWidth="1"/>
    <col min="7172" max="7172" width="11.5703125" style="421" customWidth="1"/>
    <col min="7173" max="7173" width="2.42578125" style="421" customWidth="1"/>
    <col min="7174" max="7174" width="10.85546875" style="421" customWidth="1"/>
    <col min="7175" max="7175" width="2.42578125" style="421" customWidth="1"/>
    <col min="7176" max="7176" width="11.140625" style="421" customWidth="1"/>
    <col min="7177" max="7177" width="1.85546875" style="421" customWidth="1"/>
    <col min="7178" max="7178" width="11" style="421" customWidth="1"/>
    <col min="7179" max="7179" width="0.7109375" style="421" customWidth="1"/>
    <col min="7180" max="7180" width="1.85546875" style="421" customWidth="1"/>
    <col min="7181" max="7181" width="11.85546875" style="421" bestFit="1" customWidth="1"/>
    <col min="7182" max="7182" width="15.28515625" style="421" bestFit="1" customWidth="1"/>
    <col min="7183" max="7183" width="5" style="421" customWidth="1"/>
    <col min="7184" max="7184" width="10.42578125" style="421" bestFit="1" customWidth="1"/>
    <col min="7185" max="7185" width="5" style="421" customWidth="1"/>
    <col min="7186" max="7186" width="10.42578125" style="421" bestFit="1" customWidth="1"/>
    <col min="7187" max="7189" width="9.140625" style="421"/>
    <col min="7190" max="7190" width="10.42578125" style="421" bestFit="1" customWidth="1"/>
    <col min="7191" max="7419" width="9.140625" style="421"/>
    <col min="7420" max="7420" width="3.5703125" style="421" customWidth="1"/>
    <col min="7421" max="7421" width="4.85546875" style="421" customWidth="1"/>
    <col min="7422" max="7422" width="5.42578125" style="421" customWidth="1"/>
    <col min="7423" max="7423" width="31.28515625" style="421" customWidth="1"/>
    <col min="7424" max="7424" width="7.5703125" style="421" customWidth="1"/>
    <col min="7425" max="7425" width="2.42578125" style="421" customWidth="1"/>
    <col min="7426" max="7426" width="11.5703125" style="421" customWidth="1"/>
    <col min="7427" max="7427" width="2.42578125" style="421" customWidth="1"/>
    <col min="7428" max="7428" width="11.5703125" style="421" customWidth="1"/>
    <col min="7429" max="7429" width="2.42578125" style="421" customWidth="1"/>
    <col min="7430" max="7430" width="10.85546875" style="421" customWidth="1"/>
    <col min="7431" max="7431" width="2.42578125" style="421" customWidth="1"/>
    <col min="7432" max="7432" width="11.140625" style="421" customWidth="1"/>
    <col min="7433" max="7433" width="1.85546875" style="421" customWidth="1"/>
    <col min="7434" max="7434" width="11" style="421" customWidth="1"/>
    <col min="7435" max="7435" width="0.7109375" style="421" customWidth="1"/>
    <col min="7436" max="7436" width="1.85546875" style="421" customWidth="1"/>
    <col min="7437" max="7437" width="11.85546875" style="421" bestFit="1" customWidth="1"/>
    <col min="7438" max="7438" width="15.28515625" style="421" bestFit="1" customWidth="1"/>
    <col min="7439" max="7439" width="5" style="421" customWidth="1"/>
    <col min="7440" max="7440" width="10.42578125" style="421" bestFit="1" customWidth="1"/>
    <col min="7441" max="7441" width="5" style="421" customWidth="1"/>
    <col min="7442" max="7442" width="10.42578125" style="421" bestFit="1" customWidth="1"/>
    <col min="7443" max="7445" width="9.140625" style="421"/>
    <col min="7446" max="7446" width="10.42578125" style="421" bestFit="1" customWidth="1"/>
    <col min="7447" max="7675" width="9.140625" style="421"/>
    <col min="7676" max="7676" width="3.5703125" style="421" customWidth="1"/>
    <col min="7677" max="7677" width="4.85546875" style="421" customWidth="1"/>
    <col min="7678" max="7678" width="5.42578125" style="421" customWidth="1"/>
    <col min="7679" max="7679" width="31.28515625" style="421" customWidth="1"/>
    <col min="7680" max="7680" width="7.5703125" style="421" customWidth="1"/>
    <col min="7681" max="7681" width="2.42578125" style="421" customWidth="1"/>
    <col min="7682" max="7682" width="11.5703125" style="421" customWidth="1"/>
    <col min="7683" max="7683" width="2.42578125" style="421" customWidth="1"/>
    <col min="7684" max="7684" width="11.5703125" style="421" customWidth="1"/>
    <col min="7685" max="7685" width="2.42578125" style="421" customWidth="1"/>
    <col min="7686" max="7686" width="10.85546875" style="421" customWidth="1"/>
    <col min="7687" max="7687" width="2.42578125" style="421" customWidth="1"/>
    <col min="7688" max="7688" width="11.140625" style="421" customWidth="1"/>
    <col min="7689" max="7689" width="1.85546875" style="421" customWidth="1"/>
    <col min="7690" max="7690" width="11" style="421" customWidth="1"/>
    <col min="7691" max="7691" width="0.7109375" style="421" customWidth="1"/>
    <col min="7692" max="7692" width="1.85546875" style="421" customWidth="1"/>
    <col min="7693" max="7693" width="11.85546875" style="421" bestFit="1" customWidth="1"/>
    <col min="7694" max="7694" width="15.28515625" style="421" bestFit="1" customWidth="1"/>
    <col min="7695" max="7695" width="5" style="421" customWidth="1"/>
    <col min="7696" max="7696" width="10.42578125" style="421" bestFit="1" customWidth="1"/>
    <col min="7697" max="7697" width="5" style="421" customWidth="1"/>
    <col min="7698" max="7698" width="10.42578125" style="421" bestFit="1" customWidth="1"/>
    <col min="7699" max="7701" width="9.140625" style="421"/>
    <col min="7702" max="7702" width="10.42578125" style="421" bestFit="1" customWidth="1"/>
    <col min="7703" max="7931" width="9.140625" style="421"/>
    <col min="7932" max="7932" width="3.5703125" style="421" customWidth="1"/>
    <col min="7933" max="7933" width="4.85546875" style="421" customWidth="1"/>
    <col min="7934" max="7934" width="5.42578125" style="421" customWidth="1"/>
    <col min="7935" max="7935" width="31.28515625" style="421" customWidth="1"/>
    <col min="7936" max="7936" width="7.5703125" style="421" customWidth="1"/>
    <col min="7937" max="7937" width="2.42578125" style="421" customWidth="1"/>
    <col min="7938" max="7938" width="11.5703125" style="421" customWidth="1"/>
    <col min="7939" max="7939" width="2.42578125" style="421" customWidth="1"/>
    <col min="7940" max="7940" width="11.5703125" style="421" customWidth="1"/>
    <col min="7941" max="7941" width="2.42578125" style="421" customWidth="1"/>
    <col min="7942" max="7942" width="10.85546875" style="421" customWidth="1"/>
    <col min="7943" max="7943" width="2.42578125" style="421" customWidth="1"/>
    <col min="7944" max="7944" width="11.140625" style="421" customWidth="1"/>
    <col min="7945" max="7945" width="1.85546875" style="421" customWidth="1"/>
    <col min="7946" max="7946" width="11" style="421" customWidth="1"/>
    <col min="7947" max="7947" width="0.7109375" style="421" customWidth="1"/>
    <col min="7948" max="7948" width="1.85546875" style="421" customWidth="1"/>
    <col min="7949" max="7949" width="11.85546875" style="421" bestFit="1" customWidth="1"/>
    <col min="7950" max="7950" width="15.28515625" style="421" bestFit="1" customWidth="1"/>
    <col min="7951" max="7951" width="5" style="421" customWidth="1"/>
    <col min="7952" max="7952" width="10.42578125" style="421" bestFit="1" customWidth="1"/>
    <col min="7953" max="7953" width="5" style="421" customWidth="1"/>
    <col min="7954" max="7954" width="10.42578125" style="421" bestFit="1" customWidth="1"/>
    <col min="7955" max="7957" width="9.140625" style="421"/>
    <col min="7958" max="7958" width="10.42578125" style="421" bestFit="1" customWidth="1"/>
    <col min="7959" max="8187" width="9.140625" style="421"/>
    <col min="8188" max="8188" width="3.5703125" style="421" customWidth="1"/>
    <col min="8189" max="8189" width="4.85546875" style="421" customWidth="1"/>
    <col min="8190" max="8190" width="5.42578125" style="421" customWidth="1"/>
    <col min="8191" max="8191" width="31.28515625" style="421" customWidth="1"/>
    <col min="8192" max="8192" width="7.5703125" style="421" customWidth="1"/>
    <col min="8193" max="8193" width="2.42578125" style="421" customWidth="1"/>
    <col min="8194" max="8194" width="11.5703125" style="421" customWidth="1"/>
    <col min="8195" max="8195" width="2.42578125" style="421" customWidth="1"/>
    <col min="8196" max="8196" width="11.5703125" style="421" customWidth="1"/>
    <col min="8197" max="8197" width="2.42578125" style="421" customWidth="1"/>
    <col min="8198" max="8198" width="10.85546875" style="421" customWidth="1"/>
    <col min="8199" max="8199" width="2.42578125" style="421" customWidth="1"/>
    <col min="8200" max="8200" width="11.140625" style="421" customWidth="1"/>
    <col min="8201" max="8201" width="1.85546875" style="421" customWidth="1"/>
    <col min="8202" max="8202" width="11" style="421" customWidth="1"/>
    <col min="8203" max="8203" width="0.7109375" style="421" customWidth="1"/>
    <col min="8204" max="8204" width="1.85546875" style="421" customWidth="1"/>
    <col min="8205" max="8205" width="11.85546875" style="421" bestFit="1" customWidth="1"/>
    <col min="8206" max="8206" width="15.28515625" style="421" bestFit="1" customWidth="1"/>
    <col min="8207" max="8207" width="5" style="421" customWidth="1"/>
    <col min="8208" max="8208" width="10.42578125" style="421" bestFit="1" customWidth="1"/>
    <col min="8209" max="8209" width="5" style="421" customWidth="1"/>
    <col min="8210" max="8210" width="10.42578125" style="421" bestFit="1" customWidth="1"/>
    <col min="8211" max="8213" width="9.140625" style="421"/>
    <col min="8214" max="8214" width="10.42578125" style="421" bestFit="1" customWidth="1"/>
    <col min="8215" max="8443" width="9.140625" style="421"/>
    <col min="8444" max="8444" width="3.5703125" style="421" customWidth="1"/>
    <col min="8445" max="8445" width="4.85546875" style="421" customWidth="1"/>
    <col min="8446" max="8446" width="5.42578125" style="421" customWidth="1"/>
    <col min="8447" max="8447" width="31.28515625" style="421" customWidth="1"/>
    <col min="8448" max="8448" width="7.5703125" style="421" customWidth="1"/>
    <col min="8449" max="8449" width="2.42578125" style="421" customWidth="1"/>
    <col min="8450" max="8450" width="11.5703125" style="421" customWidth="1"/>
    <col min="8451" max="8451" width="2.42578125" style="421" customWidth="1"/>
    <col min="8452" max="8452" width="11.5703125" style="421" customWidth="1"/>
    <col min="8453" max="8453" width="2.42578125" style="421" customWidth="1"/>
    <col min="8454" max="8454" width="10.85546875" style="421" customWidth="1"/>
    <col min="8455" max="8455" width="2.42578125" style="421" customWidth="1"/>
    <col min="8456" max="8456" width="11.140625" style="421" customWidth="1"/>
    <col min="8457" max="8457" width="1.85546875" style="421" customWidth="1"/>
    <col min="8458" max="8458" width="11" style="421" customWidth="1"/>
    <col min="8459" max="8459" width="0.7109375" style="421" customWidth="1"/>
    <col min="8460" max="8460" width="1.85546875" style="421" customWidth="1"/>
    <col min="8461" max="8461" width="11.85546875" style="421" bestFit="1" customWidth="1"/>
    <col min="8462" max="8462" width="15.28515625" style="421" bestFit="1" customWidth="1"/>
    <col min="8463" max="8463" width="5" style="421" customWidth="1"/>
    <col min="8464" max="8464" width="10.42578125" style="421" bestFit="1" customWidth="1"/>
    <col min="8465" max="8465" width="5" style="421" customWidth="1"/>
    <col min="8466" max="8466" width="10.42578125" style="421" bestFit="1" customWidth="1"/>
    <col min="8467" max="8469" width="9.140625" style="421"/>
    <col min="8470" max="8470" width="10.42578125" style="421" bestFit="1" customWidth="1"/>
    <col min="8471" max="8699" width="9.140625" style="421"/>
    <col min="8700" max="8700" width="3.5703125" style="421" customWidth="1"/>
    <col min="8701" max="8701" width="4.85546875" style="421" customWidth="1"/>
    <col min="8702" max="8702" width="5.42578125" style="421" customWidth="1"/>
    <col min="8703" max="8703" width="31.28515625" style="421" customWidth="1"/>
    <col min="8704" max="8704" width="7.5703125" style="421" customWidth="1"/>
    <col min="8705" max="8705" width="2.42578125" style="421" customWidth="1"/>
    <col min="8706" max="8706" width="11.5703125" style="421" customWidth="1"/>
    <col min="8707" max="8707" width="2.42578125" style="421" customWidth="1"/>
    <col min="8708" max="8708" width="11.5703125" style="421" customWidth="1"/>
    <col min="8709" max="8709" width="2.42578125" style="421" customWidth="1"/>
    <col min="8710" max="8710" width="10.85546875" style="421" customWidth="1"/>
    <col min="8711" max="8711" width="2.42578125" style="421" customWidth="1"/>
    <col min="8712" max="8712" width="11.140625" style="421" customWidth="1"/>
    <col min="8713" max="8713" width="1.85546875" style="421" customWidth="1"/>
    <col min="8714" max="8714" width="11" style="421" customWidth="1"/>
    <col min="8715" max="8715" width="0.7109375" style="421" customWidth="1"/>
    <col min="8716" max="8716" width="1.85546875" style="421" customWidth="1"/>
    <col min="8717" max="8717" width="11.85546875" style="421" bestFit="1" customWidth="1"/>
    <col min="8718" max="8718" width="15.28515625" style="421" bestFit="1" customWidth="1"/>
    <col min="8719" max="8719" width="5" style="421" customWidth="1"/>
    <col min="8720" max="8720" width="10.42578125" style="421" bestFit="1" customWidth="1"/>
    <col min="8721" max="8721" width="5" style="421" customWidth="1"/>
    <col min="8722" max="8722" width="10.42578125" style="421" bestFit="1" customWidth="1"/>
    <col min="8723" max="8725" width="9.140625" style="421"/>
    <col min="8726" max="8726" width="10.42578125" style="421" bestFit="1" customWidth="1"/>
    <col min="8727" max="8955" width="9.140625" style="421"/>
    <col min="8956" max="8956" width="3.5703125" style="421" customWidth="1"/>
    <col min="8957" max="8957" width="4.85546875" style="421" customWidth="1"/>
    <col min="8958" max="8958" width="5.42578125" style="421" customWidth="1"/>
    <col min="8959" max="8959" width="31.28515625" style="421" customWidth="1"/>
    <col min="8960" max="8960" width="7.5703125" style="421" customWidth="1"/>
    <col min="8961" max="8961" width="2.42578125" style="421" customWidth="1"/>
    <col min="8962" max="8962" width="11.5703125" style="421" customWidth="1"/>
    <col min="8963" max="8963" width="2.42578125" style="421" customWidth="1"/>
    <col min="8964" max="8964" width="11.5703125" style="421" customWidth="1"/>
    <col min="8965" max="8965" width="2.42578125" style="421" customWidth="1"/>
    <col min="8966" max="8966" width="10.85546875" style="421" customWidth="1"/>
    <col min="8967" max="8967" width="2.42578125" style="421" customWidth="1"/>
    <col min="8968" max="8968" width="11.140625" style="421" customWidth="1"/>
    <col min="8969" max="8969" width="1.85546875" style="421" customWidth="1"/>
    <col min="8970" max="8970" width="11" style="421" customWidth="1"/>
    <col min="8971" max="8971" width="0.7109375" style="421" customWidth="1"/>
    <col min="8972" max="8972" width="1.85546875" style="421" customWidth="1"/>
    <col min="8973" max="8973" width="11.85546875" style="421" bestFit="1" customWidth="1"/>
    <col min="8974" max="8974" width="15.28515625" style="421" bestFit="1" customWidth="1"/>
    <col min="8975" max="8975" width="5" style="421" customWidth="1"/>
    <col min="8976" max="8976" width="10.42578125" style="421" bestFit="1" customWidth="1"/>
    <col min="8977" max="8977" width="5" style="421" customWidth="1"/>
    <col min="8978" max="8978" width="10.42578125" style="421" bestFit="1" customWidth="1"/>
    <col min="8979" max="8981" width="9.140625" style="421"/>
    <col min="8982" max="8982" width="10.42578125" style="421" bestFit="1" customWidth="1"/>
    <col min="8983" max="9211" width="9.140625" style="421"/>
    <col min="9212" max="9212" width="3.5703125" style="421" customWidth="1"/>
    <col min="9213" max="9213" width="4.85546875" style="421" customWidth="1"/>
    <col min="9214" max="9214" width="5.42578125" style="421" customWidth="1"/>
    <col min="9215" max="9215" width="31.28515625" style="421" customWidth="1"/>
    <col min="9216" max="9216" width="7.5703125" style="421" customWidth="1"/>
    <col min="9217" max="9217" width="2.42578125" style="421" customWidth="1"/>
    <col min="9218" max="9218" width="11.5703125" style="421" customWidth="1"/>
    <col min="9219" max="9219" width="2.42578125" style="421" customWidth="1"/>
    <col min="9220" max="9220" width="11.5703125" style="421" customWidth="1"/>
    <col min="9221" max="9221" width="2.42578125" style="421" customWidth="1"/>
    <col min="9222" max="9222" width="10.85546875" style="421" customWidth="1"/>
    <col min="9223" max="9223" width="2.42578125" style="421" customWidth="1"/>
    <col min="9224" max="9224" width="11.140625" style="421" customWidth="1"/>
    <col min="9225" max="9225" width="1.85546875" style="421" customWidth="1"/>
    <col min="9226" max="9226" width="11" style="421" customWidth="1"/>
    <col min="9227" max="9227" width="0.7109375" style="421" customWidth="1"/>
    <col min="9228" max="9228" width="1.85546875" style="421" customWidth="1"/>
    <col min="9229" max="9229" width="11.85546875" style="421" bestFit="1" customWidth="1"/>
    <col min="9230" max="9230" width="15.28515625" style="421" bestFit="1" customWidth="1"/>
    <col min="9231" max="9231" width="5" style="421" customWidth="1"/>
    <col min="9232" max="9232" width="10.42578125" style="421" bestFit="1" customWidth="1"/>
    <col min="9233" max="9233" width="5" style="421" customWidth="1"/>
    <col min="9234" max="9234" width="10.42578125" style="421" bestFit="1" customWidth="1"/>
    <col min="9235" max="9237" width="9.140625" style="421"/>
    <col min="9238" max="9238" width="10.42578125" style="421" bestFit="1" customWidth="1"/>
    <col min="9239" max="9467" width="9.140625" style="421"/>
    <col min="9468" max="9468" width="3.5703125" style="421" customWidth="1"/>
    <col min="9469" max="9469" width="4.85546875" style="421" customWidth="1"/>
    <col min="9470" max="9470" width="5.42578125" style="421" customWidth="1"/>
    <col min="9471" max="9471" width="31.28515625" style="421" customWidth="1"/>
    <col min="9472" max="9472" width="7.5703125" style="421" customWidth="1"/>
    <col min="9473" max="9473" width="2.42578125" style="421" customWidth="1"/>
    <col min="9474" max="9474" width="11.5703125" style="421" customWidth="1"/>
    <col min="9475" max="9475" width="2.42578125" style="421" customWidth="1"/>
    <col min="9476" max="9476" width="11.5703125" style="421" customWidth="1"/>
    <col min="9477" max="9477" width="2.42578125" style="421" customWidth="1"/>
    <col min="9478" max="9478" width="10.85546875" style="421" customWidth="1"/>
    <col min="9479" max="9479" width="2.42578125" style="421" customWidth="1"/>
    <col min="9480" max="9480" width="11.140625" style="421" customWidth="1"/>
    <col min="9481" max="9481" width="1.85546875" style="421" customWidth="1"/>
    <col min="9482" max="9482" width="11" style="421" customWidth="1"/>
    <col min="9483" max="9483" width="0.7109375" style="421" customWidth="1"/>
    <col min="9484" max="9484" width="1.85546875" style="421" customWidth="1"/>
    <col min="9485" max="9485" width="11.85546875" style="421" bestFit="1" customWidth="1"/>
    <col min="9486" max="9486" width="15.28515625" style="421" bestFit="1" customWidth="1"/>
    <col min="9487" max="9487" width="5" style="421" customWidth="1"/>
    <col min="9488" max="9488" width="10.42578125" style="421" bestFit="1" customWidth="1"/>
    <col min="9489" max="9489" width="5" style="421" customWidth="1"/>
    <col min="9490" max="9490" width="10.42578125" style="421" bestFit="1" customWidth="1"/>
    <col min="9491" max="9493" width="9.140625" style="421"/>
    <col min="9494" max="9494" width="10.42578125" style="421" bestFit="1" customWidth="1"/>
    <col min="9495" max="9723" width="9.140625" style="421"/>
    <col min="9724" max="9724" width="3.5703125" style="421" customWidth="1"/>
    <col min="9725" max="9725" width="4.85546875" style="421" customWidth="1"/>
    <col min="9726" max="9726" width="5.42578125" style="421" customWidth="1"/>
    <col min="9727" max="9727" width="31.28515625" style="421" customWidth="1"/>
    <col min="9728" max="9728" width="7.5703125" style="421" customWidth="1"/>
    <col min="9729" max="9729" width="2.42578125" style="421" customWidth="1"/>
    <col min="9730" max="9730" width="11.5703125" style="421" customWidth="1"/>
    <col min="9731" max="9731" width="2.42578125" style="421" customWidth="1"/>
    <col min="9732" max="9732" width="11.5703125" style="421" customWidth="1"/>
    <col min="9733" max="9733" width="2.42578125" style="421" customWidth="1"/>
    <col min="9734" max="9734" width="10.85546875" style="421" customWidth="1"/>
    <col min="9735" max="9735" width="2.42578125" style="421" customWidth="1"/>
    <col min="9736" max="9736" width="11.140625" style="421" customWidth="1"/>
    <col min="9737" max="9737" width="1.85546875" style="421" customWidth="1"/>
    <col min="9738" max="9738" width="11" style="421" customWidth="1"/>
    <col min="9739" max="9739" width="0.7109375" style="421" customWidth="1"/>
    <col min="9740" max="9740" width="1.85546875" style="421" customWidth="1"/>
    <col min="9741" max="9741" width="11.85546875" style="421" bestFit="1" customWidth="1"/>
    <col min="9742" max="9742" width="15.28515625" style="421" bestFit="1" customWidth="1"/>
    <col min="9743" max="9743" width="5" style="421" customWidth="1"/>
    <col min="9744" max="9744" width="10.42578125" style="421" bestFit="1" customWidth="1"/>
    <col min="9745" max="9745" width="5" style="421" customWidth="1"/>
    <col min="9746" max="9746" width="10.42578125" style="421" bestFit="1" customWidth="1"/>
    <col min="9747" max="9749" width="9.140625" style="421"/>
    <col min="9750" max="9750" width="10.42578125" style="421" bestFit="1" customWidth="1"/>
    <col min="9751" max="9979" width="9.140625" style="421"/>
    <col min="9980" max="9980" width="3.5703125" style="421" customWidth="1"/>
    <col min="9981" max="9981" width="4.85546875" style="421" customWidth="1"/>
    <col min="9982" max="9982" width="5.42578125" style="421" customWidth="1"/>
    <col min="9983" max="9983" width="31.28515625" style="421" customWidth="1"/>
    <col min="9984" max="9984" width="7.5703125" style="421" customWidth="1"/>
    <col min="9985" max="9985" width="2.42578125" style="421" customWidth="1"/>
    <col min="9986" max="9986" width="11.5703125" style="421" customWidth="1"/>
    <col min="9987" max="9987" width="2.42578125" style="421" customWidth="1"/>
    <col min="9988" max="9988" width="11.5703125" style="421" customWidth="1"/>
    <col min="9989" max="9989" width="2.42578125" style="421" customWidth="1"/>
    <col min="9990" max="9990" width="10.85546875" style="421" customWidth="1"/>
    <col min="9991" max="9991" width="2.42578125" style="421" customWidth="1"/>
    <col min="9992" max="9992" width="11.140625" style="421" customWidth="1"/>
    <col min="9993" max="9993" width="1.85546875" style="421" customWidth="1"/>
    <col min="9994" max="9994" width="11" style="421" customWidth="1"/>
    <col min="9995" max="9995" width="0.7109375" style="421" customWidth="1"/>
    <col min="9996" max="9996" width="1.85546875" style="421" customWidth="1"/>
    <col min="9997" max="9997" width="11.85546875" style="421" bestFit="1" customWidth="1"/>
    <col min="9998" max="9998" width="15.28515625" style="421" bestFit="1" customWidth="1"/>
    <col min="9999" max="9999" width="5" style="421" customWidth="1"/>
    <col min="10000" max="10000" width="10.42578125" style="421" bestFit="1" customWidth="1"/>
    <col min="10001" max="10001" width="5" style="421" customWidth="1"/>
    <col min="10002" max="10002" width="10.42578125" style="421" bestFit="1" customWidth="1"/>
    <col min="10003" max="10005" width="9.140625" style="421"/>
    <col min="10006" max="10006" width="10.42578125" style="421" bestFit="1" customWidth="1"/>
    <col min="10007" max="10235" width="9.140625" style="421"/>
    <col min="10236" max="10236" width="3.5703125" style="421" customWidth="1"/>
    <col min="10237" max="10237" width="4.85546875" style="421" customWidth="1"/>
    <col min="10238" max="10238" width="5.42578125" style="421" customWidth="1"/>
    <col min="10239" max="10239" width="31.28515625" style="421" customWidth="1"/>
    <col min="10240" max="10240" width="7.5703125" style="421" customWidth="1"/>
    <col min="10241" max="10241" width="2.42578125" style="421" customWidth="1"/>
    <col min="10242" max="10242" width="11.5703125" style="421" customWidth="1"/>
    <col min="10243" max="10243" width="2.42578125" style="421" customWidth="1"/>
    <col min="10244" max="10244" width="11.5703125" style="421" customWidth="1"/>
    <col min="10245" max="10245" width="2.42578125" style="421" customWidth="1"/>
    <col min="10246" max="10246" width="10.85546875" style="421" customWidth="1"/>
    <col min="10247" max="10247" width="2.42578125" style="421" customWidth="1"/>
    <col min="10248" max="10248" width="11.140625" style="421" customWidth="1"/>
    <col min="10249" max="10249" width="1.85546875" style="421" customWidth="1"/>
    <col min="10250" max="10250" width="11" style="421" customWidth="1"/>
    <col min="10251" max="10251" width="0.7109375" style="421" customWidth="1"/>
    <col min="10252" max="10252" width="1.85546875" style="421" customWidth="1"/>
    <col min="10253" max="10253" width="11.85546875" style="421" bestFit="1" customWidth="1"/>
    <col min="10254" max="10254" width="15.28515625" style="421" bestFit="1" customWidth="1"/>
    <col min="10255" max="10255" width="5" style="421" customWidth="1"/>
    <col min="10256" max="10256" width="10.42578125" style="421" bestFit="1" customWidth="1"/>
    <col min="10257" max="10257" width="5" style="421" customWidth="1"/>
    <col min="10258" max="10258" width="10.42578125" style="421" bestFit="1" customWidth="1"/>
    <col min="10259" max="10261" width="9.140625" style="421"/>
    <col min="10262" max="10262" width="10.42578125" style="421" bestFit="1" customWidth="1"/>
    <col min="10263" max="10491" width="9.140625" style="421"/>
    <col min="10492" max="10492" width="3.5703125" style="421" customWidth="1"/>
    <col min="10493" max="10493" width="4.85546875" style="421" customWidth="1"/>
    <col min="10494" max="10494" width="5.42578125" style="421" customWidth="1"/>
    <col min="10495" max="10495" width="31.28515625" style="421" customWidth="1"/>
    <col min="10496" max="10496" width="7.5703125" style="421" customWidth="1"/>
    <col min="10497" max="10497" width="2.42578125" style="421" customWidth="1"/>
    <col min="10498" max="10498" width="11.5703125" style="421" customWidth="1"/>
    <col min="10499" max="10499" width="2.42578125" style="421" customWidth="1"/>
    <col min="10500" max="10500" width="11.5703125" style="421" customWidth="1"/>
    <col min="10501" max="10501" width="2.42578125" style="421" customWidth="1"/>
    <col min="10502" max="10502" width="10.85546875" style="421" customWidth="1"/>
    <col min="10503" max="10503" width="2.42578125" style="421" customWidth="1"/>
    <col min="10504" max="10504" width="11.140625" style="421" customWidth="1"/>
    <col min="10505" max="10505" width="1.85546875" style="421" customWidth="1"/>
    <col min="10506" max="10506" width="11" style="421" customWidth="1"/>
    <col min="10507" max="10507" width="0.7109375" style="421" customWidth="1"/>
    <col min="10508" max="10508" width="1.85546875" style="421" customWidth="1"/>
    <col min="10509" max="10509" width="11.85546875" style="421" bestFit="1" customWidth="1"/>
    <col min="10510" max="10510" width="15.28515625" style="421" bestFit="1" customWidth="1"/>
    <col min="10511" max="10511" width="5" style="421" customWidth="1"/>
    <col min="10512" max="10512" width="10.42578125" style="421" bestFit="1" customWidth="1"/>
    <col min="10513" max="10513" width="5" style="421" customWidth="1"/>
    <col min="10514" max="10514" width="10.42578125" style="421" bestFit="1" customWidth="1"/>
    <col min="10515" max="10517" width="9.140625" style="421"/>
    <col min="10518" max="10518" width="10.42578125" style="421" bestFit="1" customWidth="1"/>
    <col min="10519" max="10747" width="9.140625" style="421"/>
    <col min="10748" max="10748" width="3.5703125" style="421" customWidth="1"/>
    <col min="10749" max="10749" width="4.85546875" style="421" customWidth="1"/>
    <col min="10750" max="10750" width="5.42578125" style="421" customWidth="1"/>
    <col min="10751" max="10751" width="31.28515625" style="421" customWidth="1"/>
    <col min="10752" max="10752" width="7.5703125" style="421" customWidth="1"/>
    <col min="10753" max="10753" width="2.42578125" style="421" customWidth="1"/>
    <col min="10754" max="10754" width="11.5703125" style="421" customWidth="1"/>
    <col min="10755" max="10755" width="2.42578125" style="421" customWidth="1"/>
    <col min="10756" max="10756" width="11.5703125" style="421" customWidth="1"/>
    <col min="10757" max="10757" width="2.42578125" style="421" customWidth="1"/>
    <col min="10758" max="10758" width="10.85546875" style="421" customWidth="1"/>
    <col min="10759" max="10759" width="2.42578125" style="421" customWidth="1"/>
    <col min="10760" max="10760" width="11.140625" style="421" customWidth="1"/>
    <col min="10761" max="10761" width="1.85546875" style="421" customWidth="1"/>
    <col min="10762" max="10762" width="11" style="421" customWidth="1"/>
    <col min="10763" max="10763" width="0.7109375" style="421" customWidth="1"/>
    <col min="10764" max="10764" width="1.85546875" style="421" customWidth="1"/>
    <col min="10765" max="10765" width="11.85546875" style="421" bestFit="1" customWidth="1"/>
    <col min="10766" max="10766" width="15.28515625" style="421" bestFit="1" customWidth="1"/>
    <col min="10767" max="10767" width="5" style="421" customWidth="1"/>
    <col min="10768" max="10768" width="10.42578125" style="421" bestFit="1" customWidth="1"/>
    <col min="10769" max="10769" width="5" style="421" customWidth="1"/>
    <col min="10770" max="10770" width="10.42578125" style="421" bestFit="1" customWidth="1"/>
    <col min="10771" max="10773" width="9.140625" style="421"/>
    <col min="10774" max="10774" width="10.42578125" style="421" bestFit="1" customWidth="1"/>
    <col min="10775" max="11003" width="9.140625" style="421"/>
    <col min="11004" max="11004" width="3.5703125" style="421" customWidth="1"/>
    <col min="11005" max="11005" width="4.85546875" style="421" customWidth="1"/>
    <col min="11006" max="11006" width="5.42578125" style="421" customWidth="1"/>
    <col min="11007" max="11007" width="31.28515625" style="421" customWidth="1"/>
    <col min="11008" max="11008" width="7.5703125" style="421" customWidth="1"/>
    <col min="11009" max="11009" width="2.42578125" style="421" customWidth="1"/>
    <col min="11010" max="11010" width="11.5703125" style="421" customWidth="1"/>
    <col min="11011" max="11011" width="2.42578125" style="421" customWidth="1"/>
    <col min="11012" max="11012" width="11.5703125" style="421" customWidth="1"/>
    <col min="11013" max="11013" width="2.42578125" style="421" customWidth="1"/>
    <col min="11014" max="11014" width="10.85546875" style="421" customWidth="1"/>
    <col min="11015" max="11015" width="2.42578125" style="421" customWidth="1"/>
    <col min="11016" max="11016" width="11.140625" style="421" customWidth="1"/>
    <col min="11017" max="11017" width="1.85546875" style="421" customWidth="1"/>
    <col min="11018" max="11018" width="11" style="421" customWidth="1"/>
    <col min="11019" max="11019" width="0.7109375" style="421" customWidth="1"/>
    <col min="11020" max="11020" width="1.85546875" style="421" customWidth="1"/>
    <col min="11021" max="11021" width="11.85546875" style="421" bestFit="1" customWidth="1"/>
    <col min="11022" max="11022" width="15.28515625" style="421" bestFit="1" customWidth="1"/>
    <col min="11023" max="11023" width="5" style="421" customWidth="1"/>
    <col min="11024" max="11024" width="10.42578125" style="421" bestFit="1" customWidth="1"/>
    <col min="11025" max="11025" width="5" style="421" customWidth="1"/>
    <col min="11026" max="11026" width="10.42578125" style="421" bestFit="1" customWidth="1"/>
    <col min="11027" max="11029" width="9.140625" style="421"/>
    <col min="11030" max="11030" width="10.42578125" style="421" bestFit="1" customWidth="1"/>
    <col min="11031" max="11259" width="9.140625" style="421"/>
    <col min="11260" max="11260" width="3.5703125" style="421" customWidth="1"/>
    <col min="11261" max="11261" width="4.85546875" style="421" customWidth="1"/>
    <col min="11262" max="11262" width="5.42578125" style="421" customWidth="1"/>
    <col min="11263" max="11263" width="31.28515625" style="421" customWidth="1"/>
    <col min="11264" max="11264" width="7.5703125" style="421" customWidth="1"/>
    <col min="11265" max="11265" width="2.42578125" style="421" customWidth="1"/>
    <col min="11266" max="11266" width="11.5703125" style="421" customWidth="1"/>
    <col min="11267" max="11267" width="2.42578125" style="421" customWidth="1"/>
    <col min="11268" max="11268" width="11.5703125" style="421" customWidth="1"/>
    <col min="11269" max="11269" width="2.42578125" style="421" customWidth="1"/>
    <col min="11270" max="11270" width="10.85546875" style="421" customWidth="1"/>
    <col min="11271" max="11271" width="2.42578125" style="421" customWidth="1"/>
    <col min="11272" max="11272" width="11.140625" style="421" customWidth="1"/>
    <col min="11273" max="11273" width="1.85546875" style="421" customWidth="1"/>
    <col min="11274" max="11274" width="11" style="421" customWidth="1"/>
    <col min="11275" max="11275" width="0.7109375" style="421" customWidth="1"/>
    <col min="11276" max="11276" width="1.85546875" style="421" customWidth="1"/>
    <col min="11277" max="11277" width="11.85546875" style="421" bestFit="1" customWidth="1"/>
    <col min="11278" max="11278" width="15.28515625" style="421" bestFit="1" customWidth="1"/>
    <col min="11279" max="11279" width="5" style="421" customWidth="1"/>
    <col min="11280" max="11280" width="10.42578125" style="421" bestFit="1" customWidth="1"/>
    <col min="11281" max="11281" width="5" style="421" customWidth="1"/>
    <col min="11282" max="11282" width="10.42578125" style="421" bestFit="1" customWidth="1"/>
    <col min="11283" max="11285" width="9.140625" style="421"/>
    <col min="11286" max="11286" width="10.42578125" style="421" bestFit="1" customWidth="1"/>
    <col min="11287" max="11515" width="9.140625" style="421"/>
    <col min="11516" max="11516" width="3.5703125" style="421" customWidth="1"/>
    <col min="11517" max="11517" width="4.85546875" style="421" customWidth="1"/>
    <col min="11518" max="11518" width="5.42578125" style="421" customWidth="1"/>
    <col min="11519" max="11519" width="31.28515625" style="421" customWidth="1"/>
    <col min="11520" max="11520" width="7.5703125" style="421" customWidth="1"/>
    <col min="11521" max="11521" width="2.42578125" style="421" customWidth="1"/>
    <col min="11522" max="11522" width="11.5703125" style="421" customWidth="1"/>
    <col min="11523" max="11523" width="2.42578125" style="421" customWidth="1"/>
    <col min="11524" max="11524" width="11.5703125" style="421" customWidth="1"/>
    <col min="11525" max="11525" width="2.42578125" style="421" customWidth="1"/>
    <col min="11526" max="11526" width="10.85546875" style="421" customWidth="1"/>
    <col min="11527" max="11527" width="2.42578125" style="421" customWidth="1"/>
    <col min="11528" max="11528" width="11.140625" style="421" customWidth="1"/>
    <col min="11529" max="11529" width="1.85546875" style="421" customWidth="1"/>
    <col min="11530" max="11530" width="11" style="421" customWidth="1"/>
    <col min="11531" max="11531" width="0.7109375" style="421" customWidth="1"/>
    <col min="11532" max="11532" width="1.85546875" style="421" customWidth="1"/>
    <col min="11533" max="11533" width="11.85546875" style="421" bestFit="1" customWidth="1"/>
    <col min="11534" max="11534" width="15.28515625" style="421" bestFit="1" customWidth="1"/>
    <col min="11535" max="11535" width="5" style="421" customWidth="1"/>
    <col min="11536" max="11536" width="10.42578125" style="421" bestFit="1" customWidth="1"/>
    <col min="11537" max="11537" width="5" style="421" customWidth="1"/>
    <col min="11538" max="11538" width="10.42578125" style="421" bestFit="1" customWidth="1"/>
    <col min="11539" max="11541" width="9.140625" style="421"/>
    <col min="11542" max="11542" width="10.42578125" style="421" bestFit="1" customWidth="1"/>
    <col min="11543" max="11771" width="9.140625" style="421"/>
    <col min="11772" max="11772" width="3.5703125" style="421" customWidth="1"/>
    <col min="11773" max="11773" width="4.85546875" style="421" customWidth="1"/>
    <col min="11774" max="11774" width="5.42578125" style="421" customWidth="1"/>
    <col min="11775" max="11775" width="31.28515625" style="421" customWidth="1"/>
    <col min="11776" max="11776" width="7.5703125" style="421" customWidth="1"/>
    <col min="11777" max="11777" width="2.42578125" style="421" customWidth="1"/>
    <col min="11778" max="11778" width="11.5703125" style="421" customWidth="1"/>
    <col min="11779" max="11779" width="2.42578125" style="421" customWidth="1"/>
    <col min="11780" max="11780" width="11.5703125" style="421" customWidth="1"/>
    <col min="11781" max="11781" width="2.42578125" style="421" customWidth="1"/>
    <col min="11782" max="11782" width="10.85546875" style="421" customWidth="1"/>
    <col min="11783" max="11783" width="2.42578125" style="421" customWidth="1"/>
    <col min="11784" max="11784" width="11.140625" style="421" customWidth="1"/>
    <col min="11785" max="11785" width="1.85546875" style="421" customWidth="1"/>
    <col min="11786" max="11786" width="11" style="421" customWidth="1"/>
    <col min="11787" max="11787" width="0.7109375" style="421" customWidth="1"/>
    <col min="11788" max="11788" width="1.85546875" style="421" customWidth="1"/>
    <col min="11789" max="11789" width="11.85546875" style="421" bestFit="1" customWidth="1"/>
    <col min="11790" max="11790" width="15.28515625" style="421" bestFit="1" customWidth="1"/>
    <col min="11791" max="11791" width="5" style="421" customWidth="1"/>
    <col min="11792" max="11792" width="10.42578125" style="421" bestFit="1" customWidth="1"/>
    <col min="11793" max="11793" width="5" style="421" customWidth="1"/>
    <col min="11794" max="11794" width="10.42578125" style="421" bestFit="1" customWidth="1"/>
    <col min="11795" max="11797" width="9.140625" style="421"/>
    <col min="11798" max="11798" width="10.42578125" style="421" bestFit="1" customWidth="1"/>
    <col min="11799" max="12027" width="9.140625" style="421"/>
    <col min="12028" max="12028" width="3.5703125" style="421" customWidth="1"/>
    <col min="12029" max="12029" width="4.85546875" style="421" customWidth="1"/>
    <col min="12030" max="12030" width="5.42578125" style="421" customWidth="1"/>
    <col min="12031" max="12031" width="31.28515625" style="421" customWidth="1"/>
    <col min="12032" max="12032" width="7.5703125" style="421" customWidth="1"/>
    <col min="12033" max="12033" width="2.42578125" style="421" customWidth="1"/>
    <col min="12034" max="12034" width="11.5703125" style="421" customWidth="1"/>
    <col min="12035" max="12035" width="2.42578125" style="421" customWidth="1"/>
    <col min="12036" max="12036" width="11.5703125" style="421" customWidth="1"/>
    <col min="12037" max="12037" width="2.42578125" style="421" customWidth="1"/>
    <col min="12038" max="12038" width="10.85546875" style="421" customWidth="1"/>
    <col min="12039" max="12039" width="2.42578125" style="421" customWidth="1"/>
    <col min="12040" max="12040" width="11.140625" style="421" customWidth="1"/>
    <col min="12041" max="12041" width="1.85546875" style="421" customWidth="1"/>
    <col min="12042" max="12042" width="11" style="421" customWidth="1"/>
    <col min="12043" max="12043" width="0.7109375" style="421" customWidth="1"/>
    <col min="12044" max="12044" width="1.85546875" style="421" customWidth="1"/>
    <col min="12045" max="12045" width="11.85546875" style="421" bestFit="1" customWidth="1"/>
    <col min="12046" max="12046" width="15.28515625" style="421" bestFit="1" customWidth="1"/>
    <col min="12047" max="12047" width="5" style="421" customWidth="1"/>
    <col min="12048" max="12048" width="10.42578125" style="421" bestFit="1" customWidth="1"/>
    <col min="12049" max="12049" width="5" style="421" customWidth="1"/>
    <col min="12050" max="12050" width="10.42578125" style="421" bestFit="1" customWidth="1"/>
    <col min="12051" max="12053" width="9.140625" style="421"/>
    <col min="12054" max="12054" width="10.42578125" style="421" bestFit="1" customWidth="1"/>
    <col min="12055" max="12283" width="9.140625" style="421"/>
    <col min="12284" max="12284" width="3.5703125" style="421" customWidth="1"/>
    <col min="12285" max="12285" width="4.85546875" style="421" customWidth="1"/>
    <col min="12286" max="12286" width="5.42578125" style="421" customWidth="1"/>
    <col min="12287" max="12287" width="31.28515625" style="421" customWidth="1"/>
    <col min="12288" max="12288" width="7.5703125" style="421" customWidth="1"/>
    <col min="12289" max="12289" width="2.42578125" style="421" customWidth="1"/>
    <col min="12290" max="12290" width="11.5703125" style="421" customWidth="1"/>
    <col min="12291" max="12291" width="2.42578125" style="421" customWidth="1"/>
    <col min="12292" max="12292" width="11.5703125" style="421" customWidth="1"/>
    <col min="12293" max="12293" width="2.42578125" style="421" customWidth="1"/>
    <col min="12294" max="12294" width="10.85546875" style="421" customWidth="1"/>
    <col min="12295" max="12295" width="2.42578125" style="421" customWidth="1"/>
    <col min="12296" max="12296" width="11.140625" style="421" customWidth="1"/>
    <col min="12297" max="12297" width="1.85546875" style="421" customWidth="1"/>
    <col min="12298" max="12298" width="11" style="421" customWidth="1"/>
    <col min="12299" max="12299" width="0.7109375" style="421" customWidth="1"/>
    <col min="12300" max="12300" width="1.85546875" style="421" customWidth="1"/>
    <col min="12301" max="12301" width="11.85546875" style="421" bestFit="1" customWidth="1"/>
    <col min="12302" max="12302" width="15.28515625" style="421" bestFit="1" customWidth="1"/>
    <col min="12303" max="12303" width="5" style="421" customWidth="1"/>
    <col min="12304" max="12304" width="10.42578125" style="421" bestFit="1" customWidth="1"/>
    <col min="12305" max="12305" width="5" style="421" customWidth="1"/>
    <col min="12306" max="12306" width="10.42578125" style="421" bestFit="1" customWidth="1"/>
    <col min="12307" max="12309" width="9.140625" style="421"/>
    <col min="12310" max="12310" width="10.42578125" style="421" bestFit="1" customWidth="1"/>
    <col min="12311" max="12539" width="9.140625" style="421"/>
    <col min="12540" max="12540" width="3.5703125" style="421" customWidth="1"/>
    <col min="12541" max="12541" width="4.85546875" style="421" customWidth="1"/>
    <col min="12542" max="12542" width="5.42578125" style="421" customWidth="1"/>
    <col min="12543" max="12543" width="31.28515625" style="421" customWidth="1"/>
    <col min="12544" max="12544" width="7.5703125" style="421" customWidth="1"/>
    <col min="12545" max="12545" width="2.42578125" style="421" customWidth="1"/>
    <col min="12546" max="12546" width="11.5703125" style="421" customWidth="1"/>
    <col min="12547" max="12547" width="2.42578125" style="421" customWidth="1"/>
    <col min="12548" max="12548" width="11.5703125" style="421" customWidth="1"/>
    <col min="12549" max="12549" width="2.42578125" style="421" customWidth="1"/>
    <col min="12550" max="12550" width="10.85546875" style="421" customWidth="1"/>
    <col min="12551" max="12551" width="2.42578125" style="421" customWidth="1"/>
    <col min="12552" max="12552" width="11.140625" style="421" customWidth="1"/>
    <col min="12553" max="12553" width="1.85546875" style="421" customWidth="1"/>
    <col min="12554" max="12554" width="11" style="421" customWidth="1"/>
    <col min="12555" max="12555" width="0.7109375" style="421" customWidth="1"/>
    <col min="12556" max="12556" width="1.85546875" style="421" customWidth="1"/>
    <col min="12557" max="12557" width="11.85546875" style="421" bestFit="1" customWidth="1"/>
    <col min="12558" max="12558" width="15.28515625" style="421" bestFit="1" customWidth="1"/>
    <col min="12559" max="12559" width="5" style="421" customWidth="1"/>
    <col min="12560" max="12560" width="10.42578125" style="421" bestFit="1" customWidth="1"/>
    <col min="12561" max="12561" width="5" style="421" customWidth="1"/>
    <col min="12562" max="12562" width="10.42578125" style="421" bestFit="1" customWidth="1"/>
    <col min="12563" max="12565" width="9.140625" style="421"/>
    <col min="12566" max="12566" width="10.42578125" style="421" bestFit="1" customWidth="1"/>
    <col min="12567" max="12795" width="9.140625" style="421"/>
    <col min="12796" max="12796" width="3.5703125" style="421" customWidth="1"/>
    <col min="12797" max="12797" width="4.85546875" style="421" customWidth="1"/>
    <col min="12798" max="12798" width="5.42578125" style="421" customWidth="1"/>
    <col min="12799" max="12799" width="31.28515625" style="421" customWidth="1"/>
    <col min="12800" max="12800" width="7.5703125" style="421" customWidth="1"/>
    <col min="12801" max="12801" width="2.42578125" style="421" customWidth="1"/>
    <col min="12802" max="12802" width="11.5703125" style="421" customWidth="1"/>
    <col min="12803" max="12803" width="2.42578125" style="421" customWidth="1"/>
    <col min="12804" max="12804" width="11.5703125" style="421" customWidth="1"/>
    <col min="12805" max="12805" width="2.42578125" style="421" customWidth="1"/>
    <col min="12806" max="12806" width="10.85546875" style="421" customWidth="1"/>
    <col min="12807" max="12807" width="2.42578125" style="421" customWidth="1"/>
    <col min="12808" max="12808" width="11.140625" style="421" customWidth="1"/>
    <col min="12809" max="12809" width="1.85546875" style="421" customWidth="1"/>
    <col min="12810" max="12810" width="11" style="421" customWidth="1"/>
    <col min="12811" max="12811" width="0.7109375" style="421" customWidth="1"/>
    <col min="12812" max="12812" width="1.85546875" style="421" customWidth="1"/>
    <col min="12813" max="12813" width="11.85546875" style="421" bestFit="1" customWidth="1"/>
    <col min="12814" max="12814" width="15.28515625" style="421" bestFit="1" customWidth="1"/>
    <col min="12815" max="12815" width="5" style="421" customWidth="1"/>
    <col min="12816" max="12816" width="10.42578125" style="421" bestFit="1" customWidth="1"/>
    <col min="12817" max="12817" width="5" style="421" customWidth="1"/>
    <col min="12818" max="12818" width="10.42578125" style="421" bestFit="1" customWidth="1"/>
    <col min="12819" max="12821" width="9.140625" style="421"/>
    <col min="12822" max="12822" width="10.42578125" style="421" bestFit="1" customWidth="1"/>
    <col min="12823" max="13051" width="9.140625" style="421"/>
    <col min="13052" max="13052" width="3.5703125" style="421" customWidth="1"/>
    <col min="13053" max="13053" width="4.85546875" style="421" customWidth="1"/>
    <col min="13054" max="13054" width="5.42578125" style="421" customWidth="1"/>
    <col min="13055" max="13055" width="31.28515625" style="421" customWidth="1"/>
    <col min="13056" max="13056" width="7.5703125" style="421" customWidth="1"/>
    <col min="13057" max="13057" width="2.42578125" style="421" customWidth="1"/>
    <col min="13058" max="13058" width="11.5703125" style="421" customWidth="1"/>
    <col min="13059" max="13059" width="2.42578125" style="421" customWidth="1"/>
    <col min="13060" max="13060" width="11.5703125" style="421" customWidth="1"/>
    <col min="13061" max="13061" width="2.42578125" style="421" customWidth="1"/>
    <col min="13062" max="13062" width="10.85546875" style="421" customWidth="1"/>
    <col min="13063" max="13063" width="2.42578125" style="421" customWidth="1"/>
    <col min="13064" max="13064" width="11.140625" style="421" customWidth="1"/>
    <col min="13065" max="13065" width="1.85546875" style="421" customWidth="1"/>
    <col min="13066" max="13066" width="11" style="421" customWidth="1"/>
    <col min="13067" max="13067" width="0.7109375" style="421" customWidth="1"/>
    <col min="13068" max="13068" width="1.85546875" style="421" customWidth="1"/>
    <col min="13069" max="13069" width="11.85546875" style="421" bestFit="1" customWidth="1"/>
    <col min="13070" max="13070" width="15.28515625" style="421" bestFit="1" customWidth="1"/>
    <col min="13071" max="13071" width="5" style="421" customWidth="1"/>
    <col min="13072" max="13072" width="10.42578125" style="421" bestFit="1" customWidth="1"/>
    <col min="13073" max="13073" width="5" style="421" customWidth="1"/>
    <col min="13074" max="13074" width="10.42578125" style="421" bestFit="1" customWidth="1"/>
    <col min="13075" max="13077" width="9.140625" style="421"/>
    <col min="13078" max="13078" width="10.42578125" style="421" bestFit="1" customWidth="1"/>
    <col min="13079" max="13307" width="9.140625" style="421"/>
    <col min="13308" max="13308" width="3.5703125" style="421" customWidth="1"/>
    <col min="13309" max="13309" width="4.85546875" style="421" customWidth="1"/>
    <col min="13310" max="13310" width="5.42578125" style="421" customWidth="1"/>
    <col min="13311" max="13311" width="31.28515625" style="421" customWidth="1"/>
    <col min="13312" max="13312" width="7.5703125" style="421" customWidth="1"/>
    <col min="13313" max="13313" width="2.42578125" style="421" customWidth="1"/>
    <col min="13314" max="13314" width="11.5703125" style="421" customWidth="1"/>
    <col min="13315" max="13315" width="2.42578125" style="421" customWidth="1"/>
    <col min="13316" max="13316" width="11.5703125" style="421" customWidth="1"/>
    <col min="13317" max="13317" width="2.42578125" style="421" customWidth="1"/>
    <col min="13318" max="13318" width="10.85546875" style="421" customWidth="1"/>
    <col min="13319" max="13319" width="2.42578125" style="421" customWidth="1"/>
    <col min="13320" max="13320" width="11.140625" style="421" customWidth="1"/>
    <col min="13321" max="13321" width="1.85546875" style="421" customWidth="1"/>
    <col min="13322" max="13322" width="11" style="421" customWidth="1"/>
    <col min="13323" max="13323" width="0.7109375" style="421" customWidth="1"/>
    <col min="13324" max="13324" width="1.85546875" style="421" customWidth="1"/>
    <col min="13325" max="13325" width="11.85546875" style="421" bestFit="1" customWidth="1"/>
    <col min="13326" max="13326" width="15.28515625" style="421" bestFit="1" customWidth="1"/>
    <col min="13327" max="13327" width="5" style="421" customWidth="1"/>
    <col min="13328" max="13328" width="10.42578125" style="421" bestFit="1" customWidth="1"/>
    <col min="13329" max="13329" width="5" style="421" customWidth="1"/>
    <col min="13330" max="13330" width="10.42578125" style="421" bestFit="1" customWidth="1"/>
    <col min="13331" max="13333" width="9.140625" style="421"/>
    <col min="13334" max="13334" width="10.42578125" style="421" bestFit="1" customWidth="1"/>
    <col min="13335" max="13563" width="9.140625" style="421"/>
    <col min="13564" max="13564" width="3.5703125" style="421" customWidth="1"/>
    <col min="13565" max="13565" width="4.85546875" style="421" customWidth="1"/>
    <col min="13566" max="13566" width="5.42578125" style="421" customWidth="1"/>
    <col min="13567" max="13567" width="31.28515625" style="421" customWidth="1"/>
    <col min="13568" max="13568" width="7.5703125" style="421" customWidth="1"/>
    <col min="13569" max="13569" width="2.42578125" style="421" customWidth="1"/>
    <col min="13570" max="13570" width="11.5703125" style="421" customWidth="1"/>
    <col min="13571" max="13571" width="2.42578125" style="421" customWidth="1"/>
    <col min="13572" max="13572" width="11.5703125" style="421" customWidth="1"/>
    <col min="13573" max="13573" width="2.42578125" style="421" customWidth="1"/>
    <col min="13574" max="13574" width="10.85546875" style="421" customWidth="1"/>
    <col min="13575" max="13575" width="2.42578125" style="421" customWidth="1"/>
    <col min="13576" max="13576" width="11.140625" style="421" customWidth="1"/>
    <col min="13577" max="13577" width="1.85546875" style="421" customWidth="1"/>
    <col min="13578" max="13578" width="11" style="421" customWidth="1"/>
    <col min="13579" max="13579" width="0.7109375" style="421" customWidth="1"/>
    <col min="13580" max="13580" width="1.85546875" style="421" customWidth="1"/>
    <col min="13581" max="13581" width="11.85546875" style="421" bestFit="1" customWidth="1"/>
    <col min="13582" max="13582" width="15.28515625" style="421" bestFit="1" customWidth="1"/>
    <col min="13583" max="13583" width="5" style="421" customWidth="1"/>
    <col min="13584" max="13584" width="10.42578125" style="421" bestFit="1" customWidth="1"/>
    <col min="13585" max="13585" width="5" style="421" customWidth="1"/>
    <col min="13586" max="13586" width="10.42578125" style="421" bestFit="1" customWidth="1"/>
    <col min="13587" max="13589" width="9.140625" style="421"/>
    <col min="13590" max="13590" width="10.42578125" style="421" bestFit="1" customWidth="1"/>
    <col min="13591" max="13819" width="9.140625" style="421"/>
    <col min="13820" max="13820" width="3.5703125" style="421" customWidth="1"/>
    <col min="13821" max="13821" width="4.85546875" style="421" customWidth="1"/>
    <col min="13822" max="13822" width="5.42578125" style="421" customWidth="1"/>
    <col min="13823" max="13823" width="31.28515625" style="421" customWidth="1"/>
    <col min="13824" max="13824" width="7.5703125" style="421" customWidth="1"/>
    <col min="13825" max="13825" width="2.42578125" style="421" customWidth="1"/>
    <col min="13826" max="13826" width="11.5703125" style="421" customWidth="1"/>
    <col min="13827" max="13827" width="2.42578125" style="421" customWidth="1"/>
    <col min="13828" max="13828" width="11.5703125" style="421" customWidth="1"/>
    <col min="13829" max="13829" width="2.42578125" style="421" customWidth="1"/>
    <col min="13830" max="13830" width="10.85546875" style="421" customWidth="1"/>
    <col min="13831" max="13831" width="2.42578125" style="421" customWidth="1"/>
    <col min="13832" max="13832" width="11.140625" style="421" customWidth="1"/>
    <col min="13833" max="13833" width="1.85546875" style="421" customWidth="1"/>
    <col min="13834" max="13834" width="11" style="421" customWidth="1"/>
    <col min="13835" max="13835" width="0.7109375" style="421" customWidth="1"/>
    <col min="13836" max="13836" width="1.85546875" style="421" customWidth="1"/>
    <col min="13837" max="13837" width="11.85546875" style="421" bestFit="1" customWidth="1"/>
    <col min="13838" max="13838" width="15.28515625" style="421" bestFit="1" customWidth="1"/>
    <col min="13839" max="13839" width="5" style="421" customWidth="1"/>
    <col min="13840" max="13840" width="10.42578125" style="421" bestFit="1" customWidth="1"/>
    <col min="13841" max="13841" width="5" style="421" customWidth="1"/>
    <col min="13842" max="13842" width="10.42578125" style="421" bestFit="1" customWidth="1"/>
    <col min="13843" max="13845" width="9.140625" style="421"/>
    <col min="13846" max="13846" width="10.42578125" style="421" bestFit="1" customWidth="1"/>
    <col min="13847" max="14075" width="9.140625" style="421"/>
    <col min="14076" max="14076" width="3.5703125" style="421" customWidth="1"/>
    <col min="14077" max="14077" width="4.85546875" style="421" customWidth="1"/>
    <col min="14078" max="14078" width="5.42578125" style="421" customWidth="1"/>
    <col min="14079" max="14079" width="31.28515625" style="421" customWidth="1"/>
    <col min="14080" max="14080" width="7.5703125" style="421" customWidth="1"/>
    <col min="14081" max="14081" width="2.42578125" style="421" customWidth="1"/>
    <col min="14082" max="14082" width="11.5703125" style="421" customWidth="1"/>
    <col min="14083" max="14083" width="2.42578125" style="421" customWidth="1"/>
    <col min="14084" max="14084" width="11.5703125" style="421" customWidth="1"/>
    <col min="14085" max="14085" width="2.42578125" style="421" customWidth="1"/>
    <col min="14086" max="14086" width="10.85546875" style="421" customWidth="1"/>
    <col min="14087" max="14087" width="2.42578125" style="421" customWidth="1"/>
    <col min="14088" max="14088" width="11.140625" style="421" customWidth="1"/>
    <col min="14089" max="14089" width="1.85546875" style="421" customWidth="1"/>
    <col min="14090" max="14090" width="11" style="421" customWidth="1"/>
    <col min="14091" max="14091" width="0.7109375" style="421" customWidth="1"/>
    <col min="14092" max="14092" width="1.85546875" style="421" customWidth="1"/>
    <col min="14093" max="14093" width="11.85546875" style="421" bestFit="1" customWidth="1"/>
    <col min="14094" max="14094" width="15.28515625" style="421" bestFit="1" customWidth="1"/>
    <col min="14095" max="14095" width="5" style="421" customWidth="1"/>
    <col min="14096" max="14096" width="10.42578125" style="421" bestFit="1" customWidth="1"/>
    <col min="14097" max="14097" width="5" style="421" customWidth="1"/>
    <col min="14098" max="14098" width="10.42578125" style="421" bestFit="1" customWidth="1"/>
    <col min="14099" max="14101" width="9.140625" style="421"/>
    <col min="14102" max="14102" width="10.42578125" style="421" bestFit="1" customWidth="1"/>
    <col min="14103" max="14331" width="9.140625" style="421"/>
    <col min="14332" max="14332" width="3.5703125" style="421" customWidth="1"/>
    <col min="14333" max="14333" width="4.85546875" style="421" customWidth="1"/>
    <col min="14334" max="14334" width="5.42578125" style="421" customWidth="1"/>
    <col min="14335" max="14335" width="31.28515625" style="421" customWidth="1"/>
    <col min="14336" max="14336" width="7.5703125" style="421" customWidth="1"/>
    <col min="14337" max="14337" width="2.42578125" style="421" customWidth="1"/>
    <col min="14338" max="14338" width="11.5703125" style="421" customWidth="1"/>
    <col min="14339" max="14339" width="2.42578125" style="421" customWidth="1"/>
    <col min="14340" max="14340" width="11.5703125" style="421" customWidth="1"/>
    <col min="14341" max="14341" width="2.42578125" style="421" customWidth="1"/>
    <col min="14342" max="14342" width="10.85546875" style="421" customWidth="1"/>
    <col min="14343" max="14343" width="2.42578125" style="421" customWidth="1"/>
    <col min="14344" max="14344" width="11.140625" style="421" customWidth="1"/>
    <col min="14345" max="14345" width="1.85546875" style="421" customWidth="1"/>
    <col min="14346" max="14346" width="11" style="421" customWidth="1"/>
    <col min="14347" max="14347" width="0.7109375" style="421" customWidth="1"/>
    <col min="14348" max="14348" width="1.85546875" style="421" customWidth="1"/>
    <col min="14349" max="14349" width="11.85546875" style="421" bestFit="1" customWidth="1"/>
    <col min="14350" max="14350" width="15.28515625" style="421" bestFit="1" customWidth="1"/>
    <col min="14351" max="14351" width="5" style="421" customWidth="1"/>
    <col min="14352" max="14352" width="10.42578125" style="421" bestFit="1" customWidth="1"/>
    <col min="14353" max="14353" width="5" style="421" customWidth="1"/>
    <col min="14354" max="14354" width="10.42578125" style="421" bestFit="1" customWidth="1"/>
    <col min="14355" max="14357" width="9.140625" style="421"/>
    <col min="14358" max="14358" width="10.42578125" style="421" bestFit="1" customWidth="1"/>
    <col min="14359" max="14587" width="9.140625" style="421"/>
    <col min="14588" max="14588" width="3.5703125" style="421" customWidth="1"/>
    <col min="14589" max="14589" width="4.85546875" style="421" customWidth="1"/>
    <col min="14590" max="14590" width="5.42578125" style="421" customWidth="1"/>
    <col min="14591" max="14591" width="31.28515625" style="421" customWidth="1"/>
    <col min="14592" max="14592" width="7.5703125" style="421" customWidth="1"/>
    <col min="14593" max="14593" width="2.42578125" style="421" customWidth="1"/>
    <col min="14594" max="14594" width="11.5703125" style="421" customWidth="1"/>
    <col min="14595" max="14595" width="2.42578125" style="421" customWidth="1"/>
    <col min="14596" max="14596" width="11.5703125" style="421" customWidth="1"/>
    <col min="14597" max="14597" width="2.42578125" style="421" customWidth="1"/>
    <col min="14598" max="14598" width="10.85546875" style="421" customWidth="1"/>
    <col min="14599" max="14599" width="2.42578125" style="421" customWidth="1"/>
    <col min="14600" max="14600" width="11.140625" style="421" customWidth="1"/>
    <col min="14601" max="14601" width="1.85546875" style="421" customWidth="1"/>
    <col min="14602" max="14602" width="11" style="421" customWidth="1"/>
    <col min="14603" max="14603" width="0.7109375" style="421" customWidth="1"/>
    <col min="14604" max="14604" width="1.85546875" style="421" customWidth="1"/>
    <col min="14605" max="14605" width="11.85546875" style="421" bestFit="1" customWidth="1"/>
    <col min="14606" max="14606" width="15.28515625" style="421" bestFit="1" customWidth="1"/>
    <col min="14607" max="14607" width="5" style="421" customWidth="1"/>
    <col min="14608" max="14608" width="10.42578125" style="421" bestFit="1" customWidth="1"/>
    <col min="14609" max="14609" width="5" style="421" customWidth="1"/>
    <col min="14610" max="14610" width="10.42578125" style="421" bestFit="1" customWidth="1"/>
    <col min="14611" max="14613" width="9.140625" style="421"/>
    <col min="14614" max="14614" width="10.42578125" style="421" bestFit="1" customWidth="1"/>
    <col min="14615" max="14843" width="9.140625" style="421"/>
    <col min="14844" max="14844" width="3.5703125" style="421" customWidth="1"/>
    <col min="14845" max="14845" width="4.85546875" style="421" customWidth="1"/>
    <col min="14846" max="14846" width="5.42578125" style="421" customWidth="1"/>
    <col min="14847" max="14847" width="31.28515625" style="421" customWidth="1"/>
    <col min="14848" max="14848" width="7.5703125" style="421" customWidth="1"/>
    <col min="14849" max="14849" width="2.42578125" style="421" customWidth="1"/>
    <col min="14850" max="14850" width="11.5703125" style="421" customWidth="1"/>
    <col min="14851" max="14851" width="2.42578125" style="421" customWidth="1"/>
    <col min="14852" max="14852" width="11.5703125" style="421" customWidth="1"/>
    <col min="14853" max="14853" width="2.42578125" style="421" customWidth="1"/>
    <col min="14854" max="14854" width="10.85546875" style="421" customWidth="1"/>
    <col min="14855" max="14855" width="2.42578125" style="421" customWidth="1"/>
    <col min="14856" max="14856" width="11.140625" style="421" customWidth="1"/>
    <col min="14857" max="14857" width="1.85546875" style="421" customWidth="1"/>
    <col min="14858" max="14858" width="11" style="421" customWidth="1"/>
    <col min="14859" max="14859" width="0.7109375" style="421" customWidth="1"/>
    <col min="14860" max="14860" width="1.85546875" style="421" customWidth="1"/>
    <col min="14861" max="14861" width="11.85546875" style="421" bestFit="1" customWidth="1"/>
    <col min="14862" max="14862" width="15.28515625" style="421" bestFit="1" customWidth="1"/>
    <col min="14863" max="14863" width="5" style="421" customWidth="1"/>
    <col min="14864" max="14864" width="10.42578125" style="421" bestFit="1" customWidth="1"/>
    <col min="14865" max="14865" width="5" style="421" customWidth="1"/>
    <col min="14866" max="14866" width="10.42578125" style="421" bestFit="1" customWidth="1"/>
    <col min="14867" max="14869" width="9.140625" style="421"/>
    <col min="14870" max="14870" width="10.42578125" style="421" bestFit="1" customWidth="1"/>
    <col min="14871" max="15099" width="9.140625" style="421"/>
    <col min="15100" max="15100" width="3.5703125" style="421" customWidth="1"/>
    <col min="15101" max="15101" width="4.85546875" style="421" customWidth="1"/>
    <col min="15102" max="15102" width="5.42578125" style="421" customWidth="1"/>
    <col min="15103" max="15103" width="31.28515625" style="421" customWidth="1"/>
    <col min="15104" max="15104" width="7.5703125" style="421" customWidth="1"/>
    <col min="15105" max="15105" width="2.42578125" style="421" customWidth="1"/>
    <col min="15106" max="15106" width="11.5703125" style="421" customWidth="1"/>
    <col min="15107" max="15107" width="2.42578125" style="421" customWidth="1"/>
    <col min="15108" max="15108" width="11.5703125" style="421" customWidth="1"/>
    <col min="15109" max="15109" width="2.42578125" style="421" customWidth="1"/>
    <col min="15110" max="15110" width="10.85546875" style="421" customWidth="1"/>
    <col min="15111" max="15111" width="2.42578125" style="421" customWidth="1"/>
    <col min="15112" max="15112" width="11.140625" style="421" customWidth="1"/>
    <col min="15113" max="15113" width="1.85546875" style="421" customWidth="1"/>
    <col min="15114" max="15114" width="11" style="421" customWidth="1"/>
    <col min="15115" max="15115" width="0.7109375" style="421" customWidth="1"/>
    <col min="15116" max="15116" width="1.85546875" style="421" customWidth="1"/>
    <col min="15117" max="15117" width="11.85546875" style="421" bestFit="1" customWidth="1"/>
    <col min="15118" max="15118" width="15.28515625" style="421" bestFit="1" customWidth="1"/>
    <col min="15119" max="15119" width="5" style="421" customWidth="1"/>
    <col min="15120" max="15120" width="10.42578125" style="421" bestFit="1" customWidth="1"/>
    <col min="15121" max="15121" width="5" style="421" customWidth="1"/>
    <col min="15122" max="15122" width="10.42578125" style="421" bestFit="1" customWidth="1"/>
    <col min="15123" max="15125" width="9.140625" style="421"/>
    <col min="15126" max="15126" width="10.42578125" style="421" bestFit="1" customWidth="1"/>
    <col min="15127" max="15355" width="9.140625" style="421"/>
    <col min="15356" max="15356" width="3.5703125" style="421" customWidth="1"/>
    <col min="15357" max="15357" width="4.85546875" style="421" customWidth="1"/>
    <col min="15358" max="15358" width="5.42578125" style="421" customWidth="1"/>
    <col min="15359" max="15359" width="31.28515625" style="421" customWidth="1"/>
    <col min="15360" max="15360" width="7.5703125" style="421" customWidth="1"/>
    <col min="15361" max="15361" width="2.42578125" style="421" customWidth="1"/>
    <col min="15362" max="15362" width="11.5703125" style="421" customWidth="1"/>
    <col min="15363" max="15363" width="2.42578125" style="421" customWidth="1"/>
    <col min="15364" max="15364" width="11.5703125" style="421" customWidth="1"/>
    <col min="15365" max="15365" width="2.42578125" style="421" customWidth="1"/>
    <col min="15366" max="15366" width="10.85546875" style="421" customWidth="1"/>
    <col min="15367" max="15367" width="2.42578125" style="421" customWidth="1"/>
    <col min="15368" max="15368" width="11.140625" style="421" customWidth="1"/>
    <col min="15369" max="15369" width="1.85546875" style="421" customWidth="1"/>
    <col min="15370" max="15370" width="11" style="421" customWidth="1"/>
    <col min="15371" max="15371" width="0.7109375" style="421" customWidth="1"/>
    <col min="15372" max="15372" width="1.85546875" style="421" customWidth="1"/>
    <col min="15373" max="15373" width="11.85546875" style="421" bestFit="1" customWidth="1"/>
    <col min="15374" max="15374" width="15.28515625" style="421" bestFit="1" customWidth="1"/>
    <col min="15375" max="15375" width="5" style="421" customWidth="1"/>
    <col min="15376" max="15376" width="10.42578125" style="421" bestFit="1" customWidth="1"/>
    <col min="15377" max="15377" width="5" style="421" customWidth="1"/>
    <col min="15378" max="15378" width="10.42578125" style="421" bestFit="1" customWidth="1"/>
    <col min="15379" max="15381" width="9.140625" style="421"/>
    <col min="15382" max="15382" width="10.42578125" style="421" bestFit="1" customWidth="1"/>
    <col min="15383" max="15611" width="9.140625" style="421"/>
    <col min="15612" max="15612" width="3.5703125" style="421" customWidth="1"/>
    <col min="15613" max="15613" width="4.85546875" style="421" customWidth="1"/>
    <col min="15614" max="15614" width="5.42578125" style="421" customWidth="1"/>
    <col min="15615" max="15615" width="31.28515625" style="421" customWidth="1"/>
    <col min="15616" max="15616" width="7.5703125" style="421" customWidth="1"/>
    <col min="15617" max="15617" width="2.42578125" style="421" customWidth="1"/>
    <col min="15618" max="15618" width="11.5703125" style="421" customWidth="1"/>
    <col min="15619" max="15619" width="2.42578125" style="421" customWidth="1"/>
    <col min="15620" max="15620" width="11.5703125" style="421" customWidth="1"/>
    <col min="15621" max="15621" width="2.42578125" style="421" customWidth="1"/>
    <col min="15622" max="15622" width="10.85546875" style="421" customWidth="1"/>
    <col min="15623" max="15623" width="2.42578125" style="421" customWidth="1"/>
    <col min="15624" max="15624" width="11.140625" style="421" customWidth="1"/>
    <col min="15625" max="15625" width="1.85546875" style="421" customWidth="1"/>
    <col min="15626" max="15626" width="11" style="421" customWidth="1"/>
    <col min="15627" max="15627" width="0.7109375" style="421" customWidth="1"/>
    <col min="15628" max="15628" width="1.85546875" style="421" customWidth="1"/>
    <col min="15629" max="15629" width="11.85546875" style="421" bestFit="1" customWidth="1"/>
    <col min="15630" max="15630" width="15.28515625" style="421" bestFit="1" customWidth="1"/>
    <col min="15631" max="15631" width="5" style="421" customWidth="1"/>
    <col min="15632" max="15632" width="10.42578125" style="421" bestFit="1" customWidth="1"/>
    <col min="15633" max="15633" width="5" style="421" customWidth="1"/>
    <col min="15634" max="15634" width="10.42578125" style="421" bestFit="1" customWidth="1"/>
    <col min="15635" max="15637" width="9.140625" style="421"/>
    <col min="15638" max="15638" width="10.42578125" style="421" bestFit="1" customWidth="1"/>
    <col min="15639" max="15867" width="9.140625" style="421"/>
    <col min="15868" max="15868" width="3.5703125" style="421" customWidth="1"/>
    <col min="15869" max="15869" width="4.85546875" style="421" customWidth="1"/>
    <col min="15870" max="15870" width="5.42578125" style="421" customWidth="1"/>
    <col min="15871" max="15871" width="31.28515625" style="421" customWidth="1"/>
    <col min="15872" max="15872" width="7.5703125" style="421" customWidth="1"/>
    <col min="15873" max="15873" width="2.42578125" style="421" customWidth="1"/>
    <col min="15874" max="15874" width="11.5703125" style="421" customWidth="1"/>
    <col min="15875" max="15875" width="2.42578125" style="421" customWidth="1"/>
    <col min="15876" max="15876" width="11.5703125" style="421" customWidth="1"/>
    <col min="15877" max="15877" width="2.42578125" style="421" customWidth="1"/>
    <col min="15878" max="15878" width="10.85546875" style="421" customWidth="1"/>
    <col min="15879" max="15879" width="2.42578125" style="421" customWidth="1"/>
    <col min="15880" max="15880" width="11.140625" style="421" customWidth="1"/>
    <col min="15881" max="15881" width="1.85546875" style="421" customWidth="1"/>
    <col min="15882" max="15882" width="11" style="421" customWidth="1"/>
    <col min="15883" max="15883" width="0.7109375" style="421" customWidth="1"/>
    <col min="15884" max="15884" width="1.85546875" style="421" customWidth="1"/>
    <col min="15885" max="15885" width="11.85546875" style="421" bestFit="1" customWidth="1"/>
    <col min="15886" max="15886" width="15.28515625" style="421" bestFit="1" customWidth="1"/>
    <col min="15887" max="15887" width="5" style="421" customWidth="1"/>
    <col min="15888" max="15888" width="10.42578125" style="421" bestFit="1" customWidth="1"/>
    <col min="15889" max="15889" width="5" style="421" customWidth="1"/>
    <col min="15890" max="15890" width="10.42578125" style="421" bestFit="1" customWidth="1"/>
    <col min="15891" max="15893" width="9.140625" style="421"/>
    <col min="15894" max="15894" width="10.42578125" style="421" bestFit="1" customWidth="1"/>
    <col min="15895" max="16123" width="9.140625" style="421"/>
    <col min="16124" max="16124" width="3.5703125" style="421" customWidth="1"/>
    <col min="16125" max="16125" width="4.85546875" style="421" customWidth="1"/>
    <col min="16126" max="16126" width="5.42578125" style="421" customWidth="1"/>
    <col min="16127" max="16127" width="31.28515625" style="421" customWidth="1"/>
    <col min="16128" max="16128" width="7.5703125" style="421" customWidth="1"/>
    <col min="16129" max="16129" width="2.42578125" style="421" customWidth="1"/>
    <col min="16130" max="16130" width="11.5703125" style="421" customWidth="1"/>
    <col min="16131" max="16131" width="2.42578125" style="421" customWidth="1"/>
    <col min="16132" max="16132" width="11.5703125" style="421" customWidth="1"/>
    <col min="16133" max="16133" width="2.42578125" style="421" customWidth="1"/>
    <col min="16134" max="16134" width="10.85546875" style="421" customWidth="1"/>
    <col min="16135" max="16135" width="2.42578125" style="421" customWidth="1"/>
    <col min="16136" max="16136" width="11.140625" style="421" customWidth="1"/>
    <col min="16137" max="16137" width="1.85546875" style="421" customWidth="1"/>
    <col min="16138" max="16138" width="11" style="421" customWidth="1"/>
    <col min="16139" max="16139" width="0.7109375" style="421" customWidth="1"/>
    <col min="16140" max="16140" width="1.85546875" style="421" customWidth="1"/>
    <col min="16141" max="16141" width="11.85546875" style="421" bestFit="1" customWidth="1"/>
    <col min="16142" max="16142" width="15.28515625" style="421" bestFit="1" customWidth="1"/>
    <col min="16143" max="16143" width="5" style="421" customWidth="1"/>
    <col min="16144" max="16144" width="10.42578125" style="421" bestFit="1" customWidth="1"/>
    <col min="16145" max="16145" width="5" style="421" customWidth="1"/>
    <col min="16146" max="16146" width="10.42578125" style="421" bestFit="1" customWidth="1"/>
    <col min="16147" max="16149" width="9.140625" style="421"/>
    <col min="16150" max="16150" width="10.42578125" style="421" bestFit="1" customWidth="1"/>
    <col min="16151" max="16381" width="9.140625" style="421"/>
    <col min="16382" max="16384" width="9.140625" style="421" customWidth="1"/>
  </cols>
  <sheetData>
    <row r="1" spans="1:16" s="418" customFormat="1" x14ac:dyDescent="0.6">
      <c r="A1" s="1528" t="s">
        <v>244</v>
      </c>
      <c r="B1" s="1528"/>
      <c r="C1" s="1528"/>
      <c r="D1" s="1528"/>
      <c r="E1" s="1528"/>
      <c r="F1" s="1528"/>
      <c r="G1" s="1528"/>
      <c r="H1" s="1528"/>
      <c r="I1" s="1528"/>
      <c r="J1" s="1528"/>
      <c r="K1" s="1528"/>
      <c r="L1" s="417"/>
      <c r="M1" s="417"/>
      <c r="N1" s="417"/>
      <c r="O1" s="417"/>
      <c r="P1" s="417"/>
    </row>
    <row r="2" spans="1:16" s="418" customFormat="1" x14ac:dyDescent="0.6">
      <c r="A2" s="1529" t="str">
        <f>تاريخچه!A2</f>
        <v>يادداشتهاي توضيحي صورتهاي مالي</v>
      </c>
      <c r="B2" s="1529"/>
      <c r="C2" s="1529"/>
      <c r="D2" s="1529"/>
      <c r="E2" s="1529"/>
      <c r="F2" s="1529"/>
      <c r="G2" s="1529"/>
      <c r="H2" s="1529"/>
      <c r="I2" s="1529"/>
      <c r="J2" s="1529"/>
      <c r="K2" s="1529"/>
      <c r="L2" s="417"/>
      <c r="M2" s="417"/>
      <c r="N2" s="417"/>
      <c r="O2" s="417"/>
      <c r="P2" s="417"/>
    </row>
    <row r="3" spans="1:16" s="418" customFormat="1" x14ac:dyDescent="0.6">
      <c r="A3" s="1529" t="str">
        <f>سودوزيان!A3</f>
        <v>سال مالی منتهی به 30 اسفند 1403</v>
      </c>
      <c r="B3" s="1529"/>
      <c r="C3" s="1529"/>
      <c r="D3" s="1529"/>
      <c r="E3" s="1529"/>
      <c r="F3" s="1529"/>
      <c r="G3" s="1529"/>
      <c r="H3" s="1529"/>
      <c r="I3" s="1529"/>
      <c r="J3" s="1529"/>
      <c r="K3" s="1529"/>
      <c r="L3" s="417"/>
      <c r="M3" s="417"/>
      <c r="N3" s="417"/>
      <c r="O3" s="417"/>
      <c r="P3" s="417"/>
    </row>
    <row r="4" spans="1:16" s="418" customFormat="1" x14ac:dyDescent="0.6">
      <c r="A4" s="419"/>
      <c r="B4" s="419"/>
      <c r="C4" s="419"/>
      <c r="D4" s="419"/>
      <c r="E4" s="419"/>
      <c r="F4" s="419"/>
      <c r="G4" s="420"/>
      <c r="H4" s="420"/>
      <c r="I4" s="420"/>
      <c r="J4" s="420"/>
      <c r="K4" s="419"/>
      <c r="L4" s="417"/>
      <c r="M4" s="417"/>
      <c r="N4" s="417"/>
      <c r="O4" s="417"/>
      <c r="P4" s="417"/>
    </row>
    <row r="5" spans="1:16" s="418" customFormat="1" x14ac:dyDescent="0.6">
      <c r="A5" s="419"/>
      <c r="B5" s="419"/>
      <c r="C5" s="419"/>
      <c r="D5" s="419"/>
      <c r="E5" s="419"/>
      <c r="F5" s="419"/>
      <c r="G5" s="420"/>
      <c r="H5" s="420"/>
      <c r="I5" s="420"/>
      <c r="J5" s="420"/>
      <c r="K5" s="419"/>
      <c r="L5" s="417"/>
      <c r="M5" s="417"/>
      <c r="N5" s="417"/>
      <c r="O5" s="417"/>
      <c r="P5" s="417"/>
    </row>
    <row r="6" spans="1:16" s="418" customFormat="1" hidden="1" x14ac:dyDescent="0.6">
      <c r="A6" s="419"/>
      <c r="B6" s="419"/>
      <c r="C6" s="419"/>
      <c r="D6" s="419"/>
      <c r="E6" s="419"/>
      <c r="F6" s="419"/>
      <c r="G6" s="420"/>
      <c r="H6" s="420"/>
      <c r="I6" s="420"/>
      <c r="J6" s="420"/>
      <c r="K6" s="419"/>
      <c r="L6" s="417"/>
      <c r="M6" s="417"/>
      <c r="N6" s="417"/>
      <c r="O6" s="417"/>
      <c r="P6" s="417"/>
    </row>
    <row r="7" spans="1:16" s="418" customFormat="1" x14ac:dyDescent="0.6">
      <c r="A7" s="419"/>
      <c r="B7" s="421" t="str">
        <f>'17'!E27</f>
        <v>17-4</v>
      </c>
      <c r="C7" s="421"/>
      <c r="D7" s="1532" t="s">
        <v>464</v>
      </c>
      <c r="E7" s="1532"/>
      <c r="F7" s="1532"/>
      <c r="G7" s="1532"/>
      <c r="H7" s="1533"/>
      <c r="I7" s="1533"/>
      <c r="J7" s="420"/>
      <c r="K7" s="419"/>
      <c r="L7" s="417"/>
      <c r="M7" s="417"/>
      <c r="N7" s="417"/>
      <c r="O7" s="417"/>
      <c r="P7" s="417"/>
    </row>
    <row r="8" spans="1:16" s="418" customFormat="1" x14ac:dyDescent="0.6">
      <c r="A8" s="419"/>
      <c r="B8" s="419"/>
      <c r="C8" s="419"/>
      <c r="D8" s="419"/>
      <c r="E8" s="419"/>
      <c r="F8" s="419"/>
      <c r="G8" s="1530">
        <v>1403</v>
      </c>
      <c r="H8" s="1531"/>
      <c r="I8" s="1531"/>
      <c r="J8" s="422">
        <v>1402</v>
      </c>
      <c r="K8" s="419"/>
      <c r="L8" s="417"/>
      <c r="M8" s="417"/>
      <c r="N8" s="417"/>
      <c r="O8" s="417"/>
      <c r="P8" s="417"/>
    </row>
    <row r="9" spans="1:16" s="418" customFormat="1" x14ac:dyDescent="0.6">
      <c r="A9" s="419"/>
      <c r="B9" s="419"/>
      <c r="C9" s="419"/>
      <c r="D9" s="419"/>
      <c r="E9" s="419"/>
      <c r="F9" s="419"/>
      <c r="G9" s="423" t="s">
        <v>591</v>
      </c>
      <c r="H9" s="424"/>
      <c r="I9" s="424"/>
      <c r="J9" s="425" t="s">
        <v>591</v>
      </c>
      <c r="K9" s="419"/>
      <c r="L9" s="417"/>
      <c r="M9" s="417"/>
      <c r="N9" s="417"/>
      <c r="O9" s="417"/>
      <c r="P9" s="417"/>
    </row>
    <row r="10" spans="1:16" s="379" customFormat="1" ht="21" customHeight="1" x14ac:dyDescent="0.25">
      <c r="A10" s="201"/>
      <c r="B10" s="1098"/>
      <c r="C10" s="1098"/>
      <c r="D10" s="1099" t="s">
        <v>1155</v>
      </c>
      <c r="E10" s="1098"/>
      <c r="F10" s="1098"/>
      <c r="G10" s="195">
        <v>200000000000</v>
      </c>
      <c r="H10" s="1098"/>
      <c r="I10" s="414"/>
      <c r="J10" s="1283">
        <v>0</v>
      </c>
    </row>
    <row r="11" spans="1:16" s="418" customFormat="1" x14ac:dyDescent="0.6">
      <c r="A11" s="419"/>
      <c r="B11" s="419"/>
      <c r="C11" s="419"/>
      <c r="D11" s="421" t="s">
        <v>545</v>
      </c>
      <c r="E11" s="419"/>
      <c r="F11" s="419"/>
      <c r="G11" s="414">
        <v>19176904069</v>
      </c>
      <c r="H11" s="424"/>
      <c r="I11" s="424"/>
      <c r="J11" s="414">
        <v>19176904069</v>
      </c>
      <c r="K11" s="419"/>
      <c r="L11" s="417"/>
      <c r="M11" s="417"/>
      <c r="N11" s="417"/>
      <c r="O11" s="417"/>
      <c r="P11" s="417"/>
    </row>
    <row r="12" spans="1:16" s="418" customFormat="1" x14ac:dyDescent="0.6">
      <c r="A12" s="419"/>
      <c r="B12" s="419"/>
      <c r="C12" s="419"/>
      <c r="D12" s="421" t="s">
        <v>454</v>
      </c>
      <c r="E12" s="419"/>
      <c r="F12" s="419"/>
      <c r="G12" s="414">
        <v>6315543407</v>
      </c>
      <c r="H12" s="424"/>
      <c r="I12" s="424"/>
      <c r="J12" s="414">
        <v>5243841996</v>
      </c>
      <c r="K12" s="419"/>
      <c r="L12" s="417"/>
      <c r="M12" s="417"/>
      <c r="N12" s="417"/>
      <c r="O12" s="417"/>
      <c r="P12" s="417"/>
    </row>
    <row r="13" spans="1:16" s="418" customFormat="1" x14ac:dyDescent="0.6">
      <c r="A13" s="419"/>
      <c r="B13" s="419"/>
      <c r="C13" s="419"/>
      <c r="D13" s="421" t="s">
        <v>546</v>
      </c>
      <c r="E13" s="419"/>
      <c r="F13" s="419"/>
      <c r="G13" s="414">
        <v>1152493350</v>
      </c>
      <c r="H13" s="424"/>
      <c r="I13" s="424"/>
      <c r="J13" s="414">
        <v>1152493350</v>
      </c>
      <c r="K13" s="419"/>
      <c r="L13" s="417"/>
      <c r="M13" s="417"/>
      <c r="N13" s="417"/>
      <c r="O13" s="417"/>
      <c r="P13" s="417"/>
    </row>
    <row r="14" spans="1:16" s="418" customFormat="1" x14ac:dyDescent="0.6">
      <c r="A14" s="419"/>
      <c r="B14" s="419"/>
      <c r="C14" s="419"/>
      <c r="D14" s="421" t="s">
        <v>299</v>
      </c>
      <c r="E14" s="419"/>
      <c r="F14" s="419"/>
      <c r="G14" s="414">
        <v>336105928</v>
      </c>
      <c r="H14" s="424"/>
      <c r="I14" s="424"/>
      <c r="J14" s="414">
        <v>336105928</v>
      </c>
      <c r="K14" s="419"/>
      <c r="L14" s="417"/>
      <c r="M14" s="417"/>
      <c r="N14" s="417"/>
      <c r="O14" s="417"/>
      <c r="P14" s="417"/>
    </row>
    <row r="15" spans="1:16" s="418" customFormat="1" x14ac:dyDescent="0.6">
      <c r="A15" s="419"/>
      <c r="B15" s="419"/>
      <c r="C15" s="419"/>
      <c r="D15" s="421" t="s">
        <v>548</v>
      </c>
      <c r="E15" s="419"/>
      <c r="F15" s="419"/>
      <c r="G15" s="414">
        <v>100800000</v>
      </c>
      <c r="H15" s="424"/>
      <c r="I15" s="424"/>
      <c r="J15" s="414">
        <v>100800000</v>
      </c>
      <c r="K15" s="419"/>
      <c r="L15" s="417"/>
      <c r="M15" s="417"/>
      <c r="N15" s="417"/>
      <c r="O15" s="417"/>
      <c r="P15" s="417"/>
    </row>
    <row r="16" spans="1:16" s="418" customFormat="1" x14ac:dyDescent="0.6">
      <c r="A16" s="419"/>
      <c r="B16" s="419"/>
      <c r="C16" s="419"/>
      <c r="D16" s="421" t="s">
        <v>547</v>
      </c>
      <c r="E16" s="419"/>
      <c r="F16" s="419"/>
      <c r="G16" s="414">
        <v>260380000</v>
      </c>
      <c r="H16" s="424"/>
      <c r="I16" s="424"/>
      <c r="J16" s="414">
        <v>260380000</v>
      </c>
      <c r="K16" s="419"/>
      <c r="L16" s="417"/>
      <c r="M16" s="417"/>
      <c r="N16" s="417"/>
      <c r="O16" s="417"/>
      <c r="P16" s="417"/>
    </row>
    <row r="17" spans="1:16" s="418" customFormat="1" x14ac:dyDescent="0.6">
      <c r="A17" s="419"/>
      <c r="B17" s="419"/>
      <c r="C17" s="419"/>
      <c r="D17" s="421" t="s">
        <v>549</v>
      </c>
      <c r="E17" s="419"/>
      <c r="F17" s="419"/>
      <c r="G17" s="414">
        <v>3125000</v>
      </c>
      <c r="H17" s="424"/>
      <c r="I17" s="424"/>
      <c r="J17" s="414">
        <v>3125000</v>
      </c>
      <c r="K17" s="419"/>
      <c r="L17" s="417"/>
      <c r="M17" s="417"/>
      <c r="N17" s="417"/>
      <c r="O17" s="417"/>
      <c r="P17" s="417"/>
    </row>
    <row r="18" spans="1:16" s="418" customFormat="1" x14ac:dyDescent="0.6">
      <c r="A18" s="419"/>
      <c r="B18" s="419"/>
      <c r="C18" s="419"/>
      <c r="D18" s="421" t="s">
        <v>550</v>
      </c>
      <c r="E18" s="419"/>
      <c r="F18" s="419"/>
      <c r="G18" s="414">
        <v>3125000</v>
      </c>
      <c r="H18" s="424"/>
      <c r="I18" s="424"/>
      <c r="J18" s="414">
        <v>3125000</v>
      </c>
      <c r="K18" s="419"/>
      <c r="L18" s="417"/>
      <c r="M18" s="417"/>
      <c r="N18" s="417"/>
      <c r="O18" s="417"/>
      <c r="P18" s="417"/>
    </row>
    <row r="19" spans="1:16" s="418" customFormat="1" x14ac:dyDescent="0.6">
      <c r="A19" s="419"/>
      <c r="B19" s="419"/>
      <c r="C19" s="419"/>
      <c r="D19" s="421" t="s">
        <v>452</v>
      </c>
      <c r="E19" s="419"/>
      <c r="F19" s="419"/>
      <c r="G19" s="414">
        <v>0</v>
      </c>
      <c r="H19" s="424"/>
      <c r="I19" s="424"/>
      <c r="J19" s="414">
        <v>1014995640</v>
      </c>
      <c r="K19" s="419"/>
      <c r="L19" s="417"/>
      <c r="M19" s="417"/>
      <c r="N19" s="417"/>
      <c r="O19" s="417"/>
      <c r="P19" s="417"/>
    </row>
    <row r="20" spans="1:16" s="418" customFormat="1" hidden="1" x14ac:dyDescent="0.6">
      <c r="A20" s="419"/>
      <c r="B20" s="419"/>
      <c r="C20" s="419"/>
      <c r="D20" s="421" t="s">
        <v>544</v>
      </c>
      <c r="E20" s="419"/>
      <c r="F20" s="419"/>
      <c r="G20" s="426">
        <v>0</v>
      </c>
      <c r="H20" s="424"/>
      <c r="I20" s="424"/>
      <c r="J20" s="414">
        <v>0</v>
      </c>
      <c r="K20" s="419"/>
      <c r="L20" s="417"/>
      <c r="M20" s="417"/>
      <c r="N20" s="417"/>
      <c r="O20" s="417"/>
      <c r="P20" s="417"/>
    </row>
    <row r="21" spans="1:16" s="418" customFormat="1" hidden="1" x14ac:dyDescent="0.6">
      <c r="A21" s="419"/>
      <c r="B21" s="419"/>
      <c r="C21" s="419"/>
      <c r="D21" s="421" t="s">
        <v>453</v>
      </c>
      <c r="E21" s="419"/>
      <c r="F21" s="419"/>
      <c r="G21" s="426">
        <v>0</v>
      </c>
      <c r="H21" s="424"/>
      <c r="I21" s="424"/>
      <c r="J21" s="414">
        <v>0</v>
      </c>
      <c r="K21" s="419"/>
      <c r="L21" s="417"/>
      <c r="M21" s="417"/>
      <c r="N21" s="417"/>
      <c r="O21" s="417"/>
      <c r="P21" s="417"/>
    </row>
    <row r="22" spans="1:16" s="418" customFormat="1" hidden="1" x14ac:dyDescent="0.6">
      <c r="A22" s="419"/>
      <c r="B22" s="419"/>
      <c r="C22" s="419"/>
      <c r="D22" s="421" t="s">
        <v>130</v>
      </c>
      <c r="E22" s="419"/>
      <c r="F22" s="419"/>
      <c r="G22" s="414"/>
      <c r="H22" s="424"/>
      <c r="I22" s="424"/>
      <c r="J22" s="414"/>
      <c r="K22" s="419"/>
      <c r="L22" s="417"/>
      <c r="M22" s="417"/>
      <c r="N22" s="417"/>
      <c r="O22" s="417"/>
      <c r="P22" s="417"/>
    </row>
    <row r="23" spans="1:16" s="418" customFormat="1" ht="27" thickBot="1" x14ac:dyDescent="0.65">
      <c r="A23" s="419"/>
      <c r="B23" s="419"/>
      <c r="C23" s="419"/>
      <c r="D23" s="419"/>
      <c r="E23" s="419"/>
      <c r="F23" s="419"/>
      <c r="G23" s="415">
        <f>SUM(G10:G21)</f>
        <v>227348476754</v>
      </c>
      <c r="H23" s="427" t="e">
        <f>SUM(#REF!)</f>
        <v>#REF!</v>
      </c>
      <c r="I23" s="427" t="e">
        <f>SUM(#REF!)</f>
        <v>#REF!</v>
      </c>
      <c r="J23" s="415">
        <f>SUM(J10:J22)</f>
        <v>27291770983</v>
      </c>
      <c r="K23" s="419"/>
      <c r="L23" s="417"/>
      <c r="M23" s="417" t="b">
        <f>G23='17'!G27</f>
        <v>1</v>
      </c>
      <c r="N23" s="417" t="b">
        <f>J23='17'!I27</f>
        <v>1</v>
      </c>
      <c r="O23" s="417"/>
      <c r="P23" s="417"/>
    </row>
    <row r="24" spans="1:16" s="418" customFormat="1" ht="25.5" thickTop="1" x14ac:dyDescent="0.6">
      <c r="A24" s="419"/>
      <c r="B24" s="419"/>
      <c r="C24" s="419"/>
      <c r="D24" s="419"/>
      <c r="E24" s="419"/>
      <c r="F24" s="419"/>
      <c r="G24" s="424"/>
      <c r="H24" s="424"/>
      <c r="I24" s="424"/>
      <c r="J24" s="424"/>
      <c r="K24" s="419"/>
      <c r="L24" s="417"/>
      <c r="M24" s="417"/>
      <c r="N24" s="417"/>
      <c r="O24" s="417"/>
      <c r="P24" s="417"/>
    </row>
    <row r="25" spans="1:16" x14ac:dyDescent="0.25">
      <c r="B25" s="421" t="str">
        <f>'17'!E28</f>
        <v>17-5</v>
      </c>
      <c r="D25" s="1532" t="s">
        <v>371</v>
      </c>
      <c r="E25" s="1532"/>
      <c r="F25" s="1532"/>
      <c r="G25" s="1532"/>
      <c r="H25" s="1533"/>
      <c r="I25" s="1533"/>
    </row>
    <row r="26" spans="1:16" x14ac:dyDescent="0.25">
      <c r="G26" s="1530">
        <v>1403</v>
      </c>
      <c r="H26" s="1531"/>
      <c r="I26" s="1531"/>
      <c r="J26" s="422">
        <v>1402</v>
      </c>
    </row>
    <row r="27" spans="1:16" x14ac:dyDescent="0.25">
      <c r="G27" s="423" t="s">
        <v>591</v>
      </c>
      <c r="J27" s="425" t="s">
        <v>591</v>
      </c>
    </row>
    <row r="28" spans="1:16" x14ac:dyDescent="0.6">
      <c r="D28" s="421" t="s">
        <v>552</v>
      </c>
      <c r="G28" s="414">
        <v>1624074321</v>
      </c>
      <c r="H28" s="426"/>
      <c r="I28" s="426"/>
      <c r="J28" s="414">
        <v>1624074321</v>
      </c>
    </row>
    <row r="29" spans="1:16" x14ac:dyDescent="0.6">
      <c r="D29" s="421" t="s">
        <v>553</v>
      </c>
      <c r="G29" s="414">
        <v>1369908516</v>
      </c>
      <c r="H29" s="426"/>
      <c r="I29" s="426"/>
      <c r="J29" s="414">
        <v>1369908516</v>
      </c>
    </row>
    <row r="30" spans="1:16" x14ac:dyDescent="0.6">
      <c r="D30" s="421" t="s">
        <v>554</v>
      </c>
      <c r="G30" s="414">
        <v>1369908516</v>
      </c>
      <c r="H30" s="426"/>
      <c r="I30" s="426"/>
      <c r="J30" s="414">
        <v>1369908516</v>
      </c>
    </row>
    <row r="31" spans="1:16" x14ac:dyDescent="0.6">
      <c r="D31" s="421" t="s">
        <v>555</v>
      </c>
      <c r="G31" s="414">
        <v>1369908516</v>
      </c>
      <c r="H31" s="426"/>
      <c r="I31" s="426"/>
      <c r="J31" s="414">
        <v>1369908516</v>
      </c>
    </row>
    <row r="32" spans="1:16" x14ac:dyDescent="0.6">
      <c r="D32" s="421" t="s">
        <v>556</v>
      </c>
      <c r="G32" s="414">
        <v>850315137</v>
      </c>
      <c r="H32" s="426"/>
      <c r="I32" s="426"/>
      <c r="J32" s="414">
        <v>850315137</v>
      </c>
    </row>
    <row r="33" spans="4:14" x14ac:dyDescent="0.6">
      <c r="D33" s="421" t="s">
        <v>557</v>
      </c>
      <c r="G33" s="414">
        <v>708307703</v>
      </c>
      <c r="H33" s="426"/>
      <c r="I33" s="426"/>
      <c r="J33" s="414">
        <v>708307703</v>
      </c>
    </row>
    <row r="34" spans="4:14" x14ac:dyDescent="0.6">
      <c r="D34" s="421" t="s">
        <v>558</v>
      </c>
      <c r="G34" s="414">
        <v>374643000</v>
      </c>
      <c r="H34" s="426"/>
      <c r="I34" s="426"/>
      <c r="J34" s="414">
        <v>374643000</v>
      </c>
    </row>
    <row r="35" spans="4:14" x14ac:dyDescent="0.6">
      <c r="D35" s="421" t="s">
        <v>559</v>
      </c>
      <c r="G35" s="414">
        <v>374643000</v>
      </c>
      <c r="H35" s="426"/>
      <c r="I35" s="426"/>
      <c r="J35" s="414">
        <v>374643000</v>
      </c>
    </row>
    <row r="36" spans="4:14" x14ac:dyDescent="0.6">
      <c r="D36" s="421" t="s">
        <v>560</v>
      </c>
      <c r="G36" s="414">
        <v>304490739</v>
      </c>
      <c r="H36" s="426"/>
      <c r="I36" s="426"/>
      <c r="J36" s="414">
        <v>304490739</v>
      </c>
    </row>
    <row r="37" spans="4:14" x14ac:dyDescent="0.6">
      <c r="D37" s="421" t="s">
        <v>561</v>
      </c>
      <c r="G37" s="414">
        <v>180262781</v>
      </c>
      <c r="H37" s="426"/>
      <c r="I37" s="426"/>
      <c r="J37" s="414">
        <v>180262781</v>
      </c>
    </row>
    <row r="38" spans="4:14" x14ac:dyDescent="0.6">
      <c r="D38" s="421" t="s">
        <v>562</v>
      </c>
      <c r="G38" s="414">
        <v>138377973</v>
      </c>
      <c r="H38" s="426"/>
      <c r="I38" s="426"/>
      <c r="J38" s="414">
        <v>138377973</v>
      </c>
    </row>
    <row r="39" spans="4:14" x14ac:dyDescent="0.6">
      <c r="D39" s="421" t="s">
        <v>563</v>
      </c>
      <c r="G39" s="414">
        <v>138377973</v>
      </c>
      <c r="H39" s="426"/>
      <c r="I39" s="426"/>
      <c r="J39" s="414">
        <v>138377973</v>
      </c>
    </row>
    <row r="40" spans="4:14" x14ac:dyDescent="0.6">
      <c r="D40" s="421" t="s">
        <v>564</v>
      </c>
      <c r="G40" s="414">
        <v>130690307</v>
      </c>
      <c r="H40" s="426"/>
      <c r="I40" s="426"/>
      <c r="J40" s="414">
        <v>130690307</v>
      </c>
    </row>
    <row r="41" spans="4:14" x14ac:dyDescent="0.6">
      <c r="D41" s="421" t="s">
        <v>565</v>
      </c>
      <c r="G41" s="414">
        <v>130690307</v>
      </c>
      <c r="H41" s="426"/>
      <c r="I41" s="426"/>
      <c r="J41" s="414">
        <v>130690307</v>
      </c>
    </row>
    <row r="42" spans="4:14" x14ac:dyDescent="0.6">
      <c r="D42" s="421" t="s">
        <v>566</v>
      </c>
      <c r="G42" s="414">
        <v>99714000</v>
      </c>
      <c r="H42" s="426"/>
      <c r="I42" s="426"/>
      <c r="J42" s="414">
        <v>99714000</v>
      </c>
    </row>
    <row r="43" spans="4:14" x14ac:dyDescent="0.6">
      <c r="D43" s="421" t="s">
        <v>568</v>
      </c>
      <c r="G43" s="414">
        <v>7687665</v>
      </c>
      <c r="H43" s="426"/>
      <c r="I43" s="426"/>
      <c r="J43" s="414">
        <v>7687665</v>
      </c>
    </row>
    <row r="44" spans="4:14" x14ac:dyDescent="0.6">
      <c r="D44" s="421" t="s">
        <v>569</v>
      </c>
      <c r="G44" s="414">
        <v>0</v>
      </c>
      <c r="H44" s="426"/>
      <c r="I44" s="426"/>
      <c r="J44" s="414">
        <v>7687665</v>
      </c>
    </row>
    <row r="45" spans="4:14" hidden="1" x14ac:dyDescent="0.6">
      <c r="D45" s="421" t="s">
        <v>567</v>
      </c>
      <c r="G45" s="416">
        <v>0</v>
      </c>
      <c r="H45" s="426"/>
      <c r="I45" s="426"/>
      <c r="J45" s="414">
        <v>0</v>
      </c>
    </row>
    <row r="46" spans="4:14" ht="28.5" customHeight="1" thickBot="1" x14ac:dyDescent="0.7">
      <c r="G46" s="1101">
        <f>SUM(G28:G45)</f>
        <v>9172000454</v>
      </c>
      <c r="H46" s="430"/>
      <c r="I46" s="430"/>
      <c r="J46" s="415">
        <f>SUM(J28:K45)</f>
        <v>9179688119</v>
      </c>
      <c r="M46" s="429" t="b">
        <f>G46='17'!G28</f>
        <v>1</v>
      </c>
      <c r="N46" s="429" t="b">
        <f>J46='17'!I28</f>
        <v>1</v>
      </c>
    </row>
    <row r="47" spans="4:14" ht="25.5" thickTop="1" x14ac:dyDescent="0.6">
      <c r="G47" s="426"/>
      <c r="H47" s="426"/>
      <c r="I47" s="426"/>
      <c r="J47" s="426"/>
    </row>
    <row r="48" spans="4:14" x14ac:dyDescent="0.6">
      <c r="G48" s="426"/>
      <c r="H48" s="426"/>
      <c r="I48" s="426"/>
      <c r="J48" s="426"/>
    </row>
    <row r="49" spans="1:10" hidden="1" x14ac:dyDescent="0.6">
      <c r="G49" s="426"/>
      <c r="H49" s="426"/>
      <c r="I49" s="426"/>
      <c r="J49" s="426"/>
    </row>
    <row r="50" spans="1:10" hidden="1" x14ac:dyDescent="0.6">
      <c r="G50" s="426"/>
      <c r="H50" s="426"/>
      <c r="I50" s="426"/>
      <c r="J50" s="426"/>
    </row>
    <row r="51" spans="1:10" hidden="1" x14ac:dyDescent="0.25"/>
    <row r="52" spans="1:10" x14ac:dyDescent="0.25">
      <c r="A52" s="1527">
        <v>24</v>
      </c>
      <c r="B52" s="1527"/>
      <c r="C52" s="1527"/>
      <c r="D52" s="1527"/>
      <c r="E52" s="1527"/>
      <c r="F52" s="1527"/>
      <c r="G52" s="1527"/>
      <c r="H52" s="1527"/>
      <c r="I52" s="1527"/>
      <c r="J52" s="1527"/>
    </row>
    <row r="53" spans="1:10" x14ac:dyDescent="0.25">
      <c r="G53" s="431"/>
      <c r="H53" s="431"/>
      <c r="I53" s="431"/>
      <c r="J53" s="431"/>
    </row>
  </sheetData>
  <customSheetViews>
    <customSheetView guid="{39716EAB-185B-4ADF-90CF-1B1041867F58}" scale="82" showPageBreaks="1" printArea="1" view="pageBreakPreview" topLeftCell="A43">
      <selection activeCell="G22" sqref="G22"/>
      <pageMargins left="0" right="0" top="0" bottom="0" header="0.31496062992125984" footer="0.31496062992125984"/>
      <printOptions horizontalCentered="1"/>
      <pageSetup paperSize="9" scale="32" orientation="portrait" r:id="rId1"/>
    </customSheetView>
    <customSheetView guid="{5CB8382F-C212-4512-9396-17792C62978E}" scale="82" showPageBreaks="1" printArea="1" view="pageBreakPreview" topLeftCell="A43">
      <selection activeCell="G22" sqref="G22"/>
      <pageMargins left="0" right="0" top="0" bottom="0" header="0.31496062992125984" footer="0.31496062992125984"/>
      <printOptions horizontalCentered="1"/>
      <pageSetup paperSize="9" scale="32" orientation="portrait" r:id="rId2"/>
    </customSheetView>
    <customSheetView guid="{184BCED3-EADB-44CF-BFDA-DA8D3E7206C0}" scale="82" showPageBreaks="1" printArea="1" view="pageBreakPreview" topLeftCell="A43">
      <selection activeCell="E28" sqref="E28"/>
      <pageMargins left="0" right="0" top="0" bottom="0" header="0.31496062992125984" footer="0.31496062992125984"/>
      <printOptions horizontalCentered="1"/>
      <pageSetup paperSize="9" scale="32" orientation="portrait" r:id="rId3"/>
    </customSheetView>
  </customSheetViews>
  <mergeCells count="10">
    <mergeCell ref="A52:J52"/>
    <mergeCell ref="A1:K1"/>
    <mergeCell ref="A2:K2"/>
    <mergeCell ref="A3:K3"/>
    <mergeCell ref="G26:I26"/>
    <mergeCell ref="G8:I8"/>
    <mergeCell ref="D7:G7"/>
    <mergeCell ref="H7:I7"/>
    <mergeCell ref="D25:G25"/>
    <mergeCell ref="H25:I25"/>
  </mergeCells>
  <conditionalFormatting sqref="D53:D1048576 D1:D9 D11:D51">
    <cfRule type="duplicateValues" dxfId="56" priority="8"/>
  </conditionalFormatting>
  <conditionalFormatting sqref="G11:G19 J11:J23 J28:J46">
    <cfRule type="cellIs" dxfId="55" priority="6" stopIfTrue="1" operator="lessThan">
      <formula>0</formula>
    </cfRule>
  </conditionalFormatting>
  <conditionalFormatting sqref="G28:G44">
    <cfRule type="cellIs" dxfId="54" priority="3" stopIfTrue="1" operator="lessThan">
      <formula>0</formula>
    </cfRule>
  </conditionalFormatting>
  <conditionalFormatting sqref="I10">
    <cfRule type="cellIs" dxfId="53" priority="1" stopIfTrue="1" operator="lessThan">
      <formula>0</formula>
    </cfRule>
  </conditionalFormatting>
  <hyperlinks>
    <hyperlink ref="A1:XFD3" r:id="rId4" display="http://modiriatmali.com/" xr:uid="{00000000-0004-0000-1900-000000000000}"/>
  </hyperlinks>
  <printOptions horizontalCentered="1"/>
  <pageMargins left="0" right="0" top="0" bottom="0" header="0.31496062992126" footer="0.31496062992126"/>
  <pageSetup paperSize="9" scale="75" orientation="portrait" r:id="rId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sheetPr>
  <dimension ref="A1:P21"/>
  <sheetViews>
    <sheetView rightToLeft="1" view="pageBreakPreview" topLeftCell="B1" zoomScale="80" zoomScaleNormal="100" zoomScaleSheetLayoutView="80" workbookViewId="0">
      <selection activeCell="D26" sqref="D26"/>
    </sheetView>
  </sheetViews>
  <sheetFormatPr defaultRowHeight="27" customHeight="1" x14ac:dyDescent="0.25"/>
  <cols>
    <col min="1" max="1" width="9.5703125" style="377" hidden="1" customWidth="1"/>
    <col min="2" max="2" width="9.140625" style="379" bestFit="1" customWidth="1"/>
    <col min="3" max="3" width="0.7109375" style="379" customWidth="1"/>
    <col min="4" max="4" width="45.7109375" style="379" customWidth="1"/>
    <col min="5" max="5" width="3.7109375" style="379" bestFit="1" customWidth="1"/>
    <col min="6" max="6" width="0.7109375" style="379" customWidth="1"/>
    <col min="7" max="7" width="27.85546875" style="379" bestFit="1" customWidth="1"/>
    <col min="8" max="9" width="0.7109375" style="379" customWidth="1"/>
    <col min="10" max="10" width="25.85546875" style="363" bestFit="1" customWidth="1"/>
    <col min="11" max="11" width="0.7109375" style="379" customWidth="1"/>
    <col min="12" max="12" width="1.85546875" style="379" customWidth="1"/>
    <col min="13" max="13" width="18.7109375" style="441" bestFit="1" customWidth="1"/>
    <col min="14" max="14" width="19" style="441" bestFit="1" customWidth="1"/>
    <col min="15" max="15" width="5" style="379" customWidth="1"/>
    <col min="16" max="16" width="13.42578125" style="379" bestFit="1" customWidth="1"/>
    <col min="17" max="17" width="5" style="379" customWidth="1"/>
    <col min="18" max="18" width="10.42578125" style="379" bestFit="1" customWidth="1"/>
    <col min="19" max="21" width="9" style="379"/>
    <col min="22" max="22" width="10.42578125" style="379" bestFit="1" customWidth="1"/>
    <col min="23" max="251" width="9" style="379"/>
    <col min="252" max="252" width="3.5703125" style="379" customWidth="1"/>
    <col min="253" max="253" width="4.85546875" style="379" customWidth="1"/>
    <col min="254" max="254" width="5.42578125" style="379" customWidth="1"/>
    <col min="255" max="255" width="31.28515625" style="379" customWidth="1"/>
    <col min="256" max="256" width="7.5703125" style="379" customWidth="1"/>
    <col min="257" max="257" width="2.42578125" style="379" customWidth="1"/>
    <col min="258" max="258" width="11.5703125" style="379" customWidth="1"/>
    <col min="259" max="259" width="2.42578125" style="379" customWidth="1"/>
    <col min="260" max="260" width="11.5703125" style="379" customWidth="1"/>
    <col min="261" max="261" width="2.42578125" style="379" customWidth="1"/>
    <col min="262" max="262" width="10.85546875" style="379" customWidth="1"/>
    <col min="263" max="263" width="2.42578125" style="379" customWidth="1"/>
    <col min="264" max="264" width="11.140625" style="379" customWidth="1"/>
    <col min="265" max="265" width="1.85546875" style="379" customWidth="1"/>
    <col min="266" max="266" width="11" style="379" customWidth="1"/>
    <col min="267" max="267" width="0.7109375" style="379" customWidth="1"/>
    <col min="268" max="268" width="1.85546875" style="379" customWidth="1"/>
    <col min="269" max="269" width="11.85546875" style="379" bestFit="1" customWidth="1"/>
    <col min="270" max="270" width="15.28515625" style="379" bestFit="1" customWidth="1"/>
    <col min="271" max="271" width="5" style="379" customWidth="1"/>
    <col min="272" max="272" width="10.42578125" style="379" bestFit="1" customWidth="1"/>
    <col min="273" max="273" width="5" style="379" customWidth="1"/>
    <col min="274" max="274" width="10.42578125" style="379" bestFit="1" customWidth="1"/>
    <col min="275" max="277" width="9" style="379"/>
    <col min="278" max="278" width="10.42578125" style="379" bestFit="1" customWidth="1"/>
    <col min="279" max="507" width="9" style="379"/>
    <col min="508" max="508" width="3.5703125" style="379" customWidth="1"/>
    <col min="509" max="509" width="4.85546875" style="379" customWidth="1"/>
    <col min="510" max="510" width="5.42578125" style="379" customWidth="1"/>
    <col min="511" max="511" width="31.28515625" style="379" customWidth="1"/>
    <col min="512" max="512" width="7.5703125" style="379" customWidth="1"/>
    <col min="513" max="513" width="2.42578125" style="379" customWidth="1"/>
    <col min="514" max="514" width="11.5703125" style="379" customWidth="1"/>
    <col min="515" max="515" width="2.42578125" style="379" customWidth="1"/>
    <col min="516" max="516" width="11.5703125" style="379" customWidth="1"/>
    <col min="517" max="517" width="2.42578125" style="379" customWidth="1"/>
    <col min="518" max="518" width="10.85546875" style="379" customWidth="1"/>
    <col min="519" max="519" width="2.42578125" style="379" customWidth="1"/>
    <col min="520" max="520" width="11.140625" style="379" customWidth="1"/>
    <col min="521" max="521" width="1.85546875" style="379" customWidth="1"/>
    <col min="522" max="522" width="11" style="379" customWidth="1"/>
    <col min="523" max="523" width="0.7109375" style="379" customWidth="1"/>
    <col min="524" max="524" width="1.85546875" style="379" customWidth="1"/>
    <col min="525" max="525" width="11.85546875" style="379" bestFit="1" customWidth="1"/>
    <col min="526" max="526" width="15.28515625" style="379" bestFit="1" customWidth="1"/>
    <col min="527" max="527" width="5" style="379" customWidth="1"/>
    <col min="528" max="528" width="10.42578125" style="379" bestFit="1" customWidth="1"/>
    <col min="529" max="529" width="5" style="379" customWidth="1"/>
    <col min="530" max="530" width="10.42578125" style="379" bestFit="1" customWidth="1"/>
    <col min="531" max="533" width="9" style="379"/>
    <col min="534" max="534" width="10.42578125" style="379" bestFit="1" customWidth="1"/>
    <col min="535" max="763" width="9" style="379"/>
    <col min="764" max="764" width="3.5703125" style="379" customWidth="1"/>
    <col min="765" max="765" width="4.85546875" style="379" customWidth="1"/>
    <col min="766" max="766" width="5.42578125" style="379" customWidth="1"/>
    <col min="767" max="767" width="31.28515625" style="379" customWidth="1"/>
    <col min="768" max="768" width="7.5703125" style="379" customWidth="1"/>
    <col min="769" max="769" width="2.42578125" style="379" customWidth="1"/>
    <col min="770" max="770" width="11.5703125" style="379" customWidth="1"/>
    <col min="771" max="771" width="2.42578125" style="379" customWidth="1"/>
    <col min="772" max="772" width="11.5703125" style="379" customWidth="1"/>
    <col min="773" max="773" width="2.42578125" style="379" customWidth="1"/>
    <col min="774" max="774" width="10.85546875" style="379" customWidth="1"/>
    <col min="775" max="775" width="2.42578125" style="379" customWidth="1"/>
    <col min="776" max="776" width="11.140625" style="379" customWidth="1"/>
    <col min="777" max="777" width="1.85546875" style="379" customWidth="1"/>
    <col min="778" max="778" width="11" style="379" customWidth="1"/>
    <col min="779" max="779" width="0.7109375" style="379" customWidth="1"/>
    <col min="780" max="780" width="1.85546875" style="379" customWidth="1"/>
    <col min="781" max="781" width="11.85546875" style="379" bestFit="1" customWidth="1"/>
    <col min="782" max="782" width="15.28515625" style="379" bestFit="1" customWidth="1"/>
    <col min="783" max="783" width="5" style="379" customWidth="1"/>
    <col min="784" max="784" width="10.42578125" style="379" bestFit="1" customWidth="1"/>
    <col min="785" max="785" width="5" style="379" customWidth="1"/>
    <col min="786" max="786" width="10.42578125" style="379" bestFit="1" customWidth="1"/>
    <col min="787" max="789" width="9" style="379"/>
    <col min="790" max="790" width="10.42578125" style="379" bestFit="1" customWidth="1"/>
    <col min="791" max="1019" width="9" style="379"/>
    <col min="1020" max="1020" width="3.5703125" style="379" customWidth="1"/>
    <col min="1021" max="1021" width="4.85546875" style="379" customWidth="1"/>
    <col min="1022" max="1022" width="5.42578125" style="379" customWidth="1"/>
    <col min="1023" max="1023" width="31.28515625" style="379" customWidth="1"/>
    <col min="1024" max="1024" width="7.5703125" style="379" customWidth="1"/>
    <col min="1025" max="1025" width="2.42578125" style="379" customWidth="1"/>
    <col min="1026" max="1026" width="11.5703125" style="379" customWidth="1"/>
    <col min="1027" max="1027" width="2.42578125" style="379" customWidth="1"/>
    <col min="1028" max="1028" width="11.5703125" style="379" customWidth="1"/>
    <col min="1029" max="1029" width="2.42578125" style="379" customWidth="1"/>
    <col min="1030" max="1030" width="10.85546875" style="379" customWidth="1"/>
    <col min="1031" max="1031" width="2.42578125" style="379" customWidth="1"/>
    <col min="1032" max="1032" width="11.140625" style="379" customWidth="1"/>
    <col min="1033" max="1033" width="1.85546875" style="379" customWidth="1"/>
    <col min="1034" max="1034" width="11" style="379" customWidth="1"/>
    <col min="1035" max="1035" width="0.7109375" style="379" customWidth="1"/>
    <col min="1036" max="1036" width="1.85546875" style="379" customWidth="1"/>
    <col min="1037" max="1037" width="11.85546875" style="379" bestFit="1" customWidth="1"/>
    <col min="1038" max="1038" width="15.28515625" style="379" bestFit="1" customWidth="1"/>
    <col min="1039" max="1039" width="5" style="379" customWidth="1"/>
    <col min="1040" max="1040" width="10.42578125" style="379" bestFit="1" customWidth="1"/>
    <col min="1041" max="1041" width="5" style="379" customWidth="1"/>
    <col min="1042" max="1042" width="10.42578125" style="379" bestFit="1" customWidth="1"/>
    <col min="1043" max="1045" width="9" style="379"/>
    <col min="1046" max="1046" width="10.42578125" style="379" bestFit="1" customWidth="1"/>
    <col min="1047" max="1275" width="9" style="379"/>
    <col min="1276" max="1276" width="3.5703125" style="379" customWidth="1"/>
    <col min="1277" max="1277" width="4.85546875" style="379" customWidth="1"/>
    <col min="1278" max="1278" width="5.42578125" style="379" customWidth="1"/>
    <col min="1279" max="1279" width="31.28515625" style="379" customWidth="1"/>
    <col min="1280" max="1280" width="7.5703125" style="379" customWidth="1"/>
    <col min="1281" max="1281" width="2.42578125" style="379" customWidth="1"/>
    <col min="1282" max="1282" width="11.5703125" style="379" customWidth="1"/>
    <col min="1283" max="1283" width="2.42578125" style="379" customWidth="1"/>
    <col min="1284" max="1284" width="11.5703125" style="379" customWidth="1"/>
    <col min="1285" max="1285" width="2.42578125" style="379" customWidth="1"/>
    <col min="1286" max="1286" width="10.85546875" style="379" customWidth="1"/>
    <col min="1287" max="1287" width="2.42578125" style="379" customWidth="1"/>
    <col min="1288" max="1288" width="11.140625" style="379" customWidth="1"/>
    <col min="1289" max="1289" width="1.85546875" style="379" customWidth="1"/>
    <col min="1290" max="1290" width="11" style="379" customWidth="1"/>
    <col min="1291" max="1291" width="0.7109375" style="379" customWidth="1"/>
    <col min="1292" max="1292" width="1.85546875" style="379" customWidth="1"/>
    <col min="1293" max="1293" width="11.85546875" style="379" bestFit="1" customWidth="1"/>
    <col min="1294" max="1294" width="15.28515625" style="379" bestFit="1" customWidth="1"/>
    <col min="1295" max="1295" width="5" style="379" customWidth="1"/>
    <col min="1296" max="1296" width="10.42578125" style="379" bestFit="1" customWidth="1"/>
    <col min="1297" max="1297" width="5" style="379" customWidth="1"/>
    <col min="1298" max="1298" width="10.42578125" style="379" bestFit="1" customWidth="1"/>
    <col min="1299" max="1301" width="9" style="379"/>
    <col min="1302" max="1302" width="10.42578125" style="379" bestFit="1" customWidth="1"/>
    <col min="1303" max="1531" width="9" style="379"/>
    <col min="1532" max="1532" width="3.5703125" style="379" customWidth="1"/>
    <col min="1533" max="1533" width="4.85546875" style="379" customWidth="1"/>
    <col min="1534" max="1534" width="5.42578125" style="379" customWidth="1"/>
    <col min="1535" max="1535" width="31.28515625" style="379" customWidth="1"/>
    <col min="1536" max="1536" width="7.5703125" style="379" customWidth="1"/>
    <col min="1537" max="1537" width="2.42578125" style="379" customWidth="1"/>
    <col min="1538" max="1538" width="11.5703125" style="379" customWidth="1"/>
    <col min="1539" max="1539" width="2.42578125" style="379" customWidth="1"/>
    <col min="1540" max="1540" width="11.5703125" style="379" customWidth="1"/>
    <col min="1541" max="1541" width="2.42578125" style="379" customWidth="1"/>
    <col min="1542" max="1542" width="10.85546875" style="379" customWidth="1"/>
    <col min="1543" max="1543" width="2.42578125" style="379" customWidth="1"/>
    <col min="1544" max="1544" width="11.140625" style="379" customWidth="1"/>
    <col min="1545" max="1545" width="1.85546875" style="379" customWidth="1"/>
    <col min="1546" max="1546" width="11" style="379" customWidth="1"/>
    <col min="1547" max="1547" width="0.7109375" style="379" customWidth="1"/>
    <col min="1548" max="1548" width="1.85546875" style="379" customWidth="1"/>
    <col min="1549" max="1549" width="11.85546875" style="379" bestFit="1" customWidth="1"/>
    <col min="1550" max="1550" width="15.28515625" style="379" bestFit="1" customWidth="1"/>
    <col min="1551" max="1551" width="5" style="379" customWidth="1"/>
    <col min="1552" max="1552" width="10.42578125" style="379" bestFit="1" customWidth="1"/>
    <col min="1553" max="1553" width="5" style="379" customWidth="1"/>
    <col min="1554" max="1554" width="10.42578125" style="379" bestFit="1" customWidth="1"/>
    <col min="1555" max="1557" width="9" style="379"/>
    <col min="1558" max="1558" width="10.42578125" style="379" bestFit="1" customWidth="1"/>
    <col min="1559" max="1787" width="9" style="379"/>
    <col min="1788" max="1788" width="3.5703125" style="379" customWidth="1"/>
    <col min="1789" max="1789" width="4.85546875" style="379" customWidth="1"/>
    <col min="1790" max="1790" width="5.42578125" style="379" customWidth="1"/>
    <col min="1791" max="1791" width="31.28515625" style="379" customWidth="1"/>
    <col min="1792" max="1792" width="7.5703125" style="379" customWidth="1"/>
    <col min="1793" max="1793" width="2.42578125" style="379" customWidth="1"/>
    <col min="1794" max="1794" width="11.5703125" style="379" customWidth="1"/>
    <col min="1795" max="1795" width="2.42578125" style="379" customWidth="1"/>
    <col min="1796" max="1796" width="11.5703125" style="379" customWidth="1"/>
    <col min="1797" max="1797" width="2.42578125" style="379" customWidth="1"/>
    <col min="1798" max="1798" width="10.85546875" style="379" customWidth="1"/>
    <col min="1799" max="1799" width="2.42578125" style="379" customWidth="1"/>
    <col min="1800" max="1800" width="11.140625" style="379" customWidth="1"/>
    <col min="1801" max="1801" width="1.85546875" style="379" customWidth="1"/>
    <col min="1802" max="1802" width="11" style="379" customWidth="1"/>
    <col min="1803" max="1803" width="0.7109375" style="379" customWidth="1"/>
    <col min="1804" max="1804" width="1.85546875" style="379" customWidth="1"/>
    <col min="1805" max="1805" width="11.85546875" style="379" bestFit="1" customWidth="1"/>
    <col min="1806" max="1806" width="15.28515625" style="379" bestFit="1" customWidth="1"/>
    <col min="1807" max="1807" width="5" style="379" customWidth="1"/>
    <col min="1808" max="1808" width="10.42578125" style="379" bestFit="1" customWidth="1"/>
    <col min="1809" max="1809" width="5" style="379" customWidth="1"/>
    <col min="1810" max="1810" width="10.42578125" style="379" bestFit="1" customWidth="1"/>
    <col min="1811" max="1813" width="9" style="379"/>
    <col min="1814" max="1814" width="10.42578125" style="379" bestFit="1" customWidth="1"/>
    <col min="1815" max="2043" width="9" style="379"/>
    <col min="2044" max="2044" width="3.5703125" style="379" customWidth="1"/>
    <col min="2045" max="2045" width="4.85546875" style="379" customWidth="1"/>
    <col min="2046" max="2046" width="5.42578125" style="379" customWidth="1"/>
    <col min="2047" max="2047" width="31.28515625" style="379" customWidth="1"/>
    <col min="2048" max="2048" width="7.5703125" style="379" customWidth="1"/>
    <col min="2049" max="2049" width="2.42578125" style="379" customWidth="1"/>
    <col min="2050" max="2050" width="11.5703125" style="379" customWidth="1"/>
    <col min="2051" max="2051" width="2.42578125" style="379" customWidth="1"/>
    <col min="2052" max="2052" width="11.5703125" style="379" customWidth="1"/>
    <col min="2053" max="2053" width="2.42578125" style="379" customWidth="1"/>
    <col min="2054" max="2054" width="10.85546875" style="379" customWidth="1"/>
    <col min="2055" max="2055" width="2.42578125" style="379" customWidth="1"/>
    <col min="2056" max="2056" width="11.140625" style="379" customWidth="1"/>
    <col min="2057" max="2057" width="1.85546875" style="379" customWidth="1"/>
    <col min="2058" max="2058" width="11" style="379" customWidth="1"/>
    <col min="2059" max="2059" width="0.7109375" style="379" customWidth="1"/>
    <col min="2060" max="2060" width="1.85546875" style="379" customWidth="1"/>
    <col min="2061" max="2061" width="11.85546875" style="379" bestFit="1" customWidth="1"/>
    <col min="2062" max="2062" width="15.28515625" style="379" bestFit="1" customWidth="1"/>
    <col min="2063" max="2063" width="5" style="379" customWidth="1"/>
    <col min="2064" max="2064" width="10.42578125" style="379" bestFit="1" customWidth="1"/>
    <col min="2065" max="2065" width="5" style="379" customWidth="1"/>
    <col min="2066" max="2066" width="10.42578125" style="379" bestFit="1" customWidth="1"/>
    <col min="2067" max="2069" width="9" style="379"/>
    <col min="2070" max="2070" width="10.42578125" style="379" bestFit="1" customWidth="1"/>
    <col min="2071" max="2299" width="9" style="379"/>
    <col min="2300" max="2300" width="3.5703125" style="379" customWidth="1"/>
    <col min="2301" max="2301" width="4.85546875" style="379" customWidth="1"/>
    <col min="2302" max="2302" width="5.42578125" style="379" customWidth="1"/>
    <col min="2303" max="2303" width="31.28515625" style="379" customWidth="1"/>
    <col min="2304" max="2304" width="7.5703125" style="379" customWidth="1"/>
    <col min="2305" max="2305" width="2.42578125" style="379" customWidth="1"/>
    <col min="2306" max="2306" width="11.5703125" style="379" customWidth="1"/>
    <col min="2307" max="2307" width="2.42578125" style="379" customWidth="1"/>
    <col min="2308" max="2308" width="11.5703125" style="379" customWidth="1"/>
    <col min="2309" max="2309" width="2.42578125" style="379" customWidth="1"/>
    <col min="2310" max="2310" width="10.85546875" style="379" customWidth="1"/>
    <col min="2311" max="2311" width="2.42578125" style="379" customWidth="1"/>
    <col min="2312" max="2312" width="11.140625" style="379" customWidth="1"/>
    <col min="2313" max="2313" width="1.85546875" style="379" customWidth="1"/>
    <col min="2314" max="2314" width="11" style="379" customWidth="1"/>
    <col min="2315" max="2315" width="0.7109375" style="379" customWidth="1"/>
    <col min="2316" max="2316" width="1.85546875" style="379" customWidth="1"/>
    <col min="2317" max="2317" width="11.85546875" style="379" bestFit="1" customWidth="1"/>
    <col min="2318" max="2318" width="15.28515625" style="379" bestFit="1" customWidth="1"/>
    <col min="2319" max="2319" width="5" style="379" customWidth="1"/>
    <col min="2320" max="2320" width="10.42578125" style="379" bestFit="1" customWidth="1"/>
    <col min="2321" max="2321" width="5" style="379" customWidth="1"/>
    <col min="2322" max="2322" width="10.42578125" style="379" bestFit="1" customWidth="1"/>
    <col min="2323" max="2325" width="9" style="379"/>
    <col min="2326" max="2326" width="10.42578125" style="379" bestFit="1" customWidth="1"/>
    <col min="2327" max="2555" width="9" style="379"/>
    <col min="2556" max="2556" width="3.5703125" style="379" customWidth="1"/>
    <col min="2557" max="2557" width="4.85546875" style="379" customWidth="1"/>
    <col min="2558" max="2558" width="5.42578125" style="379" customWidth="1"/>
    <col min="2559" max="2559" width="31.28515625" style="379" customWidth="1"/>
    <col min="2560" max="2560" width="7.5703125" style="379" customWidth="1"/>
    <col min="2561" max="2561" width="2.42578125" style="379" customWidth="1"/>
    <col min="2562" max="2562" width="11.5703125" style="379" customWidth="1"/>
    <col min="2563" max="2563" width="2.42578125" style="379" customWidth="1"/>
    <col min="2564" max="2564" width="11.5703125" style="379" customWidth="1"/>
    <col min="2565" max="2565" width="2.42578125" style="379" customWidth="1"/>
    <col min="2566" max="2566" width="10.85546875" style="379" customWidth="1"/>
    <col min="2567" max="2567" width="2.42578125" style="379" customWidth="1"/>
    <col min="2568" max="2568" width="11.140625" style="379" customWidth="1"/>
    <col min="2569" max="2569" width="1.85546875" style="379" customWidth="1"/>
    <col min="2570" max="2570" width="11" style="379" customWidth="1"/>
    <col min="2571" max="2571" width="0.7109375" style="379" customWidth="1"/>
    <col min="2572" max="2572" width="1.85546875" style="379" customWidth="1"/>
    <col min="2573" max="2573" width="11.85546875" style="379" bestFit="1" customWidth="1"/>
    <col min="2574" max="2574" width="15.28515625" style="379" bestFit="1" customWidth="1"/>
    <col min="2575" max="2575" width="5" style="379" customWidth="1"/>
    <col min="2576" max="2576" width="10.42578125" style="379" bestFit="1" customWidth="1"/>
    <col min="2577" max="2577" width="5" style="379" customWidth="1"/>
    <col min="2578" max="2578" width="10.42578125" style="379" bestFit="1" customWidth="1"/>
    <col min="2579" max="2581" width="9" style="379"/>
    <col min="2582" max="2582" width="10.42578125" style="379" bestFit="1" customWidth="1"/>
    <col min="2583" max="2811" width="9" style="379"/>
    <col min="2812" max="2812" width="3.5703125" style="379" customWidth="1"/>
    <col min="2813" max="2813" width="4.85546875" style="379" customWidth="1"/>
    <col min="2814" max="2814" width="5.42578125" style="379" customWidth="1"/>
    <col min="2815" max="2815" width="31.28515625" style="379" customWidth="1"/>
    <col min="2816" max="2816" width="7.5703125" style="379" customWidth="1"/>
    <col min="2817" max="2817" width="2.42578125" style="379" customWidth="1"/>
    <col min="2818" max="2818" width="11.5703125" style="379" customWidth="1"/>
    <col min="2819" max="2819" width="2.42578125" style="379" customWidth="1"/>
    <col min="2820" max="2820" width="11.5703125" style="379" customWidth="1"/>
    <col min="2821" max="2821" width="2.42578125" style="379" customWidth="1"/>
    <col min="2822" max="2822" width="10.85546875" style="379" customWidth="1"/>
    <col min="2823" max="2823" width="2.42578125" style="379" customWidth="1"/>
    <col min="2824" max="2824" width="11.140625" style="379" customWidth="1"/>
    <col min="2825" max="2825" width="1.85546875" style="379" customWidth="1"/>
    <col min="2826" max="2826" width="11" style="379" customWidth="1"/>
    <col min="2827" max="2827" width="0.7109375" style="379" customWidth="1"/>
    <col min="2828" max="2828" width="1.85546875" style="379" customWidth="1"/>
    <col min="2829" max="2829" width="11.85546875" style="379" bestFit="1" customWidth="1"/>
    <col min="2830" max="2830" width="15.28515625" style="379" bestFit="1" customWidth="1"/>
    <col min="2831" max="2831" width="5" style="379" customWidth="1"/>
    <col min="2832" max="2832" width="10.42578125" style="379" bestFit="1" customWidth="1"/>
    <col min="2833" max="2833" width="5" style="379" customWidth="1"/>
    <col min="2834" max="2834" width="10.42578125" style="379" bestFit="1" customWidth="1"/>
    <col min="2835" max="2837" width="9" style="379"/>
    <col min="2838" max="2838" width="10.42578125" style="379" bestFit="1" customWidth="1"/>
    <col min="2839" max="3067" width="9" style="379"/>
    <col min="3068" max="3068" width="3.5703125" style="379" customWidth="1"/>
    <col min="3069" max="3069" width="4.85546875" style="379" customWidth="1"/>
    <col min="3070" max="3070" width="5.42578125" style="379" customWidth="1"/>
    <col min="3071" max="3071" width="31.28515625" style="379" customWidth="1"/>
    <col min="3072" max="3072" width="7.5703125" style="379" customWidth="1"/>
    <col min="3073" max="3073" width="2.42578125" style="379" customWidth="1"/>
    <col min="3074" max="3074" width="11.5703125" style="379" customWidth="1"/>
    <col min="3075" max="3075" width="2.42578125" style="379" customWidth="1"/>
    <col min="3076" max="3076" width="11.5703125" style="379" customWidth="1"/>
    <col min="3077" max="3077" width="2.42578125" style="379" customWidth="1"/>
    <col min="3078" max="3078" width="10.85546875" style="379" customWidth="1"/>
    <col min="3079" max="3079" width="2.42578125" style="379" customWidth="1"/>
    <col min="3080" max="3080" width="11.140625" style="379" customWidth="1"/>
    <col min="3081" max="3081" width="1.85546875" style="379" customWidth="1"/>
    <col min="3082" max="3082" width="11" style="379" customWidth="1"/>
    <col min="3083" max="3083" width="0.7109375" style="379" customWidth="1"/>
    <col min="3084" max="3084" width="1.85546875" style="379" customWidth="1"/>
    <col min="3085" max="3085" width="11.85546875" style="379" bestFit="1" customWidth="1"/>
    <col min="3086" max="3086" width="15.28515625" style="379" bestFit="1" customWidth="1"/>
    <col min="3087" max="3087" width="5" style="379" customWidth="1"/>
    <col min="3088" max="3088" width="10.42578125" style="379" bestFit="1" customWidth="1"/>
    <col min="3089" max="3089" width="5" style="379" customWidth="1"/>
    <col min="3090" max="3090" width="10.42578125" style="379" bestFit="1" customWidth="1"/>
    <col min="3091" max="3093" width="9" style="379"/>
    <col min="3094" max="3094" width="10.42578125" style="379" bestFit="1" customWidth="1"/>
    <col min="3095" max="3323" width="9" style="379"/>
    <col min="3324" max="3324" width="3.5703125" style="379" customWidth="1"/>
    <col min="3325" max="3325" width="4.85546875" style="379" customWidth="1"/>
    <col min="3326" max="3326" width="5.42578125" style="379" customWidth="1"/>
    <col min="3327" max="3327" width="31.28515625" style="379" customWidth="1"/>
    <col min="3328" max="3328" width="7.5703125" style="379" customWidth="1"/>
    <col min="3329" max="3329" width="2.42578125" style="379" customWidth="1"/>
    <col min="3330" max="3330" width="11.5703125" style="379" customWidth="1"/>
    <col min="3331" max="3331" width="2.42578125" style="379" customWidth="1"/>
    <col min="3332" max="3332" width="11.5703125" style="379" customWidth="1"/>
    <col min="3333" max="3333" width="2.42578125" style="379" customWidth="1"/>
    <col min="3334" max="3334" width="10.85546875" style="379" customWidth="1"/>
    <col min="3335" max="3335" width="2.42578125" style="379" customWidth="1"/>
    <col min="3336" max="3336" width="11.140625" style="379" customWidth="1"/>
    <col min="3337" max="3337" width="1.85546875" style="379" customWidth="1"/>
    <col min="3338" max="3338" width="11" style="379" customWidth="1"/>
    <col min="3339" max="3339" width="0.7109375" style="379" customWidth="1"/>
    <col min="3340" max="3340" width="1.85546875" style="379" customWidth="1"/>
    <col min="3341" max="3341" width="11.85546875" style="379" bestFit="1" customWidth="1"/>
    <col min="3342" max="3342" width="15.28515625" style="379" bestFit="1" customWidth="1"/>
    <col min="3343" max="3343" width="5" style="379" customWidth="1"/>
    <col min="3344" max="3344" width="10.42578125" style="379" bestFit="1" customWidth="1"/>
    <col min="3345" max="3345" width="5" style="379" customWidth="1"/>
    <col min="3346" max="3346" width="10.42578125" style="379" bestFit="1" customWidth="1"/>
    <col min="3347" max="3349" width="9" style="379"/>
    <col min="3350" max="3350" width="10.42578125" style="379" bestFit="1" customWidth="1"/>
    <col min="3351" max="3579" width="9" style="379"/>
    <col min="3580" max="3580" width="3.5703125" style="379" customWidth="1"/>
    <col min="3581" max="3581" width="4.85546875" style="379" customWidth="1"/>
    <col min="3582" max="3582" width="5.42578125" style="379" customWidth="1"/>
    <col min="3583" max="3583" width="31.28515625" style="379" customWidth="1"/>
    <col min="3584" max="3584" width="7.5703125" style="379" customWidth="1"/>
    <col min="3585" max="3585" width="2.42578125" style="379" customWidth="1"/>
    <col min="3586" max="3586" width="11.5703125" style="379" customWidth="1"/>
    <col min="3587" max="3587" width="2.42578125" style="379" customWidth="1"/>
    <col min="3588" max="3588" width="11.5703125" style="379" customWidth="1"/>
    <col min="3589" max="3589" width="2.42578125" style="379" customWidth="1"/>
    <col min="3590" max="3590" width="10.85546875" style="379" customWidth="1"/>
    <col min="3591" max="3591" width="2.42578125" style="379" customWidth="1"/>
    <col min="3592" max="3592" width="11.140625" style="379" customWidth="1"/>
    <col min="3593" max="3593" width="1.85546875" style="379" customWidth="1"/>
    <col min="3594" max="3594" width="11" style="379" customWidth="1"/>
    <col min="3595" max="3595" width="0.7109375" style="379" customWidth="1"/>
    <col min="3596" max="3596" width="1.85546875" style="379" customWidth="1"/>
    <col min="3597" max="3597" width="11.85546875" style="379" bestFit="1" customWidth="1"/>
    <col min="3598" max="3598" width="15.28515625" style="379" bestFit="1" customWidth="1"/>
    <col min="3599" max="3599" width="5" style="379" customWidth="1"/>
    <col min="3600" max="3600" width="10.42578125" style="379" bestFit="1" customWidth="1"/>
    <col min="3601" max="3601" width="5" style="379" customWidth="1"/>
    <col min="3602" max="3602" width="10.42578125" style="379" bestFit="1" customWidth="1"/>
    <col min="3603" max="3605" width="9" style="379"/>
    <col min="3606" max="3606" width="10.42578125" style="379" bestFit="1" customWidth="1"/>
    <col min="3607" max="3835" width="9" style="379"/>
    <col min="3836" max="3836" width="3.5703125" style="379" customWidth="1"/>
    <col min="3837" max="3837" width="4.85546875" style="379" customWidth="1"/>
    <col min="3838" max="3838" width="5.42578125" style="379" customWidth="1"/>
    <col min="3839" max="3839" width="31.28515625" style="379" customWidth="1"/>
    <col min="3840" max="3840" width="7.5703125" style="379" customWidth="1"/>
    <col min="3841" max="3841" width="2.42578125" style="379" customWidth="1"/>
    <col min="3842" max="3842" width="11.5703125" style="379" customWidth="1"/>
    <col min="3843" max="3843" width="2.42578125" style="379" customWidth="1"/>
    <col min="3844" max="3844" width="11.5703125" style="379" customWidth="1"/>
    <col min="3845" max="3845" width="2.42578125" style="379" customWidth="1"/>
    <col min="3846" max="3846" width="10.85546875" style="379" customWidth="1"/>
    <col min="3847" max="3847" width="2.42578125" style="379" customWidth="1"/>
    <col min="3848" max="3848" width="11.140625" style="379" customWidth="1"/>
    <col min="3849" max="3849" width="1.85546875" style="379" customWidth="1"/>
    <col min="3850" max="3850" width="11" style="379" customWidth="1"/>
    <col min="3851" max="3851" width="0.7109375" style="379" customWidth="1"/>
    <col min="3852" max="3852" width="1.85546875" style="379" customWidth="1"/>
    <col min="3853" max="3853" width="11.85546875" style="379" bestFit="1" customWidth="1"/>
    <col min="3854" max="3854" width="15.28515625" style="379" bestFit="1" customWidth="1"/>
    <col min="3855" max="3855" width="5" style="379" customWidth="1"/>
    <col min="3856" max="3856" width="10.42578125" style="379" bestFit="1" customWidth="1"/>
    <col min="3857" max="3857" width="5" style="379" customWidth="1"/>
    <col min="3858" max="3858" width="10.42578125" style="379" bestFit="1" customWidth="1"/>
    <col min="3859" max="3861" width="9" style="379"/>
    <col min="3862" max="3862" width="10.42578125" style="379" bestFit="1" customWidth="1"/>
    <col min="3863" max="4091" width="9" style="379"/>
    <col min="4092" max="4092" width="3.5703125" style="379" customWidth="1"/>
    <col min="4093" max="4093" width="4.85546875" style="379" customWidth="1"/>
    <col min="4094" max="4094" width="5.42578125" style="379" customWidth="1"/>
    <col min="4095" max="4095" width="31.28515625" style="379" customWidth="1"/>
    <col min="4096" max="4096" width="7.5703125" style="379" customWidth="1"/>
    <col min="4097" max="4097" width="2.42578125" style="379" customWidth="1"/>
    <col min="4098" max="4098" width="11.5703125" style="379" customWidth="1"/>
    <col min="4099" max="4099" width="2.42578125" style="379" customWidth="1"/>
    <col min="4100" max="4100" width="11.5703125" style="379" customWidth="1"/>
    <col min="4101" max="4101" width="2.42578125" style="379" customWidth="1"/>
    <col min="4102" max="4102" width="10.85546875" style="379" customWidth="1"/>
    <col min="4103" max="4103" width="2.42578125" style="379" customWidth="1"/>
    <col min="4104" max="4104" width="11.140625" style="379" customWidth="1"/>
    <col min="4105" max="4105" width="1.85546875" style="379" customWidth="1"/>
    <col min="4106" max="4106" width="11" style="379" customWidth="1"/>
    <col min="4107" max="4107" width="0.7109375" style="379" customWidth="1"/>
    <col min="4108" max="4108" width="1.85546875" style="379" customWidth="1"/>
    <col min="4109" max="4109" width="11.85546875" style="379" bestFit="1" customWidth="1"/>
    <col min="4110" max="4110" width="15.28515625" style="379" bestFit="1" customWidth="1"/>
    <col min="4111" max="4111" width="5" style="379" customWidth="1"/>
    <col min="4112" max="4112" width="10.42578125" style="379" bestFit="1" customWidth="1"/>
    <col min="4113" max="4113" width="5" style="379" customWidth="1"/>
    <col min="4114" max="4114" width="10.42578125" style="379" bestFit="1" customWidth="1"/>
    <col min="4115" max="4117" width="9" style="379"/>
    <col min="4118" max="4118" width="10.42578125" style="379" bestFit="1" customWidth="1"/>
    <col min="4119" max="4347" width="9" style="379"/>
    <col min="4348" max="4348" width="3.5703125" style="379" customWidth="1"/>
    <col min="4349" max="4349" width="4.85546875" style="379" customWidth="1"/>
    <col min="4350" max="4350" width="5.42578125" style="379" customWidth="1"/>
    <col min="4351" max="4351" width="31.28515625" style="379" customWidth="1"/>
    <col min="4352" max="4352" width="7.5703125" style="379" customWidth="1"/>
    <col min="4353" max="4353" width="2.42578125" style="379" customWidth="1"/>
    <col min="4354" max="4354" width="11.5703125" style="379" customWidth="1"/>
    <col min="4355" max="4355" width="2.42578125" style="379" customWidth="1"/>
    <col min="4356" max="4356" width="11.5703125" style="379" customWidth="1"/>
    <col min="4357" max="4357" width="2.42578125" style="379" customWidth="1"/>
    <col min="4358" max="4358" width="10.85546875" style="379" customWidth="1"/>
    <col min="4359" max="4359" width="2.42578125" style="379" customWidth="1"/>
    <col min="4360" max="4360" width="11.140625" style="379" customWidth="1"/>
    <col min="4361" max="4361" width="1.85546875" style="379" customWidth="1"/>
    <col min="4362" max="4362" width="11" style="379" customWidth="1"/>
    <col min="4363" max="4363" width="0.7109375" style="379" customWidth="1"/>
    <col min="4364" max="4364" width="1.85546875" style="379" customWidth="1"/>
    <col min="4365" max="4365" width="11.85546875" style="379" bestFit="1" customWidth="1"/>
    <col min="4366" max="4366" width="15.28515625" style="379" bestFit="1" customWidth="1"/>
    <col min="4367" max="4367" width="5" style="379" customWidth="1"/>
    <col min="4368" max="4368" width="10.42578125" style="379" bestFit="1" customWidth="1"/>
    <col min="4369" max="4369" width="5" style="379" customWidth="1"/>
    <col min="4370" max="4370" width="10.42578125" style="379" bestFit="1" customWidth="1"/>
    <col min="4371" max="4373" width="9" style="379"/>
    <col min="4374" max="4374" width="10.42578125" style="379" bestFit="1" customWidth="1"/>
    <col min="4375" max="4603" width="9" style="379"/>
    <col min="4604" max="4604" width="3.5703125" style="379" customWidth="1"/>
    <col min="4605" max="4605" width="4.85546875" style="379" customWidth="1"/>
    <col min="4606" max="4606" width="5.42578125" style="379" customWidth="1"/>
    <col min="4607" max="4607" width="31.28515625" style="379" customWidth="1"/>
    <col min="4608" max="4608" width="7.5703125" style="379" customWidth="1"/>
    <col min="4609" max="4609" width="2.42578125" style="379" customWidth="1"/>
    <col min="4610" max="4610" width="11.5703125" style="379" customWidth="1"/>
    <col min="4611" max="4611" width="2.42578125" style="379" customWidth="1"/>
    <col min="4612" max="4612" width="11.5703125" style="379" customWidth="1"/>
    <col min="4613" max="4613" width="2.42578125" style="379" customWidth="1"/>
    <col min="4614" max="4614" width="10.85546875" style="379" customWidth="1"/>
    <col min="4615" max="4615" width="2.42578125" style="379" customWidth="1"/>
    <col min="4616" max="4616" width="11.140625" style="379" customWidth="1"/>
    <col min="4617" max="4617" width="1.85546875" style="379" customWidth="1"/>
    <col min="4618" max="4618" width="11" style="379" customWidth="1"/>
    <col min="4619" max="4619" width="0.7109375" style="379" customWidth="1"/>
    <col min="4620" max="4620" width="1.85546875" style="379" customWidth="1"/>
    <col min="4621" max="4621" width="11.85546875" style="379" bestFit="1" customWidth="1"/>
    <col min="4622" max="4622" width="15.28515625" style="379" bestFit="1" customWidth="1"/>
    <col min="4623" max="4623" width="5" style="379" customWidth="1"/>
    <col min="4624" max="4624" width="10.42578125" style="379" bestFit="1" customWidth="1"/>
    <col min="4625" max="4625" width="5" style="379" customWidth="1"/>
    <col min="4626" max="4626" width="10.42578125" style="379" bestFit="1" customWidth="1"/>
    <col min="4627" max="4629" width="9" style="379"/>
    <col min="4630" max="4630" width="10.42578125" style="379" bestFit="1" customWidth="1"/>
    <col min="4631" max="4859" width="9" style="379"/>
    <col min="4860" max="4860" width="3.5703125" style="379" customWidth="1"/>
    <col min="4861" max="4861" width="4.85546875" style="379" customWidth="1"/>
    <col min="4862" max="4862" width="5.42578125" style="379" customWidth="1"/>
    <col min="4863" max="4863" width="31.28515625" style="379" customWidth="1"/>
    <col min="4864" max="4864" width="7.5703125" style="379" customWidth="1"/>
    <col min="4865" max="4865" width="2.42578125" style="379" customWidth="1"/>
    <col min="4866" max="4866" width="11.5703125" style="379" customWidth="1"/>
    <col min="4867" max="4867" width="2.42578125" style="379" customWidth="1"/>
    <col min="4868" max="4868" width="11.5703125" style="379" customWidth="1"/>
    <col min="4869" max="4869" width="2.42578125" style="379" customWidth="1"/>
    <col min="4870" max="4870" width="10.85546875" style="379" customWidth="1"/>
    <col min="4871" max="4871" width="2.42578125" style="379" customWidth="1"/>
    <col min="4872" max="4872" width="11.140625" style="379" customWidth="1"/>
    <col min="4873" max="4873" width="1.85546875" style="379" customWidth="1"/>
    <col min="4874" max="4874" width="11" style="379" customWidth="1"/>
    <col min="4875" max="4875" width="0.7109375" style="379" customWidth="1"/>
    <col min="4876" max="4876" width="1.85546875" style="379" customWidth="1"/>
    <col min="4877" max="4877" width="11.85546875" style="379" bestFit="1" customWidth="1"/>
    <col min="4878" max="4878" width="15.28515625" style="379" bestFit="1" customWidth="1"/>
    <col min="4879" max="4879" width="5" style="379" customWidth="1"/>
    <col min="4880" max="4880" width="10.42578125" style="379" bestFit="1" customWidth="1"/>
    <col min="4881" max="4881" width="5" style="379" customWidth="1"/>
    <col min="4882" max="4882" width="10.42578125" style="379" bestFit="1" customWidth="1"/>
    <col min="4883" max="4885" width="9" style="379"/>
    <col min="4886" max="4886" width="10.42578125" style="379" bestFit="1" customWidth="1"/>
    <col min="4887" max="5115" width="9" style="379"/>
    <col min="5116" max="5116" width="3.5703125" style="379" customWidth="1"/>
    <col min="5117" max="5117" width="4.85546875" style="379" customWidth="1"/>
    <col min="5118" max="5118" width="5.42578125" style="379" customWidth="1"/>
    <col min="5119" max="5119" width="31.28515625" style="379" customWidth="1"/>
    <col min="5120" max="5120" width="7.5703125" style="379" customWidth="1"/>
    <col min="5121" max="5121" width="2.42578125" style="379" customWidth="1"/>
    <col min="5122" max="5122" width="11.5703125" style="379" customWidth="1"/>
    <col min="5123" max="5123" width="2.42578125" style="379" customWidth="1"/>
    <col min="5124" max="5124" width="11.5703125" style="379" customWidth="1"/>
    <col min="5125" max="5125" width="2.42578125" style="379" customWidth="1"/>
    <col min="5126" max="5126" width="10.85546875" style="379" customWidth="1"/>
    <col min="5127" max="5127" width="2.42578125" style="379" customWidth="1"/>
    <col min="5128" max="5128" width="11.140625" style="379" customWidth="1"/>
    <col min="5129" max="5129" width="1.85546875" style="379" customWidth="1"/>
    <col min="5130" max="5130" width="11" style="379" customWidth="1"/>
    <col min="5131" max="5131" width="0.7109375" style="379" customWidth="1"/>
    <col min="5132" max="5132" width="1.85546875" style="379" customWidth="1"/>
    <col min="5133" max="5133" width="11.85546875" style="379" bestFit="1" customWidth="1"/>
    <col min="5134" max="5134" width="15.28515625" style="379" bestFit="1" customWidth="1"/>
    <col min="5135" max="5135" width="5" style="379" customWidth="1"/>
    <col min="5136" max="5136" width="10.42578125" style="379" bestFit="1" customWidth="1"/>
    <col min="5137" max="5137" width="5" style="379" customWidth="1"/>
    <col min="5138" max="5138" width="10.42578125" style="379" bestFit="1" customWidth="1"/>
    <col min="5139" max="5141" width="9" style="379"/>
    <col min="5142" max="5142" width="10.42578125" style="379" bestFit="1" customWidth="1"/>
    <col min="5143" max="5371" width="9" style="379"/>
    <col min="5372" max="5372" width="3.5703125" style="379" customWidth="1"/>
    <col min="5373" max="5373" width="4.85546875" style="379" customWidth="1"/>
    <col min="5374" max="5374" width="5.42578125" style="379" customWidth="1"/>
    <col min="5375" max="5375" width="31.28515625" style="379" customWidth="1"/>
    <col min="5376" max="5376" width="7.5703125" style="379" customWidth="1"/>
    <col min="5377" max="5377" width="2.42578125" style="379" customWidth="1"/>
    <col min="5378" max="5378" width="11.5703125" style="379" customWidth="1"/>
    <col min="5379" max="5379" width="2.42578125" style="379" customWidth="1"/>
    <col min="5380" max="5380" width="11.5703125" style="379" customWidth="1"/>
    <col min="5381" max="5381" width="2.42578125" style="379" customWidth="1"/>
    <col min="5382" max="5382" width="10.85546875" style="379" customWidth="1"/>
    <col min="5383" max="5383" width="2.42578125" style="379" customWidth="1"/>
    <col min="5384" max="5384" width="11.140625" style="379" customWidth="1"/>
    <col min="5385" max="5385" width="1.85546875" style="379" customWidth="1"/>
    <col min="5386" max="5386" width="11" style="379" customWidth="1"/>
    <col min="5387" max="5387" width="0.7109375" style="379" customWidth="1"/>
    <col min="5388" max="5388" width="1.85546875" style="379" customWidth="1"/>
    <col min="5389" max="5389" width="11.85546875" style="379" bestFit="1" customWidth="1"/>
    <col min="5390" max="5390" width="15.28515625" style="379" bestFit="1" customWidth="1"/>
    <col min="5391" max="5391" width="5" style="379" customWidth="1"/>
    <col min="5392" max="5392" width="10.42578125" style="379" bestFit="1" customWidth="1"/>
    <col min="5393" max="5393" width="5" style="379" customWidth="1"/>
    <col min="5394" max="5394" width="10.42578125" style="379" bestFit="1" customWidth="1"/>
    <col min="5395" max="5397" width="9" style="379"/>
    <col min="5398" max="5398" width="10.42578125" style="379" bestFit="1" customWidth="1"/>
    <col min="5399" max="5627" width="9" style="379"/>
    <col min="5628" max="5628" width="3.5703125" style="379" customWidth="1"/>
    <col min="5629" max="5629" width="4.85546875" style="379" customWidth="1"/>
    <col min="5630" max="5630" width="5.42578125" style="379" customWidth="1"/>
    <col min="5631" max="5631" width="31.28515625" style="379" customWidth="1"/>
    <col min="5632" max="5632" width="7.5703125" style="379" customWidth="1"/>
    <col min="5633" max="5633" width="2.42578125" style="379" customWidth="1"/>
    <col min="5634" max="5634" width="11.5703125" style="379" customWidth="1"/>
    <col min="5635" max="5635" width="2.42578125" style="379" customWidth="1"/>
    <col min="5636" max="5636" width="11.5703125" style="379" customWidth="1"/>
    <col min="5637" max="5637" width="2.42578125" style="379" customWidth="1"/>
    <col min="5638" max="5638" width="10.85546875" style="379" customWidth="1"/>
    <col min="5639" max="5639" width="2.42578125" style="379" customWidth="1"/>
    <col min="5640" max="5640" width="11.140625" style="379" customWidth="1"/>
    <col min="5641" max="5641" width="1.85546875" style="379" customWidth="1"/>
    <col min="5642" max="5642" width="11" style="379" customWidth="1"/>
    <col min="5643" max="5643" width="0.7109375" style="379" customWidth="1"/>
    <col min="5644" max="5644" width="1.85546875" style="379" customWidth="1"/>
    <col min="5645" max="5645" width="11.85546875" style="379" bestFit="1" customWidth="1"/>
    <col min="5646" max="5646" width="15.28515625" style="379" bestFit="1" customWidth="1"/>
    <col min="5647" max="5647" width="5" style="379" customWidth="1"/>
    <col min="5648" max="5648" width="10.42578125" style="379" bestFit="1" customWidth="1"/>
    <col min="5649" max="5649" width="5" style="379" customWidth="1"/>
    <col min="5650" max="5650" width="10.42578125" style="379" bestFit="1" customWidth="1"/>
    <col min="5651" max="5653" width="9" style="379"/>
    <col min="5654" max="5654" width="10.42578125" style="379" bestFit="1" customWidth="1"/>
    <col min="5655" max="5883" width="9" style="379"/>
    <col min="5884" max="5884" width="3.5703125" style="379" customWidth="1"/>
    <col min="5885" max="5885" width="4.85546875" style="379" customWidth="1"/>
    <col min="5886" max="5886" width="5.42578125" style="379" customWidth="1"/>
    <col min="5887" max="5887" width="31.28515625" style="379" customWidth="1"/>
    <col min="5888" max="5888" width="7.5703125" style="379" customWidth="1"/>
    <col min="5889" max="5889" width="2.42578125" style="379" customWidth="1"/>
    <col min="5890" max="5890" width="11.5703125" style="379" customWidth="1"/>
    <col min="5891" max="5891" width="2.42578125" style="379" customWidth="1"/>
    <col min="5892" max="5892" width="11.5703125" style="379" customWidth="1"/>
    <col min="5893" max="5893" width="2.42578125" style="379" customWidth="1"/>
    <col min="5894" max="5894" width="10.85546875" style="379" customWidth="1"/>
    <col min="5895" max="5895" width="2.42578125" style="379" customWidth="1"/>
    <col min="5896" max="5896" width="11.140625" style="379" customWidth="1"/>
    <col min="5897" max="5897" width="1.85546875" style="379" customWidth="1"/>
    <col min="5898" max="5898" width="11" style="379" customWidth="1"/>
    <col min="5899" max="5899" width="0.7109375" style="379" customWidth="1"/>
    <col min="5900" max="5900" width="1.85546875" style="379" customWidth="1"/>
    <col min="5901" max="5901" width="11.85546875" style="379" bestFit="1" customWidth="1"/>
    <col min="5902" max="5902" width="15.28515625" style="379" bestFit="1" customWidth="1"/>
    <col min="5903" max="5903" width="5" style="379" customWidth="1"/>
    <col min="5904" max="5904" width="10.42578125" style="379" bestFit="1" customWidth="1"/>
    <col min="5905" max="5905" width="5" style="379" customWidth="1"/>
    <col min="5906" max="5906" width="10.42578125" style="379" bestFit="1" customWidth="1"/>
    <col min="5907" max="5909" width="9" style="379"/>
    <col min="5910" max="5910" width="10.42578125" style="379" bestFit="1" customWidth="1"/>
    <col min="5911" max="6139" width="9" style="379"/>
    <col min="6140" max="6140" width="3.5703125" style="379" customWidth="1"/>
    <col min="6141" max="6141" width="4.85546875" style="379" customWidth="1"/>
    <col min="6142" max="6142" width="5.42578125" style="379" customWidth="1"/>
    <col min="6143" max="6143" width="31.28515625" style="379" customWidth="1"/>
    <col min="6144" max="6144" width="7.5703125" style="379" customWidth="1"/>
    <col min="6145" max="6145" width="2.42578125" style="379" customWidth="1"/>
    <col min="6146" max="6146" width="11.5703125" style="379" customWidth="1"/>
    <col min="6147" max="6147" width="2.42578125" style="379" customWidth="1"/>
    <col min="6148" max="6148" width="11.5703125" style="379" customWidth="1"/>
    <col min="6149" max="6149" width="2.42578125" style="379" customWidth="1"/>
    <col min="6150" max="6150" width="10.85546875" style="379" customWidth="1"/>
    <col min="6151" max="6151" width="2.42578125" style="379" customWidth="1"/>
    <col min="6152" max="6152" width="11.140625" style="379" customWidth="1"/>
    <col min="6153" max="6153" width="1.85546875" style="379" customWidth="1"/>
    <col min="6154" max="6154" width="11" style="379" customWidth="1"/>
    <col min="6155" max="6155" width="0.7109375" style="379" customWidth="1"/>
    <col min="6156" max="6156" width="1.85546875" style="379" customWidth="1"/>
    <col min="6157" max="6157" width="11.85546875" style="379" bestFit="1" customWidth="1"/>
    <col min="6158" max="6158" width="15.28515625" style="379" bestFit="1" customWidth="1"/>
    <col min="6159" max="6159" width="5" style="379" customWidth="1"/>
    <col min="6160" max="6160" width="10.42578125" style="379" bestFit="1" customWidth="1"/>
    <col min="6161" max="6161" width="5" style="379" customWidth="1"/>
    <col min="6162" max="6162" width="10.42578125" style="379" bestFit="1" customWidth="1"/>
    <col min="6163" max="6165" width="9" style="379"/>
    <col min="6166" max="6166" width="10.42578125" style="379" bestFit="1" customWidth="1"/>
    <col min="6167" max="6395" width="9" style="379"/>
    <col min="6396" max="6396" width="3.5703125" style="379" customWidth="1"/>
    <col min="6397" max="6397" width="4.85546875" style="379" customWidth="1"/>
    <col min="6398" max="6398" width="5.42578125" style="379" customWidth="1"/>
    <col min="6399" max="6399" width="31.28515625" style="379" customWidth="1"/>
    <col min="6400" max="6400" width="7.5703125" style="379" customWidth="1"/>
    <col min="6401" max="6401" width="2.42578125" style="379" customWidth="1"/>
    <col min="6402" max="6402" width="11.5703125" style="379" customWidth="1"/>
    <col min="6403" max="6403" width="2.42578125" style="379" customWidth="1"/>
    <col min="6404" max="6404" width="11.5703125" style="379" customWidth="1"/>
    <col min="6405" max="6405" width="2.42578125" style="379" customWidth="1"/>
    <col min="6406" max="6406" width="10.85546875" style="379" customWidth="1"/>
    <col min="6407" max="6407" width="2.42578125" style="379" customWidth="1"/>
    <col min="6408" max="6408" width="11.140625" style="379" customWidth="1"/>
    <col min="6409" max="6409" width="1.85546875" style="379" customWidth="1"/>
    <col min="6410" max="6410" width="11" style="379" customWidth="1"/>
    <col min="6411" max="6411" width="0.7109375" style="379" customWidth="1"/>
    <col min="6412" max="6412" width="1.85546875" style="379" customWidth="1"/>
    <col min="6413" max="6413" width="11.85546875" style="379" bestFit="1" customWidth="1"/>
    <col min="6414" max="6414" width="15.28515625" style="379" bestFit="1" customWidth="1"/>
    <col min="6415" max="6415" width="5" style="379" customWidth="1"/>
    <col min="6416" max="6416" width="10.42578125" style="379" bestFit="1" customWidth="1"/>
    <col min="6417" max="6417" width="5" style="379" customWidth="1"/>
    <col min="6418" max="6418" width="10.42578125" style="379" bestFit="1" customWidth="1"/>
    <col min="6419" max="6421" width="9" style="379"/>
    <col min="6422" max="6422" width="10.42578125" style="379" bestFit="1" customWidth="1"/>
    <col min="6423" max="6651" width="9" style="379"/>
    <col min="6652" max="6652" width="3.5703125" style="379" customWidth="1"/>
    <col min="6653" max="6653" width="4.85546875" style="379" customWidth="1"/>
    <col min="6654" max="6654" width="5.42578125" style="379" customWidth="1"/>
    <col min="6655" max="6655" width="31.28515625" style="379" customWidth="1"/>
    <col min="6656" max="6656" width="7.5703125" style="379" customWidth="1"/>
    <col min="6657" max="6657" width="2.42578125" style="379" customWidth="1"/>
    <col min="6658" max="6658" width="11.5703125" style="379" customWidth="1"/>
    <col min="6659" max="6659" width="2.42578125" style="379" customWidth="1"/>
    <col min="6660" max="6660" width="11.5703125" style="379" customWidth="1"/>
    <col min="6661" max="6661" width="2.42578125" style="379" customWidth="1"/>
    <col min="6662" max="6662" width="10.85546875" style="379" customWidth="1"/>
    <col min="6663" max="6663" width="2.42578125" style="379" customWidth="1"/>
    <col min="6664" max="6664" width="11.140625" style="379" customWidth="1"/>
    <col min="6665" max="6665" width="1.85546875" style="379" customWidth="1"/>
    <col min="6666" max="6666" width="11" style="379" customWidth="1"/>
    <col min="6667" max="6667" width="0.7109375" style="379" customWidth="1"/>
    <col min="6668" max="6668" width="1.85546875" style="379" customWidth="1"/>
    <col min="6669" max="6669" width="11.85546875" style="379" bestFit="1" customWidth="1"/>
    <col min="6670" max="6670" width="15.28515625" style="379" bestFit="1" customWidth="1"/>
    <col min="6671" max="6671" width="5" style="379" customWidth="1"/>
    <col min="6672" max="6672" width="10.42578125" style="379" bestFit="1" customWidth="1"/>
    <col min="6673" max="6673" width="5" style="379" customWidth="1"/>
    <col min="6674" max="6674" width="10.42578125" style="379" bestFit="1" customWidth="1"/>
    <col min="6675" max="6677" width="9" style="379"/>
    <col min="6678" max="6678" width="10.42578125" style="379" bestFit="1" customWidth="1"/>
    <col min="6679" max="6907" width="9" style="379"/>
    <col min="6908" max="6908" width="3.5703125" style="379" customWidth="1"/>
    <col min="6909" max="6909" width="4.85546875" style="379" customWidth="1"/>
    <col min="6910" max="6910" width="5.42578125" style="379" customWidth="1"/>
    <col min="6911" max="6911" width="31.28515625" style="379" customWidth="1"/>
    <col min="6912" max="6912" width="7.5703125" style="379" customWidth="1"/>
    <col min="6913" max="6913" width="2.42578125" style="379" customWidth="1"/>
    <col min="6914" max="6914" width="11.5703125" style="379" customWidth="1"/>
    <col min="6915" max="6915" width="2.42578125" style="379" customWidth="1"/>
    <col min="6916" max="6916" width="11.5703125" style="379" customWidth="1"/>
    <col min="6917" max="6917" width="2.42578125" style="379" customWidth="1"/>
    <col min="6918" max="6918" width="10.85546875" style="379" customWidth="1"/>
    <col min="6919" max="6919" width="2.42578125" style="379" customWidth="1"/>
    <col min="6920" max="6920" width="11.140625" style="379" customWidth="1"/>
    <col min="6921" max="6921" width="1.85546875" style="379" customWidth="1"/>
    <col min="6922" max="6922" width="11" style="379" customWidth="1"/>
    <col min="6923" max="6923" width="0.7109375" style="379" customWidth="1"/>
    <col min="6924" max="6924" width="1.85546875" style="379" customWidth="1"/>
    <col min="6925" max="6925" width="11.85546875" style="379" bestFit="1" customWidth="1"/>
    <col min="6926" max="6926" width="15.28515625" style="379" bestFit="1" customWidth="1"/>
    <col min="6927" max="6927" width="5" style="379" customWidth="1"/>
    <col min="6928" max="6928" width="10.42578125" style="379" bestFit="1" customWidth="1"/>
    <col min="6929" max="6929" width="5" style="379" customWidth="1"/>
    <col min="6930" max="6930" width="10.42578125" style="379" bestFit="1" customWidth="1"/>
    <col min="6931" max="6933" width="9" style="379"/>
    <col min="6934" max="6934" width="10.42578125" style="379" bestFit="1" customWidth="1"/>
    <col min="6935" max="7163" width="9" style="379"/>
    <col min="7164" max="7164" width="3.5703125" style="379" customWidth="1"/>
    <col min="7165" max="7165" width="4.85546875" style="379" customWidth="1"/>
    <col min="7166" max="7166" width="5.42578125" style="379" customWidth="1"/>
    <col min="7167" max="7167" width="31.28515625" style="379" customWidth="1"/>
    <col min="7168" max="7168" width="7.5703125" style="379" customWidth="1"/>
    <col min="7169" max="7169" width="2.42578125" style="379" customWidth="1"/>
    <col min="7170" max="7170" width="11.5703125" style="379" customWidth="1"/>
    <col min="7171" max="7171" width="2.42578125" style="379" customWidth="1"/>
    <col min="7172" max="7172" width="11.5703125" style="379" customWidth="1"/>
    <col min="7173" max="7173" width="2.42578125" style="379" customWidth="1"/>
    <col min="7174" max="7174" width="10.85546875" style="379" customWidth="1"/>
    <col min="7175" max="7175" width="2.42578125" style="379" customWidth="1"/>
    <col min="7176" max="7176" width="11.140625" style="379" customWidth="1"/>
    <col min="7177" max="7177" width="1.85546875" style="379" customWidth="1"/>
    <col min="7178" max="7178" width="11" style="379" customWidth="1"/>
    <col min="7179" max="7179" width="0.7109375" style="379" customWidth="1"/>
    <col min="7180" max="7180" width="1.85546875" style="379" customWidth="1"/>
    <col min="7181" max="7181" width="11.85546875" style="379" bestFit="1" customWidth="1"/>
    <col min="7182" max="7182" width="15.28515625" style="379" bestFit="1" customWidth="1"/>
    <col min="7183" max="7183" width="5" style="379" customWidth="1"/>
    <col min="7184" max="7184" width="10.42578125" style="379" bestFit="1" customWidth="1"/>
    <col min="7185" max="7185" width="5" style="379" customWidth="1"/>
    <col min="7186" max="7186" width="10.42578125" style="379" bestFit="1" customWidth="1"/>
    <col min="7187" max="7189" width="9" style="379"/>
    <col min="7190" max="7190" width="10.42578125" style="379" bestFit="1" customWidth="1"/>
    <col min="7191" max="7419" width="9" style="379"/>
    <col min="7420" max="7420" width="3.5703125" style="379" customWidth="1"/>
    <col min="7421" max="7421" width="4.85546875" style="379" customWidth="1"/>
    <col min="7422" max="7422" width="5.42578125" style="379" customWidth="1"/>
    <col min="7423" max="7423" width="31.28515625" style="379" customWidth="1"/>
    <col min="7424" max="7424" width="7.5703125" style="379" customWidth="1"/>
    <col min="7425" max="7425" width="2.42578125" style="379" customWidth="1"/>
    <col min="7426" max="7426" width="11.5703125" style="379" customWidth="1"/>
    <col min="7427" max="7427" width="2.42578125" style="379" customWidth="1"/>
    <col min="7428" max="7428" width="11.5703125" style="379" customWidth="1"/>
    <col min="7429" max="7429" width="2.42578125" style="379" customWidth="1"/>
    <col min="7430" max="7430" width="10.85546875" style="379" customWidth="1"/>
    <col min="7431" max="7431" width="2.42578125" style="379" customWidth="1"/>
    <col min="7432" max="7432" width="11.140625" style="379" customWidth="1"/>
    <col min="7433" max="7433" width="1.85546875" style="379" customWidth="1"/>
    <col min="7434" max="7434" width="11" style="379" customWidth="1"/>
    <col min="7435" max="7435" width="0.7109375" style="379" customWidth="1"/>
    <col min="7436" max="7436" width="1.85546875" style="379" customWidth="1"/>
    <col min="7437" max="7437" width="11.85546875" style="379" bestFit="1" customWidth="1"/>
    <col min="7438" max="7438" width="15.28515625" style="379" bestFit="1" customWidth="1"/>
    <col min="7439" max="7439" width="5" style="379" customWidth="1"/>
    <col min="7440" max="7440" width="10.42578125" style="379" bestFit="1" customWidth="1"/>
    <col min="7441" max="7441" width="5" style="379" customWidth="1"/>
    <col min="7442" max="7442" width="10.42578125" style="379" bestFit="1" customWidth="1"/>
    <col min="7443" max="7445" width="9" style="379"/>
    <col min="7446" max="7446" width="10.42578125" style="379" bestFit="1" customWidth="1"/>
    <col min="7447" max="7675" width="9" style="379"/>
    <col min="7676" max="7676" width="3.5703125" style="379" customWidth="1"/>
    <col min="7677" max="7677" width="4.85546875" style="379" customWidth="1"/>
    <col min="7678" max="7678" width="5.42578125" style="379" customWidth="1"/>
    <col min="7679" max="7679" width="31.28515625" style="379" customWidth="1"/>
    <col min="7680" max="7680" width="7.5703125" style="379" customWidth="1"/>
    <col min="7681" max="7681" width="2.42578125" style="379" customWidth="1"/>
    <col min="7682" max="7682" width="11.5703125" style="379" customWidth="1"/>
    <col min="7683" max="7683" width="2.42578125" style="379" customWidth="1"/>
    <col min="7684" max="7684" width="11.5703125" style="379" customWidth="1"/>
    <col min="7685" max="7685" width="2.42578125" style="379" customWidth="1"/>
    <col min="7686" max="7686" width="10.85546875" style="379" customWidth="1"/>
    <col min="7687" max="7687" width="2.42578125" style="379" customWidth="1"/>
    <col min="7688" max="7688" width="11.140625" style="379" customWidth="1"/>
    <col min="7689" max="7689" width="1.85546875" style="379" customWidth="1"/>
    <col min="7690" max="7690" width="11" style="379" customWidth="1"/>
    <col min="7691" max="7691" width="0.7109375" style="379" customWidth="1"/>
    <col min="7692" max="7692" width="1.85546875" style="379" customWidth="1"/>
    <col min="7693" max="7693" width="11.85546875" style="379" bestFit="1" customWidth="1"/>
    <col min="7694" max="7694" width="15.28515625" style="379" bestFit="1" customWidth="1"/>
    <col min="7695" max="7695" width="5" style="379" customWidth="1"/>
    <col min="7696" max="7696" width="10.42578125" style="379" bestFit="1" customWidth="1"/>
    <col min="7697" max="7697" width="5" style="379" customWidth="1"/>
    <col min="7698" max="7698" width="10.42578125" style="379" bestFit="1" customWidth="1"/>
    <col min="7699" max="7701" width="9" style="379"/>
    <col min="7702" max="7702" width="10.42578125" style="379" bestFit="1" customWidth="1"/>
    <col min="7703" max="7931" width="9" style="379"/>
    <col min="7932" max="7932" width="3.5703125" style="379" customWidth="1"/>
    <col min="7933" max="7933" width="4.85546875" style="379" customWidth="1"/>
    <col min="7934" max="7934" width="5.42578125" style="379" customWidth="1"/>
    <col min="7935" max="7935" width="31.28515625" style="379" customWidth="1"/>
    <col min="7936" max="7936" width="7.5703125" style="379" customWidth="1"/>
    <col min="7937" max="7937" width="2.42578125" style="379" customWidth="1"/>
    <col min="7938" max="7938" width="11.5703125" style="379" customWidth="1"/>
    <col min="7939" max="7939" width="2.42578125" style="379" customWidth="1"/>
    <col min="7940" max="7940" width="11.5703125" style="379" customWidth="1"/>
    <col min="7941" max="7941" width="2.42578125" style="379" customWidth="1"/>
    <col min="7942" max="7942" width="10.85546875" style="379" customWidth="1"/>
    <col min="7943" max="7943" width="2.42578125" style="379" customWidth="1"/>
    <col min="7944" max="7944" width="11.140625" style="379" customWidth="1"/>
    <col min="7945" max="7945" width="1.85546875" style="379" customWidth="1"/>
    <col min="7946" max="7946" width="11" style="379" customWidth="1"/>
    <col min="7947" max="7947" width="0.7109375" style="379" customWidth="1"/>
    <col min="7948" max="7948" width="1.85546875" style="379" customWidth="1"/>
    <col min="7949" max="7949" width="11.85546875" style="379" bestFit="1" customWidth="1"/>
    <col min="7950" max="7950" width="15.28515625" style="379" bestFit="1" customWidth="1"/>
    <col min="7951" max="7951" width="5" style="379" customWidth="1"/>
    <col min="7952" max="7952" width="10.42578125" style="379" bestFit="1" customWidth="1"/>
    <col min="7953" max="7953" width="5" style="379" customWidth="1"/>
    <col min="7954" max="7954" width="10.42578125" style="379" bestFit="1" customWidth="1"/>
    <col min="7955" max="7957" width="9" style="379"/>
    <col min="7958" max="7958" width="10.42578125" style="379" bestFit="1" customWidth="1"/>
    <col min="7959" max="8187" width="9" style="379"/>
    <col min="8188" max="8188" width="3.5703125" style="379" customWidth="1"/>
    <col min="8189" max="8189" width="4.85546875" style="379" customWidth="1"/>
    <col min="8190" max="8190" width="5.42578125" style="379" customWidth="1"/>
    <col min="8191" max="8191" width="31.28515625" style="379" customWidth="1"/>
    <col min="8192" max="8192" width="7.5703125" style="379" customWidth="1"/>
    <col min="8193" max="8193" width="2.42578125" style="379" customWidth="1"/>
    <col min="8194" max="8194" width="11.5703125" style="379" customWidth="1"/>
    <col min="8195" max="8195" width="2.42578125" style="379" customWidth="1"/>
    <col min="8196" max="8196" width="11.5703125" style="379" customWidth="1"/>
    <col min="8197" max="8197" width="2.42578125" style="379" customWidth="1"/>
    <col min="8198" max="8198" width="10.85546875" style="379" customWidth="1"/>
    <col min="8199" max="8199" width="2.42578125" style="379" customWidth="1"/>
    <col min="8200" max="8200" width="11.140625" style="379" customWidth="1"/>
    <col min="8201" max="8201" width="1.85546875" style="379" customWidth="1"/>
    <col min="8202" max="8202" width="11" style="379" customWidth="1"/>
    <col min="8203" max="8203" width="0.7109375" style="379" customWidth="1"/>
    <col min="8204" max="8204" width="1.85546875" style="379" customWidth="1"/>
    <col min="8205" max="8205" width="11.85546875" style="379" bestFit="1" customWidth="1"/>
    <col min="8206" max="8206" width="15.28515625" style="379" bestFit="1" customWidth="1"/>
    <col min="8207" max="8207" width="5" style="379" customWidth="1"/>
    <col min="8208" max="8208" width="10.42578125" style="379" bestFit="1" customWidth="1"/>
    <col min="8209" max="8209" width="5" style="379" customWidth="1"/>
    <col min="8210" max="8210" width="10.42578125" style="379" bestFit="1" customWidth="1"/>
    <col min="8211" max="8213" width="9" style="379"/>
    <col min="8214" max="8214" width="10.42578125" style="379" bestFit="1" customWidth="1"/>
    <col min="8215" max="8443" width="9" style="379"/>
    <col min="8444" max="8444" width="3.5703125" style="379" customWidth="1"/>
    <col min="8445" max="8445" width="4.85546875" style="379" customWidth="1"/>
    <col min="8446" max="8446" width="5.42578125" style="379" customWidth="1"/>
    <col min="8447" max="8447" width="31.28515625" style="379" customWidth="1"/>
    <col min="8448" max="8448" width="7.5703125" style="379" customWidth="1"/>
    <col min="8449" max="8449" width="2.42578125" style="379" customWidth="1"/>
    <col min="8450" max="8450" width="11.5703125" style="379" customWidth="1"/>
    <col min="8451" max="8451" width="2.42578125" style="379" customWidth="1"/>
    <col min="8452" max="8452" width="11.5703125" style="379" customWidth="1"/>
    <col min="8453" max="8453" width="2.42578125" style="379" customWidth="1"/>
    <col min="8454" max="8454" width="10.85546875" style="379" customWidth="1"/>
    <col min="8455" max="8455" width="2.42578125" style="379" customWidth="1"/>
    <col min="8456" max="8456" width="11.140625" style="379" customWidth="1"/>
    <col min="8457" max="8457" width="1.85546875" style="379" customWidth="1"/>
    <col min="8458" max="8458" width="11" style="379" customWidth="1"/>
    <col min="8459" max="8459" width="0.7109375" style="379" customWidth="1"/>
    <col min="8460" max="8460" width="1.85546875" style="379" customWidth="1"/>
    <col min="8461" max="8461" width="11.85546875" style="379" bestFit="1" customWidth="1"/>
    <col min="8462" max="8462" width="15.28515625" style="379" bestFit="1" customWidth="1"/>
    <col min="8463" max="8463" width="5" style="379" customWidth="1"/>
    <col min="8464" max="8464" width="10.42578125" style="379" bestFit="1" customWidth="1"/>
    <col min="8465" max="8465" width="5" style="379" customWidth="1"/>
    <col min="8466" max="8466" width="10.42578125" style="379" bestFit="1" customWidth="1"/>
    <col min="8467" max="8469" width="9" style="379"/>
    <col min="8470" max="8470" width="10.42578125" style="379" bestFit="1" customWidth="1"/>
    <col min="8471" max="8699" width="9" style="379"/>
    <col min="8700" max="8700" width="3.5703125" style="379" customWidth="1"/>
    <col min="8701" max="8701" width="4.85546875" style="379" customWidth="1"/>
    <col min="8702" max="8702" width="5.42578125" style="379" customWidth="1"/>
    <col min="8703" max="8703" width="31.28515625" style="379" customWidth="1"/>
    <col min="8704" max="8704" width="7.5703125" style="379" customWidth="1"/>
    <col min="8705" max="8705" width="2.42578125" style="379" customWidth="1"/>
    <col min="8706" max="8706" width="11.5703125" style="379" customWidth="1"/>
    <col min="8707" max="8707" width="2.42578125" style="379" customWidth="1"/>
    <col min="8708" max="8708" width="11.5703125" style="379" customWidth="1"/>
    <col min="8709" max="8709" width="2.42578125" style="379" customWidth="1"/>
    <col min="8710" max="8710" width="10.85546875" style="379" customWidth="1"/>
    <col min="8711" max="8711" width="2.42578125" style="379" customWidth="1"/>
    <col min="8712" max="8712" width="11.140625" style="379" customWidth="1"/>
    <col min="8713" max="8713" width="1.85546875" style="379" customWidth="1"/>
    <col min="8714" max="8714" width="11" style="379" customWidth="1"/>
    <col min="8715" max="8715" width="0.7109375" style="379" customWidth="1"/>
    <col min="8716" max="8716" width="1.85546875" style="379" customWidth="1"/>
    <col min="8717" max="8717" width="11.85546875" style="379" bestFit="1" customWidth="1"/>
    <col min="8718" max="8718" width="15.28515625" style="379" bestFit="1" customWidth="1"/>
    <col min="8719" max="8719" width="5" style="379" customWidth="1"/>
    <col min="8720" max="8720" width="10.42578125" style="379" bestFit="1" customWidth="1"/>
    <col min="8721" max="8721" width="5" style="379" customWidth="1"/>
    <col min="8722" max="8722" width="10.42578125" style="379" bestFit="1" customWidth="1"/>
    <col min="8723" max="8725" width="9" style="379"/>
    <col min="8726" max="8726" width="10.42578125" style="379" bestFit="1" customWidth="1"/>
    <col min="8727" max="8955" width="9" style="379"/>
    <col min="8956" max="8956" width="3.5703125" style="379" customWidth="1"/>
    <col min="8957" max="8957" width="4.85546875" style="379" customWidth="1"/>
    <col min="8958" max="8958" width="5.42578125" style="379" customWidth="1"/>
    <col min="8959" max="8959" width="31.28515625" style="379" customWidth="1"/>
    <col min="8960" max="8960" width="7.5703125" style="379" customWidth="1"/>
    <col min="8961" max="8961" width="2.42578125" style="379" customWidth="1"/>
    <col min="8962" max="8962" width="11.5703125" style="379" customWidth="1"/>
    <col min="8963" max="8963" width="2.42578125" style="379" customWidth="1"/>
    <col min="8964" max="8964" width="11.5703125" style="379" customWidth="1"/>
    <col min="8965" max="8965" width="2.42578125" style="379" customWidth="1"/>
    <col min="8966" max="8966" width="10.85546875" style="379" customWidth="1"/>
    <col min="8967" max="8967" width="2.42578125" style="379" customWidth="1"/>
    <col min="8968" max="8968" width="11.140625" style="379" customWidth="1"/>
    <col min="8969" max="8969" width="1.85546875" style="379" customWidth="1"/>
    <col min="8970" max="8970" width="11" style="379" customWidth="1"/>
    <col min="8971" max="8971" width="0.7109375" style="379" customWidth="1"/>
    <col min="8972" max="8972" width="1.85546875" style="379" customWidth="1"/>
    <col min="8973" max="8973" width="11.85546875" style="379" bestFit="1" customWidth="1"/>
    <col min="8974" max="8974" width="15.28515625" style="379" bestFit="1" customWidth="1"/>
    <col min="8975" max="8975" width="5" style="379" customWidth="1"/>
    <col min="8976" max="8976" width="10.42578125" style="379" bestFit="1" customWidth="1"/>
    <col min="8977" max="8977" width="5" style="379" customWidth="1"/>
    <col min="8978" max="8978" width="10.42578125" style="379" bestFit="1" customWidth="1"/>
    <col min="8979" max="8981" width="9" style="379"/>
    <col min="8982" max="8982" width="10.42578125" style="379" bestFit="1" customWidth="1"/>
    <col min="8983" max="9211" width="9" style="379"/>
    <col min="9212" max="9212" width="3.5703125" style="379" customWidth="1"/>
    <col min="9213" max="9213" width="4.85546875" style="379" customWidth="1"/>
    <col min="9214" max="9214" width="5.42578125" style="379" customWidth="1"/>
    <col min="9215" max="9215" width="31.28515625" style="379" customWidth="1"/>
    <col min="9216" max="9216" width="7.5703125" style="379" customWidth="1"/>
    <col min="9217" max="9217" width="2.42578125" style="379" customWidth="1"/>
    <col min="9218" max="9218" width="11.5703125" style="379" customWidth="1"/>
    <col min="9219" max="9219" width="2.42578125" style="379" customWidth="1"/>
    <col min="9220" max="9220" width="11.5703125" style="379" customWidth="1"/>
    <col min="9221" max="9221" width="2.42578125" style="379" customWidth="1"/>
    <col min="9222" max="9222" width="10.85546875" style="379" customWidth="1"/>
    <col min="9223" max="9223" width="2.42578125" style="379" customWidth="1"/>
    <col min="9224" max="9224" width="11.140625" style="379" customWidth="1"/>
    <col min="9225" max="9225" width="1.85546875" style="379" customWidth="1"/>
    <col min="9226" max="9226" width="11" style="379" customWidth="1"/>
    <col min="9227" max="9227" width="0.7109375" style="379" customWidth="1"/>
    <col min="9228" max="9228" width="1.85546875" style="379" customWidth="1"/>
    <col min="9229" max="9229" width="11.85546875" style="379" bestFit="1" customWidth="1"/>
    <col min="9230" max="9230" width="15.28515625" style="379" bestFit="1" customWidth="1"/>
    <col min="9231" max="9231" width="5" style="379" customWidth="1"/>
    <col min="9232" max="9232" width="10.42578125" style="379" bestFit="1" customWidth="1"/>
    <col min="9233" max="9233" width="5" style="379" customWidth="1"/>
    <col min="9234" max="9234" width="10.42578125" style="379" bestFit="1" customWidth="1"/>
    <col min="9235" max="9237" width="9" style="379"/>
    <col min="9238" max="9238" width="10.42578125" style="379" bestFit="1" customWidth="1"/>
    <col min="9239" max="9467" width="9" style="379"/>
    <col min="9468" max="9468" width="3.5703125" style="379" customWidth="1"/>
    <col min="9469" max="9469" width="4.85546875" style="379" customWidth="1"/>
    <col min="9470" max="9470" width="5.42578125" style="379" customWidth="1"/>
    <col min="9471" max="9471" width="31.28515625" style="379" customWidth="1"/>
    <col min="9472" max="9472" width="7.5703125" style="379" customWidth="1"/>
    <col min="9473" max="9473" width="2.42578125" style="379" customWidth="1"/>
    <col min="9474" max="9474" width="11.5703125" style="379" customWidth="1"/>
    <col min="9475" max="9475" width="2.42578125" style="379" customWidth="1"/>
    <col min="9476" max="9476" width="11.5703125" style="379" customWidth="1"/>
    <col min="9477" max="9477" width="2.42578125" style="379" customWidth="1"/>
    <col min="9478" max="9478" width="10.85546875" style="379" customWidth="1"/>
    <col min="9479" max="9479" width="2.42578125" style="379" customWidth="1"/>
    <col min="9480" max="9480" width="11.140625" style="379" customWidth="1"/>
    <col min="9481" max="9481" width="1.85546875" style="379" customWidth="1"/>
    <col min="9482" max="9482" width="11" style="379" customWidth="1"/>
    <col min="9483" max="9483" width="0.7109375" style="379" customWidth="1"/>
    <col min="9484" max="9484" width="1.85546875" style="379" customWidth="1"/>
    <col min="9485" max="9485" width="11.85546875" style="379" bestFit="1" customWidth="1"/>
    <col min="9486" max="9486" width="15.28515625" style="379" bestFit="1" customWidth="1"/>
    <col min="9487" max="9487" width="5" style="379" customWidth="1"/>
    <col min="9488" max="9488" width="10.42578125" style="379" bestFit="1" customWidth="1"/>
    <col min="9489" max="9489" width="5" style="379" customWidth="1"/>
    <col min="9490" max="9490" width="10.42578125" style="379" bestFit="1" customWidth="1"/>
    <col min="9491" max="9493" width="9" style="379"/>
    <col min="9494" max="9494" width="10.42578125" style="379" bestFit="1" customWidth="1"/>
    <col min="9495" max="9723" width="9" style="379"/>
    <col min="9724" max="9724" width="3.5703125" style="379" customWidth="1"/>
    <col min="9725" max="9725" width="4.85546875" style="379" customWidth="1"/>
    <col min="9726" max="9726" width="5.42578125" style="379" customWidth="1"/>
    <col min="9727" max="9727" width="31.28515625" style="379" customWidth="1"/>
    <col min="9728" max="9728" width="7.5703125" style="379" customWidth="1"/>
    <col min="9729" max="9729" width="2.42578125" style="379" customWidth="1"/>
    <col min="9730" max="9730" width="11.5703125" style="379" customWidth="1"/>
    <col min="9731" max="9731" width="2.42578125" style="379" customWidth="1"/>
    <col min="9732" max="9732" width="11.5703125" style="379" customWidth="1"/>
    <col min="9733" max="9733" width="2.42578125" style="379" customWidth="1"/>
    <col min="9734" max="9734" width="10.85546875" style="379" customWidth="1"/>
    <col min="9735" max="9735" width="2.42578125" style="379" customWidth="1"/>
    <col min="9736" max="9736" width="11.140625" style="379" customWidth="1"/>
    <col min="9737" max="9737" width="1.85546875" style="379" customWidth="1"/>
    <col min="9738" max="9738" width="11" style="379" customWidth="1"/>
    <col min="9739" max="9739" width="0.7109375" style="379" customWidth="1"/>
    <col min="9740" max="9740" width="1.85546875" style="379" customWidth="1"/>
    <col min="9741" max="9741" width="11.85546875" style="379" bestFit="1" customWidth="1"/>
    <col min="9742" max="9742" width="15.28515625" style="379" bestFit="1" customWidth="1"/>
    <col min="9743" max="9743" width="5" style="379" customWidth="1"/>
    <col min="9744" max="9744" width="10.42578125" style="379" bestFit="1" customWidth="1"/>
    <col min="9745" max="9745" width="5" style="379" customWidth="1"/>
    <col min="9746" max="9746" width="10.42578125" style="379" bestFit="1" customWidth="1"/>
    <col min="9747" max="9749" width="9" style="379"/>
    <col min="9750" max="9750" width="10.42578125" style="379" bestFit="1" customWidth="1"/>
    <col min="9751" max="9979" width="9" style="379"/>
    <col min="9980" max="9980" width="3.5703125" style="379" customWidth="1"/>
    <col min="9981" max="9981" width="4.85546875" style="379" customWidth="1"/>
    <col min="9982" max="9982" width="5.42578125" style="379" customWidth="1"/>
    <col min="9983" max="9983" width="31.28515625" style="379" customWidth="1"/>
    <col min="9984" max="9984" width="7.5703125" style="379" customWidth="1"/>
    <col min="9985" max="9985" width="2.42578125" style="379" customWidth="1"/>
    <col min="9986" max="9986" width="11.5703125" style="379" customWidth="1"/>
    <col min="9987" max="9987" width="2.42578125" style="379" customWidth="1"/>
    <col min="9988" max="9988" width="11.5703125" style="379" customWidth="1"/>
    <col min="9989" max="9989" width="2.42578125" style="379" customWidth="1"/>
    <col min="9990" max="9990" width="10.85546875" style="379" customWidth="1"/>
    <col min="9991" max="9991" width="2.42578125" style="379" customWidth="1"/>
    <col min="9992" max="9992" width="11.140625" style="379" customWidth="1"/>
    <col min="9993" max="9993" width="1.85546875" style="379" customWidth="1"/>
    <col min="9994" max="9994" width="11" style="379" customWidth="1"/>
    <col min="9995" max="9995" width="0.7109375" style="379" customWidth="1"/>
    <col min="9996" max="9996" width="1.85546875" style="379" customWidth="1"/>
    <col min="9997" max="9997" width="11.85546875" style="379" bestFit="1" customWidth="1"/>
    <col min="9998" max="9998" width="15.28515625" style="379" bestFit="1" customWidth="1"/>
    <col min="9999" max="9999" width="5" style="379" customWidth="1"/>
    <col min="10000" max="10000" width="10.42578125" style="379" bestFit="1" customWidth="1"/>
    <col min="10001" max="10001" width="5" style="379" customWidth="1"/>
    <col min="10002" max="10002" width="10.42578125" style="379" bestFit="1" customWidth="1"/>
    <col min="10003" max="10005" width="9" style="379"/>
    <col min="10006" max="10006" width="10.42578125" style="379" bestFit="1" customWidth="1"/>
    <col min="10007" max="10235" width="9" style="379"/>
    <col min="10236" max="10236" width="3.5703125" style="379" customWidth="1"/>
    <col min="10237" max="10237" width="4.85546875" style="379" customWidth="1"/>
    <col min="10238" max="10238" width="5.42578125" style="379" customWidth="1"/>
    <col min="10239" max="10239" width="31.28515625" style="379" customWidth="1"/>
    <col min="10240" max="10240" width="7.5703125" style="379" customWidth="1"/>
    <col min="10241" max="10241" width="2.42578125" style="379" customWidth="1"/>
    <col min="10242" max="10242" width="11.5703125" style="379" customWidth="1"/>
    <col min="10243" max="10243" width="2.42578125" style="379" customWidth="1"/>
    <col min="10244" max="10244" width="11.5703125" style="379" customWidth="1"/>
    <col min="10245" max="10245" width="2.42578125" style="379" customWidth="1"/>
    <col min="10246" max="10246" width="10.85546875" style="379" customWidth="1"/>
    <col min="10247" max="10247" width="2.42578125" style="379" customWidth="1"/>
    <col min="10248" max="10248" width="11.140625" style="379" customWidth="1"/>
    <col min="10249" max="10249" width="1.85546875" style="379" customWidth="1"/>
    <col min="10250" max="10250" width="11" style="379" customWidth="1"/>
    <col min="10251" max="10251" width="0.7109375" style="379" customWidth="1"/>
    <col min="10252" max="10252" width="1.85546875" style="379" customWidth="1"/>
    <col min="10253" max="10253" width="11.85546875" style="379" bestFit="1" customWidth="1"/>
    <col min="10254" max="10254" width="15.28515625" style="379" bestFit="1" customWidth="1"/>
    <col min="10255" max="10255" width="5" style="379" customWidth="1"/>
    <col min="10256" max="10256" width="10.42578125" style="379" bestFit="1" customWidth="1"/>
    <col min="10257" max="10257" width="5" style="379" customWidth="1"/>
    <col min="10258" max="10258" width="10.42578125" style="379" bestFit="1" customWidth="1"/>
    <col min="10259" max="10261" width="9" style="379"/>
    <col min="10262" max="10262" width="10.42578125" style="379" bestFit="1" customWidth="1"/>
    <col min="10263" max="10491" width="9" style="379"/>
    <col min="10492" max="10492" width="3.5703125" style="379" customWidth="1"/>
    <col min="10493" max="10493" width="4.85546875" style="379" customWidth="1"/>
    <col min="10494" max="10494" width="5.42578125" style="379" customWidth="1"/>
    <col min="10495" max="10495" width="31.28515625" style="379" customWidth="1"/>
    <col min="10496" max="10496" width="7.5703125" style="379" customWidth="1"/>
    <col min="10497" max="10497" width="2.42578125" style="379" customWidth="1"/>
    <col min="10498" max="10498" width="11.5703125" style="379" customWidth="1"/>
    <col min="10499" max="10499" width="2.42578125" style="379" customWidth="1"/>
    <col min="10500" max="10500" width="11.5703125" style="379" customWidth="1"/>
    <col min="10501" max="10501" width="2.42578125" style="379" customWidth="1"/>
    <col min="10502" max="10502" width="10.85546875" style="379" customWidth="1"/>
    <col min="10503" max="10503" width="2.42578125" style="379" customWidth="1"/>
    <col min="10504" max="10504" width="11.140625" style="379" customWidth="1"/>
    <col min="10505" max="10505" width="1.85546875" style="379" customWidth="1"/>
    <col min="10506" max="10506" width="11" style="379" customWidth="1"/>
    <col min="10507" max="10507" width="0.7109375" style="379" customWidth="1"/>
    <col min="10508" max="10508" width="1.85546875" style="379" customWidth="1"/>
    <col min="10509" max="10509" width="11.85546875" style="379" bestFit="1" customWidth="1"/>
    <col min="10510" max="10510" width="15.28515625" style="379" bestFit="1" customWidth="1"/>
    <col min="10511" max="10511" width="5" style="379" customWidth="1"/>
    <col min="10512" max="10512" width="10.42578125" style="379" bestFit="1" customWidth="1"/>
    <col min="10513" max="10513" width="5" style="379" customWidth="1"/>
    <col min="10514" max="10514" width="10.42578125" style="379" bestFit="1" customWidth="1"/>
    <col min="10515" max="10517" width="9" style="379"/>
    <col min="10518" max="10518" width="10.42578125" style="379" bestFit="1" customWidth="1"/>
    <col min="10519" max="10747" width="9" style="379"/>
    <col min="10748" max="10748" width="3.5703125" style="379" customWidth="1"/>
    <col min="10749" max="10749" width="4.85546875" style="379" customWidth="1"/>
    <col min="10750" max="10750" width="5.42578125" style="379" customWidth="1"/>
    <col min="10751" max="10751" width="31.28515625" style="379" customWidth="1"/>
    <col min="10752" max="10752" width="7.5703125" style="379" customWidth="1"/>
    <col min="10753" max="10753" width="2.42578125" style="379" customWidth="1"/>
    <col min="10754" max="10754" width="11.5703125" style="379" customWidth="1"/>
    <col min="10755" max="10755" width="2.42578125" style="379" customWidth="1"/>
    <col min="10756" max="10756" width="11.5703125" style="379" customWidth="1"/>
    <col min="10757" max="10757" width="2.42578125" style="379" customWidth="1"/>
    <col min="10758" max="10758" width="10.85546875" style="379" customWidth="1"/>
    <col min="10759" max="10759" width="2.42578125" style="379" customWidth="1"/>
    <col min="10760" max="10760" width="11.140625" style="379" customWidth="1"/>
    <col min="10761" max="10761" width="1.85546875" style="379" customWidth="1"/>
    <col min="10762" max="10762" width="11" style="379" customWidth="1"/>
    <col min="10763" max="10763" width="0.7109375" style="379" customWidth="1"/>
    <col min="10764" max="10764" width="1.85546875" style="379" customWidth="1"/>
    <col min="10765" max="10765" width="11.85546875" style="379" bestFit="1" customWidth="1"/>
    <col min="10766" max="10766" width="15.28515625" style="379" bestFit="1" customWidth="1"/>
    <col min="10767" max="10767" width="5" style="379" customWidth="1"/>
    <col min="10768" max="10768" width="10.42578125" style="379" bestFit="1" customWidth="1"/>
    <col min="10769" max="10769" width="5" style="379" customWidth="1"/>
    <col min="10770" max="10770" width="10.42578125" style="379" bestFit="1" customWidth="1"/>
    <col min="10771" max="10773" width="9" style="379"/>
    <col min="10774" max="10774" width="10.42578125" style="379" bestFit="1" customWidth="1"/>
    <col min="10775" max="11003" width="9" style="379"/>
    <col min="11004" max="11004" width="3.5703125" style="379" customWidth="1"/>
    <col min="11005" max="11005" width="4.85546875" style="379" customWidth="1"/>
    <col min="11006" max="11006" width="5.42578125" style="379" customWidth="1"/>
    <col min="11007" max="11007" width="31.28515625" style="379" customWidth="1"/>
    <col min="11008" max="11008" width="7.5703125" style="379" customWidth="1"/>
    <col min="11009" max="11009" width="2.42578125" style="379" customWidth="1"/>
    <col min="11010" max="11010" width="11.5703125" style="379" customWidth="1"/>
    <col min="11011" max="11011" width="2.42578125" style="379" customWidth="1"/>
    <col min="11012" max="11012" width="11.5703125" style="379" customWidth="1"/>
    <col min="11013" max="11013" width="2.42578125" style="379" customWidth="1"/>
    <col min="11014" max="11014" width="10.85546875" style="379" customWidth="1"/>
    <col min="11015" max="11015" width="2.42578125" style="379" customWidth="1"/>
    <col min="11016" max="11016" width="11.140625" style="379" customWidth="1"/>
    <col min="11017" max="11017" width="1.85546875" style="379" customWidth="1"/>
    <col min="11018" max="11018" width="11" style="379" customWidth="1"/>
    <col min="11019" max="11019" width="0.7109375" style="379" customWidth="1"/>
    <col min="11020" max="11020" width="1.85546875" style="379" customWidth="1"/>
    <col min="11021" max="11021" width="11.85546875" style="379" bestFit="1" customWidth="1"/>
    <col min="11022" max="11022" width="15.28515625" style="379" bestFit="1" customWidth="1"/>
    <col min="11023" max="11023" width="5" style="379" customWidth="1"/>
    <col min="11024" max="11024" width="10.42578125" style="379" bestFit="1" customWidth="1"/>
    <col min="11025" max="11025" width="5" style="379" customWidth="1"/>
    <col min="11026" max="11026" width="10.42578125" style="379" bestFit="1" customWidth="1"/>
    <col min="11027" max="11029" width="9" style="379"/>
    <col min="11030" max="11030" width="10.42578125" style="379" bestFit="1" customWidth="1"/>
    <col min="11031" max="11259" width="9" style="379"/>
    <col min="11260" max="11260" width="3.5703125" style="379" customWidth="1"/>
    <col min="11261" max="11261" width="4.85546875" style="379" customWidth="1"/>
    <col min="11262" max="11262" width="5.42578125" style="379" customWidth="1"/>
    <col min="11263" max="11263" width="31.28515625" style="379" customWidth="1"/>
    <col min="11264" max="11264" width="7.5703125" style="379" customWidth="1"/>
    <col min="11265" max="11265" width="2.42578125" style="379" customWidth="1"/>
    <col min="11266" max="11266" width="11.5703125" style="379" customWidth="1"/>
    <col min="11267" max="11267" width="2.42578125" style="379" customWidth="1"/>
    <col min="11268" max="11268" width="11.5703125" style="379" customWidth="1"/>
    <col min="11269" max="11269" width="2.42578125" style="379" customWidth="1"/>
    <col min="11270" max="11270" width="10.85546875" style="379" customWidth="1"/>
    <col min="11271" max="11271" width="2.42578125" style="379" customWidth="1"/>
    <col min="11272" max="11272" width="11.140625" style="379" customWidth="1"/>
    <col min="11273" max="11273" width="1.85546875" style="379" customWidth="1"/>
    <col min="11274" max="11274" width="11" style="379" customWidth="1"/>
    <col min="11275" max="11275" width="0.7109375" style="379" customWidth="1"/>
    <col min="11276" max="11276" width="1.85546875" style="379" customWidth="1"/>
    <col min="11277" max="11277" width="11.85546875" style="379" bestFit="1" customWidth="1"/>
    <col min="11278" max="11278" width="15.28515625" style="379" bestFit="1" customWidth="1"/>
    <col min="11279" max="11279" width="5" style="379" customWidth="1"/>
    <col min="11280" max="11280" width="10.42578125" style="379" bestFit="1" customWidth="1"/>
    <col min="11281" max="11281" width="5" style="379" customWidth="1"/>
    <col min="11282" max="11282" width="10.42578125" style="379" bestFit="1" customWidth="1"/>
    <col min="11283" max="11285" width="9" style="379"/>
    <col min="11286" max="11286" width="10.42578125" style="379" bestFit="1" customWidth="1"/>
    <col min="11287" max="11515" width="9" style="379"/>
    <col min="11516" max="11516" width="3.5703125" style="379" customWidth="1"/>
    <col min="11517" max="11517" width="4.85546875" style="379" customWidth="1"/>
    <col min="11518" max="11518" width="5.42578125" style="379" customWidth="1"/>
    <col min="11519" max="11519" width="31.28515625" style="379" customWidth="1"/>
    <col min="11520" max="11520" width="7.5703125" style="379" customWidth="1"/>
    <col min="11521" max="11521" width="2.42578125" style="379" customWidth="1"/>
    <col min="11522" max="11522" width="11.5703125" style="379" customWidth="1"/>
    <col min="11523" max="11523" width="2.42578125" style="379" customWidth="1"/>
    <col min="11524" max="11524" width="11.5703125" style="379" customWidth="1"/>
    <col min="11525" max="11525" width="2.42578125" style="379" customWidth="1"/>
    <col min="11526" max="11526" width="10.85546875" style="379" customWidth="1"/>
    <col min="11527" max="11527" width="2.42578125" style="379" customWidth="1"/>
    <col min="11528" max="11528" width="11.140625" style="379" customWidth="1"/>
    <col min="11529" max="11529" width="1.85546875" style="379" customWidth="1"/>
    <col min="11530" max="11530" width="11" style="379" customWidth="1"/>
    <col min="11531" max="11531" width="0.7109375" style="379" customWidth="1"/>
    <col min="11532" max="11532" width="1.85546875" style="379" customWidth="1"/>
    <col min="11533" max="11533" width="11.85546875" style="379" bestFit="1" customWidth="1"/>
    <col min="11534" max="11534" width="15.28515625" style="379" bestFit="1" customWidth="1"/>
    <col min="11535" max="11535" width="5" style="379" customWidth="1"/>
    <col min="11536" max="11536" width="10.42578125" style="379" bestFit="1" customWidth="1"/>
    <col min="11537" max="11537" width="5" style="379" customWidth="1"/>
    <col min="11538" max="11538" width="10.42578125" style="379" bestFit="1" customWidth="1"/>
    <col min="11539" max="11541" width="9" style="379"/>
    <col min="11542" max="11542" width="10.42578125" style="379" bestFit="1" customWidth="1"/>
    <col min="11543" max="11771" width="9" style="379"/>
    <col min="11772" max="11772" width="3.5703125" style="379" customWidth="1"/>
    <col min="11773" max="11773" width="4.85546875" style="379" customWidth="1"/>
    <col min="11774" max="11774" width="5.42578125" style="379" customWidth="1"/>
    <col min="11775" max="11775" width="31.28515625" style="379" customWidth="1"/>
    <col min="11776" max="11776" width="7.5703125" style="379" customWidth="1"/>
    <col min="11777" max="11777" width="2.42578125" style="379" customWidth="1"/>
    <col min="11778" max="11778" width="11.5703125" style="379" customWidth="1"/>
    <col min="11779" max="11779" width="2.42578125" style="379" customWidth="1"/>
    <col min="11780" max="11780" width="11.5703125" style="379" customWidth="1"/>
    <col min="11781" max="11781" width="2.42578125" style="379" customWidth="1"/>
    <col min="11782" max="11782" width="10.85546875" style="379" customWidth="1"/>
    <col min="11783" max="11783" width="2.42578125" style="379" customWidth="1"/>
    <col min="11784" max="11784" width="11.140625" style="379" customWidth="1"/>
    <col min="11785" max="11785" width="1.85546875" style="379" customWidth="1"/>
    <col min="11786" max="11786" width="11" style="379" customWidth="1"/>
    <col min="11787" max="11787" width="0.7109375" style="379" customWidth="1"/>
    <col min="11788" max="11788" width="1.85546875" style="379" customWidth="1"/>
    <col min="11789" max="11789" width="11.85546875" style="379" bestFit="1" customWidth="1"/>
    <col min="11790" max="11790" width="15.28515625" style="379" bestFit="1" customWidth="1"/>
    <col min="11791" max="11791" width="5" style="379" customWidth="1"/>
    <col min="11792" max="11792" width="10.42578125" style="379" bestFit="1" customWidth="1"/>
    <col min="11793" max="11793" width="5" style="379" customWidth="1"/>
    <col min="11794" max="11794" width="10.42578125" style="379" bestFit="1" customWidth="1"/>
    <col min="11795" max="11797" width="9" style="379"/>
    <col min="11798" max="11798" width="10.42578125" style="379" bestFit="1" customWidth="1"/>
    <col min="11799" max="12027" width="9" style="379"/>
    <col min="12028" max="12028" width="3.5703125" style="379" customWidth="1"/>
    <col min="12029" max="12029" width="4.85546875" style="379" customWidth="1"/>
    <col min="12030" max="12030" width="5.42578125" style="379" customWidth="1"/>
    <col min="12031" max="12031" width="31.28515625" style="379" customWidth="1"/>
    <col min="12032" max="12032" width="7.5703125" style="379" customWidth="1"/>
    <col min="12033" max="12033" width="2.42578125" style="379" customWidth="1"/>
    <col min="12034" max="12034" width="11.5703125" style="379" customWidth="1"/>
    <col min="12035" max="12035" width="2.42578125" style="379" customWidth="1"/>
    <col min="12036" max="12036" width="11.5703125" style="379" customWidth="1"/>
    <col min="12037" max="12037" width="2.42578125" style="379" customWidth="1"/>
    <col min="12038" max="12038" width="10.85546875" style="379" customWidth="1"/>
    <col min="12039" max="12039" width="2.42578125" style="379" customWidth="1"/>
    <col min="12040" max="12040" width="11.140625" style="379" customWidth="1"/>
    <col min="12041" max="12041" width="1.85546875" style="379" customWidth="1"/>
    <col min="12042" max="12042" width="11" style="379" customWidth="1"/>
    <col min="12043" max="12043" width="0.7109375" style="379" customWidth="1"/>
    <col min="12044" max="12044" width="1.85546875" style="379" customWidth="1"/>
    <col min="12045" max="12045" width="11.85546875" style="379" bestFit="1" customWidth="1"/>
    <col min="12046" max="12046" width="15.28515625" style="379" bestFit="1" customWidth="1"/>
    <col min="12047" max="12047" width="5" style="379" customWidth="1"/>
    <col min="12048" max="12048" width="10.42578125" style="379" bestFit="1" customWidth="1"/>
    <col min="12049" max="12049" width="5" style="379" customWidth="1"/>
    <col min="12050" max="12050" width="10.42578125" style="379" bestFit="1" customWidth="1"/>
    <col min="12051" max="12053" width="9" style="379"/>
    <col min="12054" max="12054" width="10.42578125" style="379" bestFit="1" customWidth="1"/>
    <col min="12055" max="12283" width="9" style="379"/>
    <col min="12284" max="12284" width="3.5703125" style="379" customWidth="1"/>
    <col min="12285" max="12285" width="4.85546875" style="379" customWidth="1"/>
    <col min="12286" max="12286" width="5.42578125" style="379" customWidth="1"/>
    <col min="12287" max="12287" width="31.28515625" style="379" customWidth="1"/>
    <col min="12288" max="12288" width="7.5703125" style="379" customWidth="1"/>
    <col min="12289" max="12289" width="2.42578125" style="379" customWidth="1"/>
    <col min="12290" max="12290" width="11.5703125" style="379" customWidth="1"/>
    <col min="12291" max="12291" width="2.42578125" style="379" customWidth="1"/>
    <col min="12292" max="12292" width="11.5703125" style="379" customWidth="1"/>
    <col min="12293" max="12293" width="2.42578125" style="379" customWidth="1"/>
    <col min="12294" max="12294" width="10.85546875" style="379" customWidth="1"/>
    <col min="12295" max="12295" width="2.42578125" style="379" customWidth="1"/>
    <col min="12296" max="12296" width="11.140625" style="379" customWidth="1"/>
    <col min="12297" max="12297" width="1.85546875" style="379" customWidth="1"/>
    <col min="12298" max="12298" width="11" style="379" customWidth="1"/>
    <col min="12299" max="12299" width="0.7109375" style="379" customWidth="1"/>
    <col min="12300" max="12300" width="1.85546875" style="379" customWidth="1"/>
    <col min="12301" max="12301" width="11.85546875" style="379" bestFit="1" customWidth="1"/>
    <col min="12302" max="12302" width="15.28515625" style="379" bestFit="1" customWidth="1"/>
    <col min="12303" max="12303" width="5" style="379" customWidth="1"/>
    <col min="12304" max="12304" width="10.42578125" style="379" bestFit="1" customWidth="1"/>
    <col min="12305" max="12305" width="5" style="379" customWidth="1"/>
    <col min="12306" max="12306" width="10.42578125" style="379" bestFit="1" customWidth="1"/>
    <col min="12307" max="12309" width="9" style="379"/>
    <col min="12310" max="12310" width="10.42578125" style="379" bestFit="1" customWidth="1"/>
    <col min="12311" max="12539" width="9" style="379"/>
    <col min="12540" max="12540" width="3.5703125" style="379" customWidth="1"/>
    <col min="12541" max="12541" width="4.85546875" style="379" customWidth="1"/>
    <col min="12542" max="12542" width="5.42578125" style="379" customWidth="1"/>
    <col min="12543" max="12543" width="31.28515625" style="379" customWidth="1"/>
    <col min="12544" max="12544" width="7.5703125" style="379" customWidth="1"/>
    <col min="12545" max="12545" width="2.42578125" style="379" customWidth="1"/>
    <col min="12546" max="12546" width="11.5703125" style="379" customWidth="1"/>
    <col min="12547" max="12547" width="2.42578125" style="379" customWidth="1"/>
    <col min="12548" max="12548" width="11.5703125" style="379" customWidth="1"/>
    <col min="12549" max="12549" width="2.42578125" style="379" customWidth="1"/>
    <col min="12550" max="12550" width="10.85546875" style="379" customWidth="1"/>
    <col min="12551" max="12551" width="2.42578125" style="379" customWidth="1"/>
    <col min="12552" max="12552" width="11.140625" style="379" customWidth="1"/>
    <col min="12553" max="12553" width="1.85546875" style="379" customWidth="1"/>
    <col min="12554" max="12554" width="11" style="379" customWidth="1"/>
    <col min="12555" max="12555" width="0.7109375" style="379" customWidth="1"/>
    <col min="12556" max="12556" width="1.85546875" style="379" customWidth="1"/>
    <col min="12557" max="12557" width="11.85546875" style="379" bestFit="1" customWidth="1"/>
    <col min="12558" max="12558" width="15.28515625" style="379" bestFit="1" customWidth="1"/>
    <col min="12559" max="12559" width="5" style="379" customWidth="1"/>
    <col min="12560" max="12560" width="10.42578125" style="379" bestFit="1" customWidth="1"/>
    <col min="12561" max="12561" width="5" style="379" customWidth="1"/>
    <col min="12562" max="12562" width="10.42578125" style="379" bestFit="1" customWidth="1"/>
    <col min="12563" max="12565" width="9" style="379"/>
    <col min="12566" max="12566" width="10.42578125" style="379" bestFit="1" customWidth="1"/>
    <col min="12567" max="12795" width="9" style="379"/>
    <col min="12796" max="12796" width="3.5703125" style="379" customWidth="1"/>
    <col min="12797" max="12797" width="4.85546875" style="379" customWidth="1"/>
    <col min="12798" max="12798" width="5.42578125" style="379" customWidth="1"/>
    <col min="12799" max="12799" width="31.28515625" style="379" customWidth="1"/>
    <col min="12800" max="12800" width="7.5703125" style="379" customWidth="1"/>
    <col min="12801" max="12801" width="2.42578125" style="379" customWidth="1"/>
    <col min="12802" max="12802" width="11.5703125" style="379" customWidth="1"/>
    <col min="12803" max="12803" width="2.42578125" style="379" customWidth="1"/>
    <col min="12804" max="12804" width="11.5703125" style="379" customWidth="1"/>
    <col min="12805" max="12805" width="2.42578125" style="379" customWidth="1"/>
    <col min="12806" max="12806" width="10.85546875" style="379" customWidth="1"/>
    <col min="12807" max="12807" width="2.42578125" style="379" customWidth="1"/>
    <col min="12808" max="12808" width="11.140625" style="379" customWidth="1"/>
    <col min="12809" max="12809" width="1.85546875" style="379" customWidth="1"/>
    <col min="12810" max="12810" width="11" style="379" customWidth="1"/>
    <col min="12811" max="12811" width="0.7109375" style="379" customWidth="1"/>
    <col min="12812" max="12812" width="1.85546875" style="379" customWidth="1"/>
    <col min="12813" max="12813" width="11.85546875" style="379" bestFit="1" customWidth="1"/>
    <col min="12814" max="12814" width="15.28515625" style="379" bestFit="1" customWidth="1"/>
    <col min="12815" max="12815" width="5" style="379" customWidth="1"/>
    <col min="12816" max="12816" width="10.42578125" style="379" bestFit="1" customWidth="1"/>
    <col min="12817" max="12817" width="5" style="379" customWidth="1"/>
    <col min="12818" max="12818" width="10.42578125" style="379" bestFit="1" customWidth="1"/>
    <col min="12819" max="12821" width="9" style="379"/>
    <col min="12822" max="12822" width="10.42578125" style="379" bestFit="1" customWidth="1"/>
    <col min="12823" max="13051" width="9" style="379"/>
    <col min="13052" max="13052" width="3.5703125" style="379" customWidth="1"/>
    <col min="13053" max="13053" width="4.85546875" style="379" customWidth="1"/>
    <col min="13054" max="13054" width="5.42578125" style="379" customWidth="1"/>
    <col min="13055" max="13055" width="31.28515625" style="379" customWidth="1"/>
    <col min="13056" max="13056" width="7.5703125" style="379" customWidth="1"/>
    <col min="13057" max="13057" width="2.42578125" style="379" customWidth="1"/>
    <col min="13058" max="13058" width="11.5703125" style="379" customWidth="1"/>
    <col min="13059" max="13059" width="2.42578125" style="379" customWidth="1"/>
    <col min="13060" max="13060" width="11.5703125" style="379" customWidth="1"/>
    <col min="13061" max="13061" width="2.42578125" style="379" customWidth="1"/>
    <col min="13062" max="13062" width="10.85546875" style="379" customWidth="1"/>
    <col min="13063" max="13063" width="2.42578125" style="379" customWidth="1"/>
    <col min="13064" max="13064" width="11.140625" style="379" customWidth="1"/>
    <col min="13065" max="13065" width="1.85546875" style="379" customWidth="1"/>
    <col min="13066" max="13066" width="11" style="379" customWidth="1"/>
    <col min="13067" max="13067" width="0.7109375" style="379" customWidth="1"/>
    <col min="13068" max="13068" width="1.85546875" style="379" customWidth="1"/>
    <col min="13069" max="13069" width="11.85546875" style="379" bestFit="1" customWidth="1"/>
    <col min="13070" max="13070" width="15.28515625" style="379" bestFit="1" customWidth="1"/>
    <col min="13071" max="13071" width="5" style="379" customWidth="1"/>
    <col min="13072" max="13072" width="10.42578125" style="379" bestFit="1" customWidth="1"/>
    <col min="13073" max="13073" width="5" style="379" customWidth="1"/>
    <col min="13074" max="13074" width="10.42578125" style="379" bestFit="1" customWidth="1"/>
    <col min="13075" max="13077" width="9" style="379"/>
    <col min="13078" max="13078" width="10.42578125" style="379" bestFit="1" customWidth="1"/>
    <col min="13079" max="13307" width="9" style="379"/>
    <col min="13308" max="13308" width="3.5703125" style="379" customWidth="1"/>
    <col min="13309" max="13309" width="4.85546875" style="379" customWidth="1"/>
    <col min="13310" max="13310" width="5.42578125" style="379" customWidth="1"/>
    <col min="13311" max="13311" width="31.28515625" style="379" customWidth="1"/>
    <col min="13312" max="13312" width="7.5703125" style="379" customWidth="1"/>
    <col min="13313" max="13313" width="2.42578125" style="379" customWidth="1"/>
    <col min="13314" max="13314" width="11.5703125" style="379" customWidth="1"/>
    <col min="13315" max="13315" width="2.42578125" style="379" customWidth="1"/>
    <col min="13316" max="13316" width="11.5703125" style="379" customWidth="1"/>
    <col min="13317" max="13317" width="2.42578125" style="379" customWidth="1"/>
    <col min="13318" max="13318" width="10.85546875" style="379" customWidth="1"/>
    <col min="13319" max="13319" width="2.42578125" style="379" customWidth="1"/>
    <col min="13320" max="13320" width="11.140625" style="379" customWidth="1"/>
    <col min="13321" max="13321" width="1.85546875" style="379" customWidth="1"/>
    <col min="13322" max="13322" width="11" style="379" customWidth="1"/>
    <col min="13323" max="13323" width="0.7109375" style="379" customWidth="1"/>
    <col min="13324" max="13324" width="1.85546875" style="379" customWidth="1"/>
    <col min="13325" max="13325" width="11.85546875" style="379" bestFit="1" customWidth="1"/>
    <col min="13326" max="13326" width="15.28515625" style="379" bestFit="1" customWidth="1"/>
    <col min="13327" max="13327" width="5" style="379" customWidth="1"/>
    <col min="13328" max="13328" width="10.42578125" style="379" bestFit="1" customWidth="1"/>
    <col min="13329" max="13329" width="5" style="379" customWidth="1"/>
    <col min="13330" max="13330" width="10.42578125" style="379" bestFit="1" customWidth="1"/>
    <col min="13331" max="13333" width="9" style="379"/>
    <col min="13334" max="13334" width="10.42578125" style="379" bestFit="1" customWidth="1"/>
    <col min="13335" max="13563" width="9" style="379"/>
    <col min="13564" max="13564" width="3.5703125" style="379" customWidth="1"/>
    <col min="13565" max="13565" width="4.85546875" style="379" customWidth="1"/>
    <col min="13566" max="13566" width="5.42578125" style="379" customWidth="1"/>
    <col min="13567" max="13567" width="31.28515625" style="379" customWidth="1"/>
    <col min="13568" max="13568" width="7.5703125" style="379" customWidth="1"/>
    <col min="13569" max="13569" width="2.42578125" style="379" customWidth="1"/>
    <col min="13570" max="13570" width="11.5703125" style="379" customWidth="1"/>
    <col min="13571" max="13571" width="2.42578125" style="379" customWidth="1"/>
    <col min="13572" max="13572" width="11.5703125" style="379" customWidth="1"/>
    <col min="13573" max="13573" width="2.42578125" style="379" customWidth="1"/>
    <col min="13574" max="13574" width="10.85546875" style="379" customWidth="1"/>
    <col min="13575" max="13575" width="2.42578125" style="379" customWidth="1"/>
    <col min="13576" max="13576" width="11.140625" style="379" customWidth="1"/>
    <col min="13577" max="13577" width="1.85546875" style="379" customWidth="1"/>
    <col min="13578" max="13578" width="11" style="379" customWidth="1"/>
    <col min="13579" max="13579" width="0.7109375" style="379" customWidth="1"/>
    <col min="13580" max="13580" width="1.85546875" style="379" customWidth="1"/>
    <col min="13581" max="13581" width="11.85546875" style="379" bestFit="1" customWidth="1"/>
    <col min="13582" max="13582" width="15.28515625" style="379" bestFit="1" customWidth="1"/>
    <col min="13583" max="13583" width="5" style="379" customWidth="1"/>
    <col min="13584" max="13584" width="10.42578125" style="379" bestFit="1" customWidth="1"/>
    <col min="13585" max="13585" width="5" style="379" customWidth="1"/>
    <col min="13586" max="13586" width="10.42578125" style="379" bestFit="1" customWidth="1"/>
    <col min="13587" max="13589" width="9" style="379"/>
    <col min="13590" max="13590" width="10.42578125" style="379" bestFit="1" customWidth="1"/>
    <col min="13591" max="13819" width="9" style="379"/>
    <col min="13820" max="13820" width="3.5703125" style="379" customWidth="1"/>
    <col min="13821" max="13821" width="4.85546875" style="379" customWidth="1"/>
    <col min="13822" max="13822" width="5.42578125" style="379" customWidth="1"/>
    <col min="13823" max="13823" width="31.28515625" style="379" customWidth="1"/>
    <col min="13824" max="13824" width="7.5703125" style="379" customWidth="1"/>
    <col min="13825" max="13825" width="2.42578125" style="379" customWidth="1"/>
    <col min="13826" max="13826" width="11.5703125" style="379" customWidth="1"/>
    <col min="13827" max="13827" width="2.42578125" style="379" customWidth="1"/>
    <col min="13828" max="13828" width="11.5703125" style="379" customWidth="1"/>
    <col min="13829" max="13829" width="2.42578125" style="379" customWidth="1"/>
    <col min="13830" max="13830" width="10.85546875" style="379" customWidth="1"/>
    <col min="13831" max="13831" width="2.42578125" style="379" customWidth="1"/>
    <col min="13832" max="13832" width="11.140625" style="379" customWidth="1"/>
    <col min="13833" max="13833" width="1.85546875" style="379" customWidth="1"/>
    <col min="13834" max="13834" width="11" style="379" customWidth="1"/>
    <col min="13835" max="13835" width="0.7109375" style="379" customWidth="1"/>
    <col min="13836" max="13836" width="1.85546875" style="379" customWidth="1"/>
    <col min="13837" max="13837" width="11.85546875" style="379" bestFit="1" customWidth="1"/>
    <col min="13838" max="13838" width="15.28515625" style="379" bestFit="1" customWidth="1"/>
    <col min="13839" max="13839" width="5" style="379" customWidth="1"/>
    <col min="13840" max="13840" width="10.42578125" style="379" bestFit="1" customWidth="1"/>
    <col min="13841" max="13841" width="5" style="379" customWidth="1"/>
    <col min="13842" max="13842" width="10.42578125" style="379" bestFit="1" customWidth="1"/>
    <col min="13843" max="13845" width="9" style="379"/>
    <col min="13846" max="13846" width="10.42578125" style="379" bestFit="1" customWidth="1"/>
    <col min="13847" max="14075" width="9" style="379"/>
    <col min="14076" max="14076" width="3.5703125" style="379" customWidth="1"/>
    <col min="14077" max="14077" width="4.85546875" style="379" customWidth="1"/>
    <col min="14078" max="14078" width="5.42578125" style="379" customWidth="1"/>
    <col min="14079" max="14079" width="31.28515625" style="379" customWidth="1"/>
    <col min="14080" max="14080" width="7.5703125" style="379" customWidth="1"/>
    <col min="14081" max="14081" width="2.42578125" style="379" customWidth="1"/>
    <col min="14082" max="14082" width="11.5703125" style="379" customWidth="1"/>
    <col min="14083" max="14083" width="2.42578125" style="379" customWidth="1"/>
    <col min="14084" max="14084" width="11.5703125" style="379" customWidth="1"/>
    <col min="14085" max="14085" width="2.42578125" style="379" customWidth="1"/>
    <col min="14086" max="14086" width="10.85546875" style="379" customWidth="1"/>
    <col min="14087" max="14087" width="2.42578125" style="379" customWidth="1"/>
    <col min="14088" max="14088" width="11.140625" style="379" customWidth="1"/>
    <col min="14089" max="14089" width="1.85546875" style="379" customWidth="1"/>
    <col min="14090" max="14090" width="11" style="379" customWidth="1"/>
    <col min="14091" max="14091" width="0.7109375" style="379" customWidth="1"/>
    <col min="14092" max="14092" width="1.85546875" style="379" customWidth="1"/>
    <col min="14093" max="14093" width="11.85546875" style="379" bestFit="1" customWidth="1"/>
    <col min="14094" max="14094" width="15.28515625" style="379" bestFit="1" customWidth="1"/>
    <col min="14095" max="14095" width="5" style="379" customWidth="1"/>
    <col min="14096" max="14096" width="10.42578125" style="379" bestFit="1" customWidth="1"/>
    <col min="14097" max="14097" width="5" style="379" customWidth="1"/>
    <col min="14098" max="14098" width="10.42578125" style="379" bestFit="1" customWidth="1"/>
    <col min="14099" max="14101" width="9" style="379"/>
    <col min="14102" max="14102" width="10.42578125" style="379" bestFit="1" customWidth="1"/>
    <col min="14103" max="14331" width="9" style="379"/>
    <col min="14332" max="14332" width="3.5703125" style="379" customWidth="1"/>
    <col min="14333" max="14333" width="4.85546875" style="379" customWidth="1"/>
    <col min="14334" max="14334" width="5.42578125" style="379" customWidth="1"/>
    <col min="14335" max="14335" width="31.28515625" style="379" customWidth="1"/>
    <col min="14336" max="14336" width="7.5703125" style="379" customWidth="1"/>
    <col min="14337" max="14337" width="2.42578125" style="379" customWidth="1"/>
    <col min="14338" max="14338" width="11.5703125" style="379" customWidth="1"/>
    <col min="14339" max="14339" width="2.42578125" style="379" customWidth="1"/>
    <col min="14340" max="14340" width="11.5703125" style="379" customWidth="1"/>
    <col min="14341" max="14341" width="2.42578125" style="379" customWidth="1"/>
    <col min="14342" max="14342" width="10.85546875" style="379" customWidth="1"/>
    <col min="14343" max="14343" width="2.42578125" style="379" customWidth="1"/>
    <col min="14344" max="14344" width="11.140625" style="379" customWidth="1"/>
    <col min="14345" max="14345" width="1.85546875" style="379" customWidth="1"/>
    <col min="14346" max="14346" width="11" style="379" customWidth="1"/>
    <col min="14347" max="14347" width="0.7109375" style="379" customWidth="1"/>
    <col min="14348" max="14348" width="1.85546875" style="379" customWidth="1"/>
    <col min="14349" max="14349" width="11.85546875" style="379" bestFit="1" customWidth="1"/>
    <col min="14350" max="14350" width="15.28515625" style="379" bestFit="1" customWidth="1"/>
    <col min="14351" max="14351" width="5" style="379" customWidth="1"/>
    <col min="14352" max="14352" width="10.42578125" style="379" bestFit="1" customWidth="1"/>
    <col min="14353" max="14353" width="5" style="379" customWidth="1"/>
    <col min="14354" max="14354" width="10.42578125" style="379" bestFit="1" customWidth="1"/>
    <col min="14355" max="14357" width="9" style="379"/>
    <col min="14358" max="14358" width="10.42578125" style="379" bestFit="1" customWidth="1"/>
    <col min="14359" max="14587" width="9" style="379"/>
    <col min="14588" max="14588" width="3.5703125" style="379" customWidth="1"/>
    <col min="14589" max="14589" width="4.85546875" style="379" customWidth="1"/>
    <col min="14590" max="14590" width="5.42578125" style="379" customWidth="1"/>
    <col min="14591" max="14591" width="31.28515625" style="379" customWidth="1"/>
    <col min="14592" max="14592" width="7.5703125" style="379" customWidth="1"/>
    <col min="14593" max="14593" width="2.42578125" style="379" customWidth="1"/>
    <col min="14594" max="14594" width="11.5703125" style="379" customWidth="1"/>
    <col min="14595" max="14595" width="2.42578125" style="379" customWidth="1"/>
    <col min="14596" max="14596" width="11.5703125" style="379" customWidth="1"/>
    <col min="14597" max="14597" width="2.42578125" style="379" customWidth="1"/>
    <col min="14598" max="14598" width="10.85546875" style="379" customWidth="1"/>
    <col min="14599" max="14599" width="2.42578125" style="379" customWidth="1"/>
    <col min="14600" max="14600" width="11.140625" style="379" customWidth="1"/>
    <col min="14601" max="14601" width="1.85546875" style="379" customWidth="1"/>
    <col min="14602" max="14602" width="11" style="379" customWidth="1"/>
    <col min="14603" max="14603" width="0.7109375" style="379" customWidth="1"/>
    <col min="14604" max="14604" width="1.85546875" style="379" customWidth="1"/>
    <col min="14605" max="14605" width="11.85546875" style="379" bestFit="1" customWidth="1"/>
    <col min="14606" max="14606" width="15.28515625" style="379" bestFit="1" customWidth="1"/>
    <col min="14607" max="14607" width="5" style="379" customWidth="1"/>
    <col min="14608" max="14608" width="10.42578125" style="379" bestFit="1" customWidth="1"/>
    <col min="14609" max="14609" width="5" style="379" customWidth="1"/>
    <col min="14610" max="14610" width="10.42578125" style="379" bestFit="1" customWidth="1"/>
    <col min="14611" max="14613" width="9" style="379"/>
    <col min="14614" max="14614" width="10.42578125" style="379" bestFit="1" customWidth="1"/>
    <col min="14615" max="14843" width="9" style="379"/>
    <col min="14844" max="14844" width="3.5703125" style="379" customWidth="1"/>
    <col min="14845" max="14845" width="4.85546875" style="379" customWidth="1"/>
    <col min="14846" max="14846" width="5.42578125" style="379" customWidth="1"/>
    <col min="14847" max="14847" width="31.28515625" style="379" customWidth="1"/>
    <col min="14848" max="14848" width="7.5703125" style="379" customWidth="1"/>
    <col min="14849" max="14849" width="2.42578125" style="379" customWidth="1"/>
    <col min="14850" max="14850" width="11.5703125" style="379" customWidth="1"/>
    <col min="14851" max="14851" width="2.42578125" style="379" customWidth="1"/>
    <col min="14852" max="14852" width="11.5703125" style="379" customWidth="1"/>
    <col min="14853" max="14853" width="2.42578125" style="379" customWidth="1"/>
    <col min="14854" max="14854" width="10.85546875" style="379" customWidth="1"/>
    <col min="14855" max="14855" width="2.42578125" style="379" customWidth="1"/>
    <col min="14856" max="14856" width="11.140625" style="379" customWidth="1"/>
    <col min="14857" max="14857" width="1.85546875" style="379" customWidth="1"/>
    <col min="14858" max="14858" width="11" style="379" customWidth="1"/>
    <col min="14859" max="14859" width="0.7109375" style="379" customWidth="1"/>
    <col min="14860" max="14860" width="1.85546875" style="379" customWidth="1"/>
    <col min="14861" max="14861" width="11.85546875" style="379" bestFit="1" customWidth="1"/>
    <col min="14862" max="14862" width="15.28515625" style="379" bestFit="1" customWidth="1"/>
    <col min="14863" max="14863" width="5" style="379" customWidth="1"/>
    <col min="14864" max="14864" width="10.42578125" style="379" bestFit="1" customWidth="1"/>
    <col min="14865" max="14865" width="5" style="379" customWidth="1"/>
    <col min="14866" max="14866" width="10.42578125" style="379" bestFit="1" customWidth="1"/>
    <col min="14867" max="14869" width="9" style="379"/>
    <col min="14870" max="14870" width="10.42578125" style="379" bestFit="1" customWidth="1"/>
    <col min="14871" max="15099" width="9" style="379"/>
    <col min="15100" max="15100" width="3.5703125" style="379" customWidth="1"/>
    <col min="15101" max="15101" width="4.85546875" style="379" customWidth="1"/>
    <col min="15102" max="15102" width="5.42578125" style="379" customWidth="1"/>
    <col min="15103" max="15103" width="31.28515625" style="379" customWidth="1"/>
    <col min="15104" max="15104" width="7.5703125" style="379" customWidth="1"/>
    <col min="15105" max="15105" width="2.42578125" style="379" customWidth="1"/>
    <col min="15106" max="15106" width="11.5703125" style="379" customWidth="1"/>
    <col min="15107" max="15107" width="2.42578125" style="379" customWidth="1"/>
    <col min="15108" max="15108" width="11.5703125" style="379" customWidth="1"/>
    <col min="15109" max="15109" width="2.42578125" style="379" customWidth="1"/>
    <col min="15110" max="15110" width="10.85546875" style="379" customWidth="1"/>
    <col min="15111" max="15111" width="2.42578125" style="379" customWidth="1"/>
    <col min="15112" max="15112" width="11.140625" style="379" customWidth="1"/>
    <col min="15113" max="15113" width="1.85546875" style="379" customWidth="1"/>
    <col min="15114" max="15114" width="11" style="379" customWidth="1"/>
    <col min="15115" max="15115" width="0.7109375" style="379" customWidth="1"/>
    <col min="15116" max="15116" width="1.85546875" style="379" customWidth="1"/>
    <col min="15117" max="15117" width="11.85546875" style="379" bestFit="1" customWidth="1"/>
    <col min="15118" max="15118" width="15.28515625" style="379" bestFit="1" customWidth="1"/>
    <col min="15119" max="15119" width="5" style="379" customWidth="1"/>
    <col min="15120" max="15120" width="10.42578125" style="379" bestFit="1" customWidth="1"/>
    <col min="15121" max="15121" width="5" style="379" customWidth="1"/>
    <col min="15122" max="15122" width="10.42578125" style="379" bestFit="1" customWidth="1"/>
    <col min="15123" max="15125" width="9" style="379"/>
    <col min="15126" max="15126" width="10.42578125" style="379" bestFit="1" customWidth="1"/>
    <col min="15127" max="15355" width="9" style="379"/>
    <col min="15356" max="15356" width="3.5703125" style="379" customWidth="1"/>
    <col min="15357" max="15357" width="4.85546875" style="379" customWidth="1"/>
    <col min="15358" max="15358" width="5.42578125" style="379" customWidth="1"/>
    <col min="15359" max="15359" width="31.28515625" style="379" customWidth="1"/>
    <col min="15360" max="15360" width="7.5703125" style="379" customWidth="1"/>
    <col min="15361" max="15361" width="2.42578125" style="379" customWidth="1"/>
    <col min="15362" max="15362" width="11.5703125" style="379" customWidth="1"/>
    <col min="15363" max="15363" width="2.42578125" style="379" customWidth="1"/>
    <col min="15364" max="15364" width="11.5703125" style="379" customWidth="1"/>
    <col min="15365" max="15365" width="2.42578125" style="379" customWidth="1"/>
    <col min="15366" max="15366" width="10.85546875" style="379" customWidth="1"/>
    <col min="15367" max="15367" width="2.42578125" style="379" customWidth="1"/>
    <col min="15368" max="15368" width="11.140625" style="379" customWidth="1"/>
    <col min="15369" max="15369" width="1.85546875" style="379" customWidth="1"/>
    <col min="15370" max="15370" width="11" style="379" customWidth="1"/>
    <col min="15371" max="15371" width="0.7109375" style="379" customWidth="1"/>
    <col min="15372" max="15372" width="1.85546875" style="379" customWidth="1"/>
    <col min="15373" max="15373" width="11.85546875" style="379" bestFit="1" customWidth="1"/>
    <col min="15374" max="15374" width="15.28515625" style="379" bestFit="1" customWidth="1"/>
    <col min="15375" max="15375" width="5" style="379" customWidth="1"/>
    <col min="15376" max="15376" width="10.42578125" style="379" bestFit="1" customWidth="1"/>
    <col min="15377" max="15377" width="5" style="379" customWidth="1"/>
    <col min="15378" max="15378" width="10.42578125" style="379" bestFit="1" customWidth="1"/>
    <col min="15379" max="15381" width="9" style="379"/>
    <col min="15382" max="15382" width="10.42578125" style="379" bestFit="1" customWidth="1"/>
    <col min="15383" max="15611" width="9" style="379"/>
    <col min="15612" max="15612" width="3.5703125" style="379" customWidth="1"/>
    <col min="15613" max="15613" width="4.85546875" style="379" customWidth="1"/>
    <col min="15614" max="15614" width="5.42578125" style="379" customWidth="1"/>
    <col min="15615" max="15615" width="31.28515625" style="379" customWidth="1"/>
    <col min="15616" max="15616" width="7.5703125" style="379" customWidth="1"/>
    <col min="15617" max="15617" width="2.42578125" style="379" customWidth="1"/>
    <col min="15618" max="15618" width="11.5703125" style="379" customWidth="1"/>
    <col min="15619" max="15619" width="2.42578125" style="379" customWidth="1"/>
    <col min="15620" max="15620" width="11.5703125" style="379" customWidth="1"/>
    <col min="15621" max="15621" width="2.42578125" style="379" customWidth="1"/>
    <col min="15622" max="15622" width="10.85546875" style="379" customWidth="1"/>
    <col min="15623" max="15623" width="2.42578125" style="379" customWidth="1"/>
    <col min="15624" max="15624" width="11.140625" style="379" customWidth="1"/>
    <col min="15625" max="15625" width="1.85546875" style="379" customWidth="1"/>
    <col min="15626" max="15626" width="11" style="379" customWidth="1"/>
    <col min="15627" max="15627" width="0.7109375" style="379" customWidth="1"/>
    <col min="15628" max="15628" width="1.85546875" style="379" customWidth="1"/>
    <col min="15629" max="15629" width="11.85546875" style="379" bestFit="1" customWidth="1"/>
    <col min="15630" max="15630" width="15.28515625" style="379" bestFit="1" customWidth="1"/>
    <col min="15631" max="15631" width="5" style="379" customWidth="1"/>
    <col min="15632" max="15632" width="10.42578125" style="379" bestFit="1" customWidth="1"/>
    <col min="15633" max="15633" width="5" style="379" customWidth="1"/>
    <col min="15634" max="15634" width="10.42578125" style="379" bestFit="1" customWidth="1"/>
    <col min="15635" max="15637" width="9" style="379"/>
    <col min="15638" max="15638" width="10.42578125" style="379" bestFit="1" customWidth="1"/>
    <col min="15639" max="15867" width="9" style="379"/>
    <col min="15868" max="15868" width="3.5703125" style="379" customWidth="1"/>
    <col min="15869" max="15869" width="4.85546875" style="379" customWidth="1"/>
    <col min="15870" max="15870" width="5.42578125" style="379" customWidth="1"/>
    <col min="15871" max="15871" width="31.28515625" style="379" customWidth="1"/>
    <col min="15872" max="15872" width="7.5703125" style="379" customWidth="1"/>
    <col min="15873" max="15873" width="2.42578125" style="379" customWidth="1"/>
    <col min="15874" max="15874" width="11.5703125" style="379" customWidth="1"/>
    <col min="15875" max="15875" width="2.42578125" style="379" customWidth="1"/>
    <col min="15876" max="15876" width="11.5703125" style="379" customWidth="1"/>
    <col min="15877" max="15877" width="2.42578125" style="379" customWidth="1"/>
    <col min="15878" max="15878" width="10.85546875" style="379" customWidth="1"/>
    <col min="15879" max="15879" width="2.42578125" style="379" customWidth="1"/>
    <col min="15880" max="15880" width="11.140625" style="379" customWidth="1"/>
    <col min="15881" max="15881" width="1.85546875" style="379" customWidth="1"/>
    <col min="15882" max="15882" width="11" style="379" customWidth="1"/>
    <col min="15883" max="15883" width="0.7109375" style="379" customWidth="1"/>
    <col min="15884" max="15884" width="1.85546875" style="379" customWidth="1"/>
    <col min="15885" max="15885" width="11.85546875" style="379" bestFit="1" customWidth="1"/>
    <col min="15886" max="15886" width="15.28515625" style="379" bestFit="1" customWidth="1"/>
    <col min="15887" max="15887" width="5" style="379" customWidth="1"/>
    <col min="15888" max="15888" width="10.42578125" style="379" bestFit="1" customWidth="1"/>
    <col min="15889" max="15889" width="5" style="379" customWidth="1"/>
    <col min="15890" max="15890" width="10.42578125" style="379" bestFit="1" customWidth="1"/>
    <col min="15891" max="15893" width="9" style="379"/>
    <col min="15894" max="15894" width="10.42578125" style="379" bestFit="1" customWidth="1"/>
    <col min="15895" max="16123" width="9" style="379"/>
    <col min="16124" max="16124" width="3.5703125" style="379" customWidth="1"/>
    <col min="16125" max="16125" width="4.85546875" style="379" customWidth="1"/>
    <col min="16126" max="16126" width="5.42578125" style="379" customWidth="1"/>
    <col min="16127" max="16127" width="31.28515625" style="379" customWidth="1"/>
    <col min="16128" max="16128" width="7.5703125" style="379" customWidth="1"/>
    <col min="16129" max="16129" width="2.42578125" style="379" customWidth="1"/>
    <col min="16130" max="16130" width="11.5703125" style="379" customWidth="1"/>
    <col min="16131" max="16131" width="2.42578125" style="379" customWidth="1"/>
    <col min="16132" max="16132" width="11.5703125" style="379" customWidth="1"/>
    <col min="16133" max="16133" width="2.42578125" style="379" customWidth="1"/>
    <col min="16134" max="16134" width="10.85546875" style="379" customWidth="1"/>
    <col min="16135" max="16135" width="2.42578125" style="379" customWidth="1"/>
    <col min="16136" max="16136" width="11.140625" style="379" customWidth="1"/>
    <col min="16137" max="16137" width="1.85546875" style="379" customWidth="1"/>
    <col min="16138" max="16138" width="11" style="379" customWidth="1"/>
    <col min="16139" max="16139" width="0.7109375" style="379" customWidth="1"/>
    <col min="16140" max="16140" width="1.85546875" style="379" customWidth="1"/>
    <col min="16141" max="16141" width="11.85546875" style="379" bestFit="1" customWidth="1"/>
    <col min="16142" max="16142" width="15.28515625" style="379" bestFit="1" customWidth="1"/>
    <col min="16143" max="16143" width="5" style="379" customWidth="1"/>
    <col min="16144" max="16144" width="10.42578125" style="379" bestFit="1" customWidth="1"/>
    <col min="16145" max="16145" width="5" style="379" customWidth="1"/>
    <col min="16146" max="16146" width="10.42578125" style="379" bestFit="1" customWidth="1"/>
    <col min="16147" max="16149" width="9" style="379"/>
    <col min="16150" max="16150" width="10.42578125" style="379" bestFit="1" customWidth="1"/>
    <col min="16151" max="16381" width="9" style="379"/>
    <col min="16382" max="16384" width="9.140625" style="379" customWidth="1"/>
  </cols>
  <sheetData>
    <row r="1" spans="1:16" s="348" customFormat="1" ht="27" customHeight="1" x14ac:dyDescent="0.45">
      <c r="A1" s="1476" t="s">
        <v>244</v>
      </c>
      <c r="B1" s="1476"/>
      <c r="C1" s="1476"/>
      <c r="D1" s="1476"/>
      <c r="E1" s="1476"/>
      <c r="F1" s="1476"/>
      <c r="G1" s="1476"/>
      <c r="H1" s="1476"/>
      <c r="I1" s="1476"/>
      <c r="J1" s="1476"/>
      <c r="K1" s="1476"/>
      <c r="L1" s="347"/>
      <c r="M1" s="347"/>
      <c r="N1" s="347"/>
      <c r="O1" s="347"/>
      <c r="P1" s="347"/>
    </row>
    <row r="2" spans="1:16" s="348" customFormat="1" ht="27" customHeight="1" x14ac:dyDescent="0.45">
      <c r="A2" s="1477" t="str">
        <f>تاريخچه!A2</f>
        <v>يادداشتهاي توضيحي صورتهاي مالي</v>
      </c>
      <c r="B2" s="1477"/>
      <c r="C2" s="1477"/>
      <c r="D2" s="1477"/>
      <c r="E2" s="1477"/>
      <c r="F2" s="1477"/>
      <c r="G2" s="1477"/>
      <c r="H2" s="1477"/>
      <c r="I2" s="1477"/>
      <c r="J2" s="1477"/>
      <c r="K2" s="1477"/>
      <c r="L2" s="347"/>
      <c r="M2" s="347"/>
      <c r="N2" s="347"/>
      <c r="O2" s="347"/>
      <c r="P2" s="347"/>
    </row>
    <row r="3" spans="1:16" s="348" customFormat="1" ht="27" customHeight="1" x14ac:dyDescent="0.45">
      <c r="A3" s="1477" t="str">
        <f>سودوزيان!A3</f>
        <v>سال مالی منتهی به 30 اسفند 1403</v>
      </c>
      <c r="B3" s="1477"/>
      <c r="C3" s="1477"/>
      <c r="D3" s="1477"/>
      <c r="E3" s="1477"/>
      <c r="F3" s="1477"/>
      <c r="G3" s="1477"/>
      <c r="H3" s="1477"/>
      <c r="I3" s="1477"/>
      <c r="J3" s="1477"/>
      <c r="K3" s="1477"/>
      <c r="L3" s="347"/>
      <c r="M3" s="347"/>
      <c r="N3" s="347"/>
      <c r="O3" s="347"/>
      <c r="P3" s="347"/>
    </row>
    <row r="4" spans="1:16" s="348" customFormat="1" ht="27" customHeight="1" x14ac:dyDescent="0.45">
      <c r="A4" s="349"/>
      <c r="B4" s="349"/>
      <c r="C4" s="349"/>
      <c r="D4" s="349"/>
      <c r="E4" s="349"/>
      <c r="F4" s="349"/>
      <c r="G4" s="349"/>
      <c r="H4" s="349"/>
      <c r="I4" s="349"/>
      <c r="J4" s="349"/>
      <c r="K4" s="349"/>
      <c r="L4" s="347"/>
      <c r="M4" s="347"/>
      <c r="N4" s="347"/>
      <c r="O4" s="347"/>
      <c r="P4" s="347"/>
    </row>
    <row r="5" spans="1:16" s="348" customFormat="1" ht="27" customHeight="1" x14ac:dyDescent="0.45">
      <c r="A5" s="349"/>
      <c r="B5" s="349"/>
      <c r="C5" s="349"/>
      <c r="D5" s="349"/>
      <c r="E5" s="349"/>
      <c r="F5" s="349"/>
      <c r="G5" s="1535">
        <v>1403</v>
      </c>
      <c r="H5" s="1517"/>
      <c r="I5" s="1517"/>
      <c r="J5" s="432">
        <v>1402</v>
      </c>
      <c r="K5" s="349"/>
      <c r="L5" s="347"/>
      <c r="M5" s="347"/>
      <c r="N5" s="347"/>
      <c r="O5" s="347"/>
      <c r="P5" s="347"/>
    </row>
    <row r="6" spans="1:16" s="348" customFormat="1" ht="27" customHeight="1" x14ac:dyDescent="0.45">
      <c r="A6" s="377"/>
      <c r="B6" s="179" t="str">
        <f>'17'!E32</f>
        <v>17-6</v>
      </c>
      <c r="C6" s="1525" t="s">
        <v>700</v>
      </c>
      <c r="D6" s="1525"/>
      <c r="E6" s="1525"/>
      <c r="F6" s="433"/>
      <c r="G6" s="434" t="s">
        <v>591</v>
      </c>
      <c r="H6" s="179"/>
      <c r="I6" s="179"/>
      <c r="J6" s="435" t="s">
        <v>591</v>
      </c>
      <c r="K6" s="349"/>
      <c r="L6" s="347"/>
      <c r="M6" s="347"/>
      <c r="N6" s="347"/>
      <c r="O6" s="347"/>
      <c r="P6" s="347"/>
    </row>
    <row r="7" spans="1:16" s="348" customFormat="1" ht="27" hidden="1" customHeight="1" x14ac:dyDescent="0.45">
      <c r="A7" s="346"/>
      <c r="B7" s="346"/>
      <c r="C7" s="349"/>
      <c r="D7" s="179" t="s">
        <v>695</v>
      </c>
      <c r="E7" s="349"/>
      <c r="F7" s="349"/>
      <c r="G7" s="414">
        <v>0</v>
      </c>
      <c r="H7" s="222"/>
      <c r="I7" s="222"/>
      <c r="J7" s="414">
        <v>0</v>
      </c>
      <c r="K7" s="349"/>
      <c r="L7" s="347"/>
      <c r="M7" s="347"/>
      <c r="N7" s="347"/>
      <c r="O7" s="347"/>
      <c r="P7" s="347"/>
    </row>
    <row r="8" spans="1:16" s="348" customFormat="1" ht="27" hidden="1" customHeight="1" x14ac:dyDescent="0.45">
      <c r="A8" s="346"/>
      <c r="B8" s="346"/>
      <c r="C8" s="349"/>
      <c r="D8" s="179" t="s">
        <v>696</v>
      </c>
      <c r="E8" s="349"/>
      <c r="F8" s="349"/>
      <c r="G8" s="414">
        <v>0</v>
      </c>
      <c r="H8" s="222"/>
      <c r="I8" s="222"/>
      <c r="J8" s="414">
        <v>0</v>
      </c>
      <c r="K8" s="349"/>
      <c r="L8" s="347"/>
      <c r="M8" s="347"/>
      <c r="N8" s="347"/>
      <c r="O8" s="347"/>
      <c r="P8" s="347"/>
    </row>
    <row r="9" spans="1:16" s="348" customFormat="1" ht="27" customHeight="1" x14ac:dyDescent="0.45">
      <c r="A9" s="346"/>
      <c r="B9" s="346"/>
      <c r="C9" s="349"/>
      <c r="D9" s="179" t="s">
        <v>697</v>
      </c>
      <c r="E9" s="349"/>
      <c r="F9" s="349"/>
      <c r="G9" s="414">
        <v>352814</v>
      </c>
      <c r="H9" s="222"/>
      <c r="I9" s="222"/>
      <c r="J9" s="414">
        <v>114710429</v>
      </c>
      <c r="K9" s="349"/>
      <c r="L9" s="347"/>
      <c r="M9" s="347"/>
      <c r="N9" s="347"/>
      <c r="O9" s="347"/>
      <c r="P9" s="347"/>
    </row>
    <row r="10" spans="1:16" s="348" customFormat="1" ht="27" hidden="1" customHeight="1" x14ac:dyDescent="0.45">
      <c r="A10" s="346"/>
      <c r="B10" s="346"/>
      <c r="C10" s="349"/>
      <c r="D10" s="179" t="s">
        <v>698</v>
      </c>
      <c r="E10" s="349"/>
      <c r="F10" s="349"/>
      <c r="G10" s="414">
        <v>0</v>
      </c>
      <c r="H10" s="222"/>
      <c r="I10" s="222"/>
      <c r="J10" s="414">
        <v>0</v>
      </c>
      <c r="K10" s="349"/>
      <c r="L10" s="347"/>
      <c r="M10" s="347"/>
      <c r="N10" s="347"/>
      <c r="O10" s="347"/>
      <c r="P10" s="347"/>
    </row>
    <row r="11" spans="1:16" s="348" customFormat="1" ht="27" customHeight="1" x14ac:dyDescent="0.45">
      <c r="A11" s="346"/>
      <c r="B11" s="346"/>
      <c r="C11" s="349"/>
      <c r="D11" s="179" t="s">
        <v>699</v>
      </c>
      <c r="E11" s="349"/>
      <c r="F11" s="349"/>
      <c r="G11" s="414">
        <v>9384088646</v>
      </c>
      <c r="H11" s="222"/>
      <c r="I11" s="222"/>
      <c r="J11" s="414">
        <v>4856688453</v>
      </c>
      <c r="K11" s="349"/>
      <c r="L11" s="347"/>
      <c r="M11" s="347"/>
      <c r="N11" s="347"/>
      <c r="O11" s="347"/>
      <c r="P11" s="347"/>
    </row>
    <row r="12" spans="1:16" s="348" customFormat="1" ht="27" customHeight="1" x14ac:dyDescent="0.45">
      <c r="A12" s="346"/>
      <c r="B12" s="346"/>
      <c r="C12" s="346"/>
      <c r="D12" s="237" t="s">
        <v>130</v>
      </c>
      <c r="E12" s="346"/>
      <c r="F12" s="349"/>
      <c r="G12" s="436">
        <f>14559302300-3968640000-1352262431-0+15087500</f>
        <v>9253487369</v>
      </c>
      <c r="H12" s="222"/>
      <c r="I12" s="222"/>
      <c r="J12" s="436">
        <v>2675613997</v>
      </c>
      <c r="K12" s="349"/>
      <c r="L12" s="347"/>
      <c r="M12" s="347"/>
      <c r="N12" s="347"/>
      <c r="O12" s="347"/>
      <c r="P12" s="347"/>
    </row>
    <row r="13" spans="1:16" s="348" customFormat="1" ht="27" customHeight="1" x14ac:dyDescent="0.45">
      <c r="A13" s="346"/>
      <c r="B13" s="346"/>
      <c r="C13" s="346"/>
      <c r="D13" s="346"/>
      <c r="E13" s="346"/>
      <c r="F13" s="349"/>
      <c r="G13" s="437">
        <f>SUM(G7:G12)</f>
        <v>18637928829</v>
      </c>
      <c r="H13" s="222" t="e">
        <f>SUM(#REF!)</f>
        <v>#REF!</v>
      </c>
      <c r="I13" s="222" t="e">
        <f>SUM(#REF!)</f>
        <v>#REF!</v>
      </c>
      <c r="J13" s="437">
        <f>SUM(J7:J12)</f>
        <v>7647012879</v>
      </c>
      <c r="K13" s="349"/>
      <c r="L13" s="347"/>
      <c r="M13" s="347"/>
      <c r="N13" s="347"/>
      <c r="O13" s="347"/>
      <c r="P13" s="347"/>
    </row>
    <row r="14" spans="1:16" s="348" customFormat="1" ht="27" customHeight="1" thickBot="1" x14ac:dyDescent="0.5">
      <c r="A14" s="346"/>
      <c r="B14" s="346"/>
      <c r="C14" s="346"/>
      <c r="D14" s="346"/>
      <c r="E14" s="346"/>
      <c r="F14" s="349"/>
      <c r="G14" s="438">
        <f>SUM(G13:G13)</f>
        <v>18637928829</v>
      </c>
      <c r="H14" s="222"/>
      <c r="I14" s="222"/>
      <c r="J14" s="438">
        <f>SUM(J13:J13)</f>
        <v>7647012879</v>
      </c>
      <c r="K14" s="349"/>
      <c r="L14" s="347"/>
      <c r="M14" s="347" t="b">
        <f>G14='17'!G32</f>
        <v>1</v>
      </c>
      <c r="N14" s="347" t="b">
        <f>J14='17'!I32</f>
        <v>1</v>
      </c>
      <c r="O14" s="347"/>
      <c r="P14" s="347"/>
    </row>
    <row r="15" spans="1:16" s="348" customFormat="1" ht="27" customHeight="1" thickTop="1" x14ac:dyDescent="0.45">
      <c r="A15" s="346"/>
      <c r="B15" s="346"/>
      <c r="C15" s="346"/>
      <c r="D15" s="346"/>
      <c r="E15" s="346"/>
      <c r="F15" s="349"/>
      <c r="G15" s="346"/>
      <c r="H15" s="222"/>
      <c r="I15" s="222"/>
      <c r="J15" s="346"/>
      <c r="K15" s="349"/>
      <c r="L15" s="347"/>
      <c r="M15" s="347"/>
      <c r="N15" s="347"/>
      <c r="O15" s="347"/>
      <c r="P15" s="347"/>
    </row>
    <row r="16" spans="1:16" s="348" customFormat="1" ht="38.25" customHeight="1" x14ac:dyDescent="0.45">
      <c r="A16" s="439"/>
      <c r="B16" s="201" t="s">
        <v>1251</v>
      </c>
      <c r="C16" s="440"/>
      <c r="D16" s="1536" t="s">
        <v>1309</v>
      </c>
      <c r="E16" s="1536"/>
      <c r="F16" s="1536"/>
      <c r="G16" s="1536"/>
      <c r="H16" s="1536"/>
      <c r="I16" s="1536"/>
      <c r="J16" s="1536"/>
      <c r="K16" s="349"/>
      <c r="L16" s="347"/>
      <c r="M16" s="347"/>
      <c r="N16" s="347"/>
      <c r="O16" s="347"/>
      <c r="P16" s="347"/>
    </row>
    <row r="17" spans="1:16" s="348" customFormat="1" ht="27" customHeight="1" x14ac:dyDescent="0.45">
      <c r="A17" s="346"/>
      <c r="B17" s="346"/>
      <c r="C17" s="346"/>
      <c r="D17" s="346"/>
      <c r="E17" s="346"/>
      <c r="F17" s="349"/>
      <c r="G17" s="346"/>
      <c r="H17" s="222"/>
      <c r="I17" s="222"/>
      <c r="J17" s="346"/>
      <c r="K17" s="349"/>
      <c r="L17" s="347"/>
      <c r="M17" s="347"/>
      <c r="N17" s="347"/>
      <c r="O17" s="347"/>
      <c r="P17" s="347"/>
    </row>
    <row r="18" spans="1:16" s="348" customFormat="1" ht="27" customHeight="1" x14ac:dyDescent="0.45">
      <c r="A18" s="346"/>
      <c r="B18" s="346"/>
      <c r="C18" s="346"/>
      <c r="D18" s="346"/>
      <c r="E18" s="346"/>
      <c r="F18" s="349"/>
      <c r="G18" s="346"/>
      <c r="H18" s="222"/>
      <c r="I18" s="222"/>
      <c r="J18" s="346"/>
      <c r="K18" s="349"/>
      <c r="L18" s="347"/>
      <c r="M18" s="347"/>
      <c r="N18" s="347"/>
      <c r="O18" s="347"/>
      <c r="P18" s="347"/>
    </row>
    <row r="19" spans="1:16" s="348" customFormat="1" ht="340.5" customHeight="1" x14ac:dyDescent="0.45">
      <c r="A19" s="346"/>
      <c r="B19" s="346"/>
      <c r="C19" s="346"/>
      <c r="D19" s="346"/>
      <c r="E19" s="346"/>
      <c r="F19" s="349"/>
      <c r="G19" s="346"/>
      <c r="H19" s="222"/>
      <c r="I19" s="222"/>
      <c r="J19" s="346"/>
      <c r="K19" s="349"/>
      <c r="L19" s="347"/>
      <c r="M19" s="347"/>
      <c r="N19" s="347"/>
      <c r="O19" s="347"/>
      <c r="P19" s="347"/>
    </row>
    <row r="20" spans="1:16" ht="168.75" customHeight="1" x14ac:dyDescent="0.25">
      <c r="A20" s="1534">
        <v>25</v>
      </c>
      <c r="B20" s="1534"/>
      <c r="C20" s="1534"/>
      <c r="D20" s="1534"/>
      <c r="E20" s="1534"/>
      <c r="F20" s="1534"/>
      <c r="G20" s="1534"/>
      <c r="H20" s="1534"/>
      <c r="I20" s="1534"/>
      <c r="J20" s="1534"/>
    </row>
    <row r="21" spans="1:16" ht="27" customHeight="1" x14ac:dyDescent="0.25">
      <c r="G21" s="232"/>
      <c r="H21" s="232"/>
      <c r="I21" s="232"/>
      <c r="J21" s="232"/>
    </row>
  </sheetData>
  <customSheetViews>
    <customSheetView guid="{39716EAB-185B-4ADF-90CF-1B1041867F58}" scale="80" showPageBreaks="1" printArea="1" view="pageBreakPreview" topLeftCell="A4">
      <selection activeCell="J15" sqref="J15"/>
      <pageMargins left="0.7" right="0.7" top="0.75" bottom="0.75" header="0.3" footer="0.3"/>
      <pageSetup paperSize="9" scale="62" orientation="portrait" r:id="rId1"/>
    </customSheetView>
    <customSheetView guid="{5CB8382F-C212-4512-9396-17792C62978E}" scale="80" showPageBreaks="1" printArea="1" view="pageBreakPreview" topLeftCell="A4">
      <selection activeCell="J15" sqref="J15"/>
      <pageMargins left="0.7" right="0.7" top="0.75" bottom="0.75" header="0.3" footer="0.3"/>
      <pageSetup paperSize="9" scale="62" orientation="portrait" r:id="rId2"/>
    </customSheetView>
    <customSheetView guid="{184BCED3-EADB-44CF-BFDA-DA8D3E7206C0}" scale="80" showPageBreaks="1" printArea="1" view="pageBreakPreview" topLeftCell="A10">
      <selection activeCell="J22" sqref="J22"/>
      <pageMargins left="0.7" right="0.7" top="0.75" bottom="0.75" header="0.3" footer="0.3"/>
      <pageSetup paperSize="9" scale="62" orientation="portrait" r:id="rId3"/>
    </customSheetView>
  </customSheetViews>
  <mergeCells count="7">
    <mergeCell ref="A20:J20"/>
    <mergeCell ref="A1:K1"/>
    <mergeCell ref="A2:K2"/>
    <mergeCell ref="A3:K3"/>
    <mergeCell ref="C6:E6"/>
    <mergeCell ref="G5:I5"/>
    <mergeCell ref="D16:J16"/>
  </mergeCells>
  <conditionalFormatting sqref="D21:D1048576 D1:D11">
    <cfRule type="duplicateValues" dxfId="52" priority="9"/>
  </conditionalFormatting>
  <conditionalFormatting sqref="J13">
    <cfRule type="cellIs" dxfId="51" priority="5" stopIfTrue="1" operator="lessThan">
      <formula>0</formula>
    </cfRule>
  </conditionalFormatting>
  <hyperlinks>
    <hyperlink ref="A1:XFD3" r:id="rId4" display="http://modiriatmali.com/" xr:uid="{00000000-0004-0000-1A00-000000000000}"/>
  </hyperlinks>
  <printOptions horizontalCentered="1"/>
  <pageMargins left="0.2" right="0.2" top="0.25" bottom="0.25" header="0.3" footer="0.3"/>
  <pageSetup paperSize="9" scale="87" orientation="portrait" r:id="rId5"/>
  <legacyDrawing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A1:S65"/>
  <sheetViews>
    <sheetView rightToLeft="1" view="pageBreakPreview" zoomScale="90" zoomScaleNormal="100" zoomScaleSheetLayoutView="90" workbookViewId="0">
      <selection activeCell="J12" sqref="J12"/>
    </sheetView>
  </sheetViews>
  <sheetFormatPr defaultRowHeight="24.75" x14ac:dyDescent="0.25"/>
  <cols>
    <col min="1" max="1" width="6.85546875" style="451" bestFit="1" customWidth="1"/>
    <col min="2" max="2" width="57.42578125" style="447" customWidth="1"/>
    <col min="3" max="3" width="0.7109375" style="447" customWidth="1"/>
    <col min="4" max="4" width="0.5703125" style="447" customWidth="1"/>
    <col min="5" max="5" width="0.7109375" style="447" customWidth="1"/>
    <col min="6" max="6" width="13" style="447" bestFit="1" customWidth="1"/>
    <col min="7" max="7" width="0.7109375" style="447" customWidth="1"/>
    <col min="8" max="8" width="31" style="424" bestFit="1" customWidth="1"/>
    <col min="9" max="9" width="1" style="447" customWidth="1"/>
    <col min="10" max="10" width="31" style="447" bestFit="1" customWidth="1"/>
    <col min="11" max="11" width="0.7109375" style="447" customWidth="1"/>
    <col min="12" max="12" width="6.140625" style="447" customWidth="1"/>
    <col min="13" max="13" width="0.7109375" style="447" customWidth="1"/>
    <col min="14" max="14" width="11.5703125" style="447" customWidth="1"/>
    <col min="15" max="15" width="1.85546875" style="447" customWidth="1"/>
    <col min="16" max="16" width="12.85546875" style="448" bestFit="1" customWidth="1"/>
    <col min="17" max="17" width="15.28515625" style="448" bestFit="1" customWidth="1"/>
    <col min="18" max="18" width="5" style="447" customWidth="1"/>
    <col min="19" max="19" width="10.42578125" style="447" bestFit="1" customWidth="1"/>
    <col min="20" max="20" width="5" style="447" customWidth="1"/>
    <col min="21" max="21" width="10.42578125" style="447" bestFit="1" customWidth="1"/>
    <col min="22" max="24" width="9" style="447"/>
    <col min="25" max="25" width="10.42578125" style="447" bestFit="1" customWidth="1"/>
    <col min="26" max="254" width="9" style="447"/>
    <col min="255" max="255" width="3.5703125" style="447" customWidth="1"/>
    <col min="256" max="256" width="4.85546875" style="447" customWidth="1"/>
    <col min="257" max="257" width="5.42578125" style="447" customWidth="1"/>
    <col min="258" max="258" width="31.28515625" style="447" customWidth="1"/>
    <col min="259" max="259" width="7.5703125" style="447" customWidth="1"/>
    <col min="260" max="260" width="2.42578125" style="447" customWidth="1"/>
    <col min="261" max="261" width="11.5703125" style="447" customWidth="1"/>
    <col min="262" max="262" width="2.42578125" style="447" customWidth="1"/>
    <col min="263" max="263" width="11.5703125" style="447" customWidth="1"/>
    <col min="264" max="264" width="2.42578125" style="447" customWidth="1"/>
    <col min="265" max="265" width="10.85546875" style="447" customWidth="1"/>
    <col min="266" max="266" width="2.42578125" style="447" customWidth="1"/>
    <col min="267" max="267" width="11.140625" style="447" customWidth="1"/>
    <col min="268" max="268" width="1.85546875" style="447" customWidth="1"/>
    <col min="269" max="269" width="11" style="447" customWidth="1"/>
    <col min="270" max="270" width="0.7109375" style="447" customWidth="1"/>
    <col min="271" max="271" width="1.85546875" style="447" customWidth="1"/>
    <col min="272" max="272" width="11.85546875" style="447" bestFit="1" customWidth="1"/>
    <col min="273" max="273" width="15.28515625" style="447" bestFit="1" customWidth="1"/>
    <col min="274" max="274" width="5" style="447" customWidth="1"/>
    <col min="275" max="275" width="10.42578125" style="447" bestFit="1" customWidth="1"/>
    <col min="276" max="276" width="5" style="447" customWidth="1"/>
    <col min="277" max="277" width="10.42578125" style="447" bestFit="1" customWidth="1"/>
    <col min="278" max="280" width="9" style="447"/>
    <col min="281" max="281" width="10.42578125" style="447" bestFit="1" customWidth="1"/>
    <col min="282" max="510" width="9" style="447"/>
    <col min="511" max="511" width="3.5703125" style="447" customWidth="1"/>
    <col min="512" max="512" width="4.85546875" style="447" customWidth="1"/>
    <col min="513" max="513" width="5.42578125" style="447" customWidth="1"/>
    <col min="514" max="514" width="31.28515625" style="447" customWidth="1"/>
    <col min="515" max="515" width="7.5703125" style="447" customWidth="1"/>
    <col min="516" max="516" width="2.42578125" style="447" customWidth="1"/>
    <col min="517" max="517" width="11.5703125" style="447" customWidth="1"/>
    <col min="518" max="518" width="2.42578125" style="447" customWidth="1"/>
    <col min="519" max="519" width="11.5703125" style="447" customWidth="1"/>
    <col min="520" max="520" width="2.42578125" style="447" customWidth="1"/>
    <col min="521" max="521" width="10.85546875" style="447" customWidth="1"/>
    <col min="522" max="522" width="2.42578125" style="447" customWidth="1"/>
    <col min="523" max="523" width="11.140625" style="447" customWidth="1"/>
    <col min="524" max="524" width="1.85546875" style="447" customWidth="1"/>
    <col min="525" max="525" width="11" style="447" customWidth="1"/>
    <col min="526" max="526" width="0.7109375" style="447" customWidth="1"/>
    <col min="527" max="527" width="1.85546875" style="447" customWidth="1"/>
    <col min="528" max="528" width="11.85546875" style="447" bestFit="1" customWidth="1"/>
    <col min="529" max="529" width="15.28515625" style="447" bestFit="1" customWidth="1"/>
    <col min="530" max="530" width="5" style="447" customWidth="1"/>
    <col min="531" max="531" width="10.42578125" style="447" bestFit="1" customWidth="1"/>
    <col min="532" max="532" width="5" style="447" customWidth="1"/>
    <col min="533" max="533" width="10.42578125" style="447" bestFit="1" customWidth="1"/>
    <col min="534" max="536" width="9" style="447"/>
    <col min="537" max="537" width="10.42578125" style="447" bestFit="1" customWidth="1"/>
    <col min="538" max="766" width="9" style="447"/>
    <col min="767" max="767" width="3.5703125" style="447" customWidth="1"/>
    <col min="768" max="768" width="4.85546875" style="447" customWidth="1"/>
    <col min="769" max="769" width="5.42578125" style="447" customWidth="1"/>
    <col min="770" max="770" width="31.28515625" style="447" customWidth="1"/>
    <col min="771" max="771" width="7.5703125" style="447" customWidth="1"/>
    <col min="772" max="772" width="2.42578125" style="447" customWidth="1"/>
    <col min="773" max="773" width="11.5703125" style="447" customWidth="1"/>
    <col min="774" max="774" width="2.42578125" style="447" customWidth="1"/>
    <col min="775" max="775" width="11.5703125" style="447" customWidth="1"/>
    <col min="776" max="776" width="2.42578125" style="447" customWidth="1"/>
    <col min="777" max="777" width="10.85546875" style="447" customWidth="1"/>
    <col min="778" max="778" width="2.42578125" style="447" customWidth="1"/>
    <col min="779" max="779" width="11.140625" style="447" customWidth="1"/>
    <col min="780" max="780" width="1.85546875" style="447" customWidth="1"/>
    <col min="781" max="781" width="11" style="447" customWidth="1"/>
    <col min="782" max="782" width="0.7109375" style="447" customWidth="1"/>
    <col min="783" max="783" width="1.85546875" style="447" customWidth="1"/>
    <col min="784" max="784" width="11.85546875" style="447" bestFit="1" customWidth="1"/>
    <col min="785" max="785" width="15.28515625" style="447" bestFit="1" customWidth="1"/>
    <col min="786" max="786" width="5" style="447" customWidth="1"/>
    <col min="787" max="787" width="10.42578125" style="447" bestFit="1" customWidth="1"/>
    <col min="788" max="788" width="5" style="447" customWidth="1"/>
    <col min="789" max="789" width="10.42578125" style="447" bestFit="1" customWidth="1"/>
    <col min="790" max="792" width="9" style="447"/>
    <col min="793" max="793" width="10.42578125" style="447" bestFit="1" customWidth="1"/>
    <col min="794" max="1022" width="9" style="447"/>
    <col min="1023" max="1023" width="3.5703125" style="447" customWidth="1"/>
    <col min="1024" max="1024" width="4.85546875" style="447" customWidth="1"/>
    <col min="1025" max="1025" width="5.42578125" style="447" customWidth="1"/>
    <col min="1026" max="1026" width="31.28515625" style="447" customWidth="1"/>
    <col min="1027" max="1027" width="7.5703125" style="447" customWidth="1"/>
    <col min="1028" max="1028" width="2.42578125" style="447" customWidth="1"/>
    <col min="1029" max="1029" width="11.5703125" style="447" customWidth="1"/>
    <col min="1030" max="1030" width="2.42578125" style="447" customWidth="1"/>
    <col min="1031" max="1031" width="11.5703125" style="447" customWidth="1"/>
    <col min="1032" max="1032" width="2.42578125" style="447" customWidth="1"/>
    <col min="1033" max="1033" width="10.85546875" style="447" customWidth="1"/>
    <col min="1034" max="1034" width="2.42578125" style="447" customWidth="1"/>
    <col min="1035" max="1035" width="11.140625" style="447" customWidth="1"/>
    <col min="1036" max="1036" width="1.85546875" style="447" customWidth="1"/>
    <col min="1037" max="1037" width="11" style="447" customWidth="1"/>
    <col min="1038" max="1038" width="0.7109375" style="447" customWidth="1"/>
    <col min="1039" max="1039" width="1.85546875" style="447" customWidth="1"/>
    <col min="1040" max="1040" width="11.85546875" style="447" bestFit="1" customWidth="1"/>
    <col min="1041" max="1041" width="15.28515625" style="447" bestFit="1" customWidth="1"/>
    <col min="1042" max="1042" width="5" style="447" customWidth="1"/>
    <col min="1043" max="1043" width="10.42578125" style="447" bestFit="1" customWidth="1"/>
    <col min="1044" max="1044" width="5" style="447" customWidth="1"/>
    <col min="1045" max="1045" width="10.42578125" style="447" bestFit="1" customWidth="1"/>
    <col min="1046" max="1048" width="9" style="447"/>
    <col min="1049" max="1049" width="10.42578125" style="447" bestFit="1" customWidth="1"/>
    <col min="1050" max="1278" width="9" style="447"/>
    <col min="1279" max="1279" width="3.5703125" style="447" customWidth="1"/>
    <col min="1280" max="1280" width="4.85546875" style="447" customWidth="1"/>
    <col min="1281" max="1281" width="5.42578125" style="447" customWidth="1"/>
    <col min="1282" max="1282" width="31.28515625" style="447" customWidth="1"/>
    <col min="1283" max="1283" width="7.5703125" style="447" customWidth="1"/>
    <col min="1284" max="1284" width="2.42578125" style="447" customWidth="1"/>
    <col min="1285" max="1285" width="11.5703125" style="447" customWidth="1"/>
    <col min="1286" max="1286" width="2.42578125" style="447" customWidth="1"/>
    <col min="1287" max="1287" width="11.5703125" style="447" customWidth="1"/>
    <col min="1288" max="1288" width="2.42578125" style="447" customWidth="1"/>
    <col min="1289" max="1289" width="10.85546875" style="447" customWidth="1"/>
    <col min="1290" max="1290" width="2.42578125" style="447" customWidth="1"/>
    <col min="1291" max="1291" width="11.140625" style="447" customWidth="1"/>
    <col min="1292" max="1292" width="1.85546875" style="447" customWidth="1"/>
    <col min="1293" max="1293" width="11" style="447" customWidth="1"/>
    <col min="1294" max="1294" width="0.7109375" style="447" customWidth="1"/>
    <col min="1295" max="1295" width="1.85546875" style="447" customWidth="1"/>
    <col min="1296" max="1296" width="11.85546875" style="447" bestFit="1" customWidth="1"/>
    <col min="1297" max="1297" width="15.28515625" style="447" bestFit="1" customWidth="1"/>
    <col min="1298" max="1298" width="5" style="447" customWidth="1"/>
    <col min="1299" max="1299" width="10.42578125" style="447" bestFit="1" customWidth="1"/>
    <col min="1300" max="1300" width="5" style="447" customWidth="1"/>
    <col min="1301" max="1301" width="10.42578125" style="447" bestFit="1" customWidth="1"/>
    <col min="1302" max="1304" width="9" style="447"/>
    <col min="1305" max="1305" width="10.42578125" style="447" bestFit="1" customWidth="1"/>
    <col min="1306" max="1534" width="9" style="447"/>
    <col min="1535" max="1535" width="3.5703125" style="447" customWidth="1"/>
    <col min="1536" max="1536" width="4.85546875" style="447" customWidth="1"/>
    <col min="1537" max="1537" width="5.42578125" style="447" customWidth="1"/>
    <col min="1538" max="1538" width="31.28515625" style="447" customWidth="1"/>
    <col min="1539" max="1539" width="7.5703125" style="447" customWidth="1"/>
    <col min="1540" max="1540" width="2.42578125" style="447" customWidth="1"/>
    <col min="1541" max="1541" width="11.5703125" style="447" customWidth="1"/>
    <col min="1542" max="1542" width="2.42578125" style="447" customWidth="1"/>
    <col min="1543" max="1543" width="11.5703125" style="447" customWidth="1"/>
    <col min="1544" max="1544" width="2.42578125" style="447" customWidth="1"/>
    <col min="1545" max="1545" width="10.85546875" style="447" customWidth="1"/>
    <col min="1546" max="1546" width="2.42578125" style="447" customWidth="1"/>
    <col min="1547" max="1547" width="11.140625" style="447" customWidth="1"/>
    <col min="1548" max="1548" width="1.85546875" style="447" customWidth="1"/>
    <col min="1549" max="1549" width="11" style="447" customWidth="1"/>
    <col min="1550" max="1550" width="0.7109375" style="447" customWidth="1"/>
    <col min="1551" max="1551" width="1.85546875" style="447" customWidth="1"/>
    <col min="1552" max="1552" width="11.85546875" style="447" bestFit="1" customWidth="1"/>
    <col min="1553" max="1553" width="15.28515625" style="447" bestFit="1" customWidth="1"/>
    <col min="1554" max="1554" width="5" style="447" customWidth="1"/>
    <col min="1555" max="1555" width="10.42578125" style="447" bestFit="1" customWidth="1"/>
    <col min="1556" max="1556" width="5" style="447" customWidth="1"/>
    <col min="1557" max="1557" width="10.42578125" style="447" bestFit="1" customWidth="1"/>
    <col min="1558" max="1560" width="9" style="447"/>
    <col min="1561" max="1561" width="10.42578125" style="447" bestFit="1" customWidth="1"/>
    <col min="1562" max="1790" width="9" style="447"/>
    <col min="1791" max="1791" width="3.5703125" style="447" customWidth="1"/>
    <col min="1792" max="1792" width="4.85546875" style="447" customWidth="1"/>
    <col min="1793" max="1793" width="5.42578125" style="447" customWidth="1"/>
    <col min="1794" max="1794" width="31.28515625" style="447" customWidth="1"/>
    <col min="1795" max="1795" width="7.5703125" style="447" customWidth="1"/>
    <col min="1796" max="1796" width="2.42578125" style="447" customWidth="1"/>
    <col min="1797" max="1797" width="11.5703125" style="447" customWidth="1"/>
    <col min="1798" max="1798" width="2.42578125" style="447" customWidth="1"/>
    <col min="1799" max="1799" width="11.5703125" style="447" customWidth="1"/>
    <col min="1800" max="1800" width="2.42578125" style="447" customWidth="1"/>
    <col min="1801" max="1801" width="10.85546875" style="447" customWidth="1"/>
    <col min="1802" max="1802" width="2.42578125" style="447" customWidth="1"/>
    <col min="1803" max="1803" width="11.140625" style="447" customWidth="1"/>
    <col min="1804" max="1804" width="1.85546875" style="447" customWidth="1"/>
    <col min="1805" max="1805" width="11" style="447" customWidth="1"/>
    <col min="1806" max="1806" width="0.7109375" style="447" customWidth="1"/>
    <col min="1807" max="1807" width="1.85546875" style="447" customWidth="1"/>
    <col min="1808" max="1808" width="11.85546875" style="447" bestFit="1" customWidth="1"/>
    <col min="1809" max="1809" width="15.28515625" style="447" bestFit="1" customWidth="1"/>
    <col min="1810" max="1810" width="5" style="447" customWidth="1"/>
    <col min="1811" max="1811" width="10.42578125" style="447" bestFit="1" customWidth="1"/>
    <col min="1812" max="1812" width="5" style="447" customWidth="1"/>
    <col min="1813" max="1813" width="10.42578125" style="447" bestFit="1" customWidth="1"/>
    <col min="1814" max="1816" width="9" style="447"/>
    <col min="1817" max="1817" width="10.42578125" style="447" bestFit="1" customWidth="1"/>
    <col min="1818" max="2046" width="9" style="447"/>
    <col min="2047" max="2047" width="3.5703125" style="447" customWidth="1"/>
    <col min="2048" max="2048" width="4.85546875" style="447" customWidth="1"/>
    <col min="2049" max="2049" width="5.42578125" style="447" customWidth="1"/>
    <col min="2050" max="2050" width="31.28515625" style="447" customWidth="1"/>
    <col min="2051" max="2051" width="7.5703125" style="447" customWidth="1"/>
    <col min="2052" max="2052" width="2.42578125" style="447" customWidth="1"/>
    <col min="2053" max="2053" width="11.5703125" style="447" customWidth="1"/>
    <col min="2054" max="2054" width="2.42578125" style="447" customWidth="1"/>
    <col min="2055" max="2055" width="11.5703125" style="447" customWidth="1"/>
    <col min="2056" max="2056" width="2.42578125" style="447" customWidth="1"/>
    <col min="2057" max="2057" width="10.85546875" style="447" customWidth="1"/>
    <col min="2058" max="2058" width="2.42578125" style="447" customWidth="1"/>
    <col min="2059" max="2059" width="11.140625" style="447" customWidth="1"/>
    <col min="2060" max="2060" width="1.85546875" style="447" customWidth="1"/>
    <col min="2061" max="2061" width="11" style="447" customWidth="1"/>
    <col min="2062" max="2062" width="0.7109375" style="447" customWidth="1"/>
    <col min="2063" max="2063" width="1.85546875" style="447" customWidth="1"/>
    <col min="2064" max="2064" width="11.85546875" style="447" bestFit="1" customWidth="1"/>
    <col min="2065" max="2065" width="15.28515625" style="447" bestFit="1" customWidth="1"/>
    <col min="2066" max="2066" width="5" style="447" customWidth="1"/>
    <col min="2067" max="2067" width="10.42578125" style="447" bestFit="1" customWidth="1"/>
    <col min="2068" max="2068" width="5" style="447" customWidth="1"/>
    <col min="2069" max="2069" width="10.42578125" style="447" bestFit="1" customWidth="1"/>
    <col min="2070" max="2072" width="9" style="447"/>
    <col min="2073" max="2073" width="10.42578125" style="447" bestFit="1" customWidth="1"/>
    <col min="2074" max="2302" width="9" style="447"/>
    <col min="2303" max="2303" width="3.5703125" style="447" customWidth="1"/>
    <col min="2304" max="2304" width="4.85546875" style="447" customWidth="1"/>
    <col min="2305" max="2305" width="5.42578125" style="447" customWidth="1"/>
    <col min="2306" max="2306" width="31.28515625" style="447" customWidth="1"/>
    <col min="2307" max="2307" width="7.5703125" style="447" customWidth="1"/>
    <col min="2308" max="2308" width="2.42578125" style="447" customWidth="1"/>
    <col min="2309" max="2309" width="11.5703125" style="447" customWidth="1"/>
    <col min="2310" max="2310" width="2.42578125" style="447" customWidth="1"/>
    <col min="2311" max="2311" width="11.5703125" style="447" customWidth="1"/>
    <col min="2312" max="2312" width="2.42578125" style="447" customWidth="1"/>
    <col min="2313" max="2313" width="10.85546875" style="447" customWidth="1"/>
    <col min="2314" max="2314" width="2.42578125" style="447" customWidth="1"/>
    <col min="2315" max="2315" width="11.140625" style="447" customWidth="1"/>
    <col min="2316" max="2316" width="1.85546875" style="447" customWidth="1"/>
    <col min="2317" max="2317" width="11" style="447" customWidth="1"/>
    <col min="2318" max="2318" width="0.7109375" style="447" customWidth="1"/>
    <col min="2319" max="2319" width="1.85546875" style="447" customWidth="1"/>
    <col min="2320" max="2320" width="11.85546875" style="447" bestFit="1" customWidth="1"/>
    <col min="2321" max="2321" width="15.28515625" style="447" bestFit="1" customWidth="1"/>
    <col min="2322" max="2322" width="5" style="447" customWidth="1"/>
    <col min="2323" max="2323" width="10.42578125" style="447" bestFit="1" customWidth="1"/>
    <col min="2324" max="2324" width="5" style="447" customWidth="1"/>
    <col min="2325" max="2325" width="10.42578125" style="447" bestFit="1" customWidth="1"/>
    <col min="2326" max="2328" width="9" style="447"/>
    <col min="2329" max="2329" width="10.42578125" style="447" bestFit="1" customWidth="1"/>
    <col min="2330" max="2558" width="9" style="447"/>
    <col min="2559" max="2559" width="3.5703125" style="447" customWidth="1"/>
    <col min="2560" max="2560" width="4.85546875" style="447" customWidth="1"/>
    <col min="2561" max="2561" width="5.42578125" style="447" customWidth="1"/>
    <col min="2562" max="2562" width="31.28515625" style="447" customWidth="1"/>
    <col min="2563" max="2563" width="7.5703125" style="447" customWidth="1"/>
    <col min="2564" max="2564" width="2.42578125" style="447" customWidth="1"/>
    <col min="2565" max="2565" width="11.5703125" style="447" customWidth="1"/>
    <col min="2566" max="2566" width="2.42578125" style="447" customWidth="1"/>
    <col min="2567" max="2567" width="11.5703125" style="447" customWidth="1"/>
    <col min="2568" max="2568" width="2.42578125" style="447" customWidth="1"/>
    <col min="2569" max="2569" width="10.85546875" style="447" customWidth="1"/>
    <col min="2570" max="2570" width="2.42578125" style="447" customWidth="1"/>
    <col min="2571" max="2571" width="11.140625" style="447" customWidth="1"/>
    <col min="2572" max="2572" width="1.85546875" style="447" customWidth="1"/>
    <col min="2573" max="2573" width="11" style="447" customWidth="1"/>
    <col min="2574" max="2574" width="0.7109375" style="447" customWidth="1"/>
    <col min="2575" max="2575" width="1.85546875" style="447" customWidth="1"/>
    <col min="2576" max="2576" width="11.85546875" style="447" bestFit="1" customWidth="1"/>
    <col min="2577" max="2577" width="15.28515625" style="447" bestFit="1" customWidth="1"/>
    <col min="2578" max="2578" width="5" style="447" customWidth="1"/>
    <col min="2579" max="2579" width="10.42578125" style="447" bestFit="1" customWidth="1"/>
    <col min="2580" max="2580" width="5" style="447" customWidth="1"/>
    <col min="2581" max="2581" width="10.42578125" style="447" bestFit="1" customWidth="1"/>
    <col min="2582" max="2584" width="9" style="447"/>
    <col min="2585" max="2585" width="10.42578125" style="447" bestFit="1" customWidth="1"/>
    <col min="2586" max="2814" width="9" style="447"/>
    <col min="2815" max="2815" width="3.5703125" style="447" customWidth="1"/>
    <col min="2816" max="2816" width="4.85546875" style="447" customWidth="1"/>
    <col min="2817" max="2817" width="5.42578125" style="447" customWidth="1"/>
    <col min="2818" max="2818" width="31.28515625" style="447" customWidth="1"/>
    <col min="2819" max="2819" width="7.5703125" style="447" customWidth="1"/>
    <col min="2820" max="2820" width="2.42578125" style="447" customWidth="1"/>
    <col min="2821" max="2821" width="11.5703125" style="447" customWidth="1"/>
    <col min="2822" max="2822" width="2.42578125" style="447" customWidth="1"/>
    <col min="2823" max="2823" width="11.5703125" style="447" customWidth="1"/>
    <col min="2824" max="2824" width="2.42578125" style="447" customWidth="1"/>
    <col min="2825" max="2825" width="10.85546875" style="447" customWidth="1"/>
    <col min="2826" max="2826" width="2.42578125" style="447" customWidth="1"/>
    <col min="2827" max="2827" width="11.140625" style="447" customWidth="1"/>
    <col min="2828" max="2828" width="1.85546875" style="447" customWidth="1"/>
    <col min="2829" max="2829" width="11" style="447" customWidth="1"/>
    <col min="2830" max="2830" width="0.7109375" style="447" customWidth="1"/>
    <col min="2831" max="2831" width="1.85546875" style="447" customWidth="1"/>
    <col min="2832" max="2832" width="11.85546875" style="447" bestFit="1" customWidth="1"/>
    <col min="2833" max="2833" width="15.28515625" style="447" bestFit="1" customWidth="1"/>
    <col min="2834" max="2834" width="5" style="447" customWidth="1"/>
    <col min="2835" max="2835" width="10.42578125" style="447" bestFit="1" customWidth="1"/>
    <col min="2836" max="2836" width="5" style="447" customWidth="1"/>
    <col min="2837" max="2837" width="10.42578125" style="447" bestFit="1" customWidth="1"/>
    <col min="2838" max="2840" width="9" style="447"/>
    <col min="2841" max="2841" width="10.42578125" style="447" bestFit="1" customWidth="1"/>
    <col min="2842" max="3070" width="9" style="447"/>
    <col min="3071" max="3071" width="3.5703125" style="447" customWidth="1"/>
    <col min="3072" max="3072" width="4.85546875" style="447" customWidth="1"/>
    <col min="3073" max="3073" width="5.42578125" style="447" customWidth="1"/>
    <col min="3074" max="3074" width="31.28515625" style="447" customWidth="1"/>
    <col min="3075" max="3075" width="7.5703125" style="447" customWidth="1"/>
    <col min="3076" max="3076" width="2.42578125" style="447" customWidth="1"/>
    <col min="3077" max="3077" width="11.5703125" style="447" customWidth="1"/>
    <col min="3078" max="3078" width="2.42578125" style="447" customWidth="1"/>
    <col min="3079" max="3079" width="11.5703125" style="447" customWidth="1"/>
    <col min="3080" max="3080" width="2.42578125" style="447" customWidth="1"/>
    <col min="3081" max="3081" width="10.85546875" style="447" customWidth="1"/>
    <col min="3082" max="3082" width="2.42578125" style="447" customWidth="1"/>
    <col min="3083" max="3083" width="11.140625" style="447" customWidth="1"/>
    <col min="3084" max="3084" width="1.85546875" style="447" customWidth="1"/>
    <col min="3085" max="3085" width="11" style="447" customWidth="1"/>
    <col min="3086" max="3086" width="0.7109375" style="447" customWidth="1"/>
    <col min="3087" max="3087" width="1.85546875" style="447" customWidth="1"/>
    <col min="3088" max="3088" width="11.85546875" style="447" bestFit="1" customWidth="1"/>
    <col min="3089" max="3089" width="15.28515625" style="447" bestFit="1" customWidth="1"/>
    <col min="3090" max="3090" width="5" style="447" customWidth="1"/>
    <col min="3091" max="3091" width="10.42578125" style="447" bestFit="1" customWidth="1"/>
    <col min="3092" max="3092" width="5" style="447" customWidth="1"/>
    <col min="3093" max="3093" width="10.42578125" style="447" bestFit="1" customWidth="1"/>
    <col min="3094" max="3096" width="9" style="447"/>
    <col min="3097" max="3097" width="10.42578125" style="447" bestFit="1" customWidth="1"/>
    <col min="3098" max="3326" width="9" style="447"/>
    <col min="3327" max="3327" width="3.5703125" style="447" customWidth="1"/>
    <col min="3328" max="3328" width="4.85546875" style="447" customWidth="1"/>
    <col min="3329" max="3329" width="5.42578125" style="447" customWidth="1"/>
    <col min="3330" max="3330" width="31.28515625" style="447" customWidth="1"/>
    <col min="3331" max="3331" width="7.5703125" style="447" customWidth="1"/>
    <col min="3332" max="3332" width="2.42578125" style="447" customWidth="1"/>
    <col min="3333" max="3333" width="11.5703125" style="447" customWidth="1"/>
    <col min="3334" max="3334" width="2.42578125" style="447" customWidth="1"/>
    <col min="3335" max="3335" width="11.5703125" style="447" customWidth="1"/>
    <col min="3336" max="3336" width="2.42578125" style="447" customWidth="1"/>
    <col min="3337" max="3337" width="10.85546875" style="447" customWidth="1"/>
    <col min="3338" max="3338" width="2.42578125" style="447" customWidth="1"/>
    <col min="3339" max="3339" width="11.140625" style="447" customWidth="1"/>
    <col min="3340" max="3340" width="1.85546875" style="447" customWidth="1"/>
    <col min="3341" max="3341" width="11" style="447" customWidth="1"/>
    <col min="3342" max="3342" width="0.7109375" style="447" customWidth="1"/>
    <col min="3343" max="3343" width="1.85546875" style="447" customWidth="1"/>
    <col min="3344" max="3344" width="11.85546875" style="447" bestFit="1" customWidth="1"/>
    <col min="3345" max="3345" width="15.28515625" style="447" bestFit="1" customWidth="1"/>
    <col min="3346" max="3346" width="5" style="447" customWidth="1"/>
    <col min="3347" max="3347" width="10.42578125" style="447" bestFit="1" customWidth="1"/>
    <col min="3348" max="3348" width="5" style="447" customWidth="1"/>
    <col min="3349" max="3349" width="10.42578125" style="447" bestFit="1" customWidth="1"/>
    <col min="3350" max="3352" width="9" style="447"/>
    <col min="3353" max="3353" width="10.42578125" style="447" bestFit="1" customWidth="1"/>
    <col min="3354" max="3582" width="9" style="447"/>
    <col min="3583" max="3583" width="3.5703125" style="447" customWidth="1"/>
    <col min="3584" max="3584" width="4.85546875" style="447" customWidth="1"/>
    <col min="3585" max="3585" width="5.42578125" style="447" customWidth="1"/>
    <col min="3586" max="3586" width="31.28515625" style="447" customWidth="1"/>
    <col min="3587" max="3587" width="7.5703125" style="447" customWidth="1"/>
    <col min="3588" max="3588" width="2.42578125" style="447" customWidth="1"/>
    <col min="3589" max="3589" width="11.5703125" style="447" customWidth="1"/>
    <col min="3590" max="3590" width="2.42578125" style="447" customWidth="1"/>
    <col min="3591" max="3591" width="11.5703125" style="447" customWidth="1"/>
    <col min="3592" max="3592" width="2.42578125" style="447" customWidth="1"/>
    <col min="3593" max="3593" width="10.85546875" style="447" customWidth="1"/>
    <col min="3594" max="3594" width="2.42578125" style="447" customWidth="1"/>
    <col min="3595" max="3595" width="11.140625" style="447" customWidth="1"/>
    <col min="3596" max="3596" width="1.85546875" style="447" customWidth="1"/>
    <col min="3597" max="3597" width="11" style="447" customWidth="1"/>
    <col min="3598" max="3598" width="0.7109375" style="447" customWidth="1"/>
    <col min="3599" max="3599" width="1.85546875" style="447" customWidth="1"/>
    <col min="3600" max="3600" width="11.85546875" style="447" bestFit="1" customWidth="1"/>
    <col min="3601" max="3601" width="15.28515625" style="447" bestFit="1" customWidth="1"/>
    <col min="3602" max="3602" width="5" style="447" customWidth="1"/>
    <col min="3603" max="3603" width="10.42578125" style="447" bestFit="1" customWidth="1"/>
    <col min="3604" max="3604" width="5" style="447" customWidth="1"/>
    <col min="3605" max="3605" width="10.42578125" style="447" bestFit="1" customWidth="1"/>
    <col min="3606" max="3608" width="9" style="447"/>
    <col min="3609" max="3609" width="10.42578125" style="447" bestFit="1" customWidth="1"/>
    <col min="3610" max="3838" width="9" style="447"/>
    <col min="3839" max="3839" width="3.5703125" style="447" customWidth="1"/>
    <col min="3840" max="3840" width="4.85546875" style="447" customWidth="1"/>
    <col min="3841" max="3841" width="5.42578125" style="447" customWidth="1"/>
    <col min="3842" max="3842" width="31.28515625" style="447" customWidth="1"/>
    <col min="3843" max="3843" width="7.5703125" style="447" customWidth="1"/>
    <col min="3844" max="3844" width="2.42578125" style="447" customWidth="1"/>
    <col min="3845" max="3845" width="11.5703125" style="447" customWidth="1"/>
    <col min="3846" max="3846" width="2.42578125" style="447" customWidth="1"/>
    <col min="3847" max="3847" width="11.5703125" style="447" customWidth="1"/>
    <col min="3848" max="3848" width="2.42578125" style="447" customWidth="1"/>
    <col min="3849" max="3849" width="10.85546875" style="447" customWidth="1"/>
    <col min="3850" max="3850" width="2.42578125" style="447" customWidth="1"/>
    <col min="3851" max="3851" width="11.140625" style="447" customWidth="1"/>
    <col min="3852" max="3852" width="1.85546875" style="447" customWidth="1"/>
    <col min="3853" max="3853" width="11" style="447" customWidth="1"/>
    <col min="3854" max="3854" width="0.7109375" style="447" customWidth="1"/>
    <col min="3855" max="3855" width="1.85546875" style="447" customWidth="1"/>
    <col min="3856" max="3856" width="11.85546875" style="447" bestFit="1" customWidth="1"/>
    <col min="3857" max="3857" width="15.28515625" style="447" bestFit="1" customWidth="1"/>
    <col min="3858" max="3858" width="5" style="447" customWidth="1"/>
    <col min="3859" max="3859" width="10.42578125" style="447" bestFit="1" customWidth="1"/>
    <col min="3860" max="3860" width="5" style="447" customWidth="1"/>
    <col min="3861" max="3861" width="10.42578125" style="447" bestFit="1" customWidth="1"/>
    <col min="3862" max="3864" width="9" style="447"/>
    <col min="3865" max="3865" width="10.42578125" style="447" bestFit="1" customWidth="1"/>
    <col min="3866" max="4094" width="9" style="447"/>
    <col min="4095" max="4095" width="3.5703125" style="447" customWidth="1"/>
    <col min="4096" max="4096" width="4.85546875" style="447" customWidth="1"/>
    <col min="4097" max="4097" width="5.42578125" style="447" customWidth="1"/>
    <col min="4098" max="4098" width="31.28515625" style="447" customWidth="1"/>
    <col min="4099" max="4099" width="7.5703125" style="447" customWidth="1"/>
    <col min="4100" max="4100" width="2.42578125" style="447" customWidth="1"/>
    <col min="4101" max="4101" width="11.5703125" style="447" customWidth="1"/>
    <col min="4102" max="4102" width="2.42578125" style="447" customWidth="1"/>
    <col min="4103" max="4103" width="11.5703125" style="447" customWidth="1"/>
    <col min="4104" max="4104" width="2.42578125" style="447" customWidth="1"/>
    <col min="4105" max="4105" width="10.85546875" style="447" customWidth="1"/>
    <col min="4106" max="4106" width="2.42578125" style="447" customWidth="1"/>
    <col min="4107" max="4107" width="11.140625" style="447" customWidth="1"/>
    <col min="4108" max="4108" width="1.85546875" style="447" customWidth="1"/>
    <col min="4109" max="4109" width="11" style="447" customWidth="1"/>
    <col min="4110" max="4110" width="0.7109375" style="447" customWidth="1"/>
    <col min="4111" max="4111" width="1.85546875" style="447" customWidth="1"/>
    <col min="4112" max="4112" width="11.85546875" style="447" bestFit="1" customWidth="1"/>
    <col min="4113" max="4113" width="15.28515625" style="447" bestFit="1" customWidth="1"/>
    <col min="4114" max="4114" width="5" style="447" customWidth="1"/>
    <col min="4115" max="4115" width="10.42578125" style="447" bestFit="1" customWidth="1"/>
    <col min="4116" max="4116" width="5" style="447" customWidth="1"/>
    <col min="4117" max="4117" width="10.42578125" style="447" bestFit="1" customWidth="1"/>
    <col min="4118" max="4120" width="9" style="447"/>
    <col min="4121" max="4121" width="10.42578125" style="447" bestFit="1" customWidth="1"/>
    <col min="4122" max="4350" width="9" style="447"/>
    <col min="4351" max="4351" width="3.5703125" style="447" customWidth="1"/>
    <col min="4352" max="4352" width="4.85546875" style="447" customWidth="1"/>
    <col min="4353" max="4353" width="5.42578125" style="447" customWidth="1"/>
    <col min="4354" max="4354" width="31.28515625" style="447" customWidth="1"/>
    <col min="4355" max="4355" width="7.5703125" style="447" customWidth="1"/>
    <col min="4356" max="4356" width="2.42578125" style="447" customWidth="1"/>
    <col min="4357" max="4357" width="11.5703125" style="447" customWidth="1"/>
    <col min="4358" max="4358" width="2.42578125" style="447" customWidth="1"/>
    <col min="4359" max="4359" width="11.5703125" style="447" customWidth="1"/>
    <col min="4360" max="4360" width="2.42578125" style="447" customWidth="1"/>
    <col min="4361" max="4361" width="10.85546875" style="447" customWidth="1"/>
    <col min="4362" max="4362" width="2.42578125" style="447" customWidth="1"/>
    <col min="4363" max="4363" width="11.140625" style="447" customWidth="1"/>
    <col min="4364" max="4364" width="1.85546875" style="447" customWidth="1"/>
    <col min="4365" max="4365" width="11" style="447" customWidth="1"/>
    <col min="4366" max="4366" width="0.7109375" style="447" customWidth="1"/>
    <col min="4367" max="4367" width="1.85546875" style="447" customWidth="1"/>
    <col min="4368" max="4368" width="11.85546875" style="447" bestFit="1" customWidth="1"/>
    <col min="4369" max="4369" width="15.28515625" style="447" bestFit="1" customWidth="1"/>
    <col min="4370" max="4370" width="5" style="447" customWidth="1"/>
    <col min="4371" max="4371" width="10.42578125" style="447" bestFit="1" customWidth="1"/>
    <col min="4372" max="4372" width="5" style="447" customWidth="1"/>
    <col min="4373" max="4373" width="10.42578125" style="447" bestFit="1" customWidth="1"/>
    <col min="4374" max="4376" width="9" style="447"/>
    <col min="4377" max="4377" width="10.42578125" style="447" bestFit="1" customWidth="1"/>
    <col min="4378" max="4606" width="9" style="447"/>
    <col min="4607" max="4607" width="3.5703125" style="447" customWidth="1"/>
    <col min="4608" max="4608" width="4.85546875" style="447" customWidth="1"/>
    <col min="4609" max="4609" width="5.42578125" style="447" customWidth="1"/>
    <col min="4610" max="4610" width="31.28515625" style="447" customWidth="1"/>
    <col min="4611" max="4611" width="7.5703125" style="447" customWidth="1"/>
    <col min="4612" max="4612" width="2.42578125" style="447" customWidth="1"/>
    <col min="4613" max="4613" width="11.5703125" style="447" customWidth="1"/>
    <col min="4614" max="4614" width="2.42578125" style="447" customWidth="1"/>
    <col min="4615" max="4615" width="11.5703125" style="447" customWidth="1"/>
    <col min="4616" max="4616" width="2.42578125" style="447" customWidth="1"/>
    <col min="4617" max="4617" width="10.85546875" style="447" customWidth="1"/>
    <col min="4618" max="4618" width="2.42578125" style="447" customWidth="1"/>
    <col min="4619" max="4619" width="11.140625" style="447" customWidth="1"/>
    <col min="4620" max="4620" width="1.85546875" style="447" customWidth="1"/>
    <col min="4621" max="4621" width="11" style="447" customWidth="1"/>
    <col min="4622" max="4622" width="0.7109375" style="447" customWidth="1"/>
    <col min="4623" max="4623" width="1.85546875" style="447" customWidth="1"/>
    <col min="4624" max="4624" width="11.85546875" style="447" bestFit="1" customWidth="1"/>
    <col min="4625" max="4625" width="15.28515625" style="447" bestFit="1" customWidth="1"/>
    <col min="4626" max="4626" width="5" style="447" customWidth="1"/>
    <col min="4627" max="4627" width="10.42578125" style="447" bestFit="1" customWidth="1"/>
    <col min="4628" max="4628" width="5" style="447" customWidth="1"/>
    <col min="4629" max="4629" width="10.42578125" style="447" bestFit="1" customWidth="1"/>
    <col min="4630" max="4632" width="9" style="447"/>
    <col min="4633" max="4633" width="10.42578125" style="447" bestFit="1" customWidth="1"/>
    <col min="4634" max="4862" width="9" style="447"/>
    <col min="4863" max="4863" width="3.5703125" style="447" customWidth="1"/>
    <col min="4864" max="4864" width="4.85546875" style="447" customWidth="1"/>
    <col min="4865" max="4865" width="5.42578125" style="447" customWidth="1"/>
    <col min="4866" max="4866" width="31.28515625" style="447" customWidth="1"/>
    <col min="4867" max="4867" width="7.5703125" style="447" customWidth="1"/>
    <col min="4868" max="4868" width="2.42578125" style="447" customWidth="1"/>
    <col min="4869" max="4869" width="11.5703125" style="447" customWidth="1"/>
    <col min="4870" max="4870" width="2.42578125" style="447" customWidth="1"/>
    <col min="4871" max="4871" width="11.5703125" style="447" customWidth="1"/>
    <col min="4872" max="4872" width="2.42578125" style="447" customWidth="1"/>
    <col min="4873" max="4873" width="10.85546875" style="447" customWidth="1"/>
    <col min="4874" max="4874" width="2.42578125" style="447" customWidth="1"/>
    <col min="4875" max="4875" width="11.140625" style="447" customWidth="1"/>
    <col min="4876" max="4876" width="1.85546875" style="447" customWidth="1"/>
    <col min="4877" max="4877" width="11" style="447" customWidth="1"/>
    <col min="4878" max="4878" width="0.7109375" style="447" customWidth="1"/>
    <col min="4879" max="4879" width="1.85546875" style="447" customWidth="1"/>
    <col min="4880" max="4880" width="11.85546875" style="447" bestFit="1" customWidth="1"/>
    <col min="4881" max="4881" width="15.28515625" style="447" bestFit="1" customWidth="1"/>
    <col min="4882" max="4882" width="5" style="447" customWidth="1"/>
    <col min="4883" max="4883" width="10.42578125" style="447" bestFit="1" customWidth="1"/>
    <col min="4884" max="4884" width="5" style="447" customWidth="1"/>
    <col min="4885" max="4885" width="10.42578125" style="447" bestFit="1" customWidth="1"/>
    <col min="4886" max="4888" width="9" style="447"/>
    <col min="4889" max="4889" width="10.42578125" style="447" bestFit="1" customWidth="1"/>
    <col min="4890" max="5118" width="9" style="447"/>
    <col min="5119" max="5119" width="3.5703125" style="447" customWidth="1"/>
    <col min="5120" max="5120" width="4.85546875" style="447" customWidth="1"/>
    <col min="5121" max="5121" width="5.42578125" style="447" customWidth="1"/>
    <col min="5122" max="5122" width="31.28515625" style="447" customWidth="1"/>
    <col min="5123" max="5123" width="7.5703125" style="447" customWidth="1"/>
    <col min="5124" max="5124" width="2.42578125" style="447" customWidth="1"/>
    <col min="5125" max="5125" width="11.5703125" style="447" customWidth="1"/>
    <col min="5126" max="5126" width="2.42578125" style="447" customWidth="1"/>
    <col min="5127" max="5127" width="11.5703125" style="447" customWidth="1"/>
    <col min="5128" max="5128" width="2.42578125" style="447" customWidth="1"/>
    <col min="5129" max="5129" width="10.85546875" style="447" customWidth="1"/>
    <col min="5130" max="5130" width="2.42578125" style="447" customWidth="1"/>
    <col min="5131" max="5131" width="11.140625" style="447" customWidth="1"/>
    <col min="5132" max="5132" width="1.85546875" style="447" customWidth="1"/>
    <col min="5133" max="5133" width="11" style="447" customWidth="1"/>
    <col min="5134" max="5134" width="0.7109375" style="447" customWidth="1"/>
    <col min="5135" max="5135" width="1.85546875" style="447" customWidth="1"/>
    <col min="5136" max="5136" width="11.85546875" style="447" bestFit="1" customWidth="1"/>
    <col min="5137" max="5137" width="15.28515625" style="447" bestFit="1" customWidth="1"/>
    <col min="5138" max="5138" width="5" style="447" customWidth="1"/>
    <col min="5139" max="5139" width="10.42578125" style="447" bestFit="1" customWidth="1"/>
    <col min="5140" max="5140" width="5" style="447" customWidth="1"/>
    <col min="5141" max="5141" width="10.42578125" style="447" bestFit="1" customWidth="1"/>
    <col min="5142" max="5144" width="9" style="447"/>
    <col min="5145" max="5145" width="10.42578125" style="447" bestFit="1" customWidth="1"/>
    <col min="5146" max="5374" width="9" style="447"/>
    <col min="5375" max="5375" width="3.5703125" style="447" customWidth="1"/>
    <col min="5376" max="5376" width="4.85546875" style="447" customWidth="1"/>
    <col min="5377" max="5377" width="5.42578125" style="447" customWidth="1"/>
    <col min="5378" max="5378" width="31.28515625" style="447" customWidth="1"/>
    <col min="5379" max="5379" width="7.5703125" style="447" customWidth="1"/>
    <col min="5380" max="5380" width="2.42578125" style="447" customWidth="1"/>
    <col min="5381" max="5381" width="11.5703125" style="447" customWidth="1"/>
    <col min="5382" max="5382" width="2.42578125" style="447" customWidth="1"/>
    <col min="5383" max="5383" width="11.5703125" style="447" customWidth="1"/>
    <col min="5384" max="5384" width="2.42578125" style="447" customWidth="1"/>
    <col min="5385" max="5385" width="10.85546875" style="447" customWidth="1"/>
    <col min="5386" max="5386" width="2.42578125" style="447" customWidth="1"/>
    <col min="5387" max="5387" width="11.140625" style="447" customWidth="1"/>
    <col min="5388" max="5388" width="1.85546875" style="447" customWidth="1"/>
    <col min="5389" max="5389" width="11" style="447" customWidth="1"/>
    <col min="5390" max="5390" width="0.7109375" style="447" customWidth="1"/>
    <col min="5391" max="5391" width="1.85546875" style="447" customWidth="1"/>
    <col min="5392" max="5392" width="11.85546875" style="447" bestFit="1" customWidth="1"/>
    <col min="5393" max="5393" width="15.28515625" style="447" bestFit="1" customWidth="1"/>
    <col min="5394" max="5394" width="5" style="447" customWidth="1"/>
    <col min="5395" max="5395" width="10.42578125" style="447" bestFit="1" customWidth="1"/>
    <col min="5396" max="5396" width="5" style="447" customWidth="1"/>
    <col min="5397" max="5397" width="10.42578125" style="447" bestFit="1" customWidth="1"/>
    <col min="5398" max="5400" width="9" style="447"/>
    <col min="5401" max="5401" width="10.42578125" style="447" bestFit="1" customWidth="1"/>
    <col min="5402" max="5630" width="9" style="447"/>
    <col min="5631" max="5631" width="3.5703125" style="447" customWidth="1"/>
    <col min="5632" max="5632" width="4.85546875" style="447" customWidth="1"/>
    <col min="5633" max="5633" width="5.42578125" style="447" customWidth="1"/>
    <col min="5634" max="5634" width="31.28515625" style="447" customWidth="1"/>
    <col min="5635" max="5635" width="7.5703125" style="447" customWidth="1"/>
    <col min="5636" max="5636" width="2.42578125" style="447" customWidth="1"/>
    <col min="5637" max="5637" width="11.5703125" style="447" customWidth="1"/>
    <col min="5638" max="5638" width="2.42578125" style="447" customWidth="1"/>
    <col min="5639" max="5639" width="11.5703125" style="447" customWidth="1"/>
    <col min="5640" max="5640" width="2.42578125" style="447" customWidth="1"/>
    <col min="5641" max="5641" width="10.85546875" style="447" customWidth="1"/>
    <col min="5642" max="5642" width="2.42578125" style="447" customWidth="1"/>
    <col min="5643" max="5643" width="11.140625" style="447" customWidth="1"/>
    <col min="5644" max="5644" width="1.85546875" style="447" customWidth="1"/>
    <col min="5645" max="5645" width="11" style="447" customWidth="1"/>
    <col min="5646" max="5646" width="0.7109375" style="447" customWidth="1"/>
    <col min="5647" max="5647" width="1.85546875" style="447" customWidth="1"/>
    <col min="5648" max="5648" width="11.85546875" style="447" bestFit="1" customWidth="1"/>
    <col min="5649" max="5649" width="15.28515625" style="447" bestFit="1" customWidth="1"/>
    <col min="5650" max="5650" width="5" style="447" customWidth="1"/>
    <col min="5651" max="5651" width="10.42578125" style="447" bestFit="1" customWidth="1"/>
    <col min="5652" max="5652" width="5" style="447" customWidth="1"/>
    <col min="5653" max="5653" width="10.42578125" style="447" bestFit="1" customWidth="1"/>
    <col min="5654" max="5656" width="9" style="447"/>
    <col min="5657" max="5657" width="10.42578125" style="447" bestFit="1" customWidth="1"/>
    <col min="5658" max="5886" width="9" style="447"/>
    <col min="5887" max="5887" width="3.5703125" style="447" customWidth="1"/>
    <col min="5888" max="5888" width="4.85546875" style="447" customWidth="1"/>
    <col min="5889" max="5889" width="5.42578125" style="447" customWidth="1"/>
    <col min="5890" max="5890" width="31.28515625" style="447" customWidth="1"/>
    <col min="5891" max="5891" width="7.5703125" style="447" customWidth="1"/>
    <col min="5892" max="5892" width="2.42578125" style="447" customWidth="1"/>
    <col min="5893" max="5893" width="11.5703125" style="447" customWidth="1"/>
    <col min="5894" max="5894" width="2.42578125" style="447" customWidth="1"/>
    <col min="5895" max="5895" width="11.5703125" style="447" customWidth="1"/>
    <col min="5896" max="5896" width="2.42578125" style="447" customWidth="1"/>
    <col min="5897" max="5897" width="10.85546875" style="447" customWidth="1"/>
    <col min="5898" max="5898" width="2.42578125" style="447" customWidth="1"/>
    <col min="5899" max="5899" width="11.140625" style="447" customWidth="1"/>
    <col min="5900" max="5900" width="1.85546875" style="447" customWidth="1"/>
    <col min="5901" max="5901" width="11" style="447" customWidth="1"/>
    <col min="5902" max="5902" width="0.7109375" style="447" customWidth="1"/>
    <col min="5903" max="5903" width="1.85546875" style="447" customWidth="1"/>
    <col min="5904" max="5904" width="11.85546875" style="447" bestFit="1" customWidth="1"/>
    <col min="5905" max="5905" width="15.28515625" style="447" bestFit="1" customWidth="1"/>
    <col min="5906" max="5906" width="5" style="447" customWidth="1"/>
    <col min="5907" max="5907" width="10.42578125" style="447" bestFit="1" customWidth="1"/>
    <col min="5908" max="5908" width="5" style="447" customWidth="1"/>
    <col min="5909" max="5909" width="10.42578125" style="447" bestFit="1" customWidth="1"/>
    <col min="5910" max="5912" width="9" style="447"/>
    <col min="5913" max="5913" width="10.42578125" style="447" bestFit="1" customWidth="1"/>
    <col min="5914" max="6142" width="9" style="447"/>
    <col min="6143" max="6143" width="3.5703125" style="447" customWidth="1"/>
    <col min="6144" max="6144" width="4.85546875" style="447" customWidth="1"/>
    <col min="6145" max="6145" width="5.42578125" style="447" customWidth="1"/>
    <col min="6146" max="6146" width="31.28515625" style="447" customWidth="1"/>
    <col min="6147" max="6147" width="7.5703125" style="447" customWidth="1"/>
    <col min="6148" max="6148" width="2.42578125" style="447" customWidth="1"/>
    <col min="6149" max="6149" width="11.5703125" style="447" customWidth="1"/>
    <col min="6150" max="6150" width="2.42578125" style="447" customWidth="1"/>
    <col min="6151" max="6151" width="11.5703125" style="447" customWidth="1"/>
    <col min="6152" max="6152" width="2.42578125" style="447" customWidth="1"/>
    <col min="6153" max="6153" width="10.85546875" style="447" customWidth="1"/>
    <col min="6154" max="6154" width="2.42578125" style="447" customWidth="1"/>
    <col min="6155" max="6155" width="11.140625" style="447" customWidth="1"/>
    <col min="6156" max="6156" width="1.85546875" style="447" customWidth="1"/>
    <col min="6157" max="6157" width="11" style="447" customWidth="1"/>
    <col min="6158" max="6158" width="0.7109375" style="447" customWidth="1"/>
    <col min="6159" max="6159" width="1.85546875" style="447" customWidth="1"/>
    <col min="6160" max="6160" width="11.85546875" style="447" bestFit="1" customWidth="1"/>
    <col min="6161" max="6161" width="15.28515625" style="447" bestFit="1" customWidth="1"/>
    <col min="6162" max="6162" width="5" style="447" customWidth="1"/>
    <col min="6163" max="6163" width="10.42578125" style="447" bestFit="1" customWidth="1"/>
    <col min="6164" max="6164" width="5" style="447" customWidth="1"/>
    <col min="6165" max="6165" width="10.42578125" style="447" bestFit="1" customWidth="1"/>
    <col min="6166" max="6168" width="9" style="447"/>
    <col min="6169" max="6169" width="10.42578125" style="447" bestFit="1" customWidth="1"/>
    <col min="6170" max="6398" width="9" style="447"/>
    <col min="6399" max="6399" width="3.5703125" style="447" customWidth="1"/>
    <col min="6400" max="6400" width="4.85546875" style="447" customWidth="1"/>
    <col min="6401" max="6401" width="5.42578125" style="447" customWidth="1"/>
    <col min="6402" max="6402" width="31.28515625" style="447" customWidth="1"/>
    <col min="6403" max="6403" width="7.5703125" style="447" customWidth="1"/>
    <col min="6404" max="6404" width="2.42578125" style="447" customWidth="1"/>
    <col min="6405" max="6405" width="11.5703125" style="447" customWidth="1"/>
    <col min="6406" max="6406" width="2.42578125" style="447" customWidth="1"/>
    <col min="6407" max="6407" width="11.5703125" style="447" customWidth="1"/>
    <col min="6408" max="6408" width="2.42578125" style="447" customWidth="1"/>
    <col min="6409" max="6409" width="10.85546875" style="447" customWidth="1"/>
    <col min="6410" max="6410" width="2.42578125" style="447" customWidth="1"/>
    <col min="6411" max="6411" width="11.140625" style="447" customWidth="1"/>
    <col min="6412" max="6412" width="1.85546875" style="447" customWidth="1"/>
    <col min="6413" max="6413" width="11" style="447" customWidth="1"/>
    <col min="6414" max="6414" width="0.7109375" style="447" customWidth="1"/>
    <col min="6415" max="6415" width="1.85546875" style="447" customWidth="1"/>
    <col min="6416" max="6416" width="11.85546875" style="447" bestFit="1" customWidth="1"/>
    <col min="6417" max="6417" width="15.28515625" style="447" bestFit="1" customWidth="1"/>
    <col min="6418" max="6418" width="5" style="447" customWidth="1"/>
    <col min="6419" max="6419" width="10.42578125" style="447" bestFit="1" customWidth="1"/>
    <col min="6420" max="6420" width="5" style="447" customWidth="1"/>
    <col min="6421" max="6421" width="10.42578125" style="447" bestFit="1" customWidth="1"/>
    <col min="6422" max="6424" width="9" style="447"/>
    <col min="6425" max="6425" width="10.42578125" style="447" bestFit="1" customWidth="1"/>
    <col min="6426" max="6654" width="9" style="447"/>
    <col min="6655" max="6655" width="3.5703125" style="447" customWidth="1"/>
    <col min="6656" max="6656" width="4.85546875" style="447" customWidth="1"/>
    <col min="6657" max="6657" width="5.42578125" style="447" customWidth="1"/>
    <col min="6658" max="6658" width="31.28515625" style="447" customWidth="1"/>
    <col min="6659" max="6659" width="7.5703125" style="447" customWidth="1"/>
    <col min="6660" max="6660" width="2.42578125" style="447" customWidth="1"/>
    <col min="6661" max="6661" width="11.5703125" style="447" customWidth="1"/>
    <col min="6662" max="6662" width="2.42578125" style="447" customWidth="1"/>
    <col min="6663" max="6663" width="11.5703125" style="447" customWidth="1"/>
    <col min="6664" max="6664" width="2.42578125" style="447" customWidth="1"/>
    <col min="6665" max="6665" width="10.85546875" style="447" customWidth="1"/>
    <col min="6666" max="6666" width="2.42578125" style="447" customWidth="1"/>
    <col min="6667" max="6667" width="11.140625" style="447" customWidth="1"/>
    <col min="6668" max="6668" width="1.85546875" style="447" customWidth="1"/>
    <col min="6669" max="6669" width="11" style="447" customWidth="1"/>
    <col min="6670" max="6670" width="0.7109375" style="447" customWidth="1"/>
    <col min="6671" max="6671" width="1.85546875" style="447" customWidth="1"/>
    <col min="6672" max="6672" width="11.85546875" style="447" bestFit="1" customWidth="1"/>
    <col min="6673" max="6673" width="15.28515625" style="447" bestFit="1" customWidth="1"/>
    <col min="6674" max="6674" width="5" style="447" customWidth="1"/>
    <col min="6675" max="6675" width="10.42578125" style="447" bestFit="1" customWidth="1"/>
    <col min="6676" max="6676" width="5" style="447" customWidth="1"/>
    <col min="6677" max="6677" width="10.42578125" style="447" bestFit="1" customWidth="1"/>
    <col min="6678" max="6680" width="9" style="447"/>
    <col min="6681" max="6681" width="10.42578125" style="447" bestFit="1" customWidth="1"/>
    <col min="6682" max="6910" width="9" style="447"/>
    <col min="6911" max="6911" width="3.5703125" style="447" customWidth="1"/>
    <col min="6912" max="6912" width="4.85546875" style="447" customWidth="1"/>
    <col min="6913" max="6913" width="5.42578125" style="447" customWidth="1"/>
    <col min="6914" max="6914" width="31.28515625" style="447" customWidth="1"/>
    <col min="6915" max="6915" width="7.5703125" style="447" customWidth="1"/>
    <col min="6916" max="6916" width="2.42578125" style="447" customWidth="1"/>
    <col min="6917" max="6917" width="11.5703125" style="447" customWidth="1"/>
    <col min="6918" max="6918" width="2.42578125" style="447" customWidth="1"/>
    <col min="6919" max="6919" width="11.5703125" style="447" customWidth="1"/>
    <col min="6920" max="6920" width="2.42578125" style="447" customWidth="1"/>
    <col min="6921" max="6921" width="10.85546875" style="447" customWidth="1"/>
    <col min="6922" max="6922" width="2.42578125" style="447" customWidth="1"/>
    <col min="6923" max="6923" width="11.140625" style="447" customWidth="1"/>
    <col min="6924" max="6924" width="1.85546875" style="447" customWidth="1"/>
    <col min="6925" max="6925" width="11" style="447" customWidth="1"/>
    <col min="6926" max="6926" width="0.7109375" style="447" customWidth="1"/>
    <col min="6927" max="6927" width="1.85546875" style="447" customWidth="1"/>
    <col min="6928" max="6928" width="11.85546875" style="447" bestFit="1" customWidth="1"/>
    <col min="6929" max="6929" width="15.28515625" style="447" bestFit="1" customWidth="1"/>
    <col min="6930" max="6930" width="5" style="447" customWidth="1"/>
    <col min="6931" max="6931" width="10.42578125" style="447" bestFit="1" customWidth="1"/>
    <col min="6932" max="6932" width="5" style="447" customWidth="1"/>
    <col min="6933" max="6933" width="10.42578125" style="447" bestFit="1" customWidth="1"/>
    <col min="6934" max="6936" width="9" style="447"/>
    <col min="6937" max="6937" width="10.42578125" style="447" bestFit="1" customWidth="1"/>
    <col min="6938" max="7166" width="9" style="447"/>
    <col min="7167" max="7167" width="3.5703125" style="447" customWidth="1"/>
    <col min="7168" max="7168" width="4.85546875" style="447" customWidth="1"/>
    <col min="7169" max="7169" width="5.42578125" style="447" customWidth="1"/>
    <col min="7170" max="7170" width="31.28515625" style="447" customWidth="1"/>
    <col min="7171" max="7171" width="7.5703125" style="447" customWidth="1"/>
    <col min="7172" max="7172" width="2.42578125" style="447" customWidth="1"/>
    <col min="7173" max="7173" width="11.5703125" style="447" customWidth="1"/>
    <col min="7174" max="7174" width="2.42578125" style="447" customWidth="1"/>
    <col min="7175" max="7175" width="11.5703125" style="447" customWidth="1"/>
    <col min="7176" max="7176" width="2.42578125" style="447" customWidth="1"/>
    <col min="7177" max="7177" width="10.85546875" style="447" customWidth="1"/>
    <col min="7178" max="7178" width="2.42578125" style="447" customWidth="1"/>
    <col min="7179" max="7179" width="11.140625" style="447" customWidth="1"/>
    <col min="7180" max="7180" width="1.85546875" style="447" customWidth="1"/>
    <col min="7181" max="7181" width="11" style="447" customWidth="1"/>
    <col min="7182" max="7182" width="0.7109375" style="447" customWidth="1"/>
    <col min="7183" max="7183" width="1.85546875" style="447" customWidth="1"/>
    <col min="7184" max="7184" width="11.85546875" style="447" bestFit="1" customWidth="1"/>
    <col min="7185" max="7185" width="15.28515625" style="447" bestFit="1" customWidth="1"/>
    <col min="7186" max="7186" width="5" style="447" customWidth="1"/>
    <col min="7187" max="7187" width="10.42578125" style="447" bestFit="1" customWidth="1"/>
    <col min="7188" max="7188" width="5" style="447" customWidth="1"/>
    <col min="7189" max="7189" width="10.42578125" style="447" bestFit="1" customWidth="1"/>
    <col min="7190" max="7192" width="9" style="447"/>
    <col min="7193" max="7193" width="10.42578125" style="447" bestFit="1" customWidth="1"/>
    <col min="7194" max="7422" width="9" style="447"/>
    <col min="7423" max="7423" width="3.5703125" style="447" customWidth="1"/>
    <col min="7424" max="7424" width="4.85546875" style="447" customWidth="1"/>
    <col min="7425" max="7425" width="5.42578125" style="447" customWidth="1"/>
    <col min="7426" max="7426" width="31.28515625" style="447" customWidth="1"/>
    <col min="7427" max="7427" width="7.5703125" style="447" customWidth="1"/>
    <col min="7428" max="7428" width="2.42578125" style="447" customWidth="1"/>
    <col min="7429" max="7429" width="11.5703125" style="447" customWidth="1"/>
    <col min="7430" max="7430" width="2.42578125" style="447" customWidth="1"/>
    <col min="7431" max="7431" width="11.5703125" style="447" customWidth="1"/>
    <col min="7432" max="7432" width="2.42578125" style="447" customWidth="1"/>
    <col min="7433" max="7433" width="10.85546875" style="447" customWidth="1"/>
    <col min="7434" max="7434" width="2.42578125" style="447" customWidth="1"/>
    <col min="7435" max="7435" width="11.140625" style="447" customWidth="1"/>
    <col min="7436" max="7436" width="1.85546875" style="447" customWidth="1"/>
    <col min="7437" max="7437" width="11" style="447" customWidth="1"/>
    <col min="7438" max="7438" width="0.7109375" style="447" customWidth="1"/>
    <col min="7439" max="7439" width="1.85546875" style="447" customWidth="1"/>
    <col min="7440" max="7440" width="11.85546875" style="447" bestFit="1" customWidth="1"/>
    <col min="7441" max="7441" width="15.28515625" style="447" bestFit="1" customWidth="1"/>
    <col min="7442" max="7442" width="5" style="447" customWidth="1"/>
    <col min="7443" max="7443" width="10.42578125" style="447" bestFit="1" customWidth="1"/>
    <col min="7444" max="7444" width="5" style="447" customWidth="1"/>
    <col min="7445" max="7445" width="10.42578125" style="447" bestFit="1" customWidth="1"/>
    <col min="7446" max="7448" width="9" style="447"/>
    <col min="7449" max="7449" width="10.42578125" style="447" bestFit="1" customWidth="1"/>
    <col min="7450" max="7678" width="9" style="447"/>
    <col min="7679" max="7679" width="3.5703125" style="447" customWidth="1"/>
    <col min="7680" max="7680" width="4.85546875" style="447" customWidth="1"/>
    <col min="7681" max="7681" width="5.42578125" style="447" customWidth="1"/>
    <col min="7682" max="7682" width="31.28515625" style="447" customWidth="1"/>
    <col min="7683" max="7683" width="7.5703125" style="447" customWidth="1"/>
    <col min="7684" max="7684" width="2.42578125" style="447" customWidth="1"/>
    <col min="7685" max="7685" width="11.5703125" style="447" customWidth="1"/>
    <col min="7686" max="7686" width="2.42578125" style="447" customWidth="1"/>
    <col min="7687" max="7687" width="11.5703125" style="447" customWidth="1"/>
    <col min="7688" max="7688" width="2.42578125" style="447" customWidth="1"/>
    <col min="7689" max="7689" width="10.85546875" style="447" customWidth="1"/>
    <col min="7690" max="7690" width="2.42578125" style="447" customWidth="1"/>
    <col min="7691" max="7691" width="11.140625" style="447" customWidth="1"/>
    <col min="7692" max="7692" width="1.85546875" style="447" customWidth="1"/>
    <col min="7693" max="7693" width="11" style="447" customWidth="1"/>
    <col min="7694" max="7694" width="0.7109375" style="447" customWidth="1"/>
    <col min="7695" max="7695" width="1.85546875" style="447" customWidth="1"/>
    <col min="7696" max="7696" width="11.85546875" style="447" bestFit="1" customWidth="1"/>
    <col min="7697" max="7697" width="15.28515625" style="447" bestFit="1" customWidth="1"/>
    <col min="7698" max="7698" width="5" style="447" customWidth="1"/>
    <col min="7699" max="7699" width="10.42578125" style="447" bestFit="1" customWidth="1"/>
    <col min="7700" max="7700" width="5" style="447" customWidth="1"/>
    <col min="7701" max="7701" width="10.42578125" style="447" bestFit="1" customWidth="1"/>
    <col min="7702" max="7704" width="9" style="447"/>
    <col min="7705" max="7705" width="10.42578125" style="447" bestFit="1" customWidth="1"/>
    <col min="7706" max="7934" width="9" style="447"/>
    <col min="7935" max="7935" width="3.5703125" style="447" customWidth="1"/>
    <col min="7936" max="7936" width="4.85546875" style="447" customWidth="1"/>
    <col min="7937" max="7937" width="5.42578125" style="447" customWidth="1"/>
    <col min="7938" max="7938" width="31.28515625" style="447" customWidth="1"/>
    <col min="7939" max="7939" width="7.5703125" style="447" customWidth="1"/>
    <col min="7940" max="7940" width="2.42578125" style="447" customWidth="1"/>
    <col min="7941" max="7941" width="11.5703125" style="447" customWidth="1"/>
    <col min="7942" max="7942" width="2.42578125" style="447" customWidth="1"/>
    <col min="7943" max="7943" width="11.5703125" style="447" customWidth="1"/>
    <col min="7944" max="7944" width="2.42578125" style="447" customWidth="1"/>
    <col min="7945" max="7945" width="10.85546875" style="447" customWidth="1"/>
    <col min="7946" max="7946" width="2.42578125" style="447" customWidth="1"/>
    <col min="7947" max="7947" width="11.140625" style="447" customWidth="1"/>
    <col min="7948" max="7948" width="1.85546875" style="447" customWidth="1"/>
    <col min="7949" max="7949" width="11" style="447" customWidth="1"/>
    <col min="7950" max="7950" width="0.7109375" style="447" customWidth="1"/>
    <col min="7951" max="7951" width="1.85546875" style="447" customWidth="1"/>
    <col min="7952" max="7952" width="11.85546875" style="447" bestFit="1" customWidth="1"/>
    <col min="7953" max="7953" width="15.28515625" style="447" bestFit="1" customWidth="1"/>
    <col min="7954" max="7954" width="5" style="447" customWidth="1"/>
    <col min="7955" max="7955" width="10.42578125" style="447" bestFit="1" customWidth="1"/>
    <col min="7956" max="7956" width="5" style="447" customWidth="1"/>
    <col min="7957" max="7957" width="10.42578125" style="447" bestFit="1" customWidth="1"/>
    <col min="7958" max="7960" width="9" style="447"/>
    <col min="7961" max="7961" width="10.42578125" style="447" bestFit="1" customWidth="1"/>
    <col min="7962" max="8190" width="9" style="447"/>
    <col min="8191" max="8191" width="3.5703125" style="447" customWidth="1"/>
    <col min="8192" max="8192" width="4.85546875" style="447" customWidth="1"/>
    <col min="8193" max="8193" width="5.42578125" style="447" customWidth="1"/>
    <col min="8194" max="8194" width="31.28515625" style="447" customWidth="1"/>
    <col min="8195" max="8195" width="7.5703125" style="447" customWidth="1"/>
    <col min="8196" max="8196" width="2.42578125" style="447" customWidth="1"/>
    <col min="8197" max="8197" width="11.5703125" style="447" customWidth="1"/>
    <col min="8198" max="8198" width="2.42578125" style="447" customWidth="1"/>
    <col min="8199" max="8199" width="11.5703125" style="447" customWidth="1"/>
    <col min="8200" max="8200" width="2.42578125" style="447" customWidth="1"/>
    <col min="8201" max="8201" width="10.85546875" style="447" customWidth="1"/>
    <col min="8202" max="8202" width="2.42578125" style="447" customWidth="1"/>
    <col min="8203" max="8203" width="11.140625" style="447" customWidth="1"/>
    <col min="8204" max="8204" width="1.85546875" style="447" customWidth="1"/>
    <col min="8205" max="8205" width="11" style="447" customWidth="1"/>
    <col min="8206" max="8206" width="0.7109375" style="447" customWidth="1"/>
    <col min="8207" max="8207" width="1.85546875" style="447" customWidth="1"/>
    <col min="8208" max="8208" width="11.85546875" style="447" bestFit="1" customWidth="1"/>
    <col min="8209" max="8209" width="15.28515625" style="447" bestFit="1" customWidth="1"/>
    <col min="8210" max="8210" width="5" style="447" customWidth="1"/>
    <col min="8211" max="8211" width="10.42578125" style="447" bestFit="1" customWidth="1"/>
    <col min="8212" max="8212" width="5" style="447" customWidth="1"/>
    <col min="8213" max="8213" width="10.42578125" style="447" bestFit="1" customWidth="1"/>
    <col min="8214" max="8216" width="9" style="447"/>
    <col min="8217" max="8217" width="10.42578125" style="447" bestFit="1" customWidth="1"/>
    <col min="8218" max="8446" width="9" style="447"/>
    <col min="8447" max="8447" width="3.5703125" style="447" customWidth="1"/>
    <col min="8448" max="8448" width="4.85546875" style="447" customWidth="1"/>
    <col min="8449" max="8449" width="5.42578125" style="447" customWidth="1"/>
    <col min="8450" max="8450" width="31.28515625" style="447" customWidth="1"/>
    <col min="8451" max="8451" width="7.5703125" style="447" customWidth="1"/>
    <col min="8452" max="8452" width="2.42578125" style="447" customWidth="1"/>
    <col min="8453" max="8453" width="11.5703125" style="447" customWidth="1"/>
    <col min="8454" max="8454" width="2.42578125" style="447" customWidth="1"/>
    <col min="8455" max="8455" width="11.5703125" style="447" customWidth="1"/>
    <col min="8456" max="8456" width="2.42578125" style="447" customWidth="1"/>
    <col min="8457" max="8457" width="10.85546875" style="447" customWidth="1"/>
    <col min="8458" max="8458" width="2.42578125" style="447" customWidth="1"/>
    <col min="8459" max="8459" width="11.140625" style="447" customWidth="1"/>
    <col min="8460" max="8460" width="1.85546875" style="447" customWidth="1"/>
    <col min="8461" max="8461" width="11" style="447" customWidth="1"/>
    <col min="8462" max="8462" width="0.7109375" style="447" customWidth="1"/>
    <col min="8463" max="8463" width="1.85546875" style="447" customWidth="1"/>
    <col min="8464" max="8464" width="11.85546875" style="447" bestFit="1" customWidth="1"/>
    <col min="8465" max="8465" width="15.28515625" style="447" bestFit="1" customWidth="1"/>
    <col min="8466" max="8466" width="5" style="447" customWidth="1"/>
    <col min="8467" max="8467" width="10.42578125" style="447" bestFit="1" customWidth="1"/>
    <col min="8468" max="8468" width="5" style="447" customWidth="1"/>
    <col min="8469" max="8469" width="10.42578125" style="447" bestFit="1" customWidth="1"/>
    <col min="8470" max="8472" width="9" style="447"/>
    <col min="8473" max="8473" width="10.42578125" style="447" bestFit="1" customWidth="1"/>
    <col min="8474" max="8702" width="9" style="447"/>
    <col min="8703" max="8703" width="3.5703125" style="447" customWidth="1"/>
    <col min="8704" max="8704" width="4.85546875" style="447" customWidth="1"/>
    <col min="8705" max="8705" width="5.42578125" style="447" customWidth="1"/>
    <col min="8706" max="8706" width="31.28515625" style="447" customWidth="1"/>
    <col min="8707" max="8707" width="7.5703125" style="447" customWidth="1"/>
    <col min="8708" max="8708" width="2.42578125" style="447" customWidth="1"/>
    <col min="8709" max="8709" width="11.5703125" style="447" customWidth="1"/>
    <col min="8710" max="8710" width="2.42578125" style="447" customWidth="1"/>
    <col min="8711" max="8711" width="11.5703125" style="447" customWidth="1"/>
    <col min="8712" max="8712" width="2.42578125" style="447" customWidth="1"/>
    <col min="8713" max="8713" width="10.85546875" style="447" customWidth="1"/>
    <col min="8714" max="8714" width="2.42578125" style="447" customWidth="1"/>
    <col min="8715" max="8715" width="11.140625" style="447" customWidth="1"/>
    <col min="8716" max="8716" width="1.85546875" style="447" customWidth="1"/>
    <col min="8717" max="8717" width="11" style="447" customWidth="1"/>
    <col min="8718" max="8718" width="0.7109375" style="447" customWidth="1"/>
    <col min="8719" max="8719" width="1.85546875" style="447" customWidth="1"/>
    <col min="8720" max="8720" width="11.85546875" style="447" bestFit="1" customWidth="1"/>
    <col min="8721" max="8721" width="15.28515625" style="447" bestFit="1" customWidth="1"/>
    <col min="8722" max="8722" width="5" style="447" customWidth="1"/>
    <col min="8723" max="8723" width="10.42578125" style="447" bestFit="1" customWidth="1"/>
    <col min="8724" max="8724" width="5" style="447" customWidth="1"/>
    <col min="8725" max="8725" width="10.42578125" style="447" bestFit="1" customWidth="1"/>
    <col min="8726" max="8728" width="9" style="447"/>
    <col min="8729" max="8729" width="10.42578125" style="447" bestFit="1" customWidth="1"/>
    <col min="8730" max="8958" width="9" style="447"/>
    <col min="8959" max="8959" width="3.5703125" style="447" customWidth="1"/>
    <col min="8960" max="8960" width="4.85546875" style="447" customWidth="1"/>
    <col min="8961" max="8961" width="5.42578125" style="447" customWidth="1"/>
    <col min="8962" max="8962" width="31.28515625" style="447" customWidth="1"/>
    <col min="8963" max="8963" width="7.5703125" style="447" customWidth="1"/>
    <col min="8964" max="8964" width="2.42578125" style="447" customWidth="1"/>
    <col min="8965" max="8965" width="11.5703125" style="447" customWidth="1"/>
    <col min="8966" max="8966" width="2.42578125" style="447" customWidth="1"/>
    <col min="8967" max="8967" width="11.5703125" style="447" customWidth="1"/>
    <col min="8968" max="8968" width="2.42578125" style="447" customWidth="1"/>
    <col min="8969" max="8969" width="10.85546875" style="447" customWidth="1"/>
    <col min="8970" max="8970" width="2.42578125" style="447" customWidth="1"/>
    <col min="8971" max="8971" width="11.140625" style="447" customWidth="1"/>
    <col min="8972" max="8972" width="1.85546875" style="447" customWidth="1"/>
    <col min="8973" max="8973" width="11" style="447" customWidth="1"/>
    <col min="8974" max="8974" width="0.7109375" style="447" customWidth="1"/>
    <col min="8975" max="8975" width="1.85546875" style="447" customWidth="1"/>
    <col min="8976" max="8976" width="11.85546875" style="447" bestFit="1" customWidth="1"/>
    <col min="8977" max="8977" width="15.28515625" style="447" bestFit="1" customWidth="1"/>
    <col min="8978" max="8978" width="5" style="447" customWidth="1"/>
    <col min="8979" max="8979" width="10.42578125" style="447" bestFit="1" customWidth="1"/>
    <col min="8980" max="8980" width="5" style="447" customWidth="1"/>
    <col min="8981" max="8981" width="10.42578125" style="447" bestFit="1" customWidth="1"/>
    <col min="8982" max="8984" width="9" style="447"/>
    <col min="8985" max="8985" width="10.42578125" style="447" bestFit="1" customWidth="1"/>
    <col min="8986" max="9214" width="9" style="447"/>
    <col min="9215" max="9215" width="3.5703125" style="447" customWidth="1"/>
    <col min="9216" max="9216" width="4.85546875" style="447" customWidth="1"/>
    <col min="9217" max="9217" width="5.42578125" style="447" customWidth="1"/>
    <col min="9218" max="9218" width="31.28515625" style="447" customWidth="1"/>
    <col min="9219" max="9219" width="7.5703125" style="447" customWidth="1"/>
    <col min="9220" max="9220" width="2.42578125" style="447" customWidth="1"/>
    <col min="9221" max="9221" width="11.5703125" style="447" customWidth="1"/>
    <col min="9222" max="9222" width="2.42578125" style="447" customWidth="1"/>
    <col min="9223" max="9223" width="11.5703125" style="447" customWidth="1"/>
    <col min="9224" max="9224" width="2.42578125" style="447" customWidth="1"/>
    <col min="9225" max="9225" width="10.85546875" style="447" customWidth="1"/>
    <col min="9226" max="9226" width="2.42578125" style="447" customWidth="1"/>
    <col min="9227" max="9227" width="11.140625" style="447" customWidth="1"/>
    <col min="9228" max="9228" width="1.85546875" style="447" customWidth="1"/>
    <col min="9229" max="9229" width="11" style="447" customWidth="1"/>
    <col min="9230" max="9230" width="0.7109375" style="447" customWidth="1"/>
    <col min="9231" max="9231" width="1.85546875" style="447" customWidth="1"/>
    <col min="9232" max="9232" width="11.85546875" style="447" bestFit="1" customWidth="1"/>
    <col min="9233" max="9233" width="15.28515625" style="447" bestFit="1" customWidth="1"/>
    <col min="9234" max="9234" width="5" style="447" customWidth="1"/>
    <col min="9235" max="9235" width="10.42578125" style="447" bestFit="1" customWidth="1"/>
    <col min="9236" max="9236" width="5" style="447" customWidth="1"/>
    <col min="9237" max="9237" width="10.42578125" style="447" bestFit="1" customWidth="1"/>
    <col min="9238" max="9240" width="9" style="447"/>
    <col min="9241" max="9241" width="10.42578125" style="447" bestFit="1" customWidth="1"/>
    <col min="9242" max="9470" width="9" style="447"/>
    <col min="9471" max="9471" width="3.5703125" style="447" customWidth="1"/>
    <col min="9472" max="9472" width="4.85546875" style="447" customWidth="1"/>
    <col min="9473" max="9473" width="5.42578125" style="447" customWidth="1"/>
    <col min="9474" max="9474" width="31.28515625" style="447" customWidth="1"/>
    <col min="9475" max="9475" width="7.5703125" style="447" customWidth="1"/>
    <col min="9476" max="9476" width="2.42578125" style="447" customWidth="1"/>
    <col min="9477" max="9477" width="11.5703125" style="447" customWidth="1"/>
    <col min="9478" max="9478" width="2.42578125" style="447" customWidth="1"/>
    <col min="9479" max="9479" width="11.5703125" style="447" customWidth="1"/>
    <col min="9480" max="9480" width="2.42578125" style="447" customWidth="1"/>
    <col min="9481" max="9481" width="10.85546875" style="447" customWidth="1"/>
    <col min="9482" max="9482" width="2.42578125" style="447" customWidth="1"/>
    <col min="9483" max="9483" width="11.140625" style="447" customWidth="1"/>
    <col min="9484" max="9484" width="1.85546875" style="447" customWidth="1"/>
    <col min="9485" max="9485" width="11" style="447" customWidth="1"/>
    <col min="9486" max="9486" width="0.7109375" style="447" customWidth="1"/>
    <col min="9487" max="9487" width="1.85546875" style="447" customWidth="1"/>
    <col min="9488" max="9488" width="11.85546875" style="447" bestFit="1" customWidth="1"/>
    <col min="9489" max="9489" width="15.28515625" style="447" bestFit="1" customWidth="1"/>
    <col min="9490" max="9490" width="5" style="447" customWidth="1"/>
    <col min="9491" max="9491" width="10.42578125" style="447" bestFit="1" customWidth="1"/>
    <col min="9492" max="9492" width="5" style="447" customWidth="1"/>
    <col min="9493" max="9493" width="10.42578125" style="447" bestFit="1" customWidth="1"/>
    <col min="9494" max="9496" width="9" style="447"/>
    <col min="9497" max="9497" width="10.42578125" style="447" bestFit="1" customWidth="1"/>
    <col min="9498" max="9726" width="9" style="447"/>
    <col min="9727" max="9727" width="3.5703125" style="447" customWidth="1"/>
    <col min="9728" max="9728" width="4.85546875" style="447" customWidth="1"/>
    <col min="9729" max="9729" width="5.42578125" style="447" customWidth="1"/>
    <col min="9730" max="9730" width="31.28515625" style="447" customWidth="1"/>
    <col min="9731" max="9731" width="7.5703125" style="447" customWidth="1"/>
    <col min="9732" max="9732" width="2.42578125" style="447" customWidth="1"/>
    <col min="9733" max="9733" width="11.5703125" style="447" customWidth="1"/>
    <col min="9734" max="9734" width="2.42578125" style="447" customWidth="1"/>
    <col min="9735" max="9735" width="11.5703125" style="447" customWidth="1"/>
    <col min="9736" max="9736" width="2.42578125" style="447" customWidth="1"/>
    <col min="9737" max="9737" width="10.85546875" style="447" customWidth="1"/>
    <col min="9738" max="9738" width="2.42578125" style="447" customWidth="1"/>
    <col min="9739" max="9739" width="11.140625" style="447" customWidth="1"/>
    <col min="9740" max="9740" width="1.85546875" style="447" customWidth="1"/>
    <col min="9741" max="9741" width="11" style="447" customWidth="1"/>
    <col min="9742" max="9742" width="0.7109375" style="447" customWidth="1"/>
    <col min="9743" max="9743" width="1.85546875" style="447" customWidth="1"/>
    <col min="9744" max="9744" width="11.85546875" style="447" bestFit="1" customWidth="1"/>
    <col min="9745" max="9745" width="15.28515625" style="447" bestFit="1" customWidth="1"/>
    <col min="9746" max="9746" width="5" style="447" customWidth="1"/>
    <col min="9747" max="9747" width="10.42578125" style="447" bestFit="1" customWidth="1"/>
    <col min="9748" max="9748" width="5" style="447" customWidth="1"/>
    <col min="9749" max="9749" width="10.42578125" style="447" bestFit="1" customWidth="1"/>
    <col min="9750" max="9752" width="9" style="447"/>
    <col min="9753" max="9753" width="10.42578125" style="447" bestFit="1" customWidth="1"/>
    <col min="9754" max="9982" width="9" style="447"/>
    <col min="9983" max="9983" width="3.5703125" style="447" customWidth="1"/>
    <col min="9984" max="9984" width="4.85546875" style="447" customWidth="1"/>
    <col min="9985" max="9985" width="5.42578125" style="447" customWidth="1"/>
    <col min="9986" max="9986" width="31.28515625" style="447" customWidth="1"/>
    <col min="9987" max="9987" width="7.5703125" style="447" customWidth="1"/>
    <col min="9988" max="9988" width="2.42578125" style="447" customWidth="1"/>
    <col min="9989" max="9989" width="11.5703125" style="447" customWidth="1"/>
    <col min="9990" max="9990" width="2.42578125" style="447" customWidth="1"/>
    <col min="9991" max="9991" width="11.5703125" style="447" customWidth="1"/>
    <col min="9992" max="9992" width="2.42578125" style="447" customWidth="1"/>
    <col min="9993" max="9993" width="10.85546875" style="447" customWidth="1"/>
    <col min="9994" max="9994" width="2.42578125" style="447" customWidth="1"/>
    <col min="9995" max="9995" width="11.140625" style="447" customWidth="1"/>
    <col min="9996" max="9996" width="1.85546875" style="447" customWidth="1"/>
    <col min="9997" max="9997" width="11" style="447" customWidth="1"/>
    <col min="9998" max="9998" width="0.7109375" style="447" customWidth="1"/>
    <col min="9999" max="9999" width="1.85546875" style="447" customWidth="1"/>
    <col min="10000" max="10000" width="11.85546875" style="447" bestFit="1" customWidth="1"/>
    <col min="10001" max="10001" width="15.28515625" style="447" bestFit="1" customWidth="1"/>
    <col min="10002" max="10002" width="5" style="447" customWidth="1"/>
    <col min="10003" max="10003" width="10.42578125" style="447" bestFit="1" customWidth="1"/>
    <col min="10004" max="10004" width="5" style="447" customWidth="1"/>
    <col min="10005" max="10005" width="10.42578125" style="447" bestFit="1" customWidth="1"/>
    <col min="10006" max="10008" width="9" style="447"/>
    <col min="10009" max="10009" width="10.42578125" style="447" bestFit="1" customWidth="1"/>
    <col min="10010" max="10238" width="9" style="447"/>
    <col min="10239" max="10239" width="3.5703125" style="447" customWidth="1"/>
    <col min="10240" max="10240" width="4.85546875" style="447" customWidth="1"/>
    <col min="10241" max="10241" width="5.42578125" style="447" customWidth="1"/>
    <col min="10242" max="10242" width="31.28515625" style="447" customWidth="1"/>
    <col min="10243" max="10243" width="7.5703125" style="447" customWidth="1"/>
    <col min="10244" max="10244" width="2.42578125" style="447" customWidth="1"/>
    <col min="10245" max="10245" width="11.5703125" style="447" customWidth="1"/>
    <col min="10246" max="10246" width="2.42578125" style="447" customWidth="1"/>
    <col min="10247" max="10247" width="11.5703125" style="447" customWidth="1"/>
    <col min="10248" max="10248" width="2.42578125" style="447" customWidth="1"/>
    <col min="10249" max="10249" width="10.85546875" style="447" customWidth="1"/>
    <col min="10250" max="10250" width="2.42578125" style="447" customWidth="1"/>
    <col min="10251" max="10251" width="11.140625" style="447" customWidth="1"/>
    <col min="10252" max="10252" width="1.85546875" style="447" customWidth="1"/>
    <col min="10253" max="10253" width="11" style="447" customWidth="1"/>
    <col min="10254" max="10254" width="0.7109375" style="447" customWidth="1"/>
    <col min="10255" max="10255" width="1.85546875" style="447" customWidth="1"/>
    <col min="10256" max="10256" width="11.85546875" style="447" bestFit="1" customWidth="1"/>
    <col min="10257" max="10257" width="15.28515625" style="447" bestFit="1" customWidth="1"/>
    <col min="10258" max="10258" width="5" style="447" customWidth="1"/>
    <col min="10259" max="10259" width="10.42578125" style="447" bestFit="1" customWidth="1"/>
    <col min="10260" max="10260" width="5" style="447" customWidth="1"/>
    <col min="10261" max="10261" width="10.42578125" style="447" bestFit="1" customWidth="1"/>
    <col min="10262" max="10264" width="9" style="447"/>
    <col min="10265" max="10265" width="10.42578125" style="447" bestFit="1" customWidth="1"/>
    <col min="10266" max="10494" width="9" style="447"/>
    <col min="10495" max="10495" width="3.5703125" style="447" customWidth="1"/>
    <col min="10496" max="10496" width="4.85546875" style="447" customWidth="1"/>
    <col min="10497" max="10497" width="5.42578125" style="447" customWidth="1"/>
    <col min="10498" max="10498" width="31.28515625" style="447" customWidth="1"/>
    <col min="10499" max="10499" width="7.5703125" style="447" customWidth="1"/>
    <col min="10500" max="10500" width="2.42578125" style="447" customWidth="1"/>
    <col min="10501" max="10501" width="11.5703125" style="447" customWidth="1"/>
    <col min="10502" max="10502" width="2.42578125" style="447" customWidth="1"/>
    <col min="10503" max="10503" width="11.5703125" style="447" customWidth="1"/>
    <col min="10504" max="10504" width="2.42578125" style="447" customWidth="1"/>
    <col min="10505" max="10505" width="10.85546875" style="447" customWidth="1"/>
    <col min="10506" max="10506" width="2.42578125" style="447" customWidth="1"/>
    <col min="10507" max="10507" width="11.140625" style="447" customWidth="1"/>
    <col min="10508" max="10508" width="1.85546875" style="447" customWidth="1"/>
    <col min="10509" max="10509" width="11" style="447" customWidth="1"/>
    <col min="10510" max="10510" width="0.7109375" style="447" customWidth="1"/>
    <col min="10511" max="10511" width="1.85546875" style="447" customWidth="1"/>
    <col min="10512" max="10512" width="11.85546875" style="447" bestFit="1" customWidth="1"/>
    <col min="10513" max="10513" width="15.28515625" style="447" bestFit="1" customWidth="1"/>
    <col min="10514" max="10514" width="5" style="447" customWidth="1"/>
    <col min="10515" max="10515" width="10.42578125" style="447" bestFit="1" customWidth="1"/>
    <col min="10516" max="10516" width="5" style="447" customWidth="1"/>
    <col min="10517" max="10517" width="10.42578125" style="447" bestFit="1" customWidth="1"/>
    <col min="10518" max="10520" width="9" style="447"/>
    <col min="10521" max="10521" width="10.42578125" style="447" bestFit="1" customWidth="1"/>
    <col min="10522" max="10750" width="9" style="447"/>
    <col min="10751" max="10751" width="3.5703125" style="447" customWidth="1"/>
    <col min="10752" max="10752" width="4.85546875" style="447" customWidth="1"/>
    <col min="10753" max="10753" width="5.42578125" style="447" customWidth="1"/>
    <col min="10754" max="10754" width="31.28515625" style="447" customWidth="1"/>
    <col min="10755" max="10755" width="7.5703125" style="447" customWidth="1"/>
    <col min="10756" max="10756" width="2.42578125" style="447" customWidth="1"/>
    <col min="10757" max="10757" width="11.5703125" style="447" customWidth="1"/>
    <col min="10758" max="10758" width="2.42578125" style="447" customWidth="1"/>
    <col min="10759" max="10759" width="11.5703125" style="447" customWidth="1"/>
    <col min="10760" max="10760" width="2.42578125" style="447" customWidth="1"/>
    <col min="10761" max="10761" width="10.85546875" style="447" customWidth="1"/>
    <col min="10762" max="10762" width="2.42578125" style="447" customWidth="1"/>
    <col min="10763" max="10763" width="11.140625" style="447" customWidth="1"/>
    <col min="10764" max="10764" width="1.85546875" style="447" customWidth="1"/>
    <col min="10765" max="10765" width="11" style="447" customWidth="1"/>
    <col min="10766" max="10766" width="0.7109375" style="447" customWidth="1"/>
    <col min="10767" max="10767" width="1.85546875" style="447" customWidth="1"/>
    <col min="10768" max="10768" width="11.85546875" style="447" bestFit="1" customWidth="1"/>
    <col min="10769" max="10769" width="15.28515625" style="447" bestFit="1" customWidth="1"/>
    <col min="10770" max="10770" width="5" style="447" customWidth="1"/>
    <col min="10771" max="10771" width="10.42578125" style="447" bestFit="1" customWidth="1"/>
    <col min="10772" max="10772" width="5" style="447" customWidth="1"/>
    <col min="10773" max="10773" width="10.42578125" style="447" bestFit="1" customWidth="1"/>
    <col min="10774" max="10776" width="9" style="447"/>
    <col min="10777" max="10777" width="10.42578125" style="447" bestFit="1" customWidth="1"/>
    <col min="10778" max="11006" width="9" style="447"/>
    <col min="11007" max="11007" width="3.5703125" style="447" customWidth="1"/>
    <col min="11008" max="11008" width="4.85546875" style="447" customWidth="1"/>
    <col min="11009" max="11009" width="5.42578125" style="447" customWidth="1"/>
    <col min="11010" max="11010" width="31.28515625" style="447" customWidth="1"/>
    <col min="11011" max="11011" width="7.5703125" style="447" customWidth="1"/>
    <col min="11012" max="11012" width="2.42578125" style="447" customWidth="1"/>
    <col min="11013" max="11013" width="11.5703125" style="447" customWidth="1"/>
    <col min="11014" max="11014" width="2.42578125" style="447" customWidth="1"/>
    <col min="11015" max="11015" width="11.5703125" style="447" customWidth="1"/>
    <col min="11016" max="11016" width="2.42578125" style="447" customWidth="1"/>
    <col min="11017" max="11017" width="10.85546875" style="447" customWidth="1"/>
    <col min="11018" max="11018" width="2.42578125" style="447" customWidth="1"/>
    <col min="11019" max="11019" width="11.140625" style="447" customWidth="1"/>
    <col min="11020" max="11020" width="1.85546875" style="447" customWidth="1"/>
    <col min="11021" max="11021" width="11" style="447" customWidth="1"/>
    <col min="11022" max="11022" width="0.7109375" style="447" customWidth="1"/>
    <col min="11023" max="11023" width="1.85546875" style="447" customWidth="1"/>
    <col min="11024" max="11024" width="11.85546875" style="447" bestFit="1" customWidth="1"/>
    <col min="11025" max="11025" width="15.28515625" style="447" bestFit="1" customWidth="1"/>
    <col min="11026" max="11026" width="5" style="447" customWidth="1"/>
    <col min="11027" max="11027" width="10.42578125" style="447" bestFit="1" customWidth="1"/>
    <col min="11028" max="11028" width="5" style="447" customWidth="1"/>
    <col min="11029" max="11029" width="10.42578125" style="447" bestFit="1" customWidth="1"/>
    <col min="11030" max="11032" width="9" style="447"/>
    <col min="11033" max="11033" width="10.42578125" style="447" bestFit="1" customWidth="1"/>
    <col min="11034" max="11262" width="9" style="447"/>
    <col min="11263" max="11263" width="3.5703125" style="447" customWidth="1"/>
    <col min="11264" max="11264" width="4.85546875" style="447" customWidth="1"/>
    <col min="11265" max="11265" width="5.42578125" style="447" customWidth="1"/>
    <col min="11266" max="11266" width="31.28515625" style="447" customWidth="1"/>
    <col min="11267" max="11267" width="7.5703125" style="447" customWidth="1"/>
    <col min="11268" max="11268" width="2.42578125" style="447" customWidth="1"/>
    <col min="11269" max="11269" width="11.5703125" style="447" customWidth="1"/>
    <col min="11270" max="11270" width="2.42578125" style="447" customWidth="1"/>
    <col min="11271" max="11271" width="11.5703125" style="447" customWidth="1"/>
    <col min="11272" max="11272" width="2.42578125" style="447" customWidth="1"/>
    <col min="11273" max="11273" width="10.85546875" style="447" customWidth="1"/>
    <col min="11274" max="11274" width="2.42578125" style="447" customWidth="1"/>
    <col min="11275" max="11275" width="11.140625" style="447" customWidth="1"/>
    <col min="11276" max="11276" width="1.85546875" style="447" customWidth="1"/>
    <col min="11277" max="11277" width="11" style="447" customWidth="1"/>
    <col min="11278" max="11278" width="0.7109375" style="447" customWidth="1"/>
    <col min="11279" max="11279" width="1.85546875" style="447" customWidth="1"/>
    <col min="11280" max="11280" width="11.85546875" style="447" bestFit="1" customWidth="1"/>
    <col min="11281" max="11281" width="15.28515625" style="447" bestFit="1" customWidth="1"/>
    <col min="11282" max="11282" width="5" style="447" customWidth="1"/>
    <col min="11283" max="11283" width="10.42578125" style="447" bestFit="1" customWidth="1"/>
    <col min="11284" max="11284" width="5" style="447" customWidth="1"/>
    <col min="11285" max="11285" width="10.42578125" style="447" bestFit="1" customWidth="1"/>
    <col min="11286" max="11288" width="9" style="447"/>
    <col min="11289" max="11289" width="10.42578125" style="447" bestFit="1" customWidth="1"/>
    <col min="11290" max="11518" width="9" style="447"/>
    <col min="11519" max="11519" width="3.5703125" style="447" customWidth="1"/>
    <col min="11520" max="11520" width="4.85546875" style="447" customWidth="1"/>
    <col min="11521" max="11521" width="5.42578125" style="447" customWidth="1"/>
    <col min="11522" max="11522" width="31.28515625" style="447" customWidth="1"/>
    <col min="11523" max="11523" width="7.5703125" style="447" customWidth="1"/>
    <col min="11524" max="11524" width="2.42578125" style="447" customWidth="1"/>
    <col min="11525" max="11525" width="11.5703125" style="447" customWidth="1"/>
    <col min="11526" max="11526" width="2.42578125" style="447" customWidth="1"/>
    <col min="11527" max="11527" width="11.5703125" style="447" customWidth="1"/>
    <col min="11528" max="11528" width="2.42578125" style="447" customWidth="1"/>
    <col min="11529" max="11529" width="10.85546875" style="447" customWidth="1"/>
    <col min="11530" max="11530" width="2.42578125" style="447" customWidth="1"/>
    <col min="11531" max="11531" width="11.140625" style="447" customWidth="1"/>
    <col min="11532" max="11532" width="1.85546875" style="447" customWidth="1"/>
    <col min="11533" max="11533" width="11" style="447" customWidth="1"/>
    <col min="11534" max="11534" width="0.7109375" style="447" customWidth="1"/>
    <col min="11535" max="11535" width="1.85546875" style="447" customWidth="1"/>
    <col min="11536" max="11536" width="11.85546875" style="447" bestFit="1" customWidth="1"/>
    <col min="11537" max="11537" width="15.28515625" style="447" bestFit="1" customWidth="1"/>
    <col min="11538" max="11538" width="5" style="447" customWidth="1"/>
    <col min="11539" max="11539" width="10.42578125" style="447" bestFit="1" customWidth="1"/>
    <col min="11540" max="11540" width="5" style="447" customWidth="1"/>
    <col min="11541" max="11541" width="10.42578125" style="447" bestFit="1" customWidth="1"/>
    <col min="11542" max="11544" width="9" style="447"/>
    <col min="11545" max="11545" width="10.42578125" style="447" bestFit="1" customWidth="1"/>
    <col min="11546" max="11774" width="9" style="447"/>
    <col min="11775" max="11775" width="3.5703125" style="447" customWidth="1"/>
    <col min="11776" max="11776" width="4.85546875" style="447" customWidth="1"/>
    <col min="11777" max="11777" width="5.42578125" style="447" customWidth="1"/>
    <col min="11778" max="11778" width="31.28515625" style="447" customWidth="1"/>
    <col min="11779" max="11779" width="7.5703125" style="447" customWidth="1"/>
    <col min="11780" max="11780" width="2.42578125" style="447" customWidth="1"/>
    <col min="11781" max="11781" width="11.5703125" style="447" customWidth="1"/>
    <col min="11782" max="11782" width="2.42578125" style="447" customWidth="1"/>
    <col min="11783" max="11783" width="11.5703125" style="447" customWidth="1"/>
    <col min="11784" max="11784" width="2.42578125" style="447" customWidth="1"/>
    <col min="11785" max="11785" width="10.85546875" style="447" customWidth="1"/>
    <col min="11786" max="11786" width="2.42578125" style="447" customWidth="1"/>
    <col min="11787" max="11787" width="11.140625" style="447" customWidth="1"/>
    <col min="11788" max="11788" width="1.85546875" style="447" customWidth="1"/>
    <col min="11789" max="11789" width="11" style="447" customWidth="1"/>
    <col min="11790" max="11790" width="0.7109375" style="447" customWidth="1"/>
    <col min="11791" max="11791" width="1.85546875" style="447" customWidth="1"/>
    <col min="11792" max="11792" width="11.85546875" style="447" bestFit="1" customWidth="1"/>
    <col min="11793" max="11793" width="15.28515625" style="447" bestFit="1" customWidth="1"/>
    <col min="11794" max="11794" width="5" style="447" customWidth="1"/>
    <col min="11795" max="11795" width="10.42578125" style="447" bestFit="1" customWidth="1"/>
    <col min="11796" max="11796" width="5" style="447" customWidth="1"/>
    <col min="11797" max="11797" width="10.42578125" style="447" bestFit="1" customWidth="1"/>
    <col min="11798" max="11800" width="9" style="447"/>
    <col min="11801" max="11801" width="10.42578125" style="447" bestFit="1" customWidth="1"/>
    <col min="11802" max="12030" width="9" style="447"/>
    <col min="12031" max="12031" width="3.5703125" style="447" customWidth="1"/>
    <col min="12032" max="12032" width="4.85546875" style="447" customWidth="1"/>
    <col min="12033" max="12033" width="5.42578125" style="447" customWidth="1"/>
    <col min="12034" max="12034" width="31.28515625" style="447" customWidth="1"/>
    <col min="12035" max="12035" width="7.5703125" style="447" customWidth="1"/>
    <col min="12036" max="12036" width="2.42578125" style="447" customWidth="1"/>
    <col min="12037" max="12037" width="11.5703125" style="447" customWidth="1"/>
    <col min="12038" max="12038" width="2.42578125" style="447" customWidth="1"/>
    <col min="12039" max="12039" width="11.5703125" style="447" customWidth="1"/>
    <col min="12040" max="12040" width="2.42578125" style="447" customWidth="1"/>
    <col min="12041" max="12041" width="10.85546875" style="447" customWidth="1"/>
    <col min="12042" max="12042" width="2.42578125" style="447" customWidth="1"/>
    <col min="12043" max="12043" width="11.140625" style="447" customWidth="1"/>
    <col min="12044" max="12044" width="1.85546875" style="447" customWidth="1"/>
    <col min="12045" max="12045" width="11" style="447" customWidth="1"/>
    <col min="12046" max="12046" width="0.7109375" style="447" customWidth="1"/>
    <col min="12047" max="12047" width="1.85546875" style="447" customWidth="1"/>
    <col min="12048" max="12048" width="11.85546875" style="447" bestFit="1" customWidth="1"/>
    <col min="12049" max="12049" width="15.28515625" style="447" bestFit="1" customWidth="1"/>
    <col min="12050" max="12050" width="5" style="447" customWidth="1"/>
    <col min="12051" max="12051" width="10.42578125" style="447" bestFit="1" customWidth="1"/>
    <col min="12052" max="12052" width="5" style="447" customWidth="1"/>
    <col min="12053" max="12053" width="10.42578125" style="447" bestFit="1" customWidth="1"/>
    <col min="12054" max="12056" width="9" style="447"/>
    <col min="12057" max="12057" width="10.42578125" style="447" bestFit="1" customWidth="1"/>
    <col min="12058" max="12286" width="9" style="447"/>
    <col min="12287" max="12287" width="3.5703125" style="447" customWidth="1"/>
    <col min="12288" max="12288" width="4.85546875" style="447" customWidth="1"/>
    <col min="12289" max="12289" width="5.42578125" style="447" customWidth="1"/>
    <col min="12290" max="12290" width="31.28515625" style="447" customWidth="1"/>
    <col min="12291" max="12291" width="7.5703125" style="447" customWidth="1"/>
    <col min="12292" max="12292" width="2.42578125" style="447" customWidth="1"/>
    <col min="12293" max="12293" width="11.5703125" style="447" customWidth="1"/>
    <col min="12294" max="12294" width="2.42578125" style="447" customWidth="1"/>
    <col min="12295" max="12295" width="11.5703125" style="447" customWidth="1"/>
    <col min="12296" max="12296" width="2.42578125" style="447" customWidth="1"/>
    <col min="12297" max="12297" width="10.85546875" style="447" customWidth="1"/>
    <col min="12298" max="12298" width="2.42578125" style="447" customWidth="1"/>
    <col min="12299" max="12299" width="11.140625" style="447" customWidth="1"/>
    <col min="12300" max="12300" width="1.85546875" style="447" customWidth="1"/>
    <col min="12301" max="12301" width="11" style="447" customWidth="1"/>
    <col min="12302" max="12302" width="0.7109375" style="447" customWidth="1"/>
    <col min="12303" max="12303" width="1.85546875" style="447" customWidth="1"/>
    <col min="12304" max="12304" width="11.85546875" style="447" bestFit="1" customWidth="1"/>
    <col min="12305" max="12305" width="15.28515625" style="447" bestFit="1" customWidth="1"/>
    <col min="12306" max="12306" width="5" style="447" customWidth="1"/>
    <col min="12307" max="12307" width="10.42578125" style="447" bestFit="1" customWidth="1"/>
    <col min="12308" max="12308" width="5" style="447" customWidth="1"/>
    <col min="12309" max="12309" width="10.42578125" style="447" bestFit="1" customWidth="1"/>
    <col min="12310" max="12312" width="9" style="447"/>
    <col min="12313" max="12313" width="10.42578125" style="447" bestFit="1" customWidth="1"/>
    <col min="12314" max="12542" width="9" style="447"/>
    <col min="12543" max="12543" width="3.5703125" style="447" customWidth="1"/>
    <col min="12544" max="12544" width="4.85546875" style="447" customWidth="1"/>
    <col min="12545" max="12545" width="5.42578125" style="447" customWidth="1"/>
    <col min="12546" max="12546" width="31.28515625" style="447" customWidth="1"/>
    <col min="12547" max="12547" width="7.5703125" style="447" customWidth="1"/>
    <col min="12548" max="12548" width="2.42578125" style="447" customWidth="1"/>
    <col min="12549" max="12549" width="11.5703125" style="447" customWidth="1"/>
    <col min="12550" max="12550" width="2.42578125" style="447" customWidth="1"/>
    <col min="12551" max="12551" width="11.5703125" style="447" customWidth="1"/>
    <col min="12552" max="12552" width="2.42578125" style="447" customWidth="1"/>
    <col min="12553" max="12553" width="10.85546875" style="447" customWidth="1"/>
    <col min="12554" max="12554" width="2.42578125" style="447" customWidth="1"/>
    <col min="12555" max="12555" width="11.140625" style="447" customWidth="1"/>
    <col min="12556" max="12556" width="1.85546875" style="447" customWidth="1"/>
    <col min="12557" max="12557" width="11" style="447" customWidth="1"/>
    <col min="12558" max="12558" width="0.7109375" style="447" customWidth="1"/>
    <col min="12559" max="12559" width="1.85546875" style="447" customWidth="1"/>
    <col min="12560" max="12560" width="11.85546875" style="447" bestFit="1" customWidth="1"/>
    <col min="12561" max="12561" width="15.28515625" style="447" bestFit="1" customWidth="1"/>
    <col min="12562" max="12562" width="5" style="447" customWidth="1"/>
    <col min="12563" max="12563" width="10.42578125" style="447" bestFit="1" customWidth="1"/>
    <col min="12564" max="12564" width="5" style="447" customWidth="1"/>
    <col min="12565" max="12565" width="10.42578125" style="447" bestFit="1" customWidth="1"/>
    <col min="12566" max="12568" width="9" style="447"/>
    <col min="12569" max="12569" width="10.42578125" style="447" bestFit="1" customWidth="1"/>
    <col min="12570" max="12798" width="9" style="447"/>
    <col min="12799" max="12799" width="3.5703125" style="447" customWidth="1"/>
    <col min="12800" max="12800" width="4.85546875" style="447" customWidth="1"/>
    <col min="12801" max="12801" width="5.42578125" style="447" customWidth="1"/>
    <col min="12802" max="12802" width="31.28515625" style="447" customWidth="1"/>
    <col min="12803" max="12803" width="7.5703125" style="447" customWidth="1"/>
    <col min="12804" max="12804" width="2.42578125" style="447" customWidth="1"/>
    <col min="12805" max="12805" width="11.5703125" style="447" customWidth="1"/>
    <col min="12806" max="12806" width="2.42578125" style="447" customWidth="1"/>
    <col min="12807" max="12807" width="11.5703125" style="447" customWidth="1"/>
    <col min="12808" max="12808" width="2.42578125" style="447" customWidth="1"/>
    <col min="12809" max="12809" width="10.85546875" style="447" customWidth="1"/>
    <col min="12810" max="12810" width="2.42578125" style="447" customWidth="1"/>
    <col min="12811" max="12811" width="11.140625" style="447" customWidth="1"/>
    <col min="12812" max="12812" width="1.85546875" style="447" customWidth="1"/>
    <col min="12813" max="12813" width="11" style="447" customWidth="1"/>
    <col min="12814" max="12814" width="0.7109375" style="447" customWidth="1"/>
    <col min="12815" max="12815" width="1.85546875" style="447" customWidth="1"/>
    <col min="12816" max="12816" width="11.85546875" style="447" bestFit="1" customWidth="1"/>
    <col min="12817" max="12817" width="15.28515625" style="447" bestFit="1" customWidth="1"/>
    <col min="12818" max="12818" width="5" style="447" customWidth="1"/>
    <col min="12819" max="12819" width="10.42578125" style="447" bestFit="1" customWidth="1"/>
    <col min="12820" max="12820" width="5" style="447" customWidth="1"/>
    <col min="12821" max="12821" width="10.42578125" style="447" bestFit="1" customWidth="1"/>
    <col min="12822" max="12824" width="9" style="447"/>
    <col min="12825" max="12825" width="10.42578125" style="447" bestFit="1" customWidth="1"/>
    <col min="12826" max="13054" width="9" style="447"/>
    <col min="13055" max="13055" width="3.5703125" style="447" customWidth="1"/>
    <col min="13056" max="13056" width="4.85546875" style="447" customWidth="1"/>
    <col min="13057" max="13057" width="5.42578125" style="447" customWidth="1"/>
    <col min="13058" max="13058" width="31.28515625" style="447" customWidth="1"/>
    <col min="13059" max="13059" width="7.5703125" style="447" customWidth="1"/>
    <col min="13060" max="13060" width="2.42578125" style="447" customWidth="1"/>
    <col min="13061" max="13061" width="11.5703125" style="447" customWidth="1"/>
    <col min="13062" max="13062" width="2.42578125" style="447" customWidth="1"/>
    <col min="13063" max="13063" width="11.5703125" style="447" customWidth="1"/>
    <col min="13064" max="13064" width="2.42578125" style="447" customWidth="1"/>
    <col min="13065" max="13065" width="10.85546875" style="447" customWidth="1"/>
    <col min="13066" max="13066" width="2.42578125" style="447" customWidth="1"/>
    <col min="13067" max="13067" width="11.140625" style="447" customWidth="1"/>
    <col min="13068" max="13068" width="1.85546875" style="447" customWidth="1"/>
    <col min="13069" max="13069" width="11" style="447" customWidth="1"/>
    <col min="13070" max="13070" width="0.7109375" style="447" customWidth="1"/>
    <col min="13071" max="13071" width="1.85546875" style="447" customWidth="1"/>
    <col min="13072" max="13072" width="11.85546875" style="447" bestFit="1" customWidth="1"/>
    <col min="13073" max="13073" width="15.28515625" style="447" bestFit="1" customWidth="1"/>
    <col min="13074" max="13074" width="5" style="447" customWidth="1"/>
    <col min="13075" max="13075" width="10.42578125" style="447" bestFit="1" customWidth="1"/>
    <col min="13076" max="13076" width="5" style="447" customWidth="1"/>
    <col min="13077" max="13077" width="10.42578125" style="447" bestFit="1" customWidth="1"/>
    <col min="13078" max="13080" width="9" style="447"/>
    <col min="13081" max="13081" width="10.42578125" style="447" bestFit="1" customWidth="1"/>
    <col min="13082" max="13310" width="9" style="447"/>
    <col min="13311" max="13311" width="3.5703125" style="447" customWidth="1"/>
    <col min="13312" max="13312" width="4.85546875" style="447" customWidth="1"/>
    <col min="13313" max="13313" width="5.42578125" style="447" customWidth="1"/>
    <col min="13314" max="13314" width="31.28515625" style="447" customWidth="1"/>
    <col min="13315" max="13315" width="7.5703125" style="447" customWidth="1"/>
    <col min="13316" max="13316" width="2.42578125" style="447" customWidth="1"/>
    <col min="13317" max="13317" width="11.5703125" style="447" customWidth="1"/>
    <col min="13318" max="13318" width="2.42578125" style="447" customWidth="1"/>
    <col min="13319" max="13319" width="11.5703125" style="447" customWidth="1"/>
    <col min="13320" max="13320" width="2.42578125" style="447" customWidth="1"/>
    <col min="13321" max="13321" width="10.85546875" style="447" customWidth="1"/>
    <col min="13322" max="13322" width="2.42578125" style="447" customWidth="1"/>
    <col min="13323" max="13323" width="11.140625" style="447" customWidth="1"/>
    <col min="13324" max="13324" width="1.85546875" style="447" customWidth="1"/>
    <col min="13325" max="13325" width="11" style="447" customWidth="1"/>
    <col min="13326" max="13326" width="0.7109375" style="447" customWidth="1"/>
    <col min="13327" max="13327" width="1.85546875" style="447" customWidth="1"/>
    <col min="13328" max="13328" width="11.85546875" style="447" bestFit="1" customWidth="1"/>
    <col min="13329" max="13329" width="15.28515625" style="447" bestFit="1" customWidth="1"/>
    <col min="13330" max="13330" width="5" style="447" customWidth="1"/>
    <col min="13331" max="13331" width="10.42578125" style="447" bestFit="1" customWidth="1"/>
    <col min="13332" max="13332" width="5" style="447" customWidth="1"/>
    <col min="13333" max="13333" width="10.42578125" style="447" bestFit="1" customWidth="1"/>
    <col min="13334" max="13336" width="9" style="447"/>
    <col min="13337" max="13337" width="10.42578125" style="447" bestFit="1" customWidth="1"/>
    <col min="13338" max="13566" width="9" style="447"/>
    <col min="13567" max="13567" width="3.5703125" style="447" customWidth="1"/>
    <col min="13568" max="13568" width="4.85546875" style="447" customWidth="1"/>
    <col min="13569" max="13569" width="5.42578125" style="447" customWidth="1"/>
    <col min="13570" max="13570" width="31.28515625" style="447" customWidth="1"/>
    <col min="13571" max="13571" width="7.5703125" style="447" customWidth="1"/>
    <col min="13572" max="13572" width="2.42578125" style="447" customWidth="1"/>
    <col min="13573" max="13573" width="11.5703125" style="447" customWidth="1"/>
    <col min="13574" max="13574" width="2.42578125" style="447" customWidth="1"/>
    <col min="13575" max="13575" width="11.5703125" style="447" customWidth="1"/>
    <col min="13576" max="13576" width="2.42578125" style="447" customWidth="1"/>
    <col min="13577" max="13577" width="10.85546875" style="447" customWidth="1"/>
    <col min="13578" max="13578" width="2.42578125" style="447" customWidth="1"/>
    <col min="13579" max="13579" width="11.140625" style="447" customWidth="1"/>
    <col min="13580" max="13580" width="1.85546875" style="447" customWidth="1"/>
    <col min="13581" max="13581" width="11" style="447" customWidth="1"/>
    <col min="13582" max="13582" width="0.7109375" style="447" customWidth="1"/>
    <col min="13583" max="13583" width="1.85546875" style="447" customWidth="1"/>
    <col min="13584" max="13584" width="11.85546875" style="447" bestFit="1" customWidth="1"/>
    <col min="13585" max="13585" width="15.28515625" style="447" bestFit="1" customWidth="1"/>
    <col min="13586" max="13586" width="5" style="447" customWidth="1"/>
    <col min="13587" max="13587" width="10.42578125" style="447" bestFit="1" customWidth="1"/>
    <col min="13588" max="13588" width="5" style="447" customWidth="1"/>
    <col min="13589" max="13589" width="10.42578125" style="447" bestFit="1" customWidth="1"/>
    <col min="13590" max="13592" width="9" style="447"/>
    <col min="13593" max="13593" width="10.42578125" style="447" bestFit="1" customWidth="1"/>
    <col min="13594" max="13822" width="9" style="447"/>
    <col min="13823" max="13823" width="3.5703125" style="447" customWidth="1"/>
    <col min="13824" max="13824" width="4.85546875" style="447" customWidth="1"/>
    <col min="13825" max="13825" width="5.42578125" style="447" customWidth="1"/>
    <col min="13826" max="13826" width="31.28515625" style="447" customWidth="1"/>
    <col min="13827" max="13827" width="7.5703125" style="447" customWidth="1"/>
    <col min="13828" max="13828" width="2.42578125" style="447" customWidth="1"/>
    <col min="13829" max="13829" width="11.5703125" style="447" customWidth="1"/>
    <col min="13830" max="13830" width="2.42578125" style="447" customWidth="1"/>
    <col min="13831" max="13831" width="11.5703125" style="447" customWidth="1"/>
    <col min="13832" max="13832" width="2.42578125" style="447" customWidth="1"/>
    <col min="13833" max="13833" width="10.85546875" style="447" customWidth="1"/>
    <col min="13834" max="13834" width="2.42578125" style="447" customWidth="1"/>
    <col min="13835" max="13835" width="11.140625" style="447" customWidth="1"/>
    <col min="13836" max="13836" width="1.85546875" style="447" customWidth="1"/>
    <col min="13837" max="13837" width="11" style="447" customWidth="1"/>
    <col min="13838" max="13838" width="0.7109375" style="447" customWidth="1"/>
    <col min="13839" max="13839" width="1.85546875" style="447" customWidth="1"/>
    <col min="13840" max="13840" width="11.85546875" style="447" bestFit="1" customWidth="1"/>
    <col min="13841" max="13841" width="15.28515625" style="447" bestFit="1" customWidth="1"/>
    <col min="13842" max="13842" width="5" style="447" customWidth="1"/>
    <col min="13843" max="13843" width="10.42578125" style="447" bestFit="1" customWidth="1"/>
    <col min="13844" max="13844" width="5" style="447" customWidth="1"/>
    <col min="13845" max="13845" width="10.42578125" style="447" bestFit="1" customWidth="1"/>
    <col min="13846" max="13848" width="9" style="447"/>
    <col min="13849" max="13849" width="10.42578125" style="447" bestFit="1" customWidth="1"/>
    <col min="13850" max="14078" width="9" style="447"/>
    <col min="14079" max="14079" width="3.5703125" style="447" customWidth="1"/>
    <col min="14080" max="14080" width="4.85546875" style="447" customWidth="1"/>
    <col min="14081" max="14081" width="5.42578125" style="447" customWidth="1"/>
    <col min="14082" max="14082" width="31.28515625" style="447" customWidth="1"/>
    <col min="14083" max="14083" width="7.5703125" style="447" customWidth="1"/>
    <col min="14084" max="14084" width="2.42578125" style="447" customWidth="1"/>
    <col min="14085" max="14085" width="11.5703125" style="447" customWidth="1"/>
    <col min="14086" max="14086" width="2.42578125" style="447" customWidth="1"/>
    <col min="14087" max="14087" width="11.5703125" style="447" customWidth="1"/>
    <col min="14088" max="14088" width="2.42578125" style="447" customWidth="1"/>
    <col min="14089" max="14089" width="10.85546875" style="447" customWidth="1"/>
    <col min="14090" max="14090" width="2.42578125" style="447" customWidth="1"/>
    <col min="14091" max="14091" width="11.140625" style="447" customWidth="1"/>
    <col min="14092" max="14092" width="1.85546875" style="447" customWidth="1"/>
    <col min="14093" max="14093" width="11" style="447" customWidth="1"/>
    <col min="14094" max="14094" width="0.7109375" style="447" customWidth="1"/>
    <col min="14095" max="14095" width="1.85546875" style="447" customWidth="1"/>
    <col min="14096" max="14096" width="11.85546875" style="447" bestFit="1" customWidth="1"/>
    <col min="14097" max="14097" width="15.28515625" style="447" bestFit="1" customWidth="1"/>
    <col min="14098" max="14098" width="5" style="447" customWidth="1"/>
    <col min="14099" max="14099" width="10.42578125" style="447" bestFit="1" customWidth="1"/>
    <col min="14100" max="14100" width="5" style="447" customWidth="1"/>
    <col min="14101" max="14101" width="10.42578125" style="447" bestFit="1" customWidth="1"/>
    <col min="14102" max="14104" width="9" style="447"/>
    <col min="14105" max="14105" width="10.42578125" style="447" bestFit="1" customWidth="1"/>
    <col min="14106" max="14334" width="9" style="447"/>
    <col min="14335" max="14335" width="3.5703125" style="447" customWidth="1"/>
    <col min="14336" max="14336" width="4.85546875" style="447" customWidth="1"/>
    <col min="14337" max="14337" width="5.42578125" style="447" customWidth="1"/>
    <col min="14338" max="14338" width="31.28515625" style="447" customWidth="1"/>
    <col min="14339" max="14339" width="7.5703125" style="447" customWidth="1"/>
    <col min="14340" max="14340" width="2.42578125" style="447" customWidth="1"/>
    <col min="14341" max="14341" width="11.5703125" style="447" customWidth="1"/>
    <col min="14342" max="14342" width="2.42578125" style="447" customWidth="1"/>
    <col min="14343" max="14343" width="11.5703125" style="447" customWidth="1"/>
    <col min="14344" max="14344" width="2.42578125" style="447" customWidth="1"/>
    <col min="14345" max="14345" width="10.85546875" style="447" customWidth="1"/>
    <col min="14346" max="14346" width="2.42578125" style="447" customWidth="1"/>
    <col min="14347" max="14347" width="11.140625" style="447" customWidth="1"/>
    <col min="14348" max="14348" width="1.85546875" style="447" customWidth="1"/>
    <col min="14349" max="14349" width="11" style="447" customWidth="1"/>
    <col min="14350" max="14350" width="0.7109375" style="447" customWidth="1"/>
    <col min="14351" max="14351" width="1.85546875" style="447" customWidth="1"/>
    <col min="14352" max="14352" width="11.85546875" style="447" bestFit="1" customWidth="1"/>
    <col min="14353" max="14353" width="15.28515625" style="447" bestFit="1" customWidth="1"/>
    <col min="14354" max="14354" width="5" style="447" customWidth="1"/>
    <col min="14355" max="14355" width="10.42578125" style="447" bestFit="1" customWidth="1"/>
    <col min="14356" max="14356" width="5" style="447" customWidth="1"/>
    <col min="14357" max="14357" width="10.42578125" style="447" bestFit="1" customWidth="1"/>
    <col min="14358" max="14360" width="9" style="447"/>
    <col min="14361" max="14361" width="10.42578125" style="447" bestFit="1" customWidth="1"/>
    <col min="14362" max="14590" width="9" style="447"/>
    <col min="14591" max="14591" width="3.5703125" style="447" customWidth="1"/>
    <col min="14592" max="14592" width="4.85546875" style="447" customWidth="1"/>
    <col min="14593" max="14593" width="5.42578125" style="447" customWidth="1"/>
    <col min="14594" max="14594" width="31.28515625" style="447" customWidth="1"/>
    <col min="14595" max="14595" width="7.5703125" style="447" customWidth="1"/>
    <col min="14596" max="14596" width="2.42578125" style="447" customWidth="1"/>
    <col min="14597" max="14597" width="11.5703125" style="447" customWidth="1"/>
    <col min="14598" max="14598" width="2.42578125" style="447" customWidth="1"/>
    <col min="14599" max="14599" width="11.5703125" style="447" customWidth="1"/>
    <col min="14600" max="14600" width="2.42578125" style="447" customWidth="1"/>
    <col min="14601" max="14601" width="10.85546875" style="447" customWidth="1"/>
    <col min="14602" max="14602" width="2.42578125" style="447" customWidth="1"/>
    <col min="14603" max="14603" width="11.140625" style="447" customWidth="1"/>
    <col min="14604" max="14604" width="1.85546875" style="447" customWidth="1"/>
    <col min="14605" max="14605" width="11" style="447" customWidth="1"/>
    <col min="14606" max="14606" width="0.7109375" style="447" customWidth="1"/>
    <col min="14607" max="14607" width="1.85546875" style="447" customWidth="1"/>
    <col min="14608" max="14608" width="11.85546875" style="447" bestFit="1" customWidth="1"/>
    <col min="14609" max="14609" width="15.28515625" style="447" bestFit="1" customWidth="1"/>
    <col min="14610" max="14610" width="5" style="447" customWidth="1"/>
    <col min="14611" max="14611" width="10.42578125" style="447" bestFit="1" customWidth="1"/>
    <col min="14612" max="14612" width="5" style="447" customWidth="1"/>
    <col min="14613" max="14613" width="10.42578125" style="447" bestFit="1" customWidth="1"/>
    <col min="14614" max="14616" width="9" style="447"/>
    <col min="14617" max="14617" width="10.42578125" style="447" bestFit="1" customWidth="1"/>
    <col min="14618" max="14846" width="9" style="447"/>
    <col min="14847" max="14847" width="3.5703125" style="447" customWidth="1"/>
    <col min="14848" max="14848" width="4.85546875" style="447" customWidth="1"/>
    <col min="14849" max="14849" width="5.42578125" style="447" customWidth="1"/>
    <col min="14850" max="14850" width="31.28515625" style="447" customWidth="1"/>
    <col min="14851" max="14851" width="7.5703125" style="447" customWidth="1"/>
    <col min="14852" max="14852" width="2.42578125" style="447" customWidth="1"/>
    <col min="14853" max="14853" width="11.5703125" style="447" customWidth="1"/>
    <col min="14854" max="14854" width="2.42578125" style="447" customWidth="1"/>
    <col min="14855" max="14855" width="11.5703125" style="447" customWidth="1"/>
    <col min="14856" max="14856" width="2.42578125" style="447" customWidth="1"/>
    <col min="14857" max="14857" width="10.85546875" style="447" customWidth="1"/>
    <col min="14858" max="14858" width="2.42578125" style="447" customWidth="1"/>
    <col min="14859" max="14859" width="11.140625" style="447" customWidth="1"/>
    <col min="14860" max="14860" width="1.85546875" style="447" customWidth="1"/>
    <col min="14861" max="14861" width="11" style="447" customWidth="1"/>
    <col min="14862" max="14862" width="0.7109375" style="447" customWidth="1"/>
    <col min="14863" max="14863" width="1.85546875" style="447" customWidth="1"/>
    <col min="14864" max="14864" width="11.85546875" style="447" bestFit="1" customWidth="1"/>
    <col min="14865" max="14865" width="15.28515625" style="447" bestFit="1" customWidth="1"/>
    <col min="14866" max="14866" width="5" style="447" customWidth="1"/>
    <col min="14867" max="14867" width="10.42578125" style="447" bestFit="1" customWidth="1"/>
    <col min="14868" max="14868" width="5" style="447" customWidth="1"/>
    <col min="14869" max="14869" width="10.42578125" style="447" bestFit="1" customWidth="1"/>
    <col min="14870" max="14872" width="9" style="447"/>
    <col min="14873" max="14873" width="10.42578125" style="447" bestFit="1" customWidth="1"/>
    <col min="14874" max="15102" width="9" style="447"/>
    <col min="15103" max="15103" width="3.5703125" style="447" customWidth="1"/>
    <col min="15104" max="15104" width="4.85546875" style="447" customWidth="1"/>
    <col min="15105" max="15105" width="5.42578125" style="447" customWidth="1"/>
    <col min="15106" max="15106" width="31.28515625" style="447" customWidth="1"/>
    <col min="15107" max="15107" width="7.5703125" style="447" customWidth="1"/>
    <col min="15108" max="15108" width="2.42578125" style="447" customWidth="1"/>
    <col min="15109" max="15109" width="11.5703125" style="447" customWidth="1"/>
    <col min="15110" max="15110" width="2.42578125" style="447" customWidth="1"/>
    <col min="15111" max="15111" width="11.5703125" style="447" customWidth="1"/>
    <col min="15112" max="15112" width="2.42578125" style="447" customWidth="1"/>
    <col min="15113" max="15113" width="10.85546875" style="447" customWidth="1"/>
    <col min="15114" max="15114" width="2.42578125" style="447" customWidth="1"/>
    <col min="15115" max="15115" width="11.140625" style="447" customWidth="1"/>
    <col min="15116" max="15116" width="1.85546875" style="447" customWidth="1"/>
    <col min="15117" max="15117" width="11" style="447" customWidth="1"/>
    <col min="15118" max="15118" width="0.7109375" style="447" customWidth="1"/>
    <col min="15119" max="15119" width="1.85546875" style="447" customWidth="1"/>
    <col min="15120" max="15120" width="11.85546875" style="447" bestFit="1" customWidth="1"/>
    <col min="15121" max="15121" width="15.28515625" style="447" bestFit="1" customWidth="1"/>
    <col min="15122" max="15122" width="5" style="447" customWidth="1"/>
    <col min="15123" max="15123" width="10.42578125" style="447" bestFit="1" customWidth="1"/>
    <col min="15124" max="15124" width="5" style="447" customWidth="1"/>
    <col min="15125" max="15125" width="10.42578125" style="447" bestFit="1" customWidth="1"/>
    <col min="15126" max="15128" width="9" style="447"/>
    <col min="15129" max="15129" width="10.42578125" style="447" bestFit="1" customWidth="1"/>
    <col min="15130" max="15358" width="9" style="447"/>
    <col min="15359" max="15359" width="3.5703125" style="447" customWidth="1"/>
    <col min="15360" max="15360" width="4.85546875" style="447" customWidth="1"/>
    <col min="15361" max="15361" width="5.42578125" style="447" customWidth="1"/>
    <col min="15362" max="15362" width="31.28515625" style="447" customWidth="1"/>
    <col min="15363" max="15363" width="7.5703125" style="447" customWidth="1"/>
    <col min="15364" max="15364" width="2.42578125" style="447" customWidth="1"/>
    <col min="15365" max="15365" width="11.5703125" style="447" customWidth="1"/>
    <col min="15366" max="15366" width="2.42578125" style="447" customWidth="1"/>
    <col min="15367" max="15367" width="11.5703125" style="447" customWidth="1"/>
    <col min="15368" max="15368" width="2.42578125" style="447" customWidth="1"/>
    <col min="15369" max="15369" width="10.85546875" style="447" customWidth="1"/>
    <col min="15370" max="15370" width="2.42578125" style="447" customWidth="1"/>
    <col min="15371" max="15371" width="11.140625" style="447" customWidth="1"/>
    <col min="15372" max="15372" width="1.85546875" style="447" customWidth="1"/>
    <col min="15373" max="15373" width="11" style="447" customWidth="1"/>
    <col min="15374" max="15374" width="0.7109375" style="447" customWidth="1"/>
    <col min="15375" max="15375" width="1.85546875" style="447" customWidth="1"/>
    <col min="15376" max="15376" width="11.85546875" style="447" bestFit="1" customWidth="1"/>
    <col min="15377" max="15377" width="15.28515625" style="447" bestFit="1" customWidth="1"/>
    <col min="15378" max="15378" width="5" style="447" customWidth="1"/>
    <col min="15379" max="15379" width="10.42578125" style="447" bestFit="1" customWidth="1"/>
    <col min="15380" max="15380" width="5" style="447" customWidth="1"/>
    <col min="15381" max="15381" width="10.42578125" style="447" bestFit="1" customWidth="1"/>
    <col min="15382" max="15384" width="9" style="447"/>
    <col min="15385" max="15385" width="10.42578125" style="447" bestFit="1" customWidth="1"/>
    <col min="15386" max="15614" width="9" style="447"/>
    <col min="15615" max="15615" width="3.5703125" style="447" customWidth="1"/>
    <col min="15616" max="15616" width="4.85546875" style="447" customWidth="1"/>
    <col min="15617" max="15617" width="5.42578125" style="447" customWidth="1"/>
    <col min="15618" max="15618" width="31.28515625" style="447" customWidth="1"/>
    <col min="15619" max="15619" width="7.5703125" style="447" customWidth="1"/>
    <col min="15620" max="15620" width="2.42578125" style="447" customWidth="1"/>
    <col min="15621" max="15621" width="11.5703125" style="447" customWidth="1"/>
    <col min="15622" max="15622" width="2.42578125" style="447" customWidth="1"/>
    <col min="15623" max="15623" width="11.5703125" style="447" customWidth="1"/>
    <col min="15624" max="15624" width="2.42578125" style="447" customWidth="1"/>
    <col min="15625" max="15625" width="10.85546875" style="447" customWidth="1"/>
    <col min="15626" max="15626" width="2.42578125" style="447" customWidth="1"/>
    <col min="15627" max="15627" width="11.140625" style="447" customWidth="1"/>
    <col min="15628" max="15628" width="1.85546875" style="447" customWidth="1"/>
    <col min="15629" max="15629" width="11" style="447" customWidth="1"/>
    <col min="15630" max="15630" width="0.7109375" style="447" customWidth="1"/>
    <col min="15631" max="15631" width="1.85546875" style="447" customWidth="1"/>
    <col min="15632" max="15632" width="11.85546875" style="447" bestFit="1" customWidth="1"/>
    <col min="15633" max="15633" width="15.28515625" style="447" bestFit="1" customWidth="1"/>
    <col min="15634" max="15634" width="5" style="447" customWidth="1"/>
    <col min="15635" max="15635" width="10.42578125" style="447" bestFit="1" customWidth="1"/>
    <col min="15636" max="15636" width="5" style="447" customWidth="1"/>
    <col min="15637" max="15637" width="10.42578125" style="447" bestFit="1" customWidth="1"/>
    <col min="15638" max="15640" width="9" style="447"/>
    <col min="15641" max="15641" width="10.42578125" style="447" bestFit="1" customWidth="1"/>
    <col min="15642" max="15870" width="9" style="447"/>
    <col min="15871" max="15871" width="3.5703125" style="447" customWidth="1"/>
    <col min="15872" max="15872" width="4.85546875" style="447" customWidth="1"/>
    <col min="15873" max="15873" width="5.42578125" style="447" customWidth="1"/>
    <col min="15874" max="15874" width="31.28515625" style="447" customWidth="1"/>
    <col min="15875" max="15875" width="7.5703125" style="447" customWidth="1"/>
    <col min="15876" max="15876" width="2.42578125" style="447" customWidth="1"/>
    <col min="15877" max="15877" width="11.5703125" style="447" customWidth="1"/>
    <col min="15878" max="15878" width="2.42578125" style="447" customWidth="1"/>
    <col min="15879" max="15879" width="11.5703125" style="447" customWidth="1"/>
    <col min="15880" max="15880" width="2.42578125" style="447" customWidth="1"/>
    <col min="15881" max="15881" width="10.85546875" style="447" customWidth="1"/>
    <col min="15882" max="15882" width="2.42578125" style="447" customWidth="1"/>
    <col min="15883" max="15883" width="11.140625" style="447" customWidth="1"/>
    <col min="15884" max="15884" width="1.85546875" style="447" customWidth="1"/>
    <col min="15885" max="15885" width="11" style="447" customWidth="1"/>
    <col min="15886" max="15886" width="0.7109375" style="447" customWidth="1"/>
    <col min="15887" max="15887" width="1.85546875" style="447" customWidth="1"/>
    <col min="15888" max="15888" width="11.85546875" style="447" bestFit="1" customWidth="1"/>
    <col min="15889" max="15889" width="15.28515625" style="447" bestFit="1" customWidth="1"/>
    <col min="15890" max="15890" width="5" style="447" customWidth="1"/>
    <col min="15891" max="15891" width="10.42578125" style="447" bestFit="1" customWidth="1"/>
    <col min="15892" max="15892" width="5" style="447" customWidth="1"/>
    <col min="15893" max="15893" width="10.42578125" style="447" bestFit="1" customWidth="1"/>
    <col min="15894" max="15896" width="9" style="447"/>
    <col min="15897" max="15897" width="10.42578125" style="447" bestFit="1" customWidth="1"/>
    <col min="15898" max="16126" width="9" style="447"/>
    <col min="16127" max="16127" width="3.5703125" style="447" customWidth="1"/>
    <col min="16128" max="16128" width="4.85546875" style="447" customWidth="1"/>
    <col min="16129" max="16129" width="5.42578125" style="447" customWidth="1"/>
    <col min="16130" max="16130" width="31.28515625" style="447" customWidth="1"/>
    <col min="16131" max="16131" width="7.5703125" style="447" customWidth="1"/>
    <col min="16132" max="16132" width="2.42578125" style="447" customWidth="1"/>
    <col min="16133" max="16133" width="11.5703125" style="447" customWidth="1"/>
    <col min="16134" max="16134" width="2.42578125" style="447" customWidth="1"/>
    <col min="16135" max="16135" width="11.5703125" style="447" customWidth="1"/>
    <col min="16136" max="16136" width="2.42578125" style="447" customWidth="1"/>
    <col min="16137" max="16137" width="10.85546875" style="447" customWidth="1"/>
    <col min="16138" max="16138" width="2.42578125" style="447" customWidth="1"/>
    <col min="16139" max="16139" width="11.140625" style="447" customWidth="1"/>
    <col min="16140" max="16140" width="1.85546875" style="447" customWidth="1"/>
    <col min="16141" max="16141" width="11" style="447" customWidth="1"/>
    <col min="16142" max="16142" width="0.7109375" style="447" customWidth="1"/>
    <col min="16143" max="16143" width="1.85546875" style="447" customWidth="1"/>
    <col min="16144" max="16144" width="11.85546875" style="447" bestFit="1" customWidth="1"/>
    <col min="16145" max="16145" width="15.28515625" style="447" bestFit="1" customWidth="1"/>
    <col min="16146" max="16146" width="5" style="447" customWidth="1"/>
    <col min="16147" max="16147" width="10.42578125" style="447" bestFit="1" customWidth="1"/>
    <col min="16148" max="16148" width="5" style="447" customWidth="1"/>
    <col min="16149" max="16149" width="10.42578125" style="447" bestFit="1" customWidth="1"/>
    <col min="16150" max="16152" width="9" style="447"/>
    <col min="16153" max="16153" width="10.42578125" style="447" bestFit="1" customWidth="1"/>
    <col min="16154" max="16382" width="9" style="447"/>
    <col min="16383" max="16384" width="9" style="447" customWidth="1"/>
  </cols>
  <sheetData>
    <row r="1" spans="1:19" s="443" customFormat="1" x14ac:dyDescent="0.6">
      <c r="A1" s="1528" t="s">
        <v>247</v>
      </c>
      <c r="B1" s="1528"/>
      <c r="C1" s="1528"/>
      <c r="D1" s="1528"/>
      <c r="E1" s="1528"/>
      <c r="F1" s="1528"/>
      <c r="G1" s="1528"/>
      <c r="H1" s="1528"/>
      <c r="I1" s="1528"/>
      <c r="J1" s="1528"/>
      <c r="K1" s="1528"/>
      <c r="L1" s="1528"/>
      <c r="M1" s="1528"/>
      <c r="N1" s="442"/>
      <c r="O1" s="442"/>
      <c r="P1" s="442"/>
      <c r="Q1" s="442"/>
      <c r="R1" s="442"/>
      <c r="S1" s="442"/>
    </row>
    <row r="2" spans="1:19" s="443" customFormat="1" x14ac:dyDescent="0.6">
      <c r="A2" s="1529" t="str">
        <f>تاريخچه!A2</f>
        <v>يادداشتهاي توضيحي صورتهاي مالي</v>
      </c>
      <c r="B2" s="1529"/>
      <c r="C2" s="1529"/>
      <c r="D2" s="1529"/>
      <c r="E2" s="1529"/>
      <c r="F2" s="1529"/>
      <c r="G2" s="1529"/>
      <c r="H2" s="1529"/>
      <c r="I2" s="1529"/>
      <c r="J2" s="1529"/>
      <c r="K2" s="1529"/>
      <c r="L2" s="1529"/>
      <c r="M2" s="1529"/>
      <c r="N2" s="442"/>
      <c r="O2" s="442"/>
      <c r="P2" s="442"/>
      <c r="Q2" s="442"/>
      <c r="R2" s="442"/>
      <c r="S2" s="442"/>
    </row>
    <row r="3" spans="1:19" s="443" customFormat="1" x14ac:dyDescent="0.6">
      <c r="A3" s="1529" t="str">
        <f>سودوزيان!A3</f>
        <v>سال مالی منتهی به 30 اسفند 1403</v>
      </c>
      <c r="B3" s="1529"/>
      <c r="C3" s="1529"/>
      <c r="D3" s="1529"/>
      <c r="E3" s="1529"/>
      <c r="F3" s="1529"/>
      <c r="G3" s="1529"/>
      <c r="H3" s="1529"/>
      <c r="I3" s="1529"/>
      <c r="J3" s="1529"/>
      <c r="K3" s="1529"/>
      <c r="L3" s="1529"/>
      <c r="M3" s="1529"/>
      <c r="N3" s="442"/>
      <c r="O3" s="442"/>
      <c r="P3" s="442"/>
      <c r="Q3" s="442"/>
      <c r="R3" s="442"/>
      <c r="S3" s="442"/>
    </row>
    <row r="4" spans="1:19" s="446" customFormat="1" ht="15" customHeight="1" x14ac:dyDescent="0.65">
      <c r="A4" s="452"/>
      <c r="B4" s="452"/>
      <c r="C4" s="452"/>
      <c r="D4" s="452"/>
      <c r="E4" s="452"/>
      <c r="F4" s="452"/>
      <c r="G4" s="452"/>
      <c r="H4" s="452"/>
      <c r="I4" s="452"/>
      <c r="J4" s="452"/>
      <c r="K4" s="452"/>
      <c r="L4" s="452"/>
      <c r="M4" s="452"/>
      <c r="N4" s="444"/>
      <c r="O4" s="444"/>
      <c r="P4" s="445"/>
      <c r="Q4" s="445"/>
      <c r="R4" s="444"/>
      <c r="S4" s="444"/>
    </row>
    <row r="5" spans="1:19" ht="26.25" x14ac:dyDescent="0.25">
      <c r="A5" s="453" t="s">
        <v>408</v>
      </c>
      <c r="B5" s="1540" t="s">
        <v>236</v>
      </c>
      <c r="C5" s="1540"/>
      <c r="D5" s="1540"/>
      <c r="E5" s="1540"/>
      <c r="F5" s="1540"/>
      <c r="G5" s="1540"/>
      <c r="H5" s="1540"/>
      <c r="I5" s="1540"/>
      <c r="J5" s="1540"/>
      <c r="K5" s="1540"/>
      <c r="L5" s="1540"/>
    </row>
    <row r="6" spans="1:19" s="392" customFormat="1" ht="20.25" customHeight="1" x14ac:dyDescent="0.25">
      <c r="A6" s="454"/>
      <c r="F6" s="455" t="s">
        <v>438</v>
      </c>
      <c r="H6" s="456">
        <v>1403</v>
      </c>
      <c r="I6" s="457"/>
      <c r="J6" s="456">
        <v>1402</v>
      </c>
      <c r="K6" s="458"/>
      <c r="L6" s="457"/>
      <c r="M6" s="459"/>
      <c r="P6" s="449"/>
      <c r="Q6" s="449"/>
    </row>
    <row r="7" spans="1:19" ht="25.5" customHeight="1" x14ac:dyDescent="0.25">
      <c r="H7" s="425" t="s">
        <v>591</v>
      </c>
      <c r="J7" s="425" t="s">
        <v>591</v>
      </c>
      <c r="L7" s="425"/>
      <c r="P7" s="450"/>
      <c r="Q7" s="450"/>
    </row>
    <row r="8" spans="1:19" ht="31.5" customHeight="1" x14ac:dyDescent="0.25">
      <c r="B8" s="447" t="s">
        <v>413</v>
      </c>
      <c r="F8" s="1309" t="s">
        <v>503</v>
      </c>
      <c r="H8" s="424">
        <v>35727631700</v>
      </c>
      <c r="I8" s="424"/>
      <c r="J8" s="1309">
        <f>J42</f>
        <v>147952653513</v>
      </c>
      <c r="M8" s="424"/>
      <c r="P8" s="450"/>
      <c r="Q8" s="450"/>
    </row>
    <row r="9" spans="1:19" ht="31.5" customHeight="1" x14ac:dyDescent="0.25">
      <c r="B9" s="447" t="s">
        <v>1252</v>
      </c>
      <c r="F9" s="1309" t="s">
        <v>504</v>
      </c>
      <c r="H9" s="1247">
        <v>18005742425</v>
      </c>
      <c r="I9" s="1247"/>
      <c r="J9" s="1309">
        <f>J50</f>
        <v>10320593622</v>
      </c>
      <c r="M9" s="1247"/>
      <c r="P9" s="450"/>
      <c r="Q9" s="450"/>
    </row>
    <row r="10" spans="1:19" ht="25.5" customHeight="1" x14ac:dyDescent="0.25">
      <c r="A10" s="451" t="s">
        <v>490</v>
      </c>
      <c r="B10" s="447" t="s">
        <v>582</v>
      </c>
      <c r="F10" s="1309"/>
      <c r="H10" s="424">
        <v>98685891</v>
      </c>
      <c r="J10" s="1309">
        <v>1109050886</v>
      </c>
      <c r="P10" s="450"/>
      <c r="Q10" s="450"/>
    </row>
    <row r="11" spans="1:19" ht="25.5" customHeight="1" x14ac:dyDescent="0.25">
      <c r="B11" s="447" t="s">
        <v>876</v>
      </c>
      <c r="F11" s="1309" t="s">
        <v>1286</v>
      </c>
      <c r="H11" s="424">
        <f>H63</f>
        <v>13927445647</v>
      </c>
      <c r="J11" s="1309">
        <v>10618526904</v>
      </c>
      <c r="P11" s="450"/>
      <c r="Q11" s="450"/>
    </row>
    <row r="12" spans="1:19" ht="25.5" customHeight="1" thickBot="1" x14ac:dyDescent="0.3">
      <c r="F12" s="1326"/>
      <c r="H12" s="1025">
        <f>SUM(H8:H11)</f>
        <v>67759505663</v>
      </c>
      <c r="I12" s="427"/>
      <c r="J12" s="415">
        <v>170000824925</v>
      </c>
      <c r="P12" s="448" t="b">
        <f>H12='وضعيت مالي'!F16</f>
        <v>1</v>
      </c>
      <c r="Q12" s="448" t="b">
        <f>J12='وضعيت مالي'!H16</f>
        <v>1</v>
      </c>
    </row>
    <row r="13" spans="1:19" ht="11.25" customHeight="1" thickTop="1" x14ac:dyDescent="0.25"/>
    <row r="14" spans="1:19" ht="25.5" customHeight="1" x14ac:dyDescent="0.25">
      <c r="A14" s="1538" t="s">
        <v>1254</v>
      </c>
      <c r="B14" s="1539"/>
      <c r="C14" s="1539"/>
      <c r="D14" s="1539"/>
      <c r="E14" s="1539"/>
      <c r="F14" s="1539"/>
      <c r="G14" s="1539"/>
      <c r="H14" s="1539"/>
      <c r="I14" s="1539"/>
      <c r="J14" s="1539"/>
      <c r="K14" s="1539"/>
      <c r="L14" s="1539"/>
    </row>
    <row r="15" spans="1:19" ht="21" customHeight="1" x14ac:dyDescent="0.25">
      <c r="H15" s="456">
        <v>1403</v>
      </c>
      <c r="I15" s="457"/>
      <c r="J15" s="1077">
        <v>1402</v>
      </c>
    </row>
    <row r="16" spans="1:19" ht="18.75" customHeight="1" x14ac:dyDescent="0.25">
      <c r="H16" s="425" t="s">
        <v>591</v>
      </c>
      <c r="J16" s="425" t="s">
        <v>591</v>
      </c>
    </row>
    <row r="17" spans="1:10" ht="21.75" customHeight="1" x14ac:dyDescent="0.25">
      <c r="A17" s="447"/>
      <c r="B17" s="1079" t="s">
        <v>1117</v>
      </c>
      <c r="C17" s="461"/>
      <c r="D17" s="461"/>
      <c r="H17" s="424">
        <v>12139628887</v>
      </c>
      <c r="I17" s="424"/>
      <c r="J17" s="1076">
        <v>0</v>
      </c>
    </row>
    <row r="18" spans="1:10" ht="21.75" customHeight="1" x14ac:dyDescent="0.25">
      <c r="A18" s="461"/>
      <c r="B18" s="462" t="s">
        <v>531</v>
      </c>
      <c r="C18" s="461"/>
      <c r="D18" s="461"/>
      <c r="H18" s="424">
        <v>11725676274</v>
      </c>
      <c r="I18" s="424"/>
      <c r="J18" s="1076">
        <v>17099804169</v>
      </c>
    </row>
    <row r="19" spans="1:10" ht="21.75" customHeight="1" x14ac:dyDescent="0.25">
      <c r="A19" s="461"/>
      <c r="B19" s="462" t="s">
        <v>580</v>
      </c>
      <c r="C19" s="461"/>
      <c r="D19" s="461"/>
      <c r="H19" s="424">
        <v>3705222958</v>
      </c>
      <c r="I19" s="424"/>
      <c r="J19" s="1076">
        <v>17008318138</v>
      </c>
    </row>
    <row r="20" spans="1:10" ht="21.75" customHeight="1" x14ac:dyDescent="0.25">
      <c r="A20" s="461"/>
      <c r="B20" s="462" t="s">
        <v>572</v>
      </c>
      <c r="C20" s="461"/>
      <c r="D20" s="461"/>
      <c r="H20" s="424">
        <v>1434616911</v>
      </c>
      <c r="I20" s="424"/>
      <c r="J20" s="1076">
        <v>46000473248</v>
      </c>
    </row>
    <row r="21" spans="1:10" ht="21.75" customHeight="1" x14ac:dyDescent="0.25">
      <c r="A21" s="461"/>
      <c r="B21" s="1078" t="s">
        <v>1116</v>
      </c>
      <c r="C21" s="461"/>
      <c r="D21" s="461"/>
      <c r="H21" s="424">
        <v>1193203131</v>
      </c>
      <c r="I21" s="424"/>
      <c r="J21" s="1076">
        <v>0</v>
      </c>
    </row>
    <row r="22" spans="1:10" ht="21.75" customHeight="1" x14ac:dyDescent="0.25">
      <c r="A22" s="461"/>
      <c r="B22" s="462" t="s">
        <v>874</v>
      </c>
      <c r="C22" s="461"/>
      <c r="D22" s="461"/>
      <c r="H22" s="424">
        <v>1000000000</v>
      </c>
      <c r="I22" s="424"/>
      <c r="J22" s="1076">
        <v>1000000000</v>
      </c>
    </row>
    <row r="23" spans="1:10" ht="21.75" customHeight="1" x14ac:dyDescent="0.25">
      <c r="A23" s="461"/>
      <c r="B23" s="462" t="s">
        <v>579</v>
      </c>
      <c r="C23" s="461"/>
      <c r="D23" s="461"/>
      <c r="H23" s="424">
        <v>799043683</v>
      </c>
      <c r="I23" s="424"/>
      <c r="J23" s="1076">
        <v>799842083</v>
      </c>
    </row>
    <row r="24" spans="1:10" ht="21.75" customHeight="1" x14ac:dyDescent="0.25">
      <c r="A24" s="461"/>
      <c r="B24" s="462" t="s">
        <v>577</v>
      </c>
      <c r="C24" s="461"/>
      <c r="D24" s="461"/>
      <c r="H24" s="424">
        <v>504514218</v>
      </c>
      <c r="I24" s="424"/>
      <c r="J24" s="1076">
        <v>1356436804</v>
      </c>
    </row>
    <row r="25" spans="1:10" ht="21.75" customHeight="1" x14ac:dyDescent="0.25">
      <c r="A25" s="461"/>
      <c r="B25" s="462" t="s">
        <v>574</v>
      </c>
      <c r="C25" s="461"/>
      <c r="D25" s="461"/>
      <c r="H25" s="424">
        <v>433225748</v>
      </c>
      <c r="I25" s="424"/>
      <c r="J25" s="1076">
        <v>2511431263</v>
      </c>
    </row>
    <row r="26" spans="1:10" ht="21.75" customHeight="1" x14ac:dyDescent="0.25">
      <c r="A26" s="461"/>
      <c r="B26" s="462" t="s">
        <v>254</v>
      </c>
      <c r="C26" s="461"/>
      <c r="D26" s="461"/>
      <c r="H26" s="424">
        <v>375688900</v>
      </c>
      <c r="I26" s="424"/>
      <c r="J26" s="1076">
        <v>69492975</v>
      </c>
    </row>
    <row r="27" spans="1:10" ht="21.75" customHeight="1" x14ac:dyDescent="0.25">
      <c r="A27" s="461"/>
      <c r="B27" s="462" t="s">
        <v>969</v>
      </c>
      <c r="C27" s="461"/>
      <c r="D27" s="461"/>
      <c r="H27" s="424">
        <v>340727578</v>
      </c>
      <c r="I27" s="424"/>
      <c r="J27" s="1076">
        <v>1736425280</v>
      </c>
    </row>
    <row r="28" spans="1:10" ht="21.75" customHeight="1" x14ac:dyDescent="0.25">
      <c r="A28" s="461"/>
      <c r="B28" s="462" t="s">
        <v>852</v>
      </c>
      <c r="C28" s="461"/>
      <c r="D28" s="461"/>
      <c r="H28" s="424">
        <v>153928316</v>
      </c>
      <c r="I28" s="424"/>
      <c r="J28" s="1076">
        <v>199158509</v>
      </c>
    </row>
    <row r="29" spans="1:10" ht="21.75" customHeight="1" x14ac:dyDescent="0.25">
      <c r="A29" s="461"/>
      <c r="B29" s="462" t="s">
        <v>501</v>
      </c>
      <c r="C29" s="461"/>
      <c r="D29" s="461"/>
      <c r="H29" s="1004">
        <v>146186080</v>
      </c>
      <c r="I29" s="424"/>
      <c r="J29" s="1076">
        <v>458493595</v>
      </c>
    </row>
    <row r="30" spans="1:10" ht="21.75" customHeight="1" x14ac:dyDescent="0.25">
      <c r="B30" s="447" t="s">
        <v>968</v>
      </c>
      <c r="H30" s="424">
        <v>135401381</v>
      </c>
      <c r="J30" s="1076">
        <v>31409892000</v>
      </c>
    </row>
    <row r="31" spans="1:10" ht="21.75" customHeight="1" x14ac:dyDescent="0.25">
      <c r="A31" s="461"/>
      <c r="B31" s="462" t="s">
        <v>366</v>
      </c>
      <c r="C31" s="461"/>
      <c r="D31" s="461"/>
      <c r="H31" s="424">
        <v>111031724</v>
      </c>
      <c r="I31" s="424"/>
      <c r="J31" s="1076">
        <v>57663826</v>
      </c>
    </row>
    <row r="32" spans="1:10" ht="21.75" customHeight="1" x14ac:dyDescent="0.25">
      <c r="A32" s="461"/>
      <c r="B32" s="462" t="s">
        <v>573</v>
      </c>
      <c r="C32" s="461"/>
      <c r="D32" s="461"/>
      <c r="H32" s="424">
        <v>53781710</v>
      </c>
      <c r="I32" s="424"/>
      <c r="J32" s="1076">
        <v>54285710</v>
      </c>
    </row>
    <row r="33" spans="1:17" ht="21.75" customHeight="1" x14ac:dyDescent="0.25">
      <c r="A33" s="461"/>
      <c r="B33" s="462" t="s">
        <v>571</v>
      </c>
      <c r="C33" s="461"/>
      <c r="D33" s="461"/>
      <c r="H33" s="1004">
        <v>37575251</v>
      </c>
      <c r="I33" s="424"/>
      <c r="J33" s="1076">
        <v>573276700</v>
      </c>
    </row>
    <row r="34" spans="1:17" ht="21.75" customHeight="1" x14ac:dyDescent="0.25">
      <c r="A34" s="461"/>
      <c r="B34" s="462" t="s">
        <v>576</v>
      </c>
      <c r="C34" s="461"/>
      <c r="D34" s="461"/>
      <c r="H34" s="424">
        <v>31538630</v>
      </c>
      <c r="I34" s="424"/>
      <c r="J34" s="1076">
        <v>6499726</v>
      </c>
    </row>
    <row r="35" spans="1:17" ht="21.75" customHeight="1" x14ac:dyDescent="0.25">
      <c r="A35" s="447"/>
      <c r="B35" s="461" t="s">
        <v>854</v>
      </c>
      <c r="C35" s="461"/>
      <c r="D35" s="461"/>
      <c r="H35" s="424">
        <v>30783542</v>
      </c>
      <c r="I35" s="424"/>
      <c r="J35" s="1076">
        <v>0</v>
      </c>
    </row>
    <row r="36" spans="1:17" ht="21.75" customHeight="1" x14ac:dyDescent="0.25">
      <c r="A36" s="447"/>
      <c r="B36" s="462" t="s">
        <v>855</v>
      </c>
      <c r="C36" s="461"/>
      <c r="D36" s="461"/>
      <c r="H36" s="424">
        <v>16221409</v>
      </c>
      <c r="I36" s="424"/>
      <c r="J36" s="1076">
        <v>16725409</v>
      </c>
    </row>
    <row r="37" spans="1:17" ht="21.75" customHeight="1" x14ac:dyDescent="0.25">
      <c r="A37" s="461"/>
      <c r="B37" s="462" t="s">
        <v>581</v>
      </c>
      <c r="C37" s="461"/>
      <c r="D37" s="461"/>
      <c r="H37" s="424">
        <v>809724</v>
      </c>
      <c r="I37" s="424"/>
      <c r="J37" s="1076">
        <v>13175629589</v>
      </c>
    </row>
    <row r="38" spans="1:17" ht="21.75" customHeight="1" x14ac:dyDescent="0.25">
      <c r="A38" s="447"/>
      <c r="B38" s="462" t="s">
        <v>856</v>
      </c>
      <c r="C38" s="461"/>
      <c r="D38" s="461"/>
      <c r="H38" s="424">
        <v>0</v>
      </c>
      <c r="I38" s="424"/>
      <c r="J38" s="1076">
        <v>12270335512</v>
      </c>
    </row>
    <row r="39" spans="1:17" ht="21.75" customHeight="1" x14ac:dyDescent="0.25">
      <c r="A39" s="461"/>
      <c r="B39" s="462" t="s">
        <v>853</v>
      </c>
      <c r="C39" s="461"/>
      <c r="D39" s="461"/>
      <c r="H39" s="424">
        <v>0</v>
      </c>
      <c r="I39" s="424"/>
      <c r="J39" s="1076">
        <v>18704138</v>
      </c>
    </row>
    <row r="40" spans="1:17" ht="21.75" customHeight="1" x14ac:dyDescent="0.25">
      <c r="A40" s="447"/>
      <c r="B40" s="461" t="s">
        <v>570</v>
      </c>
      <c r="C40" s="461"/>
      <c r="D40" s="461"/>
      <c r="H40" s="424">
        <v>0</v>
      </c>
      <c r="I40" s="424"/>
      <c r="J40" s="1076">
        <v>533905</v>
      </c>
    </row>
    <row r="41" spans="1:17" ht="21.75" customHeight="1" x14ac:dyDescent="0.25">
      <c r="A41" s="447"/>
      <c r="B41" s="1246" t="s">
        <v>130</v>
      </c>
      <c r="C41" s="461"/>
      <c r="D41" s="461"/>
      <c r="H41" s="1247">
        <v>1358825645</v>
      </c>
      <c r="I41" s="1247"/>
      <c r="J41" s="1247">
        <v>2129230934</v>
      </c>
    </row>
    <row r="42" spans="1:17" ht="21.75" customHeight="1" x14ac:dyDescent="0.25">
      <c r="A42" s="447"/>
      <c r="B42" s="1246"/>
      <c r="C42" s="461"/>
      <c r="D42" s="461"/>
      <c r="H42" s="1259">
        <f>SUM(H17:H41)</f>
        <v>35727631700</v>
      </c>
      <c r="I42" s="1247"/>
      <c r="J42" s="1327">
        <f>SUM(J17:J41)</f>
        <v>147952653513</v>
      </c>
      <c r="P42" s="448" t="b">
        <f>H42=H8</f>
        <v>1</v>
      </c>
      <c r="Q42" s="448" t="b">
        <f>J42=J8</f>
        <v>1</v>
      </c>
    </row>
    <row r="43" spans="1:17" ht="23.25" customHeight="1" x14ac:dyDescent="0.25">
      <c r="A43" s="1538" t="s">
        <v>1255</v>
      </c>
      <c r="B43" s="1539"/>
      <c r="C43" s="1539"/>
      <c r="D43" s="1539"/>
      <c r="E43" s="1539"/>
      <c r="F43" s="1539"/>
      <c r="G43" s="1539"/>
      <c r="H43" s="1539"/>
      <c r="I43" s="1539"/>
      <c r="J43" s="1539"/>
      <c r="K43" s="1539"/>
      <c r="L43" s="1539"/>
    </row>
    <row r="44" spans="1:17" ht="17.25" customHeight="1" x14ac:dyDescent="0.25">
      <c r="A44" s="447"/>
      <c r="B44" s="461" t="s">
        <v>858</v>
      </c>
      <c r="C44" s="461"/>
      <c r="D44" s="461"/>
      <c r="H44" s="424">
        <v>7034570000</v>
      </c>
      <c r="I44" s="424"/>
      <c r="J44" s="1309">
        <v>4037210000</v>
      </c>
    </row>
    <row r="45" spans="1:17" ht="17.25" customHeight="1" x14ac:dyDescent="0.25">
      <c r="A45" s="461"/>
      <c r="B45" s="462" t="s">
        <v>578</v>
      </c>
      <c r="C45" s="461"/>
      <c r="D45" s="461"/>
      <c r="H45" s="424">
        <v>4379555100</v>
      </c>
      <c r="I45" s="424"/>
      <c r="J45" s="1309">
        <v>2506409700</v>
      </c>
    </row>
    <row r="46" spans="1:17" ht="17.25" customHeight="1" x14ac:dyDescent="0.25">
      <c r="A46" s="461"/>
      <c r="B46" s="462" t="s">
        <v>1115</v>
      </c>
      <c r="C46" s="461"/>
      <c r="D46" s="461"/>
      <c r="H46" s="424">
        <v>3661154395</v>
      </c>
      <c r="I46" s="424"/>
      <c r="J46" s="1309">
        <v>2095710286</v>
      </c>
    </row>
    <row r="47" spans="1:17" ht="17.25" customHeight="1" x14ac:dyDescent="0.25">
      <c r="A47" s="447"/>
      <c r="B47" s="461" t="s">
        <v>857</v>
      </c>
      <c r="C47" s="461"/>
      <c r="D47" s="461"/>
      <c r="H47" s="424">
        <v>1107972913</v>
      </c>
      <c r="I47" s="424"/>
      <c r="J47" s="1309">
        <v>635846798</v>
      </c>
    </row>
    <row r="48" spans="1:17" ht="17.25" customHeight="1" x14ac:dyDescent="0.25">
      <c r="A48" s="461"/>
      <c r="B48" s="462" t="s">
        <v>575</v>
      </c>
      <c r="C48" s="461"/>
      <c r="D48" s="461"/>
      <c r="H48" s="424">
        <v>1046040559</v>
      </c>
      <c r="I48" s="424"/>
      <c r="J48" s="1309">
        <v>600304874</v>
      </c>
    </row>
    <row r="49" spans="1:17" ht="17.25" customHeight="1" x14ac:dyDescent="0.25">
      <c r="A49" s="461"/>
      <c r="B49" s="462" t="s">
        <v>130</v>
      </c>
      <c r="C49" s="461"/>
      <c r="D49" s="461"/>
      <c r="H49" s="1080">
        <v>776449458</v>
      </c>
      <c r="I49" s="424"/>
      <c r="J49" s="1080">
        <v>445111964</v>
      </c>
    </row>
    <row r="50" spans="1:17" ht="21.75" customHeight="1" x14ac:dyDescent="0.25">
      <c r="A50" s="431"/>
      <c r="E50" s="431"/>
      <c r="F50" s="431"/>
      <c r="G50" s="431"/>
      <c r="H50" s="1260">
        <f>SUM(H44:H49)</f>
        <v>18005742425</v>
      </c>
      <c r="I50" s="857"/>
      <c r="J50" s="1328">
        <f>SUM(J44:J49)</f>
        <v>10320593622</v>
      </c>
      <c r="K50" s="431"/>
      <c r="L50" s="431"/>
      <c r="M50" s="431"/>
      <c r="P50" s="448" t="b">
        <f>H50=H9</f>
        <v>1</v>
      </c>
      <c r="Q50" s="448" t="b">
        <f>J50=J9</f>
        <v>1</v>
      </c>
    </row>
    <row r="51" spans="1:17" ht="19.5" customHeight="1" thickBot="1" x14ac:dyDescent="0.3">
      <c r="H51" s="1258">
        <f>H50+H42</f>
        <v>53733374125</v>
      </c>
      <c r="J51" s="1258">
        <f>J50+J42</f>
        <v>158273247135</v>
      </c>
    </row>
    <row r="52" spans="1:17" ht="22.5" customHeight="1" thickTop="1" x14ac:dyDescent="0.25">
      <c r="A52" s="1538" t="s">
        <v>1253</v>
      </c>
      <c r="B52" s="1539"/>
      <c r="C52" s="1539"/>
      <c r="D52" s="1539"/>
      <c r="E52" s="1539"/>
      <c r="F52" s="1539"/>
      <c r="G52" s="1539"/>
      <c r="H52" s="1539"/>
      <c r="I52" s="1539"/>
      <c r="J52" s="1539"/>
      <c r="K52" s="1539"/>
      <c r="L52" s="1539"/>
    </row>
    <row r="53" spans="1:17" ht="23.25" customHeight="1" x14ac:dyDescent="0.25">
      <c r="C53" s="1527"/>
      <c r="D53" s="1527"/>
      <c r="E53" s="1527"/>
      <c r="F53" s="424" t="s">
        <v>951</v>
      </c>
      <c r="H53" s="456">
        <v>1403</v>
      </c>
      <c r="I53" s="457">
        <v>0</v>
      </c>
      <c r="J53" s="456">
        <v>1402</v>
      </c>
      <c r="K53" s="1527"/>
      <c r="L53" s="1527"/>
    </row>
    <row r="54" spans="1:17" ht="23.25" customHeight="1" x14ac:dyDescent="0.25">
      <c r="C54" s="1527"/>
      <c r="D54" s="1527"/>
      <c r="E54" s="1527"/>
      <c r="F54" s="463"/>
      <c r="H54" s="425" t="s">
        <v>591</v>
      </c>
      <c r="J54" s="425" t="s">
        <v>591</v>
      </c>
      <c r="O54" s="447">
        <v>6149</v>
      </c>
      <c r="P54" s="447"/>
    </row>
    <row r="55" spans="1:17" ht="20.25" customHeight="1" x14ac:dyDescent="0.25">
      <c r="B55" s="447" t="s">
        <v>583</v>
      </c>
      <c r="C55" s="424"/>
      <c r="D55" s="424"/>
      <c r="E55" s="424"/>
      <c r="F55" s="424">
        <v>18684</v>
      </c>
      <c r="H55" s="424">
        <v>13143390588</v>
      </c>
      <c r="I55" s="424"/>
      <c r="J55" s="414">
        <v>5910312576</v>
      </c>
      <c r="O55" s="447">
        <v>35970</v>
      </c>
      <c r="P55" s="447"/>
    </row>
    <row r="56" spans="1:17" ht="20.25" customHeight="1" x14ac:dyDescent="0.25">
      <c r="B56" s="447" t="s">
        <v>584</v>
      </c>
      <c r="C56" s="424"/>
      <c r="D56" s="424"/>
      <c r="E56" s="424"/>
      <c r="F56" s="424">
        <v>815</v>
      </c>
      <c r="H56" s="424">
        <v>623894516</v>
      </c>
      <c r="I56" s="424"/>
      <c r="J56" s="414">
        <v>787677651</v>
      </c>
      <c r="O56" s="447">
        <v>105.5</v>
      </c>
      <c r="P56" s="447"/>
    </row>
    <row r="57" spans="1:17" ht="20.25" customHeight="1" x14ac:dyDescent="0.25">
      <c r="B57" s="447" t="s">
        <v>589</v>
      </c>
      <c r="C57" s="424"/>
      <c r="D57" s="424"/>
      <c r="E57" s="424"/>
      <c r="F57" s="424">
        <v>115501</v>
      </c>
      <c r="H57" s="424">
        <v>62070775</v>
      </c>
      <c r="I57" s="424"/>
      <c r="J57" s="414">
        <v>3814651527</v>
      </c>
      <c r="O57" s="447">
        <v>1310</v>
      </c>
      <c r="P57" s="447"/>
    </row>
    <row r="58" spans="1:17" ht="20.25" customHeight="1" x14ac:dyDescent="0.25">
      <c r="B58" s="447" t="s">
        <v>585</v>
      </c>
      <c r="C58" s="424"/>
      <c r="D58" s="424"/>
      <c r="E58" s="424"/>
      <c r="F58" s="424">
        <v>316</v>
      </c>
      <c r="H58" s="424">
        <v>30345432</v>
      </c>
      <c r="I58" s="424"/>
      <c r="J58" s="414">
        <v>78851406</v>
      </c>
      <c r="O58" s="447">
        <v>15</v>
      </c>
      <c r="P58" s="447"/>
    </row>
    <row r="59" spans="1:17" ht="20.25" customHeight="1" x14ac:dyDescent="0.25">
      <c r="B59" s="447" t="s">
        <v>588</v>
      </c>
      <c r="C59" s="424"/>
      <c r="D59" s="424"/>
      <c r="E59" s="424"/>
      <c r="F59" s="424">
        <v>15</v>
      </c>
      <c r="H59" s="424">
        <v>27407355</v>
      </c>
      <c r="I59" s="424"/>
      <c r="J59" s="414">
        <v>1744992</v>
      </c>
      <c r="O59" s="447">
        <v>20</v>
      </c>
      <c r="P59" s="447"/>
    </row>
    <row r="60" spans="1:17" ht="20.25" customHeight="1" x14ac:dyDescent="0.25">
      <c r="B60" s="447" t="s">
        <v>590</v>
      </c>
      <c r="C60" s="424"/>
      <c r="D60" s="424"/>
      <c r="E60" s="424"/>
      <c r="F60" s="424">
        <v>115</v>
      </c>
      <c r="H60" s="424">
        <v>20495529</v>
      </c>
      <c r="I60" s="424"/>
      <c r="J60" s="414">
        <v>12491040</v>
      </c>
      <c r="O60" s="447">
        <v>115500</v>
      </c>
      <c r="P60" s="447"/>
    </row>
    <row r="61" spans="1:17" ht="20.25" customHeight="1" x14ac:dyDescent="0.25">
      <c r="B61" s="447" t="s">
        <v>587</v>
      </c>
      <c r="C61" s="424"/>
      <c r="D61" s="424"/>
      <c r="E61" s="424"/>
      <c r="F61" s="424">
        <v>2406</v>
      </c>
      <c r="H61" s="424">
        <v>19457372</v>
      </c>
      <c r="I61" s="424"/>
      <c r="J61" s="414">
        <v>12514737</v>
      </c>
      <c r="O61" s="447">
        <v>2396</v>
      </c>
      <c r="P61" s="447"/>
    </row>
    <row r="62" spans="1:17" ht="20.25" customHeight="1" x14ac:dyDescent="0.25">
      <c r="B62" s="447" t="s">
        <v>586</v>
      </c>
      <c r="C62" s="424"/>
      <c r="D62" s="424"/>
      <c r="E62" s="424"/>
      <c r="F62" s="424">
        <v>21</v>
      </c>
      <c r="H62" s="424">
        <v>384080</v>
      </c>
      <c r="I62" s="424"/>
      <c r="J62" s="414">
        <v>282975</v>
      </c>
      <c r="P62" s="447"/>
    </row>
    <row r="63" spans="1:17" ht="21.75" customHeight="1" thickBot="1" x14ac:dyDescent="0.3">
      <c r="B63" s="424"/>
      <c r="C63" s="424"/>
      <c r="D63" s="424"/>
      <c r="E63" s="424"/>
      <c r="F63" s="464"/>
      <c r="H63" s="1024">
        <f>SUM(H55:H62)</f>
        <v>13927445647</v>
      </c>
      <c r="I63" s="427"/>
      <c r="J63" s="415">
        <f>SUM(J55:J62)</f>
        <v>10618526904</v>
      </c>
      <c r="P63" s="448" t="b">
        <f>H63=H11</f>
        <v>1</v>
      </c>
      <c r="Q63" s="448" t="b">
        <f>J63=J11</f>
        <v>1</v>
      </c>
    </row>
    <row r="64" spans="1:17" ht="18" customHeight="1" thickTop="1" x14ac:dyDescent="0.25">
      <c r="B64" s="424"/>
      <c r="C64" s="424"/>
      <c r="D64" s="424"/>
      <c r="E64" s="424"/>
      <c r="H64" s="447"/>
    </row>
    <row r="65" spans="1:12" x14ac:dyDescent="0.25">
      <c r="A65" s="1537" t="s">
        <v>455</v>
      </c>
      <c r="B65" s="1537"/>
      <c r="C65" s="1537"/>
      <c r="D65" s="1537"/>
      <c r="E65" s="1537"/>
      <c r="F65" s="1537"/>
      <c r="G65" s="1537"/>
      <c r="H65" s="1537"/>
      <c r="I65" s="1537"/>
      <c r="J65" s="1537"/>
      <c r="K65" s="1537"/>
      <c r="L65" s="1537"/>
    </row>
  </sheetData>
  <customSheetViews>
    <customSheetView guid="{39716EAB-185B-4ADF-90CF-1B1041867F58}" scale="90" showPageBreaks="1" printArea="1" view="pageBreakPreview" topLeftCell="A47">
      <selection activeCell="E31" sqref="E31"/>
      <pageMargins left="0" right="0" top="0" bottom="0" header="0.31496062992125984" footer="0.31496062992125984"/>
      <printOptions horizontalCentered="1"/>
      <pageSetup paperSize="9" scale="44" orientation="portrait" r:id="rId1"/>
    </customSheetView>
    <customSheetView guid="{5CB8382F-C212-4512-9396-17792C62978E}" scale="90" showPageBreaks="1" printArea="1" view="pageBreakPreview" topLeftCell="A47">
      <selection activeCell="E31" sqref="E31"/>
      <pageMargins left="0" right="0" top="0" bottom="0" header="0.31496062992125984" footer="0.31496062992125984"/>
      <printOptions horizontalCentered="1"/>
      <pageSetup paperSize="9" scale="44" orientation="portrait" r:id="rId2"/>
    </customSheetView>
    <customSheetView guid="{184BCED3-EADB-44CF-BFDA-DA8D3E7206C0}" scale="90" showPageBreaks="1" printArea="1" view="pageBreakPreview" topLeftCell="A79">
      <selection activeCell="F75" sqref="F75"/>
      <pageMargins left="0" right="0" top="0" bottom="0" header="0.31496062992125984" footer="0.31496062992125984"/>
      <printOptions horizontalCentered="1"/>
      <pageSetup paperSize="9" scale="44" orientation="portrait" r:id="rId3"/>
    </customSheetView>
  </customSheetViews>
  <mergeCells count="11">
    <mergeCell ref="A1:M1"/>
    <mergeCell ref="A2:M2"/>
    <mergeCell ref="A3:M3"/>
    <mergeCell ref="B5:L5"/>
    <mergeCell ref="A52:L52"/>
    <mergeCell ref="K53:L53"/>
    <mergeCell ref="C54:E54"/>
    <mergeCell ref="A65:L65"/>
    <mergeCell ref="A14:L14"/>
    <mergeCell ref="C53:E53"/>
    <mergeCell ref="A43:L43"/>
  </mergeCells>
  <conditionalFormatting sqref="B36">
    <cfRule type="duplicateValues" dxfId="50" priority="228"/>
  </conditionalFormatting>
  <conditionalFormatting sqref="B38">
    <cfRule type="duplicateValues" dxfId="49" priority="235"/>
  </conditionalFormatting>
  <conditionalFormatting sqref="B41:B42">
    <cfRule type="duplicateValues" dxfId="48" priority="2"/>
  </conditionalFormatting>
  <conditionalFormatting sqref="B43">
    <cfRule type="duplicateValues" dxfId="47" priority="1"/>
  </conditionalFormatting>
  <conditionalFormatting sqref="B45:B46 B39 B48:B49 B31:B34 B18:B29 B37">
    <cfRule type="duplicateValues" dxfId="46" priority="515"/>
  </conditionalFormatting>
  <conditionalFormatting sqref="B52 B54">
    <cfRule type="duplicateValues" dxfId="45" priority="91"/>
  </conditionalFormatting>
  <conditionalFormatting sqref="B53">
    <cfRule type="duplicateValues" dxfId="44" priority="16"/>
  </conditionalFormatting>
  <conditionalFormatting sqref="B55:B62">
    <cfRule type="duplicateValues" dxfId="43" priority="350"/>
  </conditionalFormatting>
  <conditionalFormatting sqref="B63:B64">
    <cfRule type="duplicateValues" dxfId="42" priority="18"/>
  </conditionalFormatting>
  <conditionalFormatting sqref="B65:B1048576 B30 B50:B51 B1:B16">
    <cfRule type="duplicateValues" dxfId="41" priority="83"/>
  </conditionalFormatting>
  <conditionalFormatting sqref="J12 J55:J63">
    <cfRule type="cellIs" dxfId="40" priority="13" stopIfTrue="1" operator="lessThan">
      <formula>0</formula>
    </cfRule>
  </conditionalFormatting>
  <conditionalFormatting sqref="J50">
    <cfRule type="cellIs" dxfId="39" priority="3" stopIfTrue="1" operator="lessThan">
      <formula>0</formula>
    </cfRule>
  </conditionalFormatting>
  <hyperlinks>
    <hyperlink ref="A1:XFD3" r:id="rId4" display="http://modiriatmali.com/" xr:uid="{00000000-0004-0000-1B00-000000000000}"/>
  </hyperlinks>
  <printOptions horizontalCentered="1"/>
  <pageMargins left="0" right="0" top="0" bottom="0" header="0.31496062992126" footer="0.31496062992126"/>
  <pageSetup paperSize="9" scale="59" orientation="portrait"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A1:W49"/>
  <sheetViews>
    <sheetView rightToLeft="1" view="pageBreakPreview" zoomScale="80" zoomScaleSheetLayoutView="80" workbookViewId="0">
      <selection activeCell="B34" sqref="B34:P34"/>
    </sheetView>
  </sheetViews>
  <sheetFormatPr defaultRowHeight="24.75" x14ac:dyDescent="0.25"/>
  <cols>
    <col min="1" max="1" width="6.5703125" style="451" bestFit="1" customWidth="1"/>
    <col min="2" max="2" width="7.140625" style="447" customWidth="1"/>
    <col min="3" max="3" width="0.7109375" style="447" customWidth="1"/>
    <col min="4" max="4" width="20.28515625" style="447" customWidth="1"/>
    <col min="5" max="5" width="0.7109375" style="447" customWidth="1"/>
    <col min="6" max="6" width="20.5703125" style="447" bestFit="1" customWidth="1"/>
    <col min="7" max="7" width="0.7109375" style="447" customWidth="1"/>
    <col min="8" max="8" width="26.5703125" style="447" bestFit="1" customWidth="1"/>
    <col min="9" max="9" width="1.5703125" style="447" customWidth="1"/>
    <col min="10" max="10" width="26.28515625" style="447" bestFit="1" customWidth="1"/>
    <col min="11" max="11" width="1.28515625" style="447" customWidth="1"/>
    <col min="12" max="12" width="11.42578125" style="447" bestFit="1" customWidth="1"/>
    <col min="13" max="13" width="1.85546875" style="447" customWidth="1"/>
    <col min="14" max="14" width="12.42578125" style="447" bestFit="1" customWidth="1"/>
    <col min="15" max="15" width="0.7109375" style="447" customWidth="1"/>
    <col min="16" max="16" width="26.28515625" style="447" bestFit="1" customWidth="1"/>
    <col min="17" max="17" width="0.7109375" style="447" customWidth="1"/>
    <col min="18" max="18" width="2.140625" style="447" customWidth="1"/>
    <col min="19" max="19" width="1.85546875" style="447" customWidth="1"/>
    <col min="20" max="20" width="11.5703125" style="448" customWidth="1"/>
    <col min="21" max="21" width="15.28515625" style="448" bestFit="1" customWidth="1"/>
    <col min="22" max="22" width="15.7109375" style="447" customWidth="1"/>
    <col min="23" max="23" width="10.42578125" style="447" bestFit="1" customWidth="1"/>
    <col min="24" max="24" width="5" style="447" customWidth="1"/>
    <col min="25" max="25" width="10.42578125" style="447" bestFit="1" customWidth="1"/>
    <col min="26" max="28" width="9" style="447"/>
    <col min="29" max="29" width="10.42578125" style="447" bestFit="1" customWidth="1"/>
    <col min="30" max="258" width="9" style="447"/>
    <col min="259" max="259" width="3.5703125" style="447" customWidth="1"/>
    <col min="260" max="260" width="4.85546875" style="447" customWidth="1"/>
    <col min="261" max="261" width="5.42578125" style="447" customWidth="1"/>
    <col min="262" max="262" width="31.28515625" style="447" customWidth="1"/>
    <col min="263" max="263" width="7.5703125" style="447" customWidth="1"/>
    <col min="264" max="264" width="2.42578125" style="447" customWidth="1"/>
    <col min="265" max="265" width="11.5703125" style="447" customWidth="1"/>
    <col min="266" max="266" width="2.42578125" style="447" customWidth="1"/>
    <col min="267" max="267" width="11.5703125" style="447" customWidth="1"/>
    <col min="268" max="268" width="2.42578125" style="447" customWidth="1"/>
    <col min="269" max="269" width="10.85546875" style="447" customWidth="1"/>
    <col min="270" max="270" width="2.42578125" style="447" customWidth="1"/>
    <col min="271" max="271" width="11.140625" style="447" customWidth="1"/>
    <col min="272" max="272" width="1.85546875" style="447" customWidth="1"/>
    <col min="273" max="273" width="11" style="447" customWidth="1"/>
    <col min="274" max="274" width="0.7109375" style="447" customWidth="1"/>
    <col min="275" max="275" width="1.85546875" style="447" customWidth="1"/>
    <col min="276" max="276" width="11.85546875" style="447" bestFit="1" customWidth="1"/>
    <col min="277" max="277" width="15.28515625" style="447" bestFit="1" customWidth="1"/>
    <col min="278" max="278" width="5" style="447" customWidth="1"/>
    <col min="279" max="279" width="10.42578125" style="447" bestFit="1" customWidth="1"/>
    <col min="280" max="280" width="5" style="447" customWidth="1"/>
    <col min="281" max="281" width="10.42578125" style="447" bestFit="1" customWidth="1"/>
    <col min="282" max="284" width="9" style="447"/>
    <col min="285" max="285" width="10.42578125" style="447" bestFit="1" customWidth="1"/>
    <col min="286" max="514" width="9" style="447"/>
    <col min="515" max="515" width="3.5703125" style="447" customWidth="1"/>
    <col min="516" max="516" width="4.85546875" style="447" customWidth="1"/>
    <col min="517" max="517" width="5.42578125" style="447" customWidth="1"/>
    <col min="518" max="518" width="31.28515625" style="447" customWidth="1"/>
    <col min="519" max="519" width="7.5703125" style="447" customWidth="1"/>
    <col min="520" max="520" width="2.42578125" style="447" customWidth="1"/>
    <col min="521" max="521" width="11.5703125" style="447" customWidth="1"/>
    <col min="522" max="522" width="2.42578125" style="447" customWidth="1"/>
    <col min="523" max="523" width="11.5703125" style="447" customWidth="1"/>
    <col min="524" max="524" width="2.42578125" style="447" customWidth="1"/>
    <col min="525" max="525" width="10.85546875" style="447" customWidth="1"/>
    <col min="526" max="526" width="2.42578125" style="447" customWidth="1"/>
    <col min="527" max="527" width="11.140625" style="447" customWidth="1"/>
    <col min="528" max="528" width="1.85546875" style="447" customWidth="1"/>
    <col min="529" max="529" width="11" style="447" customWidth="1"/>
    <col min="530" max="530" width="0.7109375" style="447" customWidth="1"/>
    <col min="531" max="531" width="1.85546875" style="447" customWidth="1"/>
    <col min="532" max="532" width="11.85546875" style="447" bestFit="1" customWidth="1"/>
    <col min="533" max="533" width="15.28515625" style="447" bestFit="1" customWidth="1"/>
    <col min="534" max="534" width="5" style="447" customWidth="1"/>
    <col min="535" max="535" width="10.42578125" style="447" bestFit="1" customWidth="1"/>
    <col min="536" max="536" width="5" style="447" customWidth="1"/>
    <col min="537" max="537" width="10.42578125" style="447" bestFit="1" customWidth="1"/>
    <col min="538" max="540" width="9" style="447"/>
    <col min="541" max="541" width="10.42578125" style="447" bestFit="1" customWidth="1"/>
    <col min="542" max="770" width="9" style="447"/>
    <col min="771" max="771" width="3.5703125" style="447" customWidth="1"/>
    <col min="772" max="772" width="4.85546875" style="447" customWidth="1"/>
    <col min="773" max="773" width="5.42578125" style="447" customWidth="1"/>
    <col min="774" max="774" width="31.28515625" style="447" customWidth="1"/>
    <col min="775" max="775" width="7.5703125" style="447" customWidth="1"/>
    <col min="776" max="776" width="2.42578125" style="447" customWidth="1"/>
    <col min="777" max="777" width="11.5703125" style="447" customWidth="1"/>
    <col min="778" max="778" width="2.42578125" style="447" customWidth="1"/>
    <col min="779" max="779" width="11.5703125" style="447" customWidth="1"/>
    <col min="780" max="780" width="2.42578125" style="447" customWidth="1"/>
    <col min="781" max="781" width="10.85546875" style="447" customWidth="1"/>
    <col min="782" max="782" width="2.42578125" style="447" customWidth="1"/>
    <col min="783" max="783" width="11.140625" style="447" customWidth="1"/>
    <col min="784" max="784" width="1.85546875" style="447" customWidth="1"/>
    <col min="785" max="785" width="11" style="447" customWidth="1"/>
    <col min="786" max="786" width="0.7109375" style="447" customWidth="1"/>
    <col min="787" max="787" width="1.85546875" style="447" customWidth="1"/>
    <col min="788" max="788" width="11.85546875" style="447" bestFit="1" customWidth="1"/>
    <col min="789" max="789" width="15.28515625" style="447" bestFit="1" customWidth="1"/>
    <col min="790" max="790" width="5" style="447" customWidth="1"/>
    <col min="791" max="791" width="10.42578125" style="447" bestFit="1" customWidth="1"/>
    <col min="792" max="792" width="5" style="447" customWidth="1"/>
    <col min="793" max="793" width="10.42578125" style="447" bestFit="1" customWidth="1"/>
    <col min="794" max="796" width="9" style="447"/>
    <col min="797" max="797" width="10.42578125" style="447" bestFit="1" customWidth="1"/>
    <col min="798" max="1026" width="9" style="447"/>
    <col min="1027" max="1027" width="3.5703125" style="447" customWidth="1"/>
    <col min="1028" max="1028" width="4.85546875" style="447" customWidth="1"/>
    <col min="1029" max="1029" width="5.42578125" style="447" customWidth="1"/>
    <col min="1030" max="1030" width="31.28515625" style="447" customWidth="1"/>
    <col min="1031" max="1031" width="7.5703125" style="447" customWidth="1"/>
    <col min="1032" max="1032" width="2.42578125" style="447" customWidth="1"/>
    <col min="1033" max="1033" width="11.5703125" style="447" customWidth="1"/>
    <col min="1034" max="1034" width="2.42578125" style="447" customWidth="1"/>
    <col min="1035" max="1035" width="11.5703125" style="447" customWidth="1"/>
    <col min="1036" max="1036" width="2.42578125" style="447" customWidth="1"/>
    <col min="1037" max="1037" width="10.85546875" style="447" customWidth="1"/>
    <col min="1038" max="1038" width="2.42578125" style="447" customWidth="1"/>
    <col min="1039" max="1039" width="11.140625" style="447" customWidth="1"/>
    <col min="1040" max="1040" width="1.85546875" style="447" customWidth="1"/>
    <col min="1041" max="1041" width="11" style="447" customWidth="1"/>
    <col min="1042" max="1042" width="0.7109375" style="447" customWidth="1"/>
    <col min="1043" max="1043" width="1.85546875" style="447" customWidth="1"/>
    <col min="1044" max="1044" width="11.85546875" style="447" bestFit="1" customWidth="1"/>
    <col min="1045" max="1045" width="15.28515625" style="447" bestFit="1" customWidth="1"/>
    <col min="1046" max="1046" width="5" style="447" customWidth="1"/>
    <col min="1047" max="1047" width="10.42578125" style="447" bestFit="1" customWidth="1"/>
    <col min="1048" max="1048" width="5" style="447" customWidth="1"/>
    <col min="1049" max="1049" width="10.42578125" style="447" bestFit="1" customWidth="1"/>
    <col min="1050" max="1052" width="9" style="447"/>
    <col min="1053" max="1053" width="10.42578125" style="447" bestFit="1" customWidth="1"/>
    <col min="1054" max="1282" width="9" style="447"/>
    <col min="1283" max="1283" width="3.5703125" style="447" customWidth="1"/>
    <col min="1284" max="1284" width="4.85546875" style="447" customWidth="1"/>
    <col min="1285" max="1285" width="5.42578125" style="447" customWidth="1"/>
    <col min="1286" max="1286" width="31.28515625" style="447" customWidth="1"/>
    <col min="1287" max="1287" width="7.5703125" style="447" customWidth="1"/>
    <col min="1288" max="1288" width="2.42578125" style="447" customWidth="1"/>
    <col min="1289" max="1289" width="11.5703125" style="447" customWidth="1"/>
    <col min="1290" max="1290" width="2.42578125" style="447" customWidth="1"/>
    <col min="1291" max="1291" width="11.5703125" style="447" customWidth="1"/>
    <col min="1292" max="1292" width="2.42578125" style="447" customWidth="1"/>
    <col min="1293" max="1293" width="10.85546875" style="447" customWidth="1"/>
    <col min="1294" max="1294" width="2.42578125" style="447" customWidth="1"/>
    <col min="1295" max="1295" width="11.140625" style="447" customWidth="1"/>
    <col min="1296" max="1296" width="1.85546875" style="447" customWidth="1"/>
    <col min="1297" max="1297" width="11" style="447" customWidth="1"/>
    <col min="1298" max="1298" width="0.7109375" style="447" customWidth="1"/>
    <col min="1299" max="1299" width="1.85546875" style="447" customWidth="1"/>
    <col min="1300" max="1300" width="11.85546875" style="447" bestFit="1" customWidth="1"/>
    <col min="1301" max="1301" width="15.28515625" style="447" bestFit="1" customWidth="1"/>
    <col min="1302" max="1302" width="5" style="447" customWidth="1"/>
    <col min="1303" max="1303" width="10.42578125" style="447" bestFit="1" customWidth="1"/>
    <col min="1304" max="1304" width="5" style="447" customWidth="1"/>
    <col min="1305" max="1305" width="10.42578125" style="447" bestFit="1" customWidth="1"/>
    <col min="1306" max="1308" width="9" style="447"/>
    <col min="1309" max="1309" width="10.42578125" style="447" bestFit="1" customWidth="1"/>
    <col min="1310" max="1538" width="9" style="447"/>
    <col min="1539" max="1539" width="3.5703125" style="447" customWidth="1"/>
    <col min="1540" max="1540" width="4.85546875" style="447" customWidth="1"/>
    <col min="1541" max="1541" width="5.42578125" style="447" customWidth="1"/>
    <col min="1542" max="1542" width="31.28515625" style="447" customWidth="1"/>
    <col min="1543" max="1543" width="7.5703125" style="447" customWidth="1"/>
    <col min="1544" max="1544" width="2.42578125" style="447" customWidth="1"/>
    <col min="1545" max="1545" width="11.5703125" style="447" customWidth="1"/>
    <col min="1546" max="1546" width="2.42578125" style="447" customWidth="1"/>
    <col min="1547" max="1547" width="11.5703125" style="447" customWidth="1"/>
    <col min="1548" max="1548" width="2.42578125" style="447" customWidth="1"/>
    <col min="1549" max="1549" width="10.85546875" style="447" customWidth="1"/>
    <col min="1550" max="1550" width="2.42578125" style="447" customWidth="1"/>
    <col min="1551" max="1551" width="11.140625" style="447" customWidth="1"/>
    <col min="1552" max="1552" width="1.85546875" style="447" customWidth="1"/>
    <col min="1553" max="1553" width="11" style="447" customWidth="1"/>
    <col min="1554" max="1554" width="0.7109375" style="447" customWidth="1"/>
    <col min="1555" max="1555" width="1.85546875" style="447" customWidth="1"/>
    <col min="1556" max="1556" width="11.85546875" style="447" bestFit="1" customWidth="1"/>
    <col min="1557" max="1557" width="15.28515625" style="447" bestFit="1" customWidth="1"/>
    <col min="1558" max="1558" width="5" style="447" customWidth="1"/>
    <col min="1559" max="1559" width="10.42578125" style="447" bestFit="1" customWidth="1"/>
    <col min="1560" max="1560" width="5" style="447" customWidth="1"/>
    <col min="1561" max="1561" width="10.42578125" style="447" bestFit="1" customWidth="1"/>
    <col min="1562" max="1564" width="9" style="447"/>
    <col min="1565" max="1565" width="10.42578125" style="447" bestFit="1" customWidth="1"/>
    <col min="1566" max="1794" width="9" style="447"/>
    <col min="1795" max="1795" width="3.5703125" style="447" customWidth="1"/>
    <col min="1796" max="1796" width="4.85546875" style="447" customWidth="1"/>
    <col min="1797" max="1797" width="5.42578125" style="447" customWidth="1"/>
    <col min="1798" max="1798" width="31.28515625" style="447" customWidth="1"/>
    <col min="1799" max="1799" width="7.5703125" style="447" customWidth="1"/>
    <col min="1800" max="1800" width="2.42578125" style="447" customWidth="1"/>
    <col min="1801" max="1801" width="11.5703125" style="447" customWidth="1"/>
    <col min="1802" max="1802" width="2.42578125" style="447" customWidth="1"/>
    <col min="1803" max="1803" width="11.5703125" style="447" customWidth="1"/>
    <col min="1804" max="1804" width="2.42578125" style="447" customWidth="1"/>
    <col min="1805" max="1805" width="10.85546875" style="447" customWidth="1"/>
    <col min="1806" max="1806" width="2.42578125" style="447" customWidth="1"/>
    <col min="1807" max="1807" width="11.140625" style="447" customWidth="1"/>
    <col min="1808" max="1808" width="1.85546875" style="447" customWidth="1"/>
    <col min="1809" max="1809" width="11" style="447" customWidth="1"/>
    <col min="1810" max="1810" width="0.7109375" style="447" customWidth="1"/>
    <col min="1811" max="1811" width="1.85546875" style="447" customWidth="1"/>
    <col min="1812" max="1812" width="11.85546875" style="447" bestFit="1" customWidth="1"/>
    <col min="1813" max="1813" width="15.28515625" style="447" bestFit="1" customWidth="1"/>
    <col min="1814" max="1814" width="5" style="447" customWidth="1"/>
    <col min="1815" max="1815" width="10.42578125" style="447" bestFit="1" customWidth="1"/>
    <col min="1816" max="1816" width="5" style="447" customWidth="1"/>
    <col min="1817" max="1817" width="10.42578125" style="447" bestFit="1" customWidth="1"/>
    <col min="1818" max="1820" width="9" style="447"/>
    <col min="1821" max="1821" width="10.42578125" style="447" bestFit="1" customWidth="1"/>
    <col min="1822" max="2050" width="9" style="447"/>
    <col min="2051" max="2051" width="3.5703125" style="447" customWidth="1"/>
    <col min="2052" max="2052" width="4.85546875" style="447" customWidth="1"/>
    <col min="2053" max="2053" width="5.42578125" style="447" customWidth="1"/>
    <col min="2054" max="2054" width="31.28515625" style="447" customWidth="1"/>
    <col min="2055" max="2055" width="7.5703125" style="447" customWidth="1"/>
    <col min="2056" max="2056" width="2.42578125" style="447" customWidth="1"/>
    <col min="2057" max="2057" width="11.5703125" style="447" customWidth="1"/>
    <col min="2058" max="2058" width="2.42578125" style="447" customWidth="1"/>
    <col min="2059" max="2059" width="11.5703125" style="447" customWidth="1"/>
    <col min="2060" max="2060" width="2.42578125" style="447" customWidth="1"/>
    <col min="2061" max="2061" width="10.85546875" style="447" customWidth="1"/>
    <col min="2062" max="2062" width="2.42578125" style="447" customWidth="1"/>
    <col min="2063" max="2063" width="11.140625" style="447" customWidth="1"/>
    <col min="2064" max="2064" width="1.85546875" style="447" customWidth="1"/>
    <col min="2065" max="2065" width="11" style="447" customWidth="1"/>
    <col min="2066" max="2066" width="0.7109375" style="447" customWidth="1"/>
    <col min="2067" max="2067" width="1.85546875" style="447" customWidth="1"/>
    <col min="2068" max="2068" width="11.85546875" style="447" bestFit="1" customWidth="1"/>
    <col min="2069" max="2069" width="15.28515625" style="447" bestFit="1" customWidth="1"/>
    <col min="2070" max="2070" width="5" style="447" customWidth="1"/>
    <col min="2071" max="2071" width="10.42578125" style="447" bestFit="1" customWidth="1"/>
    <col min="2072" max="2072" width="5" style="447" customWidth="1"/>
    <col min="2073" max="2073" width="10.42578125" style="447" bestFit="1" customWidth="1"/>
    <col min="2074" max="2076" width="9" style="447"/>
    <col min="2077" max="2077" width="10.42578125" style="447" bestFit="1" customWidth="1"/>
    <col min="2078" max="2306" width="9" style="447"/>
    <col min="2307" max="2307" width="3.5703125" style="447" customWidth="1"/>
    <col min="2308" max="2308" width="4.85546875" style="447" customWidth="1"/>
    <col min="2309" max="2309" width="5.42578125" style="447" customWidth="1"/>
    <col min="2310" max="2310" width="31.28515625" style="447" customWidth="1"/>
    <col min="2311" max="2311" width="7.5703125" style="447" customWidth="1"/>
    <col min="2312" max="2312" width="2.42578125" style="447" customWidth="1"/>
    <col min="2313" max="2313" width="11.5703125" style="447" customWidth="1"/>
    <col min="2314" max="2314" width="2.42578125" style="447" customWidth="1"/>
    <col min="2315" max="2315" width="11.5703125" style="447" customWidth="1"/>
    <col min="2316" max="2316" width="2.42578125" style="447" customWidth="1"/>
    <col min="2317" max="2317" width="10.85546875" style="447" customWidth="1"/>
    <col min="2318" max="2318" width="2.42578125" style="447" customWidth="1"/>
    <col min="2319" max="2319" width="11.140625" style="447" customWidth="1"/>
    <col min="2320" max="2320" width="1.85546875" style="447" customWidth="1"/>
    <col min="2321" max="2321" width="11" style="447" customWidth="1"/>
    <col min="2322" max="2322" width="0.7109375" style="447" customWidth="1"/>
    <col min="2323" max="2323" width="1.85546875" style="447" customWidth="1"/>
    <col min="2324" max="2324" width="11.85546875" style="447" bestFit="1" customWidth="1"/>
    <col min="2325" max="2325" width="15.28515625" style="447" bestFit="1" customWidth="1"/>
    <col min="2326" max="2326" width="5" style="447" customWidth="1"/>
    <col min="2327" max="2327" width="10.42578125" style="447" bestFit="1" customWidth="1"/>
    <col min="2328" max="2328" width="5" style="447" customWidth="1"/>
    <col min="2329" max="2329" width="10.42578125" style="447" bestFit="1" customWidth="1"/>
    <col min="2330" max="2332" width="9" style="447"/>
    <col min="2333" max="2333" width="10.42578125" style="447" bestFit="1" customWidth="1"/>
    <col min="2334" max="2562" width="9" style="447"/>
    <col min="2563" max="2563" width="3.5703125" style="447" customWidth="1"/>
    <col min="2564" max="2564" width="4.85546875" style="447" customWidth="1"/>
    <col min="2565" max="2565" width="5.42578125" style="447" customWidth="1"/>
    <col min="2566" max="2566" width="31.28515625" style="447" customWidth="1"/>
    <col min="2567" max="2567" width="7.5703125" style="447" customWidth="1"/>
    <col min="2568" max="2568" width="2.42578125" style="447" customWidth="1"/>
    <col min="2569" max="2569" width="11.5703125" style="447" customWidth="1"/>
    <col min="2570" max="2570" width="2.42578125" style="447" customWidth="1"/>
    <col min="2571" max="2571" width="11.5703125" style="447" customWidth="1"/>
    <col min="2572" max="2572" width="2.42578125" style="447" customWidth="1"/>
    <col min="2573" max="2573" width="10.85546875" style="447" customWidth="1"/>
    <col min="2574" max="2574" width="2.42578125" style="447" customWidth="1"/>
    <col min="2575" max="2575" width="11.140625" style="447" customWidth="1"/>
    <col min="2576" max="2576" width="1.85546875" style="447" customWidth="1"/>
    <col min="2577" max="2577" width="11" style="447" customWidth="1"/>
    <col min="2578" max="2578" width="0.7109375" style="447" customWidth="1"/>
    <col min="2579" max="2579" width="1.85546875" style="447" customWidth="1"/>
    <col min="2580" max="2580" width="11.85546875" style="447" bestFit="1" customWidth="1"/>
    <col min="2581" max="2581" width="15.28515625" style="447" bestFit="1" customWidth="1"/>
    <col min="2582" max="2582" width="5" style="447" customWidth="1"/>
    <col min="2583" max="2583" width="10.42578125" style="447" bestFit="1" customWidth="1"/>
    <col min="2584" max="2584" width="5" style="447" customWidth="1"/>
    <col min="2585" max="2585" width="10.42578125" style="447" bestFit="1" customWidth="1"/>
    <col min="2586" max="2588" width="9" style="447"/>
    <col min="2589" max="2589" width="10.42578125" style="447" bestFit="1" customWidth="1"/>
    <col min="2590" max="2818" width="9" style="447"/>
    <col min="2819" max="2819" width="3.5703125" style="447" customWidth="1"/>
    <col min="2820" max="2820" width="4.85546875" style="447" customWidth="1"/>
    <col min="2821" max="2821" width="5.42578125" style="447" customWidth="1"/>
    <col min="2822" max="2822" width="31.28515625" style="447" customWidth="1"/>
    <col min="2823" max="2823" width="7.5703125" style="447" customWidth="1"/>
    <col min="2824" max="2824" width="2.42578125" style="447" customWidth="1"/>
    <col min="2825" max="2825" width="11.5703125" style="447" customWidth="1"/>
    <col min="2826" max="2826" width="2.42578125" style="447" customWidth="1"/>
    <col min="2827" max="2827" width="11.5703125" style="447" customWidth="1"/>
    <col min="2828" max="2828" width="2.42578125" style="447" customWidth="1"/>
    <col min="2829" max="2829" width="10.85546875" style="447" customWidth="1"/>
    <col min="2830" max="2830" width="2.42578125" style="447" customWidth="1"/>
    <col min="2831" max="2831" width="11.140625" style="447" customWidth="1"/>
    <col min="2832" max="2832" width="1.85546875" style="447" customWidth="1"/>
    <col min="2833" max="2833" width="11" style="447" customWidth="1"/>
    <col min="2834" max="2834" width="0.7109375" style="447" customWidth="1"/>
    <col min="2835" max="2835" width="1.85546875" style="447" customWidth="1"/>
    <col min="2836" max="2836" width="11.85546875" style="447" bestFit="1" customWidth="1"/>
    <col min="2837" max="2837" width="15.28515625" style="447" bestFit="1" customWidth="1"/>
    <col min="2838" max="2838" width="5" style="447" customWidth="1"/>
    <col min="2839" max="2839" width="10.42578125" style="447" bestFit="1" customWidth="1"/>
    <col min="2840" max="2840" width="5" style="447" customWidth="1"/>
    <col min="2841" max="2841" width="10.42578125" style="447" bestFit="1" customWidth="1"/>
    <col min="2842" max="2844" width="9" style="447"/>
    <col min="2845" max="2845" width="10.42578125" style="447" bestFit="1" customWidth="1"/>
    <col min="2846" max="3074" width="9" style="447"/>
    <col min="3075" max="3075" width="3.5703125" style="447" customWidth="1"/>
    <col min="3076" max="3076" width="4.85546875" style="447" customWidth="1"/>
    <col min="3077" max="3077" width="5.42578125" style="447" customWidth="1"/>
    <col min="3078" max="3078" width="31.28515625" style="447" customWidth="1"/>
    <col min="3079" max="3079" width="7.5703125" style="447" customWidth="1"/>
    <col min="3080" max="3080" width="2.42578125" style="447" customWidth="1"/>
    <col min="3081" max="3081" width="11.5703125" style="447" customWidth="1"/>
    <col min="3082" max="3082" width="2.42578125" style="447" customWidth="1"/>
    <col min="3083" max="3083" width="11.5703125" style="447" customWidth="1"/>
    <col min="3084" max="3084" width="2.42578125" style="447" customWidth="1"/>
    <col min="3085" max="3085" width="10.85546875" style="447" customWidth="1"/>
    <col min="3086" max="3086" width="2.42578125" style="447" customWidth="1"/>
    <col min="3087" max="3087" width="11.140625" style="447" customWidth="1"/>
    <col min="3088" max="3088" width="1.85546875" style="447" customWidth="1"/>
    <col min="3089" max="3089" width="11" style="447" customWidth="1"/>
    <col min="3090" max="3090" width="0.7109375" style="447" customWidth="1"/>
    <col min="3091" max="3091" width="1.85546875" style="447" customWidth="1"/>
    <col min="3092" max="3092" width="11.85546875" style="447" bestFit="1" customWidth="1"/>
    <col min="3093" max="3093" width="15.28515625" style="447" bestFit="1" customWidth="1"/>
    <col min="3094" max="3094" width="5" style="447" customWidth="1"/>
    <col min="3095" max="3095" width="10.42578125" style="447" bestFit="1" customWidth="1"/>
    <col min="3096" max="3096" width="5" style="447" customWidth="1"/>
    <col min="3097" max="3097" width="10.42578125" style="447" bestFit="1" customWidth="1"/>
    <col min="3098" max="3100" width="9" style="447"/>
    <col min="3101" max="3101" width="10.42578125" style="447" bestFit="1" customWidth="1"/>
    <col min="3102" max="3330" width="9" style="447"/>
    <col min="3331" max="3331" width="3.5703125" style="447" customWidth="1"/>
    <col min="3332" max="3332" width="4.85546875" style="447" customWidth="1"/>
    <col min="3333" max="3333" width="5.42578125" style="447" customWidth="1"/>
    <col min="3334" max="3334" width="31.28515625" style="447" customWidth="1"/>
    <col min="3335" max="3335" width="7.5703125" style="447" customWidth="1"/>
    <col min="3336" max="3336" width="2.42578125" style="447" customWidth="1"/>
    <col min="3337" max="3337" width="11.5703125" style="447" customWidth="1"/>
    <col min="3338" max="3338" width="2.42578125" style="447" customWidth="1"/>
    <col min="3339" max="3339" width="11.5703125" style="447" customWidth="1"/>
    <col min="3340" max="3340" width="2.42578125" style="447" customWidth="1"/>
    <col min="3341" max="3341" width="10.85546875" style="447" customWidth="1"/>
    <col min="3342" max="3342" width="2.42578125" style="447" customWidth="1"/>
    <col min="3343" max="3343" width="11.140625" style="447" customWidth="1"/>
    <col min="3344" max="3344" width="1.85546875" style="447" customWidth="1"/>
    <col min="3345" max="3345" width="11" style="447" customWidth="1"/>
    <col min="3346" max="3346" width="0.7109375" style="447" customWidth="1"/>
    <col min="3347" max="3347" width="1.85546875" style="447" customWidth="1"/>
    <col min="3348" max="3348" width="11.85546875" style="447" bestFit="1" customWidth="1"/>
    <col min="3349" max="3349" width="15.28515625" style="447" bestFit="1" customWidth="1"/>
    <col min="3350" max="3350" width="5" style="447" customWidth="1"/>
    <col min="3351" max="3351" width="10.42578125" style="447" bestFit="1" customWidth="1"/>
    <col min="3352" max="3352" width="5" style="447" customWidth="1"/>
    <col min="3353" max="3353" width="10.42578125" style="447" bestFit="1" customWidth="1"/>
    <col min="3354" max="3356" width="9" style="447"/>
    <col min="3357" max="3357" width="10.42578125" style="447" bestFit="1" customWidth="1"/>
    <col min="3358" max="3586" width="9" style="447"/>
    <col min="3587" max="3587" width="3.5703125" style="447" customWidth="1"/>
    <col min="3588" max="3588" width="4.85546875" style="447" customWidth="1"/>
    <col min="3589" max="3589" width="5.42578125" style="447" customWidth="1"/>
    <col min="3590" max="3590" width="31.28515625" style="447" customWidth="1"/>
    <col min="3591" max="3591" width="7.5703125" style="447" customWidth="1"/>
    <col min="3592" max="3592" width="2.42578125" style="447" customWidth="1"/>
    <col min="3593" max="3593" width="11.5703125" style="447" customWidth="1"/>
    <col min="3594" max="3594" width="2.42578125" style="447" customWidth="1"/>
    <col min="3595" max="3595" width="11.5703125" style="447" customWidth="1"/>
    <col min="3596" max="3596" width="2.42578125" style="447" customWidth="1"/>
    <col min="3597" max="3597" width="10.85546875" style="447" customWidth="1"/>
    <col min="3598" max="3598" width="2.42578125" style="447" customWidth="1"/>
    <col min="3599" max="3599" width="11.140625" style="447" customWidth="1"/>
    <col min="3600" max="3600" width="1.85546875" style="447" customWidth="1"/>
    <col min="3601" max="3601" width="11" style="447" customWidth="1"/>
    <col min="3602" max="3602" width="0.7109375" style="447" customWidth="1"/>
    <col min="3603" max="3603" width="1.85546875" style="447" customWidth="1"/>
    <col min="3604" max="3604" width="11.85546875" style="447" bestFit="1" customWidth="1"/>
    <col min="3605" max="3605" width="15.28515625" style="447" bestFit="1" customWidth="1"/>
    <col min="3606" max="3606" width="5" style="447" customWidth="1"/>
    <col min="3607" max="3607" width="10.42578125" style="447" bestFit="1" customWidth="1"/>
    <col min="3608" max="3608" width="5" style="447" customWidth="1"/>
    <col min="3609" max="3609" width="10.42578125" style="447" bestFit="1" customWidth="1"/>
    <col min="3610" max="3612" width="9" style="447"/>
    <col min="3613" max="3613" width="10.42578125" style="447" bestFit="1" customWidth="1"/>
    <col min="3614" max="3842" width="9" style="447"/>
    <col min="3843" max="3843" width="3.5703125" style="447" customWidth="1"/>
    <col min="3844" max="3844" width="4.85546875" style="447" customWidth="1"/>
    <col min="3845" max="3845" width="5.42578125" style="447" customWidth="1"/>
    <col min="3846" max="3846" width="31.28515625" style="447" customWidth="1"/>
    <col min="3847" max="3847" width="7.5703125" style="447" customWidth="1"/>
    <col min="3848" max="3848" width="2.42578125" style="447" customWidth="1"/>
    <col min="3849" max="3849" width="11.5703125" style="447" customWidth="1"/>
    <col min="3850" max="3850" width="2.42578125" style="447" customWidth="1"/>
    <col min="3851" max="3851" width="11.5703125" style="447" customWidth="1"/>
    <col min="3852" max="3852" width="2.42578125" style="447" customWidth="1"/>
    <col min="3853" max="3853" width="10.85546875" style="447" customWidth="1"/>
    <col min="3854" max="3854" width="2.42578125" style="447" customWidth="1"/>
    <col min="3855" max="3855" width="11.140625" style="447" customWidth="1"/>
    <col min="3856" max="3856" width="1.85546875" style="447" customWidth="1"/>
    <col min="3857" max="3857" width="11" style="447" customWidth="1"/>
    <col min="3858" max="3858" width="0.7109375" style="447" customWidth="1"/>
    <col min="3859" max="3859" width="1.85546875" style="447" customWidth="1"/>
    <col min="3860" max="3860" width="11.85546875" style="447" bestFit="1" customWidth="1"/>
    <col min="3861" max="3861" width="15.28515625" style="447" bestFit="1" customWidth="1"/>
    <col min="3862" max="3862" width="5" style="447" customWidth="1"/>
    <col min="3863" max="3863" width="10.42578125" style="447" bestFit="1" customWidth="1"/>
    <col min="3864" max="3864" width="5" style="447" customWidth="1"/>
    <col min="3865" max="3865" width="10.42578125" style="447" bestFit="1" customWidth="1"/>
    <col min="3866" max="3868" width="9" style="447"/>
    <col min="3869" max="3869" width="10.42578125" style="447" bestFit="1" customWidth="1"/>
    <col min="3870" max="4098" width="9" style="447"/>
    <col min="4099" max="4099" width="3.5703125" style="447" customWidth="1"/>
    <col min="4100" max="4100" width="4.85546875" style="447" customWidth="1"/>
    <col min="4101" max="4101" width="5.42578125" style="447" customWidth="1"/>
    <col min="4102" max="4102" width="31.28515625" style="447" customWidth="1"/>
    <col min="4103" max="4103" width="7.5703125" style="447" customWidth="1"/>
    <col min="4104" max="4104" width="2.42578125" style="447" customWidth="1"/>
    <col min="4105" max="4105" width="11.5703125" style="447" customWidth="1"/>
    <col min="4106" max="4106" width="2.42578125" style="447" customWidth="1"/>
    <col min="4107" max="4107" width="11.5703125" style="447" customWidth="1"/>
    <col min="4108" max="4108" width="2.42578125" style="447" customWidth="1"/>
    <col min="4109" max="4109" width="10.85546875" style="447" customWidth="1"/>
    <col min="4110" max="4110" width="2.42578125" style="447" customWidth="1"/>
    <col min="4111" max="4111" width="11.140625" style="447" customWidth="1"/>
    <col min="4112" max="4112" width="1.85546875" style="447" customWidth="1"/>
    <col min="4113" max="4113" width="11" style="447" customWidth="1"/>
    <col min="4114" max="4114" width="0.7109375" style="447" customWidth="1"/>
    <col min="4115" max="4115" width="1.85546875" style="447" customWidth="1"/>
    <col min="4116" max="4116" width="11.85546875" style="447" bestFit="1" customWidth="1"/>
    <col min="4117" max="4117" width="15.28515625" style="447" bestFit="1" customWidth="1"/>
    <col min="4118" max="4118" width="5" style="447" customWidth="1"/>
    <col min="4119" max="4119" width="10.42578125" style="447" bestFit="1" customWidth="1"/>
    <col min="4120" max="4120" width="5" style="447" customWidth="1"/>
    <col min="4121" max="4121" width="10.42578125" style="447" bestFit="1" customWidth="1"/>
    <col min="4122" max="4124" width="9" style="447"/>
    <col min="4125" max="4125" width="10.42578125" style="447" bestFit="1" customWidth="1"/>
    <col min="4126" max="4354" width="9" style="447"/>
    <col min="4355" max="4355" width="3.5703125" style="447" customWidth="1"/>
    <col min="4356" max="4356" width="4.85546875" style="447" customWidth="1"/>
    <col min="4357" max="4357" width="5.42578125" style="447" customWidth="1"/>
    <col min="4358" max="4358" width="31.28515625" style="447" customWidth="1"/>
    <col min="4359" max="4359" width="7.5703125" style="447" customWidth="1"/>
    <col min="4360" max="4360" width="2.42578125" style="447" customWidth="1"/>
    <col min="4361" max="4361" width="11.5703125" style="447" customWidth="1"/>
    <col min="4362" max="4362" width="2.42578125" style="447" customWidth="1"/>
    <col min="4363" max="4363" width="11.5703125" style="447" customWidth="1"/>
    <col min="4364" max="4364" width="2.42578125" style="447" customWidth="1"/>
    <col min="4365" max="4365" width="10.85546875" style="447" customWidth="1"/>
    <col min="4366" max="4366" width="2.42578125" style="447" customWidth="1"/>
    <col min="4367" max="4367" width="11.140625" style="447" customWidth="1"/>
    <col min="4368" max="4368" width="1.85546875" style="447" customWidth="1"/>
    <col min="4369" max="4369" width="11" style="447" customWidth="1"/>
    <col min="4370" max="4370" width="0.7109375" style="447" customWidth="1"/>
    <col min="4371" max="4371" width="1.85546875" style="447" customWidth="1"/>
    <col min="4372" max="4372" width="11.85546875" style="447" bestFit="1" customWidth="1"/>
    <col min="4373" max="4373" width="15.28515625" style="447" bestFit="1" customWidth="1"/>
    <col min="4374" max="4374" width="5" style="447" customWidth="1"/>
    <col min="4375" max="4375" width="10.42578125" style="447" bestFit="1" customWidth="1"/>
    <col min="4376" max="4376" width="5" style="447" customWidth="1"/>
    <col min="4377" max="4377" width="10.42578125" style="447" bestFit="1" customWidth="1"/>
    <col min="4378" max="4380" width="9" style="447"/>
    <col min="4381" max="4381" width="10.42578125" style="447" bestFit="1" customWidth="1"/>
    <col min="4382" max="4610" width="9" style="447"/>
    <col min="4611" max="4611" width="3.5703125" style="447" customWidth="1"/>
    <col min="4612" max="4612" width="4.85546875" style="447" customWidth="1"/>
    <col min="4613" max="4613" width="5.42578125" style="447" customWidth="1"/>
    <col min="4614" max="4614" width="31.28515625" style="447" customWidth="1"/>
    <col min="4615" max="4615" width="7.5703125" style="447" customWidth="1"/>
    <col min="4616" max="4616" width="2.42578125" style="447" customWidth="1"/>
    <col min="4617" max="4617" width="11.5703125" style="447" customWidth="1"/>
    <col min="4618" max="4618" width="2.42578125" style="447" customWidth="1"/>
    <col min="4619" max="4619" width="11.5703125" style="447" customWidth="1"/>
    <col min="4620" max="4620" width="2.42578125" style="447" customWidth="1"/>
    <col min="4621" max="4621" width="10.85546875" style="447" customWidth="1"/>
    <col min="4622" max="4622" width="2.42578125" style="447" customWidth="1"/>
    <col min="4623" max="4623" width="11.140625" style="447" customWidth="1"/>
    <col min="4624" max="4624" width="1.85546875" style="447" customWidth="1"/>
    <col min="4625" max="4625" width="11" style="447" customWidth="1"/>
    <col min="4626" max="4626" width="0.7109375" style="447" customWidth="1"/>
    <col min="4627" max="4627" width="1.85546875" style="447" customWidth="1"/>
    <col min="4628" max="4628" width="11.85546875" style="447" bestFit="1" customWidth="1"/>
    <col min="4629" max="4629" width="15.28515625" style="447" bestFit="1" customWidth="1"/>
    <col min="4630" max="4630" width="5" style="447" customWidth="1"/>
    <col min="4631" max="4631" width="10.42578125" style="447" bestFit="1" customWidth="1"/>
    <col min="4632" max="4632" width="5" style="447" customWidth="1"/>
    <col min="4633" max="4633" width="10.42578125" style="447" bestFit="1" customWidth="1"/>
    <col min="4634" max="4636" width="9" style="447"/>
    <col min="4637" max="4637" width="10.42578125" style="447" bestFit="1" customWidth="1"/>
    <col min="4638" max="4866" width="9" style="447"/>
    <col min="4867" max="4867" width="3.5703125" style="447" customWidth="1"/>
    <col min="4868" max="4868" width="4.85546875" style="447" customWidth="1"/>
    <col min="4869" max="4869" width="5.42578125" style="447" customWidth="1"/>
    <col min="4870" max="4870" width="31.28515625" style="447" customWidth="1"/>
    <col min="4871" max="4871" width="7.5703125" style="447" customWidth="1"/>
    <col min="4872" max="4872" width="2.42578125" style="447" customWidth="1"/>
    <col min="4873" max="4873" width="11.5703125" style="447" customWidth="1"/>
    <col min="4874" max="4874" width="2.42578125" style="447" customWidth="1"/>
    <col min="4875" max="4875" width="11.5703125" style="447" customWidth="1"/>
    <col min="4876" max="4876" width="2.42578125" style="447" customWidth="1"/>
    <col min="4877" max="4877" width="10.85546875" style="447" customWidth="1"/>
    <col min="4878" max="4878" width="2.42578125" style="447" customWidth="1"/>
    <col min="4879" max="4879" width="11.140625" style="447" customWidth="1"/>
    <col min="4880" max="4880" width="1.85546875" style="447" customWidth="1"/>
    <col min="4881" max="4881" width="11" style="447" customWidth="1"/>
    <col min="4882" max="4882" width="0.7109375" style="447" customWidth="1"/>
    <col min="4883" max="4883" width="1.85546875" style="447" customWidth="1"/>
    <col min="4884" max="4884" width="11.85546875" style="447" bestFit="1" customWidth="1"/>
    <col min="4885" max="4885" width="15.28515625" style="447" bestFit="1" customWidth="1"/>
    <col min="4886" max="4886" width="5" style="447" customWidth="1"/>
    <col min="4887" max="4887" width="10.42578125" style="447" bestFit="1" customWidth="1"/>
    <col min="4888" max="4888" width="5" style="447" customWidth="1"/>
    <col min="4889" max="4889" width="10.42578125" style="447" bestFit="1" customWidth="1"/>
    <col min="4890" max="4892" width="9" style="447"/>
    <col min="4893" max="4893" width="10.42578125" style="447" bestFit="1" customWidth="1"/>
    <col min="4894" max="5122" width="9" style="447"/>
    <col min="5123" max="5123" width="3.5703125" style="447" customWidth="1"/>
    <col min="5124" max="5124" width="4.85546875" style="447" customWidth="1"/>
    <col min="5125" max="5125" width="5.42578125" style="447" customWidth="1"/>
    <col min="5126" max="5126" width="31.28515625" style="447" customWidth="1"/>
    <col min="5127" max="5127" width="7.5703125" style="447" customWidth="1"/>
    <col min="5128" max="5128" width="2.42578125" style="447" customWidth="1"/>
    <col min="5129" max="5129" width="11.5703125" style="447" customWidth="1"/>
    <col min="5130" max="5130" width="2.42578125" style="447" customWidth="1"/>
    <col min="5131" max="5131" width="11.5703125" style="447" customWidth="1"/>
    <col min="5132" max="5132" width="2.42578125" style="447" customWidth="1"/>
    <col min="5133" max="5133" width="10.85546875" style="447" customWidth="1"/>
    <col min="5134" max="5134" width="2.42578125" style="447" customWidth="1"/>
    <col min="5135" max="5135" width="11.140625" style="447" customWidth="1"/>
    <col min="5136" max="5136" width="1.85546875" style="447" customWidth="1"/>
    <col min="5137" max="5137" width="11" style="447" customWidth="1"/>
    <col min="5138" max="5138" width="0.7109375" style="447" customWidth="1"/>
    <col min="5139" max="5139" width="1.85546875" style="447" customWidth="1"/>
    <col min="5140" max="5140" width="11.85546875" style="447" bestFit="1" customWidth="1"/>
    <col min="5141" max="5141" width="15.28515625" style="447" bestFit="1" customWidth="1"/>
    <col min="5142" max="5142" width="5" style="447" customWidth="1"/>
    <col min="5143" max="5143" width="10.42578125" style="447" bestFit="1" customWidth="1"/>
    <col min="5144" max="5144" width="5" style="447" customWidth="1"/>
    <col min="5145" max="5145" width="10.42578125" style="447" bestFit="1" customWidth="1"/>
    <col min="5146" max="5148" width="9" style="447"/>
    <col min="5149" max="5149" width="10.42578125" style="447" bestFit="1" customWidth="1"/>
    <col min="5150" max="5378" width="9" style="447"/>
    <col min="5379" max="5379" width="3.5703125" style="447" customWidth="1"/>
    <col min="5380" max="5380" width="4.85546875" style="447" customWidth="1"/>
    <col min="5381" max="5381" width="5.42578125" style="447" customWidth="1"/>
    <col min="5382" max="5382" width="31.28515625" style="447" customWidth="1"/>
    <col min="5383" max="5383" width="7.5703125" style="447" customWidth="1"/>
    <col min="5384" max="5384" width="2.42578125" style="447" customWidth="1"/>
    <col min="5385" max="5385" width="11.5703125" style="447" customWidth="1"/>
    <col min="5386" max="5386" width="2.42578125" style="447" customWidth="1"/>
    <col min="5387" max="5387" width="11.5703125" style="447" customWidth="1"/>
    <col min="5388" max="5388" width="2.42578125" style="447" customWidth="1"/>
    <col min="5389" max="5389" width="10.85546875" style="447" customWidth="1"/>
    <col min="5390" max="5390" width="2.42578125" style="447" customWidth="1"/>
    <col min="5391" max="5391" width="11.140625" style="447" customWidth="1"/>
    <col min="5392" max="5392" width="1.85546875" style="447" customWidth="1"/>
    <col min="5393" max="5393" width="11" style="447" customWidth="1"/>
    <col min="5394" max="5394" width="0.7109375" style="447" customWidth="1"/>
    <col min="5395" max="5395" width="1.85546875" style="447" customWidth="1"/>
    <col min="5396" max="5396" width="11.85546875" style="447" bestFit="1" customWidth="1"/>
    <col min="5397" max="5397" width="15.28515625" style="447" bestFit="1" customWidth="1"/>
    <col min="5398" max="5398" width="5" style="447" customWidth="1"/>
    <col min="5399" max="5399" width="10.42578125" style="447" bestFit="1" customWidth="1"/>
    <col min="5400" max="5400" width="5" style="447" customWidth="1"/>
    <col min="5401" max="5401" width="10.42578125" style="447" bestFit="1" customWidth="1"/>
    <col min="5402" max="5404" width="9" style="447"/>
    <col min="5405" max="5405" width="10.42578125" style="447" bestFit="1" customWidth="1"/>
    <col min="5406" max="5634" width="9" style="447"/>
    <col min="5635" max="5635" width="3.5703125" style="447" customWidth="1"/>
    <col min="5636" max="5636" width="4.85546875" style="447" customWidth="1"/>
    <col min="5637" max="5637" width="5.42578125" style="447" customWidth="1"/>
    <col min="5638" max="5638" width="31.28515625" style="447" customWidth="1"/>
    <col min="5639" max="5639" width="7.5703125" style="447" customWidth="1"/>
    <col min="5640" max="5640" width="2.42578125" style="447" customWidth="1"/>
    <col min="5641" max="5641" width="11.5703125" style="447" customWidth="1"/>
    <col min="5642" max="5642" width="2.42578125" style="447" customWidth="1"/>
    <col min="5643" max="5643" width="11.5703125" style="447" customWidth="1"/>
    <col min="5644" max="5644" width="2.42578125" style="447" customWidth="1"/>
    <col min="5645" max="5645" width="10.85546875" style="447" customWidth="1"/>
    <col min="5646" max="5646" width="2.42578125" style="447" customWidth="1"/>
    <col min="5647" max="5647" width="11.140625" style="447" customWidth="1"/>
    <col min="5648" max="5648" width="1.85546875" style="447" customWidth="1"/>
    <col min="5649" max="5649" width="11" style="447" customWidth="1"/>
    <col min="5650" max="5650" width="0.7109375" style="447" customWidth="1"/>
    <col min="5651" max="5651" width="1.85546875" style="447" customWidth="1"/>
    <col min="5652" max="5652" width="11.85546875" style="447" bestFit="1" customWidth="1"/>
    <col min="5653" max="5653" width="15.28515625" style="447" bestFit="1" customWidth="1"/>
    <col min="5654" max="5654" width="5" style="447" customWidth="1"/>
    <col min="5655" max="5655" width="10.42578125" style="447" bestFit="1" customWidth="1"/>
    <col min="5656" max="5656" width="5" style="447" customWidth="1"/>
    <col min="5657" max="5657" width="10.42578125" style="447" bestFit="1" customWidth="1"/>
    <col min="5658" max="5660" width="9" style="447"/>
    <col min="5661" max="5661" width="10.42578125" style="447" bestFit="1" customWidth="1"/>
    <col min="5662" max="5890" width="9" style="447"/>
    <col min="5891" max="5891" width="3.5703125" style="447" customWidth="1"/>
    <col min="5892" max="5892" width="4.85546875" style="447" customWidth="1"/>
    <col min="5893" max="5893" width="5.42578125" style="447" customWidth="1"/>
    <col min="5894" max="5894" width="31.28515625" style="447" customWidth="1"/>
    <col min="5895" max="5895" width="7.5703125" style="447" customWidth="1"/>
    <col min="5896" max="5896" width="2.42578125" style="447" customWidth="1"/>
    <col min="5897" max="5897" width="11.5703125" style="447" customWidth="1"/>
    <col min="5898" max="5898" width="2.42578125" style="447" customWidth="1"/>
    <col min="5899" max="5899" width="11.5703125" style="447" customWidth="1"/>
    <col min="5900" max="5900" width="2.42578125" style="447" customWidth="1"/>
    <col min="5901" max="5901" width="10.85546875" style="447" customWidth="1"/>
    <col min="5902" max="5902" width="2.42578125" style="447" customWidth="1"/>
    <col min="5903" max="5903" width="11.140625" style="447" customWidth="1"/>
    <col min="5904" max="5904" width="1.85546875" style="447" customWidth="1"/>
    <col min="5905" max="5905" width="11" style="447" customWidth="1"/>
    <col min="5906" max="5906" width="0.7109375" style="447" customWidth="1"/>
    <col min="5907" max="5907" width="1.85546875" style="447" customWidth="1"/>
    <col min="5908" max="5908" width="11.85546875" style="447" bestFit="1" customWidth="1"/>
    <col min="5909" max="5909" width="15.28515625" style="447" bestFit="1" customWidth="1"/>
    <col min="5910" max="5910" width="5" style="447" customWidth="1"/>
    <col min="5911" max="5911" width="10.42578125" style="447" bestFit="1" customWidth="1"/>
    <col min="5912" max="5912" width="5" style="447" customWidth="1"/>
    <col min="5913" max="5913" width="10.42578125" style="447" bestFit="1" customWidth="1"/>
    <col min="5914" max="5916" width="9" style="447"/>
    <col min="5917" max="5917" width="10.42578125" style="447" bestFit="1" customWidth="1"/>
    <col min="5918" max="6146" width="9" style="447"/>
    <col min="6147" max="6147" width="3.5703125" style="447" customWidth="1"/>
    <col min="6148" max="6148" width="4.85546875" style="447" customWidth="1"/>
    <col min="6149" max="6149" width="5.42578125" style="447" customWidth="1"/>
    <col min="6150" max="6150" width="31.28515625" style="447" customWidth="1"/>
    <col min="6151" max="6151" width="7.5703125" style="447" customWidth="1"/>
    <col min="6152" max="6152" width="2.42578125" style="447" customWidth="1"/>
    <col min="6153" max="6153" width="11.5703125" style="447" customWidth="1"/>
    <col min="6154" max="6154" width="2.42578125" style="447" customWidth="1"/>
    <col min="6155" max="6155" width="11.5703125" style="447" customWidth="1"/>
    <col min="6156" max="6156" width="2.42578125" style="447" customWidth="1"/>
    <col min="6157" max="6157" width="10.85546875" style="447" customWidth="1"/>
    <col min="6158" max="6158" width="2.42578125" style="447" customWidth="1"/>
    <col min="6159" max="6159" width="11.140625" style="447" customWidth="1"/>
    <col min="6160" max="6160" width="1.85546875" style="447" customWidth="1"/>
    <col min="6161" max="6161" width="11" style="447" customWidth="1"/>
    <col min="6162" max="6162" width="0.7109375" style="447" customWidth="1"/>
    <col min="6163" max="6163" width="1.85546875" style="447" customWidth="1"/>
    <col min="6164" max="6164" width="11.85546875" style="447" bestFit="1" customWidth="1"/>
    <col min="6165" max="6165" width="15.28515625" style="447" bestFit="1" customWidth="1"/>
    <col min="6166" max="6166" width="5" style="447" customWidth="1"/>
    <col min="6167" max="6167" width="10.42578125" style="447" bestFit="1" customWidth="1"/>
    <col min="6168" max="6168" width="5" style="447" customWidth="1"/>
    <col min="6169" max="6169" width="10.42578125" style="447" bestFit="1" customWidth="1"/>
    <col min="6170" max="6172" width="9" style="447"/>
    <col min="6173" max="6173" width="10.42578125" style="447" bestFit="1" customWidth="1"/>
    <col min="6174" max="6402" width="9" style="447"/>
    <col min="6403" max="6403" width="3.5703125" style="447" customWidth="1"/>
    <col min="6404" max="6404" width="4.85546875" style="447" customWidth="1"/>
    <col min="6405" max="6405" width="5.42578125" style="447" customWidth="1"/>
    <col min="6406" max="6406" width="31.28515625" style="447" customWidth="1"/>
    <col min="6407" max="6407" width="7.5703125" style="447" customWidth="1"/>
    <col min="6408" max="6408" width="2.42578125" style="447" customWidth="1"/>
    <col min="6409" max="6409" width="11.5703125" style="447" customWidth="1"/>
    <col min="6410" max="6410" width="2.42578125" style="447" customWidth="1"/>
    <col min="6411" max="6411" width="11.5703125" style="447" customWidth="1"/>
    <col min="6412" max="6412" width="2.42578125" style="447" customWidth="1"/>
    <col min="6413" max="6413" width="10.85546875" style="447" customWidth="1"/>
    <col min="6414" max="6414" width="2.42578125" style="447" customWidth="1"/>
    <col min="6415" max="6415" width="11.140625" style="447" customWidth="1"/>
    <col min="6416" max="6416" width="1.85546875" style="447" customWidth="1"/>
    <col min="6417" max="6417" width="11" style="447" customWidth="1"/>
    <col min="6418" max="6418" width="0.7109375" style="447" customWidth="1"/>
    <col min="6419" max="6419" width="1.85546875" style="447" customWidth="1"/>
    <col min="6420" max="6420" width="11.85546875" style="447" bestFit="1" customWidth="1"/>
    <col min="6421" max="6421" width="15.28515625" style="447" bestFit="1" customWidth="1"/>
    <col min="6422" max="6422" width="5" style="447" customWidth="1"/>
    <col min="6423" max="6423" width="10.42578125" style="447" bestFit="1" customWidth="1"/>
    <col min="6424" max="6424" width="5" style="447" customWidth="1"/>
    <col min="6425" max="6425" width="10.42578125" style="447" bestFit="1" customWidth="1"/>
    <col min="6426" max="6428" width="9" style="447"/>
    <col min="6429" max="6429" width="10.42578125" style="447" bestFit="1" customWidth="1"/>
    <col min="6430" max="6658" width="9" style="447"/>
    <col min="6659" max="6659" width="3.5703125" style="447" customWidth="1"/>
    <col min="6660" max="6660" width="4.85546875" style="447" customWidth="1"/>
    <col min="6661" max="6661" width="5.42578125" style="447" customWidth="1"/>
    <col min="6662" max="6662" width="31.28515625" style="447" customWidth="1"/>
    <col min="6663" max="6663" width="7.5703125" style="447" customWidth="1"/>
    <col min="6664" max="6664" width="2.42578125" style="447" customWidth="1"/>
    <col min="6665" max="6665" width="11.5703125" style="447" customWidth="1"/>
    <col min="6666" max="6666" width="2.42578125" style="447" customWidth="1"/>
    <col min="6667" max="6667" width="11.5703125" style="447" customWidth="1"/>
    <col min="6668" max="6668" width="2.42578125" style="447" customWidth="1"/>
    <col min="6669" max="6669" width="10.85546875" style="447" customWidth="1"/>
    <col min="6670" max="6670" width="2.42578125" style="447" customWidth="1"/>
    <col min="6671" max="6671" width="11.140625" style="447" customWidth="1"/>
    <col min="6672" max="6672" width="1.85546875" style="447" customWidth="1"/>
    <col min="6673" max="6673" width="11" style="447" customWidth="1"/>
    <col min="6674" max="6674" width="0.7109375" style="447" customWidth="1"/>
    <col min="6675" max="6675" width="1.85546875" style="447" customWidth="1"/>
    <col min="6676" max="6676" width="11.85546875" style="447" bestFit="1" customWidth="1"/>
    <col min="6677" max="6677" width="15.28515625" style="447" bestFit="1" customWidth="1"/>
    <col min="6678" max="6678" width="5" style="447" customWidth="1"/>
    <col min="6679" max="6679" width="10.42578125" style="447" bestFit="1" customWidth="1"/>
    <col min="6680" max="6680" width="5" style="447" customWidth="1"/>
    <col min="6681" max="6681" width="10.42578125" style="447" bestFit="1" customWidth="1"/>
    <col min="6682" max="6684" width="9" style="447"/>
    <col min="6685" max="6685" width="10.42578125" style="447" bestFit="1" customWidth="1"/>
    <col min="6686" max="6914" width="9" style="447"/>
    <col min="6915" max="6915" width="3.5703125" style="447" customWidth="1"/>
    <col min="6916" max="6916" width="4.85546875" style="447" customWidth="1"/>
    <col min="6917" max="6917" width="5.42578125" style="447" customWidth="1"/>
    <col min="6918" max="6918" width="31.28515625" style="447" customWidth="1"/>
    <col min="6919" max="6919" width="7.5703125" style="447" customWidth="1"/>
    <col min="6920" max="6920" width="2.42578125" style="447" customWidth="1"/>
    <col min="6921" max="6921" width="11.5703125" style="447" customWidth="1"/>
    <col min="6922" max="6922" width="2.42578125" style="447" customWidth="1"/>
    <col min="6923" max="6923" width="11.5703125" style="447" customWidth="1"/>
    <col min="6924" max="6924" width="2.42578125" style="447" customWidth="1"/>
    <col min="6925" max="6925" width="10.85546875" style="447" customWidth="1"/>
    <col min="6926" max="6926" width="2.42578125" style="447" customWidth="1"/>
    <col min="6927" max="6927" width="11.140625" style="447" customWidth="1"/>
    <col min="6928" max="6928" width="1.85546875" style="447" customWidth="1"/>
    <col min="6929" max="6929" width="11" style="447" customWidth="1"/>
    <col min="6930" max="6930" width="0.7109375" style="447" customWidth="1"/>
    <col min="6931" max="6931" width="1.85546875" style="447" customWidth="1"/>
    <col min="6932" max="6932" width="11.85546875" style="447" bestFit="1" customWidth="1"/>
    <col min="6933" max="6933" width="15.28515625" style="447" bestFit="1" customWidth="1"/>
    <col min="6934" max="6934" width="5" style="447" customWidth="1"/>
    <col min="6935" max="6935" width="10.42578125" style="447" bestFit="1" customWidth="1"/>
    <col min="6936" max="6936" width="5" style="447" customWidth="1"/>
    <col min="6937" max="6937" width="10.42578125" style="447" bestFit="1" customWidth="1"/>
    <col min="6938" max="6940" width="9" style="447"/>
    <col min="6941" max="6941" width="10.42578125" style="447" bestFit="1" customWidth="1"/>
    <col min="6942" max="7170" width="9" style="447"/>
    <col min="7171" max="7171" width="3.5703125" style="447" customWidth="1"/>
    <col min="7172" max="7172" width="4.85546875" style="447" customWidth="1"/>
    <col min="7173" max="7173" width="5.42578125" style="447" customWidth="1"/>
    <col min="7174" max="7174" width="31.28515625" style="447" customWidth="1"/>
    <col min="7175" max="7175" width="7.5703125" style="447" customWidth="1"/>
    <col min="7176" max="7176" width="2.42578125" style="447" customWidth="1"/>
    <col min="7177" max="7177" width="11.5703125" style="447" customWidth="1"/>
    <col min="7178" max="7178" width="2.42578125" style="447" customWidth="1"/>
    <col min="7179" max="7179" width="11.5703125" style="447" customWidth="1"/>
    <col min="7180" max="7180" width="2.42578125" style="447" customWidth="1"/>
    <col min="7181" max="7181" width="10.85546875" style="447" customWidth="1"/>
    <col min="7182" max="7182" width="2.42578125" style="447" customWidth="1"/>
    <col min="7183" max="7183" width="11.140625" style="447" customWidth="1"/>
    <col min="7184" max="7184" width="1.85546875" style="447" customWidth="1"/>
    <col min="7185" max="7185" width="11" style="447" customWidth="1"/>
    <col min="7186" max="7186" width="0.7109375" style="447" customWidth="1"/>
    <col min="7187" max="7187" width="1.85546875" style="447" customWidth="1"/>
    <col min="7188" max="7188" width="11.85546875" style="447" bestFit="1" customWidth="1"/>
    <col min="7189" max="7189" width="15.28515625" style="447" bestFit="1" customWidth="1"/>
    <col min="7190" max="7190" width="5" style="447" customWidth="1"/>
    <col min="7191" max="7191" width="10.42578125" style="447" bestFit="1" customWidth="1"/>
    <col min="7192" max="7192" width="5" style="447" customWidth="1"/>
    <col min="7193" max="7193" width="10.42578125" style="447" bestFit="1" customWidth="1"/>
    <col min="7194" max="7196" width="9" style="447"/>
    <col min="7197" max="7197" width="10.42578125" style="447" bestFit="1" customWidth="1"/>
    <col min="7198" max="7426" width="9" style="447"/>
    <col min="7427" max="7427" width="3.5703125" style="447" customWidth="1"/>
    <col min="7428" max="7428" width="4.85546875" style="447" customWidth="1"/>
    <col min="7429" max="7429" width="5.42578125" style="447" customWidth="1"/>
    <col min="7430" max="7430" width="31.28515625" style="447" customWidth="1"/>
    <col min="7431" max="7431" width="7.5703125" style="447" customWidth="1"/>
    <col min="7432" max="7432" width="2.42578125" style="447" customWidth="1"/>
    <col min="7433" max="7433" width="11.5703125" style="447" customWidth="1"/>
    <col min="7434" max="7434" width="2.42578125" style="447" customWidth="1"/>
    <col min="7435" max="7435" width="11.5703125" style="447" customWidth="1"/>
    <col min="7436" max="7436" width="2.42578125" style="447" customWidth="1"/>
    <col min="7437" max="7437" width="10.85546875" style="447" customWidth="1"/>
    <col min="7438" max="7438" width="2.42578125" style="447" customWidth="1"/>
    <col min="7439" max="7439" width="11.140625" style="447" customWidth="1"/>
    <col min="7440" max="7440" width="1.85546875" style="447" customWidth="1"/>
    <col min="7441" max="7441" width="11" style="447" customWidth="1"/>
    <col min="7442" max="7442" width="0.7109375" style="447" customWidth="1"/>
    <col min="7443" max="7443" width="1.85546875" style="447" customWidth="1"/>
    <col min="7444" max="7444" width="11.85546875" style="447" bestFit="1" customWidth="1"/>
    <col min="7445" max="7445" width="15.28515625" style="447" bestFit="1" customWidth="1"/>
    <col min="7446" max="7446" width="5" style="447" customWidth="1"/>
    <col min="7447" max="7447" width="10.42578125" style="447" bestFit="1" customWidth="1"/>
    <col min="7448" max="7448" width="5" style="447" customWidth="1"/>
    <col min="7449" max="7449" width="10.42578125" style="447" bestFit="1" customWidth="1"/>
    <col min="7450" max="7452" width="9" style="447"/>
    <col min="7453" max="7453" width="10.42578125" style="447" bestFit="1" customWidth="1"/>
    <col min="7454" max="7682" width="9" style="447"/>
    <col min="7683" max="7683" width="3.5703125" style="447" customWidth="1"/>
    <col min="7684" max="7684" width="4.85546875" style="447" customWidth="1"/>
    <col min="7685" max="7685" width="5.42578125" style="447" customWidth="1"/>
    <col min="7686" max="7686" width="31.28515625" style="447" customWidth="1"/>
    <col min="7687" max="7687" width="7.5703125" style="447" customWidth="1"/>
    <col min="7688" max="7688" width="2.42578125" style="447" customWidth="1"/>
    <col min="7689" max="7689" width="11.5703125" style="447" customWidth="1"/>
    <col min="7690" max="7690" width="2.42578125" style="447" customWidth="1"/>
    <col min="7691" max="7691" width="11.5703125" style="447" customWidth="1"/>
    <col min="7692" max="7692" width="2.42578125" style="447" customWidth="1"/>
    <col min="7693" max="7693" width="10.85546875" style="447" customWidth="1"/>
    <col min="7694" max="7694" width="2.42578125" style="447" customWidth="1"/>
    <col min="7695" max="7695" width="11.140625" style="447" customWidth="1"/>
    <col min="7696" max="7696" width="1.85546875" style="447" customWidth="1"/>
    <col min="7697" max="7697" width="11" style="447" customWidth="1"/>
    <col min="7698" max="7698" width="0.7109375" style="447" customWidth="1"/>
    <col min="7699" max="7699" width="1.85546875" style="447" customWidth="1"/>
    <col min="7700" max="7700" width="11.85546875" style="447" bestFit="1" customWidth="1"/>
    <col min="7701" max="7701" width="15.28515625" style="447" bestFit="1" customWidth="1"/>
    <col min="7702" max="7702" width="5" style="447" customWidth="1"/>
    <col min="7703" max="7703" width="10.42578125" style="447" bestFit="1" customWidth="1"/>
    <col min="7704" max="7704" width="5" style="447" customWidth="1"/>
    <col min="7705" max="7705" width="10.42578125" style="447" bestFit="1" customWidth="1"/>
    <col min="7706" max="7708" width="9" style="447"/>
    <col min="7709" max="7709" width="10.42578125" style="447" bestFit="1" customWidth="1"/>
    <col min="7710" max="7938" width="9" style="447"/>
    <col min="7939" max="7939" width="3.5703125" style="447" customWidth="1"/>
    <col min="7940" max="7940" width="4.85546875" style="447" customWidth="1"/>
    <col min="7941" max="7941" width="5.42578125" style="447" customWidth="1"/>
    <col min="7942" max="7942" width="31.28515625" style="447" customWidth="1"/>
    <col min="7943" max="7943" width="7.5703125" style="447" customWidth="1"/>
    <col min="7944" max="7944" width="2.42578125" style="447" customWidth="1"/>
    <col min="7945" max="7945" width="11.5703125" style="447" customWidth="1"/>
    <col min="7946" max="7946" width="2.42578125" style="447" customWidth="1"/>
    <col min="7947" max="7947" width="11.5703125" style="447" customWidth="1"/>
    <col min="7948" max="7948" width="2.42578125" style="447" customWidth="1"/>
    <col min="7949" max="7949" width="10.85546875" style="447" customWidth="1"/>
    <col min="7950" max="7950" width="2.42578125" style="447" customWidth="1"/>
    <col min="7951" max="7951" width="11.140625" style="447" customWidth="1"/>
    <col min="7952" max="7952" width="1.85546875" style="447" customWidth="1"/>
    <col min="7953" max="7953" width="11" style="447" customWidth="1"/>
    <col min="7954" max="7954" width="0.7109375" style="447" customWidth="1"/>
    <col min="7955" max="7955" width="1.85546875" style="447" customWidth="1"/>
    <col min="7956" max="7956" width="11.85546875" style="447" bestFit="1" customWidth="1"/>
    <col min="7957" max="7957" width="15.28515625" style="447" bestFit="1" customWidth="1"/>
    <col min="7958" max="7958" width="5" style="447" customWidth="1"/>
    <col min="7959" max="7959" width="10.42578125" style="447" bestFit="1" customWidth="1"/>
    <col min="7960" max="7960" width="5" style="447" customWidth="1"/>
    <col min="7961" max="7961" width="10.42578125" style="447" bestFit="1" customWidth="1"/>
    <col min="7962" max="7964" width="9" style="447"/>
    <col min="7965" max="7965" width="10.42578125" style="447" bestFit="1" customWidth="1"/>
    <col min="7966" max="8194" width="9" style="447"/>
    <col min="8195" max="8195" width="3.5703125" style="447" customWidth="1"/>
    <col min="8196" max="8196" width="4.85546875" style="447" customWidth="1"/>
    <col min="8197" max="8197" width="5.42578125" style="447" customWidth="1"/>
    <col min="8198" max="8198" width="31.28515625" style="447" customWidth="1"/>
    <col min="8199" max="8199" width="7.5703125" style="447" customWidth="1"/>
    <col min="8200" max="8200" width="2.42578125" style="447" customWidth="1"/>
    <col min="8201" max="8201" width="11.5703125" style="447" customWidth="1"/>
    <col min="8202" max="8202" width="2.42578125" style="447" customWidth="1"/>
    <col min="8203" max="8203" width="11.5703125" style="447" customWidth="1"/>
    <col min="8204" max="8204" width="2.42578125" style="447" customWidth="1"/>
    <col min="8205" max="8205" width="10.85546875" style="447" customWidth="1"/>
    <col min="8206" max="8206" width="2.42578125" style="447" customWidth="1"/>
    <col min="8207" max="8207" width="11.140625" style="447" customWidth="1"/>
    <col min="8208" max="8208" width="1.85546875" style="447" customWidth="1"/>
    <col min="8209" max="8209" width="11" style="447" customWidth="1"/>
    <col min="8210" max="8210" width="0.7109375" style="447" customWidth="1"/>
    <col min="8211" max="8211" width="1.85546875" style="447" customWidth="1"/>
    <col min="8212" max="8212" width="11.85546875" style="447" bestFit="1" customWidth="1"/>
    <col min="8213" max="8213" width="15.28515625" style="447" bestFit="1" customWidth="1"/>
    <col min="8214" max="8214" width="5" style="447" customWidth="1"/>
    <col min="8215" max="8215" width="10.42578125" style="447" bestFit="1" customWidth="1"/>
    <col min="8216" max="8216" width="5" style="447" customWidth="1"/>
    <col min="8217" max="8217" width="10.42578125" style="447" bestFit="1" customWidth="1"/>
    <col min="8218" max="8220" width="9" style="447"/>
    <col min="8221" max="8221" width="10.42578125" style="447" bestFit="1" customWidth="1"/>
    <col min="8222" max="8450" width="9" style="447"/>
    <col min="8451" max="8451" width="3.5703125" style="447" customWidth="1"/>
    <col min="8452" max="8452" width="4.85546875" style="447" customWidth="1"/>
    <col min="8453" max="8453" width="5.42578125" style="447" customWidth="1"/>
    <col min="8454" max="8454" width="31.28515625" style="447" customWidth="1"/>
    <col min="8455" max="8455" width="7.5703125" style="447" customWidth="1"/>
    <col min="8456" max="8456" width="2.42578125" style="447" customWidth="1"/>
    <col min="8457" max="8457" width="11.5703125" style="447" customWidth="1"/>
    <col min="8458" max="8458" width="2.42578125" style="447" customWidth="1"/>
    <col min="8459" max="8459" width="11.5703125" style="447" customWidth="1"/>
    <col min="8460" max="8460" width="2.42578125" style="447" customWidth="1"/>
    <col min="8461" max="8461" width="10.85546875" style="447" customWidth="1"/>
    <col min="8462" max="8462" width="2.42578125" style="447" customWidth="1"/>
    <col min="8463" max="8463" width="11.140625" style="447" customWidth="1"/>
    <col min="8464" max="8464" width="1.85546875" style="447" customWidth="1"/>
    <col min="8465" max="8465" width="11" style="447" customWidth="1"/>
    <col min="8466" max="8466" width="0.7109375" style="447" customWidth="1"/>
    <col min="8467" max="8467" width="1.85546875" style="447" customWidth="1"/>
    <col min="8468" max="8468" width="11.85546875" style="447" bestFit="1" customWidth="1"/>
    <col min="8469" max="8469" width="15.28515625" style="447" bestFit="1" customWidth="1"/>
    <col min="8470" max="8470" width="5" style="447" customWidth="1"/>
    <col min="8471" max="8471" width="10.42578125" style="447" bestFit="1" customWidth="1"/>
    <col min="8472" max="8472" width="5" style="447" customWidth="1"/>
    <col min="8473" max="8473" width="10.42578125" style="447" bestFit="1" customWidth="1"/>
    <col min="8474" max="8476" width="9" style="447"/>
    <col min="8477" max="8477" width="10.42578125" style="447" bestFit="1" customWidth="1"/>
    <col min="8478" max="8706" width="9" style="447"/>
    <col min="8707" max="8707" width="3.5703125" style="447" customWidth="1"/>
    <col min="8708" max="8708" width="4.85546875" style="447" customWidth="1"/>
    <col min="8709" max="8709" width="5.42578125" style="447" customWidth="1"/>
    <col min="8710" max="8710" width="31.28515625" style="447" customWidth="1"/>
    <col min="8711" max="8711" width="7.5703125" style="447" customWidth="1"/>
    <col min="8712" max="8712" width="2.42578125" style="447" customWidth="1"/>
    <col min="8713" max="8713" width="11.5703125" style="447" customWidth="1"/>
    <col min="8714" max="8714" width="2.42578125" style="447" customWidth="1"/>
    <col min="8715" max="8715" width="11.5703125" style="447" customWidth="1"/>
    <col min="8716" max="8716" width="2.42578125" style="447" customWidth="1"/>
    <col min="8717" max="8717" width="10.85546875" style="447" customWidth="1"/>
    <col min="8718" max="8718" width="2.42578125" style="447" customWidth="1"/>
    <col min="8719" max="8719" width="11.140625" style="447" customWidth="1"/>
    <col min="8720" max="8720" width="1.85546875" style="447" customWidth="1"/>
    <col min="8721" max="8721" width="11" style="447" customWidth="1"/>
    <col min="8722" max="8722" width="0.7109375" style="447" customWidth="1"/>
    <col min="8723" max="8723" width="1.85546875" style="447" customWidth="1"/>
    <col min="8724" max="8724" width="11.85546875" style="447" bestFit="1" customWidth="1"/>
    <col min="8725" max="8725" width="15.28515625" style="447" bestFit="1" customWidth="1"/>
    <col min="8726" max="8726" width="5" style="447" customWidth="1"/>
    <col min="8727" max="8727" width="10.42578125" style="447" bestFit="1" customWidth="1"/>
    <col min="8728" max="8728" width="5" style="447" customWidth="1"/>
    <col min="8729" max="8729" width="10.42578125" style="447" bestFit="1" customWidth="1"/>
    <col min="8730" max="8732" width="9" style="447"/>
    <col min="8733" max="8733" width="10.42578125" style="447" bestFit="1" customWidth="1"/>
    <col min="8734" max="8962" width="9" style="447"/>
    <col min="8963" max="8963" width="3.5703125" style="447" customWidth="1"/>
    <col min="8964" max="8964" width="4.85546875" style="447" customWidth="1"/>
    <col min="8965" max="8965" width="5.42578125" style="447" customWidth="1"/>
    <col min="8966" max="8966" width="31.28515625" style="447" customWidth="1"/>
    <col min="8967" max="8967" width="7.5703125" style="447" customWidth="1"/>
    <col min="8968" max="8968" width="2.42578125" style="447" customWidth="1"/>
    <col min="8969" max="8969" width="11.5703125" style="447" customWidth="1"/>
    <col min="8970" max="8970" width="2.42578125" style="447" customWidth="1"/>
    <col min="8971" max="8971" width="11.5703125" style="447" customWidth="1"/>
    <col min="8972" max="8972" width="2.42578125" style="447" customWidth="1"/>
    <col min="8973" max="8973" width="10.85546875" style="447" customWidth="1"/>
    <col min="8974" max="8974" width="2.42578125" style="447" customWidth="1"/>
    <col min="8975" max="8975" width="11.140625" style="447" customWidth="1"/>
    <col min="8976" max="8976" width="1.85546875" style="447" customWidth="1"/>
    <col min="8977" max="8977" width="11" style="447" customWidth="1"/>
    <col min="8978" max="8978" width="0.7109375" style="447" customWidth="1"/>
    <col min="8979" max="8979" width="1.85546875" style="447" customWidth="1"/>
    <col min="8980" max="8980" width="11.85546875" style="447" bestFit="1" customWidth="1"/>
    <col min="8981" max="8981" width="15.28515625" style="447" bestFit="1" customWidth="1"/>
    <col min="8982" max="8982" width="5" style="447" customWidth="1"/>
    <col min="8983" max="8983" width="10.42578125" style="447" bestFit="1" customWidth="1"/>
    <col min="8984" max="8984" width="5" style="447" customWidth="1"/>
    <col min="8985" max="8985" width="10.42578125" style="447" bestFit="1" customWidth="1"/>
    <col min="8986" max="8988" width="9" style="447"/>
    <col min="8989" max="8989" width="10.42578125" style="447" bestFit="1" customWidth="1"/>
    <col min="8990" max="9218" width="9" style="447"/>
    <col min="9219" max="9219" width="3.5703125" style="447" customWidth="1"/>
    <col min="9220" max="9220" width="4.85546875" style="447" customWidth="1"/>
    <col min="9221" max="9221" width="5.42578125" style="447" customWidth="1"/>
    <col min="9222" max="9222" width="31.28515625" style="447" customWidth="1"/>
    <col min="9223" max="9223" width="7.5703125" style="447" customWidth="1"/>
    <col min="9224" max="9224" width="2.42578125" style="447" customWidth="1"/>
    <col min="9225" max="9225" width="11.5703125" style="447" customWidth="1"/>
    <col min="9226" max="9226" width="2.42578125" style="447" customWidth="1"/>
    <col min="9227" max="9227" width="11.5703125" style="447" customWidth="1"/>
    <col min="9228" max="9228" width="2.42578125" style="447" customWidth="1"/>
    <col min="9229" max="9229" width="10.85546875" style="447" customWidth="1"/>
    <col min="9230" max="9230" width="2.42578125" style="447" customWidth="1"/>
    <col min="9231" max="9231" width="11.140625" style="447" customWidth="1"/>
    <col min="9232" max="9232" width="1.85546875" style="447" customWidth="1"/>
    <col min="9233" max="9233" width="11" style="447" customWidth="1"/>
    <col min="9234" max="9234" width="0.7109375" style="447" customWidth="1"/>
    <col min="9235" max="9235" width="1.85546875" style="447" customWidth="1"/>
    <col min="9236" max="9236" width="11.85546875" style="447" bestFit="1" customWidth="1"/>
    <col min="9237" max="9237" width="15.28515625" style="447" bestFit="1" customWidth="1"/>
    <col min="9238" max="9238" width="5" style="447" customWidth="1"/>
    <col min="9239" max="9239" width="10.42578125" style="447" bestFit="1" customWidth="1"/>
    <col min="9240" max="9240" width="5" style="447" customWidth="1"/>
    <col min="9241" max="9241" width="10.42578125" style="447" bestFit="1" customWidth="1"/>
    <col min="9242" max="9244" width="9" style="447"/>
    <col min="9245" max="9245" width="10.42578125" style="447" bestFit="1" customWidth="1"/>
    <col min="9246" max="9474" width="9" style="447"/>
    <col min="9475" max="9475" width="3.5703125" style="447" customWidth="1"/>
    <col min="9476" max="9476" width="4.85546875" style="447" customWidth="1"/>
    <col min="9477" max="9477" width="5.42578125" style="447" customWidth="1"/>
    <col min="9478" max="9478" width="31.28515625" style="447" customWidth="1"/>
    <col min="9479" max="9479" width="7.5703125" style="447" customWidth="1"/>
    <col min="9480" max="9480" width="2.42578125" style="447" customWidth="1"/>
    <col min="9481" max="9481" width="11.5703125" style="447" customWidth="1"/>
    <col min="9482" max="9482" width="2.42578125" style="447" customWidth="1"/>
    <col min="9483" max="9483" width="11.5703125" style="447" customWidth="1"/>
    <col min="9484" max="9484" width="2.42578125" style="447" customWidth="1"/>
    <col min="9485" max="9485" width="10.85546875" style="447" customWidth="1"/>
    <col min="9486" max="9486" width="2.42578125" style="447" customWidth="1"/>
    <col min="9487" max="9487" width="11.140625" style="447" customWidth="1"/>
    <col min="9488" max="9488" width="1.85546875" style="447" customWidth="1"/>
    <col min="9489" max="9489" width="11" style="447" customWidth="1"/>
    <col min="9490" max="9490" width="0.7109375" style="447" customWidth="1"/>
    <col min="9491" max="9491" width="1.85546875" style="447" customWidth="1"/>
    <col min="9492" max="9492" width="11.85546875" style="447" bestFit="1" customWidth="1"/>
    <col min="9493" max="9493" width="15.28515625" style="447" bestFit="1" customWidth="1"/>
    <col min="9494" max="9494" width="5" style="447" customWidth="1"/>
    <col min="9495" max="9495" width="10.42578125" style="447" bestFit="1" customWidth="1"/>
    <col min="9496" max="9496" width="5" style="447" customWidth="1"/>
    <col min="9497" max="9497" width="10.42578125" style="447" bestFit="1" customWidth="1"/>
    <col min="9498" max="9500" width="9" style="447"/>
    <col min="9501" max="9501" width="10.42578125" style="447" bestFit="1" customWidth="1"/>
    <col min="9502" max="9730" width="9" style="447"/>
    <col min="9731" max="9731" width="3.5703125" style="447" customWidth="1"/>
    <col min="9732" max="9732" width="4.85546875" style="447" customWidth="1"/>
    <col min="9733" max="9733" width="5.42578125" style="447" customWidth="1"/>
    <col min="9734" max="9734" width="31.28515625" style="447" customWidth="1"/>
    <col min="9735" max="9735" width="7.5703125" style="447" customWidth="1"/>
    <col min="9736" max="9736" width="2.42578125" style="447" customWidth="1"/>
    <col min="9737" max="9737" width="11.5703125" style="447" customWidth="1"/>
    <col min="9738" max="9738" width="2.42578125" style="447" customWidth="1"/>
    <col min="9739" max="9739" width="11.5703125" style="447" customWidth="1"/>
    <col min="9740" max="9740" width="2.42578125" style="447" customWidth="1"/>
    <col min="9741" max="9741" width="10.85546875" style="447" customWidth="1"/>
    <col min="9742" max="9742" width="2.42578125" style="447" customWidth="1"/>
    <col min="9743" max="9743" width="11.140625" style="447" customWidth="1"/>
    <col min="9744" max="9744" width="1.85546875" style="447" customWidth="1"/>
    <col min="9745" max="9745" width="11" style="447" customWidth="1"/>
    <col min="9746" max="9746" width="0.7109375" style="447" customWidth="1"/>
    <col min="9747" max="9747" width="1.85546875" style="447" customWidth="1"/>
    <col min="9748" max="9748" width="11.85546875" style="447" bestFit="1" customWidth="1"/>
    <col min="9749" max="9749" width="15.28515625" style="447" bestFit="1" customWidth="1"/>
    <col min="9750" max="9750" width="5" style="447" customWidth="1"/>
    <col min="9751" max="9751" width="10.42578125" style="447" bestFit="1" customWidth="1"/>
    <col min="9752" max="9752" width="5" style="447" customWidth="1"/>
    <col min="9753" max="9753" width="10.42578125" style="447" bestFit="1" customWidth="1"/>
    <col min="9754" max="9756" width="9" style="447"/>
    <col min="9757" max="9757" width="10.42578125" style="447" bestFit="1" customWidth="1"/>
    <col min="9758" max="9986" width="9" style="447"/>
    <col min="9987" max="9987" width="3.5703125" style="447" customWidth="1"/>
    <col min="9988" max="9988" width="4.85546875" style="447" customWidth="1"/>
    <col min="9989" max="9989" width="5.42578125" style="447" customWidth="1"/>
    <col min="9990" max="9990" width="31.28515625" style="447" customWidth="1"/>
    <col min="9991" max="9991" width="7.5703125" style="447" customWidth="1"/>
    <col min="9992" max="9992" width="2.42578125" style="447" customWidth="1"/>
    <col min="9993" max="9993" width="11.5703125" style="447" customWidth="1"/>
    <col min="9994" max="9994" width="2.42578125" style="447" customWidth="1"/>
    <col min="9995" max="9995" width="11.5703125" style="447" customWidth="1"/>
    <col min="9996" max="9996" width="2.42578125" style="447" customWidth="1"/>
    <col min="9997" max="9997" width="10.85546875" style="447" customWidth="1"/>
    <col min="9998" max="9998" width="2.42578125" style="447" customWidth="1"/>
    <col min="9999" max="9999" width="11.140625" style="447" customWidth="1"/>
    <col min="10000" max="10000" width="1.85546875" style="447" customWidth="1"/>
    <col min="10001" max="10001" width="11" style="447" customWidth="1"/>
    <col min="10002" max="10002" width="0.7109375" style="447" customWidth="1"/>
    <col min="10003" max="10003" width="1.85546875" style="447" customWidth="1"/>
    <col min="10004" max="10004" width="11.85546875" style="447" bestFit="1" customWidth="1"/>
    <col min="10005" max="10005" width="15.28515625" style="447" bestFit="1" customWidth="1"/>
    <col min="10006" max="10006" width="5" style="447" customWidth="1"/>
    <col min="10007" max="10007" width="10.42578125" style="447" bestFit="1" customWidth="1"/>
    <col min="10008" max="10008" width="5" style="447" customWidth="1"/>
    <col min="10009" max="10009" width="10.42578125" style="447" bestFit="1" customWidth="1"/>
    <col min="10010" max="10012" width="9" style="447"/>
    <col min="10013" max="10013" width="10.42578125" style="447" bestFit="1" customWidth="1"/>
    <col min="10014" max="10242" width="9" style="447"/>
    <col min="10243" max="10243" width="3.5703125" style="447" customWidth="1"/>
    <col min="10244" max="10244" width="4.85546875" style="447" customWidth="1"/>
    <col min="10245" max="10245" width="5.42578125" style="447" customWidth="1"/>
    <col min="10246" max="10246" width="31.28515625" style="447" customWidth="1"/>
    <col min="10247" max="10247" width="7.5703125" style="447" customWidth="1"/>
    <col min="10248" max="10248" width="2.42578125" style="447" customWidth="1"/>
    <col min="10249" max="10249" width="11.5703125" style="447" customWidth="1"/>
    <col min="10250" max="10250" width="2.42578125" style="447" customWidth="1"/>
    <col min="10251" max="10251" width="11.5703125" style="447" customWidth="1"/>
    <col min="10252" max="10252" width="2.42578125" style="447" customWidth="1"/>
    <col min="10253" max="10253" width="10.85546875" style="447" customWidth="1"/>
    <col min="10254" max="10254" width="2.42578125" style="447" customWidth="1"/>
    <col min="10255" max="10255" width="11.140625" style="447" customWidth="1"/>
    <col min="10256" max="10256" width="1.85546875" style="447" customWidth="1"/>
    <col min="10257" max="10257" width="11" style="447" customWidth="1"/>
    <col min="10258" max="10258" width="0.7109375" style="447" customWidth="1"/>
    <col min="10259" max="10259" width="1.85546875" style="447" customWidth="1"/>
    <col min="10260" max="10260" width="11.85546875" style="447" bestFit="1" customWidth="1"/>
    <col min="10261" max="10261" width="15.28515625" style="447" bestFit="1" customWidth="1"/>
    <col min="10262" max="10262" width="5" style="447" customWidth="1"/>
    <col min="10263" max="10263" width="10.42578125" style="447" bestFit="1" customWidth="1"/>
    <col min="10264" max="10264" width="5" style="447" customWidth="1"/>
    <col min="10265" max="10265" width="10.42578125" style="447" bestFit="1" customWidth="1"/>
    <col min="10266" max="10268" width="9" style="447"/>
    <col min="10269" max="10269" width="10.42578125" style="447" bestFit="1" customWidth="1"/>
    <col min="10270" max="10498" width="9" style="447"/>
    <col min="10499" max="10499" width="3.5703125" style="447" customWidth="1"/>
    <col min="10500" max="10500" width="4.85546875" style="447" customWidth="1"/>
    <col min="10501" max="10501" width="5.42578125" style="447" customWidth="1"/>
    <col min="10502" max="10502" width="31.28515625" style="447" customWidth="1"/>
    <col min="10503" max="10503" width="7.5703125" style="447" customWidth="1"/>
    <col min="10504" max="10504" width="2.42578125" style="447" customWidth="1"/>
    <col min="10505" max="10505" width="11.5703125" style="447" customWidth="1"/>
    <col min="10506" max="10506" width="2.42578125" style="447" customWidth="1"/>
    <col min="10507" max="10507" width="11.5703125" style="447" customWidth="1"/>
    <col min="10508" max="10508" width="2.42578125" style="447" customWidth="1"/>
    <col min="10509" max="10509" width="10.85546875" style="447" customWidth="1"/>
    <col min="10510" max="10510" width="2.42578125" style="447" customWidth="1"/>
    <col min="10511" max="10511" width="11.140625" style="447" customWidth="1"/>
    <col min="10512" max="10512" width="1.85546875" style="447" customWidth="1"/>
    <col min="10513" max="10513" width="11" style="447" customWidth="1"/>
    <col min="10514" max="10514" width="0.7109375" style="447" customWidth="1"/>
    <col min="10515" max="10515" width="1.85546875" style="447" customWidth="1"/>
    <col min="10516" max="10516" width="11.85546875" style="447" bestFit="1" customWidth="1"/>
    <col min="10517" max="10517" width="15.28515625" style="447" bestFit="1" customWidth="1"/>
    <col min="10518" max="10518" width="5" style="447" customWidth="1"/>
    <col min="10519" max="10519" width="10.42578125" style="447" bestFit="1" customWidth="1"/>
    <col min="10520" max="10520" width="5" style="447" customWidth="1"/>
    <col min="10521" max="10521" width="10.42578125" style="447" bestFit="1" customWidth="1"/>
    <col min="10522" max="10524" width="9" style="447"/>
    <col min="10525" max="10525" width="10.42578125" style="447" bestFit="1" customWidth="1"/>
    <col min="10526" max="10754" width="9" style="447"/>
    <col min="10755" max="10755" width="3.5703125" style="447" customWidth="1"/>
    <col min="10756" max="10756" width="4.85546875" style="447" customWidth="1"/>
    <col min="10757" max="10757" width="5.42578125" style="447" customWidth="1"/>
    <col min="10758" max="10758" width="31.28515625" style="447" customWidth="1"/>
    <col min="10759" max="10759" width="7.5703125" style="447" customWidth="1"/>
    <col min="10760" max="10760" width="2.42578125" style="447" customWidth="1"/>
    <col min="10761" max="10761" width="11.5703125" style="447" customWidth="1"/>
    <col min="10762" max="10762" width="2.42578125" style="447" customWidth="1"/>
    <col min="10763" max="10763" width="11.5703125" style="447" customWidth="1"/>
    <col min="10764" max="10764" width="2.42578125" style="447" customWidth="1"/>
    <col min="10765" max="10765" width="10.85546875" style="447" customWidth="1"/>
    <col min="10766" max="10766" width="2.42578125" style="447" customWidth="1"/>
    <col min="10767" max="10767" width="11.140625" style="447" customWidth="1"/>
    <col min="10768" max="10768" width="1.85546875" style="447" customWidth="1"/>
    <col min="10769" max="10769" width="11" style="447" customWidth="1"/>
    <col min="10770" max="10770" width="0.7109375" style="447" customWidth="1"/>
    <col min="10771" max="10771" width="1.85546875" style="447" customWidth="1"/>
    <col min="10772" max="10772" width="11.85546875" style="447" bestFit="1" customWidth="1"/>
    <col min="10773" max="10773" width="15.28515625" style="447" bestFit="1" customWidth="1"/>
    <col min="10774" max="10774" width="5" style="447" customWidth="1"/>
    <col min="10775" max="10775" width="10.42578125" style="447" bestFit="1" customWidth="1"/>
    <col min="10776" max="10776" width="5" style="447" customWidth="1"/>
    <col min="10777" max="10777" width="10.42578125" style="447" bestFit="1" customWidth="1"/>
    <col min="10778" max="10780" width="9" style="447"/>
    <col min="10781" max="10781" width="10.42578125" style="447" bestFit="1" customWidth="1"/>
    <col min="10782" max="11010" width="9" style="447"/>
    <col min="11011" max="11011" width="3.5703125" style="447" customWidth="1"/>
    <col min="11012" max="11012" width="4.85546875" style="447" customWidth="1"/>
    <col min="11013" max="11013" width="5.42578125" style="447" customWidth="1"/>
    <col min="11014" max="11014" width="31.28515625" style="447" customWidth="1"/>
    <col min="11015" max="11015" width="7.5703125" style="447" customWidth="1"/>
    <col min="11016" max="11016" width="2.42578125" style="447" customWidth="1"/>
    <col min="11017" max="11017" width="11.5703125" style="447" customWidth="1"/>
    <col min="11018" max="11018" width="2.42578125" style="447" customWidth="1"/>
    <col min="11019" max="11019" width="11.5703125" style="447" customWidth="1"/>
    <col min="11020" max="11020" width="2.42578125" style="447" customWidth="1"/>
    <col min="11021" max="11021" width="10.85546875" style="447" customWidth="1"/>
    <col min="11022" max="11022" width="2.42578125" style="447" customWidth="1"/>
    <col min="11023" max="11023" width="11.140625" style="447" customWidth="1"/>
    <col min="11024" max="11024" width="1.85546875" style="447" customWidth="1"/>
    <col min="11025" max="11025" width="11" style="447" customWidth="1"/>
    <col min="11026" max="11026" width="0.7109375" style="447" customWidth="1"/>
    <col min="11027" max="11027" width="1.85546875" style="447" customWidth="1"/>
    <col min="11028" max="11028" width="11.85546875" style="447" bestFit="1" customWidth="1"/>
    <col min="11029" max="11029" width="15.28515625" style="447" bestFit="1" customWidth="1"/>
    <col min="11030" max="11030" width="5" style="447" customWidth="1"/>
    <col min="11031" max="11031" width="10.42578125" style="447" bestFit="1" customWidth="1"/>
    <col min="11032" max="11032" width="5" style="447" customWidth="1"/>
    <col min="11033" max="11033" width="10.42578125" style="447" bestFit="1" customWidth="1"/>
    <col min="11034" max="11036" width="9" style="447"/>
    <col min="11037" max="11037" width="10.42578125" style="447" bestFit="1" customWidth="1"/>
    <col min="11038" max="11266" width="9" style="447"/>
    <col min="11267" max="11267" width="3.5703125" style="447" customWidth="1"/>
    <col min="11268" max="11268" width="4.85546875" style="447" customWidth="1"/>
    <col min="11269" max="11269" width="5.42578125" style="447" customWidth="1"/>
    <col min="11270" max="11270" width="31.28515625" style="447" customWidth="1"/>
    <col min="11271" max="11271" width="7.5703125" style="447" customWidth="1"/>
    <col min="11272" max="11272" width="2.42578125" style="447" customWidth="1"/>
    <col min="11273" max="11273" width="11.5703125" style="447" customWidth="1"/>
    <col min="11274" max="11274" width="2.42578125" style="447" customWidth="1"/>
    <col min="11275" max="11275" width="11.5703125" style="447" customWidth="1"/>
    <col min="11276" max="11276" width="2.42578125" style="447" customWidth="1"/>
    <col min="11277" max="11277" width="10.85546875" style="447" customWidth="1"/>
    <col min="11278" max="11278" width="2.42578125" style="447" customWidth="1"/>
    <col min="11279" max="11279" width="11.140625" style="447" customWidth="1"/>
    <col min="11280" max="11280" width="1.85546875" style="447" customWidth="1"/>
    <col min="11281" max="11281" width="11" style="447" customWidth="1"/>
    <col min="11282" max="11282" width="0.7109375" style="447" customWidth="1"/>
    <col min="11283" max="11283" width="1.85546875" style="447" customWidth="1"/>
    <col min="11284" max="11284" width="11.85546875" style="447" bestFit="1" customWidth="1"/>
    <col min="11285" max="11285" width="15.28515625" style="447" bestFit="1" customWidth="1"/>
    <col min="11286" max="11286" width="5" style="447" customWidth="1"/>
    <col min="11287" max="11287" width="10.42578125" style="447" bestFit="1" customWidth="1"/>
    <col min="11288" max="11288" width="5" style="447" customWidth="1"/>
    <col min="11289" max="11289" width="10.42578125" style="447" bestFit="1" customWidth="1"/>
    <col min="11290" max="11292" width="9" style="447"/>
    <col min="11293" max="11293" width="10.42578125" style="447" bestFit="1" customWidth="1"/>
    <col min="11294" max="11522" width="9" style="447"/>
    <col min="11523" max="11523" width="3.5703125" style="447" customWidth="1"/>
    <col min="11524" max="11524" width="4.85546875" style="447" customWidth="1"/>
    <col min="11525" max="11525" width="5.42578125" style="447" customWidth="1"/>
    <col min="11526" max="11526" width="31.28515625" style="447" customWidth="1"/>
    <col min="11527" max="11527" width="7.5703125" style="447" customWidth="1"/>
    <col min="11528" max="11528" width="2.42578125" style="447" customWidth="1"/>
    <col min="11529" max="11529" width="11.5703125" style="447" customWidth="1"/>
    <col min="11530" max="11530" width="2.42578125" style="447" customWidth="1"/>
    <col min="11531" max="11531" width="11.5703125" style="447" customWidth="1"/>
    <col min="11532" max="11532" width="2.42578125" style="447" customWidth="1"/>
    <col min="11533" max="11533" width="10.85546875" style="447" customWidth="1"/>
    <col min="11534" max="11534" width="2.42578125" style="447" customWidth="1"/>
    <col min="11535" max="11535" width="11.140625" style="447" customWidth="1"/>
    <col min="11536" max="11536" width="1.85546875" style="447" customWidth="1"/>
    <col min="11537" max="11537" width="11" style="447" customWidth="1"/>
    <col min="11538" max="11538" width="0.7109375" style="447" customWidth="1"/>
    <col min="11539" max="11539" width="1.85546875" style="447" customWidth="1"/>
    <col min="11540" max="11540" width="11.85546875" style="447" bestFit="1" customWidth="1"/>
    <col min="11541" max="11541" width="15.28515625" style="447" bestFit="1" customWidth="1"/>
    <col min="11542" max="11542" width="5" style="447" customWidth="1"/>
    <col min="11543" max="11543" width="10.42578125" style="447" bestFit="1" customWidth="1"/>
    <col min="11544" max="11544" width="5" style="447" customWidth="1"/>
    <col min="11545" max="11545" width="10.42578125" style="447" bestFit="1" customWidth="1"/>
    <col min="11546" max="11548" width="9" style="447"/>
    <col min="11549" max="11549" width="10.42578125" style="447" bestFit="1" customWidth="1"/>
    <col min="11550" max="11778" width="9" style="447"/>
    <col min="11779" max="11779" width="3.5703125" style="447" customWidth="1"/>
    <col min="11780" max="11780" width="4.85546875" style="447" customWidth="1"/>
    <col min="11781" max="11781" width="5.42578125" style="447" customWidth="1"/>
    <col min="11782" max="11782" width="31.28515625" style="447" customWidth="1"/>
    <col min="11783" max="11783" width="7.5703125" style="447" customWidth="1"/>
    <col min="11784" max="11784" width="2.42578125" style="447" customWidth="1"/>
    <col min="11785" max="11785" width="11.5703125" style="447" customWidth="1"/>
    <col min="11786" max="11786" width="2.42578125" style="447" customWidth="1"/>
    <col min="11787" max="11787" width="11.5703125" style="447" customWidth="1"/>
    <col min="11788" max="11788" width="2.42578125" style="447" customWidth="1"/>
    <col min="11789" max="11789" width="10.85546875" style="447" customWidth="1"/>
    <col min="11790" max="11790" width="2.42578125" style="447" customWidth="1"/>
    <col min="11791" max="11791" width="11.140625" style="447" customWidth="1"/>
    <col min="11792" max="11792" width="1.85546875" style="447" customWidth="1"/>
    <col min="11793" max="11793" width="11" style="447" customWidth="1"/>
    <col min="11794" max="11794" width="0.7109375" style="447" customWidth="1"/>
    <col min="11795" max="11795" width="1.85546875" style="447" customWidth="1"/>
    <col min="11796" max="11796" width="11.85546875" style="447" bestFit="1" customWidth="1"/>
    <col min="11797" max="11797" width="15.28515625" style="447" bestFit="1" customWidth="1"/>
    <col min="11798" max="11798" width="5" style="447" customWidth="1"/>
    <col min="11799" max="11799" width="10.42578125" style="447" bestFit="1" customWidth="1"/>
    <col min="11800" max="11800" width="5" style="447" customWidth="1"/>
    <col min="11801" max="11801" width="10.42578125" style="447" bestFit="1" customWidth="1"/>
    <col min="11802" max="11804" width="9" style="447"/>
    <col min="11805" max="11805" width="10.42578125" style="447" bestFit="1" customWidth="1"/>
    <col min="11806" max="12034" width="9" style="447"/>
    <col min="12035" max="12035" width="3.5703125" style="447" customWidth="1"/>
    <col min="12036" max="12036" width="4.85546875" style="447" customWidth="1"/>
    <col min="12037" max="12037" width="5.42578125" style="447" customWidth="1"/>
    <col min="12038" max="12038" width="31.28515625" style="447" customWidth="1"/>
    <col min="12039" max="12039" width="7.5703125" style="447" customWidth="1"/>
    <col min="12040" max="12040" width="2.42578125" style="447" customWidth="1"/>
    <col min="12041" max="12041" width="11.5703125" style="447" customWidth="1"/>
    <col min="12042" max="12042" width="2.42578125" style="447" customWidth="1"/>
    <col min="12043" max="12043" width="11.5703125" style="447" customWidth="1"/>
    <col min="12044" max="12044" width="2.42578125" style="447" customWidth="1"/>
    <col min="12045" max="12045" width="10.85546875" style="447" customWidth="1"/>
    <col min="12046" max="12046" width="2.42578125" style="447" customWidth="1"/>
    <col min="12047" max="12047" width="11.140625" style="447" customWidth="1"/>
    <col min="12048" max="12048" width="1.85546875" style="447" customWidth="1"/>
    <col min="12049" max="12049" width="11" style="447" customWidth="1"/>
    <col min="12050" max="12050" width="0.7109375" style="447" customWidth="1"/>
    <col min="12051" max="12051" width="1.85546875" style="447" customWidth="1"/>
    <col min="12052" max="12052" width="11.85546875" style="447" bestFit="1" customWidth="1"/>
    <col min="12053" max="12053" width="15.28515625" style="447" bestFit="1" customWidth="1"/>
    <col min="12054" max="12054" width="5" style="447" customWidth="1"/>
    <col min="12055" max="12055" width="10.42578125" style="447" bestFit="1" customWidth="1"/>
    <col min="12056" max="12056" width="5" style="447" customWidth="1"/>
    <col min="12057" max="12057" width="10.42578125" style="447" bestFit="1" customWidth="1"/>
    <col min="12058" max="12060" width="9" style="447"/>
    <col min="12061" max="12061" width="10.42578125" style="447" bestFit="1" customWidth="1"/>
    <col min="12062" max="12290" width="9" style="447"/>
    <col min="12291" max="12291" width="3.5703125" style="447" customWidth="1"/>
    <col min="12292" max="12292" width="4.85546875" style="447" customWidth="1"/>
    <col min="12293" max="12293" width="5.42578125" style="447" customWidth="1"/>
    <col min="12294" max="12294" width="31.28515625" style="447" customWidth="1"/>
    <col min="12295" max="12295" width="7.5703125" style="447" customWidth="1"/>
    <col min="12296" max="12296" width="2.42578125" style="447" customWidth="1"/>
    <col min="12297" max="12297" width="11.5703125" style="447" customWidth="1"/>
    <col min="12298" max="12298" width="2.42578125" style="447" customWidth="1"/>
    <col min="12299" max="12299" width="11.5703125" style="447" customWidth="1"/>
    <col min="12300" max="12300" width="2.42578125" style="447" customWidth="1"/>
    <col min="12301" max="12301" width="10.85546875" style="447" customWidth="1"/>
    <col min="12302" max="12302" width="2.42578125" style="447" customWidth="1"/>
    <col min="12303" max="12303" width="11.140625" style="447" customWidth="1"/>
    <col min="12304" max="12304" width="1.85546875" style="447" customWidth="1"/>
    <col min="12305" max="12305" width="11" style="447" customWidth="1"/>
    <col min="12306" max="12306" width="0.7109375" style="447" customWidth="1"/>
    <col min="12307" max="12307" width="1.85546875" style="447" customWidth="1"/>
    <col min="12308" max="12308" width="11.85546875" style="447" bestFit="1" customWidth="1"/>
    <col min="12309" max="12309" width="15.28515625" style="447" bestFit="1" customWidth="1"/>
    <col min="12310" max="12310" width="5" style="447" customWidth="1"/>
    <col min="12311" max="12311" width="10.42578125" style="447" bestFit="1" customWidth="1"/>
    <col min="12312" max="12312" width="5" style="447" customWidth="1"/>
    <col min="12313" max="12313" width="10.42578125" style="447" bestFit="1" customWidth="1"/>
    <col min="12314" max="12316" width="9" style="447"/>
    <col min="12317" max="12317" width="10.42578125" style="447" bestFit="1" customWidth="1"/>
    <col min="12318" max="12546" width="9" style="447"/>
    <col min="12547" max="12547" width="3.5703125" style="447" customWidth="1"/>
    <col min="12548" max="12548" width="4.85546875" style="447" customWidth="1"/>
    <col min="12549" max="12549" width="5.42578125" style="447" customWidth="1"/>
    <col min="12550" max="12550" width="31.28515625" style="447" customWidth="1"/>
    <col min="12551" max="12551" width="7.5703125" style="447" customWidth="1"/>
    <col min="12552" max="12552" width="2.42578125" style="447" customWidth="1"/>
    <col min="12553" max="12553" width="11.5703125" style="447" customWidth="1"/>
    <col min="12554" max="12554" width="2.42578125" style="447" customWidth="1"/>
    <col min="12555" max="12555" width="11.5703125" style="447" customWidth="1"/>
    <col min="12556" max="12556" width="2.42578125" style="447" customWidth="1"/>
    <col min="12557" max="12557" width="10.85546875" style="447" customWidth="1"/>
    <col min="12558" max="12558" width="2.42578125" style="447" customWidth="1"/>
    <col min="12559" max="12559" width="11.140625" style="447" customWidth="1"/>
    <col min="12560" max="12560" width="1.85546875" style="447" customWidth="1"/>
    <col min="12561" max="12561" width="11" style="447" customWidth="1"/>
    <col min="12562" max="12562" width="0.7109375" style="447" customWidth="1"/>
    <col min="12563" max="12563" width="1.85546875" style="447" customWidth="1"/>
    <col min="12564" max="12564" width="11.85546875" style="447" bestFit="1" customWidth="1"/>
    <col min="12565" max="12565" width="15.28515625" style="447" bestFit="1" customWidth="1"/>
    <col min="12566" max="12566" width="5" style="447" customWidth="1"/>
    <col min="12567" max="12567" width="10.42578125" style="447" bestFit="1" customWidth="1"/>
    <col min="12568" max="12568" width="5" style="447" customWidth="1"/>
    <col min="12569" max="12569" width="10.42578125" style="447" bestFit="1" customWidth="1"/>
    <col min="12570" max="12572" width="9" style="447"/>
    <col min="12573" max="12573" width="10.42578125" style="447" bestFit="1" customWidth="1"/>
    <col min="12574" max="12802" width="9" style="447"/>
    <col min="12803" max="12803" width="3.5703125" style="447" customWidth="1"/>
    <col min="12804" max="12804" width="4.85546875" style="447" customWidth="1"/>
    <col min="12805" max="12805" width="5.42578125" style="447" customWidth="1"/>
    <col min="12806" max="12806" width="31.28515625" style="447" customWidth="1"/>
    <col min="12807" max="12807" width="7.5703125" style="447" customWidth="1"/>
    <col min="12808" max="12808" width="2.42578125" style="447" customWidth="1"/>
    <col min="12809" max="12809" width="11.5703125" style="447" customWidth="1"/>
    <col min="12810" max="12810" width="2.42578125" style="447" customWidth="1"/>
    <col min="12811" max="12811" width="11.5703125" style="447" customWidth="1"/>
    <col min="12812" max="12812" width="2.42578125" style="447" customWidth="1"/>
    <col min="12813" max="12813" width="10.85546875" style="447" customWidth="1"/>
    <col min="12814" max="12814" width="2.42578125" style="447" customWidth="1"/>
    <col min="12815" max="12815" width="11.140625" style="447" customWidth="1"/>
    <col min="12816" max="12816" width="1.85546875" style="447" customWidth="1"/>
    <col min="12817" max="12817" width="11" style="447" customWidth="1"/>
    <col min="12818" max="12818" width="0.7109375" style="447" customWidth="1"/>
    <col min="12819" max="12819" width="1.85546875" style="447" customWidth="1"/>
    <col min="12820" max="12820" width="11.85546875" style="447" bestFit="1" customWidth="1"/>
    <col min="12821" max="12821" width="15.28515625" style="447" bestFit="1" customWidth="1"/>
    <col min="12822" max="12822" width="5" style="447" customWidth="1"/>
    <col min="12823" max="12823" width="10.42578125" style="447" bestFit="1" customWidth="1"/>
    <col min="12824" max="12824" width="5" style="447" customWidth="1"/>
    <col min="12825" max="12825" width="10.42578125" style="447" bestFit="1" customWidth="1"/>
    <col min="12826" max="12828" width="9" style="447"/>
    <col min="12829" max="12829" width="10.42578125" style="447" bestFit="1" customWidth="1"/>
    <col min="12830" max="13058" width="9" style="447"/>
    <col min="13059" max="13059" width="3.5703125" style="447" customWidth="1"/>
    <col min="13060" max="13060" width="4.85546875" style="447" customWidth="1"/>
    <col min="13061" max="13061" width="5.42578125" style="447" customWidth="1"/>
    <col min="13062" max="13062" width="31.28515625" style="447" customWidth="1"/>
    <col min="13063" max="13063" width="7.5703125" style="447" customWidth="1"/>
    <col min="13064" max="13064" width="2.42578125" style="447" customWidth="1"/>
    <col min="13065" max="13065" width="11.5703125" style="447" customWidth="1"/>
    <col min="13066" max="13066" width="2.42578125" style="447" customWidth="1"/>
    <col min="13067" max="13067" width="11.5703125" style="447" customWidth="1"/>
    <col min="13068" max="13068" width="2.42578125" style="447" customWidth="1"/>
    <col min="13069" max="13069" width="10.85546875" style="447" customWidth="1"/>
    <col min="13070" max="13070" width="2.42578125" style="447" customWidth="1"/>
    <col min="13071" max="13071" width="11.140625" style="447" customWidth="1"/>
    <col min="13072" max="13072" width="1.85546875" style="447" customWidth="1"/>
    <col min="13073" max="13073" width="11" style="447" customWidth="1"/>
    <col min="13074" max="13074" width="0.7109375" style="447" customWidth="1"/>
    <col min="13075" max="13075" width="1.85546875" style="447" customWidth="1"/>
    <col min="13076" max="13076" width="11.85546875" style="447" bestFit="1" customWidth="1"/>
    <col min="13077" max="13077" width="15.28515625" style="447" bestFit="1" customWidth="1"/>
    <col min="13078" max="13078" width="5" style="447" customWidth="1"/>
    <col min="13079" max="13079" width="10.42578125" style="447" bestFit="1" customWidth="1"/>
    <col min="13080" max="13080" width="5" style="447" customWidth="1"/>
    <col min="13081" max="13081" width="10.42578125" style="447" bestFit="1" customWidth="1"/>
    <col min="13082" max="13084" width="9" style="447"/>
    <col min="13085" max="13085" width="10.42578125" style="447" bestFit="1" customWidth="1"/>
    <col min="13086" max="13314" width="9" style="447"/>
    <col min="13315" max="13315" width="3.5703125" style="447" customWidth="1"/>
    <col min="13316" max="13316" width="4.85546875" style="447" customWidth="1"/>
    <col min="13317" max="13317" width="5.42578125" style="447" customWidth="1"/>
    <col min="13318" max="13318" width="31.28515625" style="447" customWidth="1"/>
    <col min="13319" max="13319" width="7.5703125" style="447" customWidth="1"/>
    <col min="13320" max="13320" width="2.42578125" style="447" customWidth="1"/>
    <col min="13321" max="13321" width="11.5703125" style="447" customWidth="1"/>
    <col min="13322" max="13322" width="2.42578125" style="447" customWidth="1"/>
    <col min="13323" max="13323" width="11.5703125" style="447" customWidth="1"/>
    <col min="13324" max="13324" width="2.42578125" style="447" customWidth="1"/>
    <col min="13325" max="13325" width="10.85546875" style="447" customWidth="1"/>
    <col min="13326" max="13326" width="2.42578125" style="447" customWidth="1"/>
    <col min="13327" max="13327" width="11.140625" style="447" customWidth="1"/>
    <col min="13328" max="13328" width="1.85546875" style="447" customWidth="1"/>
    <col min="13329" max="13329" width="11" style="447" customWidth="1"/>
    <col min="13330" max="13330" width="0.7109375" style="447" customWidth="1"/>
    <col min="13331" max="13331" width="1.85546875" style="447" customWidth="1"/>
    <col min="13332" max="13332" width="11.85546875" style="447" bestFit="1" customWidth="1"/>
    <col min="13333" max="13333" width="15.28515625" style="447" bestFit="1" customWidth="1"/>
    <col min="13334" max="13334" width="5" style="447" customWidth="1"/>
    <col min="13335" max="13335" width="10.42578125" style="447" bestFit="1" customWidth="1"/>
    <col min="13336" max="13336" width="5" style="447" customWidth="1"/>
    <col min="13337" max="13337" width="10.42578125" style="447" bestFit="1" customWidth="1"/>
    <col min="13338" max="13340" width="9" style="447"/>
    <col min="13341" max="13341" width="10.42578125" style="447" bestFit="1" customWidth="1"/>
    <col min="13342" max="13570" width="9" style="447"/>
    <col min="13571" max="13571" width="3.5703125" style="447" customWidth="1"/>
    <col min="13572" max="13572" width="4.85546875" style="447" customWidth="1"/>
    <col min="13573" max="13573" width="5.42578125" style="447" customWidth="1"/>
    <col min="13574" max="13574" width="31.28515625" style="447" customWidth="1"/>
    <col min="13575" max="13575" width="7.5703125" style="447" customWidth="1"/>
    <col min="13576" max="13576" width="2.42578125" style="447" customWidth="1"/>
    <col min="13577" max="13577" width="11.5703125" style="447" customWidth="1"/>
    <col min="13578" max="13578" width="2.42578125" style="447" customWidth="1"/>
    <col min="13579" max="13579" width="11.5703125" style="447" customWidth="1"/>
    <col min="13580" max="13580" width="2.42578125" style="447" customWidth="1"/>
    <col min="13581" max="13581" width="10.85546875" style="447" customWidth="1"/>
    <col min="13582" max="13582" width="2.42578125" style="447" customWidth="1"/>
    <col min="13583" max="13583" width="11.140625" style="447" customWidth="1"/>
    <col min="13584" max="13584" width="1.85546875" style="447" customWidth="1"/>
    <col min="13585" max="13585" width="11" style="447" customWidth="1"/>
    <col min="13586" max="13586" width="0.7109375" style="447" customWidth="1"/>
    <col min="13587" max="13587" width="1.85546875" style="447" customWidth="1"/>
    <col min="13588" max="13588" width="11.85546875" style="447" bestFit="1" customWidth="1"/>
    <col min="13589" max="13589" width="15.28515625" style="447" bestFit="1" customWidth="1"/>
    <col min="13590" max="13590" width="5" style="447" customWidth="1"/>
    <col min="13591" max="13591" width="10.42578125" style="447" bestFit="1" customWidth="1"/>
    <col min="13592" max="13592" width="5" style="447" customWidth="1"/>
    <col min="13593" max="13593" width="10.42578125" style="447" bestFit="1" customWidth="1"/>
    <col min="13594" max="13596" width="9" style="447"/>
    <col min="13597" max="13597" width="10.42578125" style="447" bestFit="1" customWidth="1"/>
    <col min="13598" max="13826" width="9" style="447"/>
    <col min="13827" max="13827" width="3.5703125" style="447" customWidth="1"/>
    <col min="13828" max="13828" width="4.85546875" style="447" customWidth="1"/>
    <col min="13829" max="13829" width="5.42578125" style="447" customWidth="1"/>
    <col min="13830" max="13830" width="31.28515625" style="447" customWidth="1"/>
    <col min="13831" max="13831" width="7.5703125" style="447" customWidth="1"/>
    <col min="13832" max="13832" width="2.42578125" style="447" customWidth="1"/>
    <col min="13833" max="13833" width="11.5703125" style="447" customWidth="1"/>
    <col min="13834" max="13834" width="2.42578125" style="447" customWidth="1"/>
    <col min="13835" max="13835" width="11.5703125" style="447" customWidth="1"/>
    <col min="13836" max="13836" width="2.42578125" style="447" customWidth="1"/>
    <col min="13837" max="13837" width="10.85546875" style="447" customWidth="1"/>
    <col min="13838" max="13838" width="2.42578125" style="447" customWidth="1"/>
    <col min="13839" max="13839" width="11.140625" style="447" customWidth="1"/>
    <col min="13840" max="13840" width="1.85546875" style="447" customWidth="1"/>
    <col min="13841" max="13841" width="11" style="447" customWidth="1"/>
    <col min="13842" max="13842" width="0.7109375" style="447" customWidth="1"/>
    <col min="13843" max="13843" width="1.85546875" style="447" customWidth="1"/>
    <col min="13844" max="13844" width="11.85546875" style="447" bestFit="1" customWidth="1"/>
    <col min="13845" max="13845" width="15.28515625" style="447" bestFit="1" customWidth="1"/>
    <col min="13846" max="13846" width="5" style="447" customWidth="1"/>
    <col min="13847" max="13847" width="10.42578125" style="447" bestFit="1" customWidth="1"/>
    <col min="13848" max="13848" width="5" style="447" customWidth="1"/>
    <col min="13849" max="13849" width="10.42578125" style="447" bestFit="1" customWidth="1"/>
    <col min="13850" max="13852" width="9" style="447"/>
    <col min="13853" max="13853" width="10.42578125" style="447" bestFit="1" customWidth="1"/>
    <col min="13854" max="14082" width="9" style="447"/>
    <col min="14083" max="14083" width="3.5703125" style="447" customWidth="1"/>
    <col min="14084" max="14084" width="4.85546875" style="447" customWidth="1"/>
    <col min="14085" max="14085" width="5.42578125" style="447" customWidth="1"/>
    <col min="14086" max="14086" width="31.28515625" style="447" customWidth="1"/>
    <col min="14087" max="14087" width="7.5703125" style="447" customWidth="1"/>
    <col min="14088" max="14088" width="2.42578125" style="447" customWidth="1"/>
    <col min="14089" max="14089" width="11.5703125" style="447" customWidth="1"/>
    <col min="14090" max="14090" width="2.42578125" style="447" customWidth="1"/>
    <col min="14091" max="14091" width="11.5703125" style="447" customWidth="1"/>
    <col min="14092" max="14092" width="2.42578125" style="447" customWidth="1"/>
    <col min="14093" max="14093" width="10.85546875" style="447" customWidth="1"/>
    <col min="14094" max="14094" width="2.42578125" style="447" customWidth="1"/>
    <col min="14095" max="14095" width="11.140625" style="447" customWidth="1"/>
    <col min="14096" max="14096" width="1.85546875" style="447" customWidth="1"/>
    <col min="14097" max="14097" width="11" style="447" customWidth="1"/>
    <col min="14098" max="14098" width="0.7109375" style="447" customWidth="1"/>
    <col min="14099" max="14099" width="1.85546875" style="447" customWidth="1"/>
    <col min="14100" max="14100" width="11.85546875" style="447" bestFit="1" customWidth="1"/>
    <col min="14101" max="14101" width="15.28515625" style="447" bestFit="1" customWidth="1"/>
    <col min="14102" max="14102" width="5" style="447" customWidth="1"/>
    <col min="14103" max="14103" width="10.42578125" style="447" bestFit="1" customWidth="1"/>
    <col min="14104" max="14104" width="5" style="447" customWidth="1"/>
    <col min="14105" max="14105" width="10.42578125" style="447" bestFit="1" customWidth="1"/>
    <col min="14106" max="14108" width="9" style="447"/>
    <col min="14109" max="14109" width="10.42578125" style="447" bestFit="1" customWidth="1"/>
    <col min="14110" max="14338" width="9" style="447"/>
    <col min="14339" max="14339" width="3.5703125" style="447" customWidth="1"/>
    <col min="14340" max="14340" width="4.85546875" style="447" customWidth="1"/>
    <col min="14341" max="14341" width="5.42578125" style="447" customWidth="1"/>
    <col min="14342" max="14342" width="31.28515625" style="447" customWidth="1"/>
    <col min="14343" max="14343" width="7.5703125" style="447" customWidth="1"/>
    <col min="14344" max="14344" width="2.42578125" style="447" customWidth="1"/>
    <col min="14345" max="14345" width="11.5703125" style="447" customWidth="1"/>
    <col min="14346" max="14346" width="2.42578125" style="447" customWidth="1"/>
    <col min="14347" max="14347" width="11.5703125" style="447" customWidth="1"/>
    <col min="14348" max="14348" width="2.42578125" style="447" customWidth="1"/>
    <col min="14349" max="14349" width="10.85546875" style="447" customWidth="1"/>
    <col min="14350" max="14350" width="2.42578125" style="447" customWidth="1"/>
    <col min="14351" max="14351" width="11.140625" style="447" customWidth="1"/>
    <col min="14352" max="14352" width="1.85546875" style="447" customWidth="1"/>
    <col min="14353" max="14353" width="11" style="447" customWidth="1"/>
    <col min="14354" max="14354" width="0.7109375" style="447" customWidth="1"/>
    <col min="14355" max="14355" width="1.85546875" style="447" customWidth="1"/>
    <col min="14356" max="14356" width="11.85546875" style="447" bestFit="1" customWidth="1"/>
    <col min="14357" max="14357" width="15.28515625" style="447" bestFit="1" customWidth="1"/>
    <col min="14358" max="14358" width="5" style="447" customWidth="1"/>
    <col min="14359" max="14359" width="10.42578125" style="447" bestFit="1" customWidth="1"/>
    <col min="14360" max="14360" width="5" style="447" customWidth="1"/>
    <col min="14361" max="14361" width="10.42578125" style="447" bestFit="1" customWidth="1"/>
    <col min="14362" max="14364" width="9" style="447"/>
    <col min="14365" max="14365" width="10.42578125" style="447" bestFit="1" customWidth="1"/>
    <col min="14366" max="14594" width="9" style="447"/>
    <col min="14595" max="14595" width="3.5703125" style="447" customWidth="1"/>
    <col min="14596" max="14596" width="4.85546875" style="447" customWidth="1"/>
    <col min="14597" max="14597" width="5.42578125" style="447" customWidth="1"/>
    <col min="14598" max="14598" width="31.28515625" style="447" customWidth="1"/>
    <col min="14599" max="14599" width="7.5703125" style="447" customWidth="1"/>
    <col min="14600" max="14600" width="2.42578125" style="447" customWidth="1"/>
    <col min="14601" max="14601" width="11.5703125" style="447" customWidth="1"/>
    <col min="14602" max="14602" width="2.42578125" style="447" customWidth="1"/>
    <col min="14603" max="14603" width="11.5703125" style="447" customWidth="1"/>
    <col min="14604" max="14604" width="2.42578125" style="447" customWidth="1"/>
    <col min="14605" max="14605" width="10.85546875" style="447" customWidth="1"/>
    <col min="14606" max="14606" width="2.42578125" style="447" customWidth="1"/>
    <col min="14607" max="14607" width="11.140625" style="447" customWidth="1"/>
    <col min="14608" max="14608" width="1.85546875" style="447" customWidth="1"/>
    <col min="14609" max="14609" width="11" style="447" customWidth="1"/>
    <col min="14610" max="14610" width="0.7109375" style="447" customWidth="1"/>
    <col min="14611" max="14611" width="1.85546875" style="447" customWidth="1"/>
    <col min="14612" max="14612" width="11.85546875" style="447" bestFit="1" customWidth="1"/>
    <col min="14613" max="14613" width="15.28515625" style="447" bestFit="1" customWidth="1"/>
    <col min="14614" max="14614" width="5" style="447" customWidth="1"/>
    <col min="14615" max="14615" width="10.42578125" style="447" bestFit="1" customWidth="1"/>
    <col min="14616" max="14616" width="5" style="447" customWidth="1"/>
    <col min="14617" max="14617" width="10.42578125" style="447" bestFit="1" customWidth="1"/>
    <col min="14618" max="14620" width="9" style="447"/>
    <col min="14621" max="14621" width="10.42578125" style="447" bestFit="1" customWidth="1"/>
    <col min="14622" max="14850" width="9" style="447"/>
    <col min="14851" max="14851" width="3.5703125" style="447" customWidth="1"/>
    <col min="14852" max="14852" width="4.85546875" style="447" customWidth="1"/>
    <col min="14853" max="14853" width="5.42578125" style="447" customWidth="1"/>
    <col min="14854" max="14854" width="31.28515625" style="447" customWidth="1"/>
    <col min="14855" max="14855" width="7.5703125" style="447" customWidth="1"/>
    <col min="14856" max="14856" width="2.42578125" style="447" customWidth="1"/>
    <col min="14857" max="14857" width="11.5703125" style="447" customWidth="1"/>
    <col min="14858" max="14858" width="2.42578125" style="447" customWidth="1"/>
    <col min="14859" max="14859" width="11.5703125" style="447" customWidth="1"/>
    <col min="14860" max="14860" width="2.42578125" style="447" customWidth="1"/>
    <col min="14861" max="14861" width="10.85546875" style="447" customWidth="1"/>
    <col min="14862" max="14862" width="2.42578125" style="447" customWidth="1"/>
    <col min="14863" max="14863" width="11.140625" style="447" customWidth="1"/>
    <col min="14864" max="14864" width="1.85546875" style="447" customWidth="1"/>
    <col min="14865" max="14865" width="11" style="447" customWidth="1"/>
    <col min="14866" max="14866" width="0.7109375" style="447" customWidth="1"/>
    <col min="14867" max="14867" width="1.85546875" style="447" customWidth="1"/>
    <col min="14868" max="14868" width="11.85546875" style="447" bestFit="1" customWidth="1"/>
    <col min="14869" max="14869" width="15.28515625" style="447" bestFit="1" customWidth="1"/>
    <col min="14870" max="14870" width="5" style="447" customWidth="1"/>
    <col min="14871" max="14871" width="10.42578125" style="447" bestFit="1" customWidth="1"/>
    <col min="14872" max="14872" width="5" style="447" customWidth="1"/>
    <col min="14873" max="14873" width="10.42578125" style="447" bestFit="1" customWidth="1"/>
    <col min="14874" max="14876" width="9" style="447"/>
    <col min="14877" max="14877" width="10.42578125" style="447" bestFit="1" customWidth="1"/>
    <col min="14878" max="15106" width="9" style="447"/>
    <col min="15107" max="15107" width="3.5703125" style="447" customWidth="1"/>
    <col min="15108" max="15108" width="4.85546875" style="447" customWidth="1"/>
    <col min="15109" max="15109" width="5.42578125" style="447" customWidth="1"/>
    <col min="15110" max="15110" width="31.28515625" style="447" customWidth="1"/>
    <col min="15111" max="15111" width="7.5703125" style="447" customWidth="1"/>
    <col min="15112" max="15112" width="2.42578125" style="447" customWidth="1"/>
    <col min="15113" max="15113" width="11.5703125" style="447" customWidth="1"/>
    <col min="15114" max="15114" width="2.42578125" style="447" customWidth="1"/>
    <col min="15115" max="15115" width="11.5703125" style="447" customWidth="1"/>
    <col min="15116" max="15116" width="2.42578125" style="447" customWidth="1"/>
    <col min="15117" max="15117" width="10.85546875" style="447" customWidth="1"/>
    <col min="15118" max="15118" width="2.42578125" style="447" customWidth="1"/>
    <col min="15119" max="15119" width="11.140625" style="447" customWidth="1"/>
    <col min="15120" max="15120" width="1.85546875" style="447" customWidth="1"/>
    <col min="15121" max="15121" width="11" style="447" customWidth="1"/>
    <col min="15122" max="15122" width="0.7109375" style="447" customWidth="1"/>
    <col min="15123" max="15123" width="1.85546875" style="447" customWidth="1"/>
    <col min="15124" max="15124" width="11.85546875" style="447" bestFit="1" customWidth="1"/>
    <col min="15125" max="15125" width="15.28515625" style="447" bestFit="1" customWidth="1"/>
    <col min="15126" max="15126" width="5" style="447" customWidth="1"/>
    <col min="15127" max="15127" width="10.42578125" style="447" bestFit="1" customWidth="1"/>
    <col min="15128" max="15128" width="5" style="447" customWidth="1"/>
    <col min="15129" max="15129" width="10.42578125" style="447" bestFit="1" customWidth="1"/>
    <col min="15130" max="15132" width="9" style="447"/>
    <col min="15133" max="15133" width="10.42578125" style="447" bestFit="1" customWidth="1"/>
    <col min="15134" max="15362" width="9" style="447"/>
    <col min="15363" max="15363" width="3.5703125" style="447" customWidth="1"/>
    <col min="15364" max="15364" width="4.85546875" style="447" customWidth="1"/>
    <col min="15365" max="15365" width="5.42578125" style="447" customWidth="1"/>
    <col min="15366" max="15366" width="31.28515625" style="447" customWidth="1"/>
    <col min="15367" max="15367" width="7.5703125" style="447" customWidth="1"/>
    <col min="15368" max="15368" width="2.42578125" style="447" customWidth="1"/>
    <col min="15369" max="15369" width="11.5703125" style="447" customWidth="1"/>
    <col min="15370" max="15370" width="2.42578125" style="447" customWidth="1"/>
    <col min="15371" max="15371" width="11.5703125" style="447" customWidth="1"/>
    <col min="15372" max="15372" width="2.42578125" style="447" customWidth="1"/>
    <col min="15373" max="15373" width="10.85546875" style="447" customWidth="1"/>
    <col min="15374" max="15374" width="2.42578125" style="447" customWidth="1"/>
    <col min="15375" max="15375" width="11.140625" style="447" customWidth="1"/>
    <col min="15376" max="15376" width="1.85546875" style="447" customWidth="1"/>
    <col min="15377" max="15377" width="11" style="447" customWidth="1"/>
    <col min="15378" max="15378" width="0.7109375" style="447" customWidth="1"/>
    <col min="15379" max="15379" width="1.85546875" style="447" customWidth="1"/>
    <col min="15380" max="15380" width="11.85546875" style="447" bestFit="1" customWidth="1"/>
    <col min="15381" max="15381" width="15.28515625" style="447" bestFit="1" customWidth="1"/>
    <col min="15382" max="15382" width="5" style="447" customWidth="1"/>
    <col min="15383" max="15383" width="10.42578125" style="447" bestFit="1" customWidth="1"/>
    <col min="15384" max="15384" width="5" style="447" customWidth="1"/>
    <col min="15385" max="15385" width="10.42578125" style="447" bestFit="1" customWidth="1"/>
    <col min="15386" max="15388" width="9" style="447"/>
    <col min="15389" max="15389" width="10.42578125" style="447" bestFit="1" customWidth="1"/>
    <col min="15390" max="15618" width="9" style="447"/>
    <col min="15619" max="15619" width="3.5703125" style="447" customWidth="1"/>
    <col min="15620" max="15620" width="4.85546875" style="447" customWidth="1"/>
    <col min="15621" max="15621" width="5.42578125" style="447" customWidth="1"/>
    <col min="15622" max="15622" width="31.28515625" style="447" customWidth="1"/>
    <col min="15623" max="15623" width="7.5703125" style="447" customWidth="1"/>
    <col min="15624" max="15624" width="2.42578125" style="447" customWidth="1"/>
    <col min="15625" max="15625" width="11.5703125" style="447" customWidth="1"/>
    <col min="15626" max="15626" width="2.42578125" style="447" customWidth="1"/>
    <col min="15627" max="15627" width="11.5703125" style="447" customWidth="1"/>
    <col min="15628" max="15628" width="2.42578125" style="447" customWidth="1"/>
    <col min="15629" max="15629" width="10.85546875" style="447" customWidth="1"/>
    <col min="15630" max="15630" width="2.42578125" style="447" customWidth="1"/>
    <col min="15631" max="15631" width="11.140625" style="447" customWidth="1"/>
    <col min="15632" max="15632" width="1.85546875" style="447" customWidth="1"/>
    <col min="15633" max="15633" width="11" style="447" customWidth="1"/>
    <col min="15634" max="15634" width="0.7109375" style="447" customWidth="1"/>
    <col min="15635" max="15635" width="1.85546875" style="447" customWidth="1"/>
    <col min="15636" max="15636" width="11.85546875" style="447" bestFit="1" customWidth="1"/>
    <col min="15637" max="15637" width="15.28515625" style="447" bestFit="1" customWidth="1"/>
    <col min="15638" max="15638" width="5" style="447" customWidth="1"/>
    <col min="15639" max="15639" width="10.42578125" style="447" bestFit="1" customWidth="1"/>
    <col min="15640" max="15640" width="5" style="447" customWidth="1"/>
    <col min="15641" max="15641" width="10.42578125" style="447" bestFit="1" customWidth="1"/>
    <col min="15642" max="15644" width="9" style="447"/>
    <col min="15645" max="15645" width="10.42578125" style="447" bestFit="1" customWidth="1"/>
    <col min="15646" max="15874" width="9" style="447"/>
    <col min="15875" max="15875" width="3.5703125" style="447" customWidth="1"/>
    <col min="15876" max="15876" width="4.85546875" style="447" customWidth="1"/>
    <col min="15877" max="15877" width="5.42578125" style="447" customWidth="1"/>
    <col min="15878" max="15878" width="31.28515625" style="447" customWidth="1"/>
    <col min="15879" max="15879" width="7.5703125" style="447" customWidth="1"/>
    <col min="15880" max="15880" width="2.42578125" style="447" customWidth="1"/>
    <col min="15881" max="15881" width="11.5703125" style="447" customWidth="1"/>
    <col min="15882" max="15882" width="2.42578125" style="447" customWidth="1"/>
    <col min="15883" max="15883" width="11.5703125" style="447" customWidth="1"/>
    <col min="15884" max="15884" width="2.42578125" style="447" customWidth="1"/>
    <col min="15885" max="15885" width="10.85546875" style="447" customWidth="1"/>
    <col min="15886" max="15886" width="2.42578125" style="447" customWidth="1"/>
    <col min="15887" max="15887" width="11.140625" style="447" customWidth="1"/>
    <col min="15888" max="15888" width="1.85546875" style="447" customWidth="1"/>
    <col min="15889" max="15889" width="11" style="447" customWidth="1"/>
    <col min="15890" max="15890" width="0.7109375" style="447" customWidth="1"/>
    <col min="15891" max="15891" width="1.85546875" style="447" customWidth="1"/>
    <col min="15892" max="15892" width="11.85546875" style="447" bestFit="1" customWidth="1"/>
    <col min="15893" max="15893" width="15.28515625" style="447" bestFit="1" customWidth="1"/>
    <col min="15894" max="15894" width="5" style="447" customWidth="1"/>
    <col min="15895" max="15895" width="10.42578125" style="447" bestFit="1" customWidth="1"/>
    <col min="15896" max="15896" width="5" style="447" customWidth="1"/>
    <col min="15897" max="15897" width="10.42578125" style="447" bestFit="1" customWidth="1"/>
    <col min="15898" max="15900" width="9" style="447"/>
    <col min="15901" max="15901" width="10.42578125" style="447" bestFit="1" customWidth="1"/>
    <col min="15902" max="16130" width="9" style="447"/>
    <col min="16131" max="16131" width="3.5703125" style="447" customWidth="1"/>
    <col min="16132" max="16132" width="4.85546875" style="447" customWidth="1"/>
    <col min="16133" max="16133" width="5.42578125" style="447" customWidth="1"/>
    <col min="16134" max="16134" width="31.28515625" style="447" customWidth="1"/>
    <col min="16135" max="16135" width="7.5703125" style="447" customWidth="1"/>
    <col min="16136" max="16136" width="2.42578125" style="447" customWidth="1"/>
    <col min="16137" max="16137" width="11.5703125" style="447" customWidth="1"/>
    <col min="16138" max="16138" width="2.42578125" style="447" customWidth="1"/>
    <col min="16139" max="16139" width="11.5703125" style="447" customWidth="1"/>
    <col min="16140" max="16140" width="2.42578125" style="447" customWidth="1"/>
    <col min="16141" max="16141" width="10.85546875" style="447" customWidth="1"/>
    <col min="16142" max="16142" width="2.42578125" style="447" customWidth="1"/>
    <col min="16143" max="16143" width="11.140625" style="447" customWidth="1"/>
    <col min="16144" max="16144" width="1.85546875" style="447" customWidth="1"/>
    <col min="16145" max="16145" width="11" style="447" customWidth="1"/>
    <col min="16146" max="16146" width="0.7109375" style="447" customWidth="1"/>
    <col min="16147" max="16147" width="1.85546875" style="447" customWidth="1"/>
    <col min="16148" max="16148" width="11.85546875" style="447" bestFit="1" customWidth="1"/>
    <col min="16149" max="16149" width="15.28515625" style="447" bestFit="1" customWidth="1"/>
    <col min="16150" max="16150" width="5" style="447" customWidth="1"/>
    <col min="16151" max="16151" width="10.42578125" style="447" bestFit="1" customWidth="1"/>
    <col min="16152" max="16152" width="5" style="447" customWidth="1"/>
    <col min="16153" max="16153" width="10.42578125" style="447" bestFit="1" customWidth="1"/>
    <col min="16154" max="16156" width="9" style="447"/>
    <col min="16157" max="16157" width="10.42578125" style="447" bestFit="1" customWidth="1"/>
    <col min="16158" max="16384" width="9" style="447"/>
  </cols>
  <sheetData>
    <row r="1" spans="1:23" s="443" customFormat="1" x14ac:dyDescent="0.6">
      <c r="A1" s="1528" t="s">
        <v>261</v>
      </c>
      <c r="B1" s="1528"/>
      <c r="C1" s="1528"/>
      <c r="D1" s="1528"/>
      <c r="E1" s="1528"/>
      <c r="F1" s="1528"/>
      <c r="G1" s="1528"/>
      <c r="H1" s="1528"/>
      <c r="I1" s="1528"/>
      <c r="J1" s="1528"/>
      <c r="K1" s="1528"/>
      <c r="L1" s="1528"/>
      <c r="M1" s="1528"/>
      <c r="N1" s="1528"/>
      <c r="O1" s="1528"/>
      <c r="P1" s="1528"/>
      <c r="Q1" s="1528"/>
      <c r="R1" s="442"/>
      <c r="S1" s="442"/>
      <c r="T1" s="442"/>
      <c r="U1" s="442"/>
      <c r="V1" s="442"/>
      <c r="W1" s="442"/>
    </row>
    <row r="2" spans="1:23" s="443" customFormat="1" x14ac:dyDescent="0.6">
      <c r="A2" s="1529" t="str">
        <f>تاريخچه!A2</f>
        <v>يادداشتهاي توضيحي صورتهاي مالي</v>
      </c>
      <c r="B2" s="1529"/>
      <c r="C2" s="1529"/>
      <c r="D2" s="1529"/>
      <c r="E2" s="1529"/>
      <c r="F2" s="1529"/>
      <c r="G2" s="1529"/>
      <c r="H2" s="1529"/>
      <c r="I2" s="1529"/>
      <c r="J2" s="1529"/>
      <c r="K2" s="1529"/>
      <c r="L2" s="1529"/>
      <c r="M2" s="1529"/>
      <c r="N2" s="1529"/>
      <c r="O2" s="1529"/>
      <c r="P2" s="1529"/>
      <c r="Q2" s="1529"/>
      <c r="R2" s="442"/>
      <c r="S2" s="442"/>
      <c r="T2" s="442"/>
      <c r="U2" s="442"/>
      <c r="V2" s="442"/>
      <c r="W2" s="442"/>
    </row>
    <row r="3" spans="1:23" s="443" customFormat="1" x14ac:dyDescent="0.6">
      <c r="A3" s="1529" t="str">
        <f>سودوزيان!A3</f>
        <v>سال مالی منتهی به 30 اسفند 1403</v>
      </c>
      <c r="B3" s="1529"/>
      <c r="C3" s="1529"/>
      <c r="D3" s="1529"/>
      <c r="E3" s="1529"/>
      <c r="F3" s="1529"/>
      <c r="G3" s="1529"/>
      <c r="H3" s="1529"/>
      <c r="I3" s="1529"/>
      <c r="J3" s="1529"/>
      <c r="K3" s="1529"/>
      <c r="L3" s="1529"/>
      <c r="M3" s="1529"/>
      <c r="N3" s="1529"/>
      <c r="O3" s="1529"/>
      <c r="P3" s="1529"/>
      <c r="Q3" s="1529"/>
      <c r="R3" s="442"/>
      <c r="S3" s="442"/>
      <c r="T3" s="442"/>
      <c r="U3" s="442"/>
      <c r="V3" s="442"/>
      <c r="W3" s="442"/>
    </row>
    <row r="4" spans="1:23" s="446" customFormat="1" ht="26.25" x14ac:dyDescent="0.65">
      <c r="A4" s="453"/>
      <c r="B4" s="1549"/>
      <c r="C4" s="1549"/>
      <c r="D4" s="1549"/>
      <c r="E4" s="1549"/>
      <c r="F4" s="1549"/>
      <c r="G4" s="1549"/>
      <c r="H4" s="1549"/>
      <c r="I4" s="1549"/>
      <c r="J4" s="1549"/>
      <c r="K4" s="1549"/>
      <c r="L4" s="1549"/>
      <c r="M4" s="1549"/>
      <c r="N4" s="1549"/>
      <c r="O4" s="1549"/>
      <c r="P4" s="1549"/>
      <c r="Q4" s="1549"/>
      <c r="R4" s="444"/>
      <c r="S4" s="444"/>
      <c r="T4" s="445"/>
      <c r="U4" s="445"/>
      <c r="V4" s="444"/>
      <c r="W4" s="444"/>
    </row>
    <row r="5" spans="1:23" ht="24.75" hidden="1" customHeight="1" x14ac:dyDescent="0.25"/>
    <row r="6" spans="1:23" s="446" customFormat="1" ht="26.25" x14ac:dyDescent="0.65">
      <c r="A6" s="453" t="s">
        <v>409</v>
      </c>
      <c r="B6" s="1541" t="s">
        <v>140</v>
      </c>
      <c r="C6" s="1541"/>
      <c r="D6" s="1541"/>
      <c r="E6" s="1541"/>
      <c r="F6" s="1541"/>
      <c r="G6" s="1541"/>
      <c r="H6" s="1541"/>
      <c r="I6" s="1541"/>
      <c r="J6" s="1541"/>
      <c r="K6" s="1541"/>
      <c r="L6" s="1541"/>
      <c r="M6" s="1541"/>
      <c r="N6" s="1541"/>
      <c r="O6" s="1541"/>
      <c r="P6" s="1541"/>
      <c r="R6" s="444"/>
      <c r="S6" s="444"/>
      <c r="T6" s="445"/>
      <c r="U6" s="445"/>
      <c r="V6" s="444"/>
      <c r="W6" s="444"/>
    </row>
    <row r="7" spans="1:23" s="468" customFormat="1" ht="48" customHeight="1" x14ac:dyDescent="0.6">
      <c r="A7" s="465"/>
      <c r="B7" s="1546" t="s">
        <v>1232</v>
      </c>
      <c r="C7" s="1546"/>
      <c r="D7" s="1546"/>
      <c r="E7" s="1546"/>
      <c r="F7" s="1546"/>
      <c r="G7" s="1546"/>
      <c r="H7" s="1546"/>
      <c r="I7" s="1546"/>
      <c r="J7" s="1546"/>
      <c r="K7" s="1546"/>
      <c r="L7" s="1546"/>
      <c r="M7" s="1546"/>
      <c r="N7" s="1546"/>
      <c r="O7" s="1546"/>
      <c r="P7" s="1546"/>
      <c r="Q7" s="1546"/>
      <c r="R7" s="1546"/>
      <c r="S7" s="466"/>
      <c r="T7" s="467"/>
      <c r="U7" s="467"/>
      <c r="V7" s="466"/>
      <c r="W7" s="466"/>
    </row>
    <row r="8" spans="1:23" s="468" customFormat="1" x14ac:dyDescent="0.6">
      <c r="A8" s="465"/>
      <c r="B8" s="1548" t="s">
        <v>141</v>
      </c>
      <c r="C8" s="1548"/>
      <c r="D8" s="1548"/>
      <c r="E8" s="1548"/>
      <c r="F8" s="1548"/>
      <c r="G8" s="1548"/>
      <c r="H8" s="1548"/>
      <c r="I8" s="1548"/>
      <c r="J8" s="1548"/>
      <c r="K8" s="1548"/>
      <c r="L8" s="1548"/>
      <c r="M8" s="1548"/>
      <c r="N8" s="1548"/>
      <c r="O8" s="1548"/>
      <c r="P8" s="1548"/>
      <c r="Q8" s="1548"/>
      <c r="R8" s="466"/>
      <c r="S8" s="466"/>
      <c r="T8" s="467"/>
      <c r="U8" s="467"/>
      <c r="V8" s="466"/>
      <c r="W8" s="466"/>
    </row>
    <row r="9" spans="1:23" ht="26.25" x14ac:dyDescent="0.25">
      <c r="A9" s="451" t="s">
        <v>490</v>
      </c>
      <c r="D9" s="459"/>
      <c r="F9" s="1550">
        <v>1403</v>
      </c>
      <c r="G9" s="1550"/>
      <c r="H9" s="1550"/>
      <c r="I9" s="1550"/>
      <c r="J9" s="1550"/>
      <c r="K9" s="457"/>
      <c r="L9" s="1550">
        <v>1402</v>
      </c>
      <c r="M9" s="1550"/>
      <c r="N9" s="1550"/>
      <c r="O9" s="1550"/>
      <c r="P9" s="1550"/>
      <c r="Q9" s="457"/>
      <c r="R9" s="457"/>
    </row>
    <row r="10" spans="1:23" s="392" customFormat="1" ht="52.5" x14ac:dyDescent="0.25">
      <c r="A10" s="454"/>
      <c r="D10" s="387"/>
      <c r="F10" s="469" t="s">
        <v>120</v>
      </c>
      <c r="G10" s="470"/>
      <c r="H10" s="469" t="s">
        <v>142</v>
      </c>
      <c r="J10" s="455" t="s">
        <v>372</v>
      </c>
      <c r="K10" s="427"/>
      <c r="L10" s="469" t="s">
        <v>120</v>
      </c>
      <c r="M10" s="470"/>
      <c r="N10" s="469" t="s">
        <v>142</v>
      </c>
      <c r="P10" s="455" t="s">
        <v>372</v>
      </c>
      <c r="R10" s="449"/>
      <c r="S10" s="471"/>
    </row>
    <row r="11" spans="1:23" ht="29.25" customHeight="1" x14ac:dyDescent="0.25">
      <c r="B11" s="1547" t="s">
        <v>257</v>
      </c>
      <c r="C11" s="1547"/>
      <c r="D11" s="1547"/>
      <c r="F11" s="977">
        <v>260141997</v>
      </c>
      <c r="G11" s="424"/>
      <c r="H11" s="473">
        <f>J11/$J$16</f>
        <v>0.30710258946858932</v>
      </c>
      <c r="I11" s="424"/>
      <c r="J11" s="414">
        <v>260141997000</v>
      </c>
      <c r="K11" s="424"/>
      <c r="L11" s="472">
        <v>2721</v>
      </c>
      <c r="M11" s="424"/>
      <c r="N11" s="473">
        <v>0.30676437429537767</v>
      </c>
      <c r="O11" s="424"/>
      <c r="P11" s="414">
        <v>259855500000</v>
      </c>
      <c r="R11" s="448"/>
      <c r="S11" s="448"/>
      <c r="T11" s="447"/>
      <c r="U11" s="447"/>
    </row>
    <row r="12" spans="1:23" ht="29.25" customHeight="1" x14ac:dyDescent="0.25">
      <c r="B12" s="1547" t="s">
        <v>258</v>
      </c>
      <c r="C12" s="1547"/>
      <c r="D12" s="1547"/>
      <c r="F12" s="977">
        <v>251833500</v>
      </c>
      <c r="G12" s="424"/>
      <c r="H12" s="473">
        <f>J12/$J$16</f>
        <v>0.29729425028184892</v>
      </c>
      <c r="I12" s="424"/>
      <c r="J12" s="414">
        <v>251833500000</v>
      </c>
      <c r="K12" s="424"/>
      <c r="L12" s="474">
        <v>2637</v>
      </c>
      <c r="M12" s="424"/>
      <c r="N12" s="473">
        <v>0.29729425028184892</v>
      </c>
      <c r="O12" s="424"/>
      <c r="P12" s="414">
        <v>251833500000</v>
      </c>
      <c r="R12" s="448"/>
      <c r="S12" s="448"/>
      <c r="T12" s="447"/>
      <c r="U12" s="447"/>
    </row>
    <row r="13" spans="1:23" ht="29.25" customHeight="1" x14ac:dyDescent="0.25">
      <c r="B13" s="1547" t="s">
        <v>259</v>
      </c>
      <c r="C13" s="1547"/>
      <c r="D13" s="1547"/>
      <c r="F13" s="977">
        <v>250783000</v>
      </c>
      <c r="G13" s="424"/>
      <c r="H13" s="473">
        <f>J13/$J$16</f>
        <v>0.29605411499436302</v>
      </c>
      <c r="I13" s="424"/>
      <c r="J13" s="414">
        <v>250783000000</v>
      </c>
      <c r="K13" s="424"/>
      <c r="L13" s="474">
        <v>2626</v>
      </c>
      <c r="M13" s="424"/>
      <c r="N13" s="473">
        <v>0.29605411499436302</v>
      </c>
      <c r="O13" s="424"/>
      <c r="P13" s="414">
        <v>250783000000</v>
      </c>
      <c r="R13" s="448"/>
      <c r="S13" s="448"/>
      <c r="T13" s="447"/>
      <c r="U13" s="447"/>
    </row>
    <row r="14" spans="1:23" ht="29.25" customHeight="1" x14ac:dyDescent="0.25">
      <c r="B14" s="1547" t="s">
        <v>260</v>
      </c>
      <c r="C14" s="1547"/>
      <c r="D14" s="1547"/>
      <c r="F14" s="977">
        <v>61884000</v>
      </c>
      <c r="G14" s="424"/>
      <c r="H14" s="473">
        <f>J14/$J$16</f>
        <v>7.305524239007892E-2</v>
      </c>
      <c r="I14" s="424"/>
      <c r="J14" s="414">
        <v>61884000000</v>
      </c>
      <c r="K14" s="424"/>
      <c r="L14" s="474">
        <v>648</v>
      </c>
      <c r="M14" s="424"/>
      <c r="N14" s="473">
        <v>7.305524239007892E-2</v>
      </c>
      <c r="O14" s="424"/>
      <c r="P14" s="414">
        <v>61884000000</v>
      </c>
      <c r="R14" s="448"/>
      <c r="S14" s="448"/>
      <c r="T14" s="447"/>
      <c r="U14" s="447"/>
    </row>
    <row r="15" spans="1:23" ht="29.25" customHeight="1" x14ac:dyDescent="0.25">
      <c r="B15" s="1547" t="s">
        <v>143</v>
      </c>
      <c r="C15" s="1547"/>
      <c r="D15" s="1547"/>
      <c r="F15" s="977">
        <v>22442503</v>
      </c>
      <c r="G15" s="424"/>
      <c r="H15" s="473">
        <f>J15/$J$16</f>
        <v>2.6493802865119792E-2</v>
      </c>
      <c r="I15" s="424"/>
      <c r="J15" s="414">
        <v>22442503000</v>
      </c>
      <c r="K15" s="424"/>
      <c r="L15" s="475">
        <v>238</v>
      </c>
      <c r="M15" s="424"/>
      <c r="N15" s="473">
        <v>2.6832018038331455E-2</v>
      </c>
      <c r="O15" s="473"/>
      <c r="P15" s="414">
        <v>22729000000</v>
      </c>
      <c r="R15" s="448"/>
      <c r="S15" s="448"/>
      <c r="T15" s="447"/>
      <c r="U15" s="447"/>
    </row>
    <row r="16" spans="1:23" ht="27" thickBot="1" x14ac:dyDescent="0.3">
      <c r="F16" s="415">
        <f>SUM(F11:F15)</f>
        <v>847085000</v>
      </c>
      <c r="G16" s="427"/>
      <c r="H16" s="415">
        <v>100</v>
      </c>
      <c r="I16" s="427"/>
      <c r="J16" s="415">
        <f>SUM(J11:J15)</f>
        <v>847085000000</v>
      </c>
      <c r="K16" s="427"/>
      <c r="L16" s="415">
        <f>SUM(L11:L15)</f>
        <v>8870</v>
      </c>
      <c r="M16" s="427"/>
      <c r="N16" s="415">
        <v>100</v>
      </c>
      <c r="O16" s="427"/>
      <c r="P16" s="415">
        <f>SUM(P11:P15)</f>
        <v>847085000000</v>
      </c>
      <c r="R16" s="448"/>
      <c r="S16" s="448"/>
      <c r="T16" s="447"/>
      <c r="U16" s="447" t="b">
        <f>J16='وضعيت مالي'!F21</f>
        <v>1</v>
      </c>
      <c r="V16" s="447" t="b">
        <f>P16='وضعيت مالي'!H21</f>
        <v>1</v>
      </c>
    </row>
    <row r="17" spans="1:22" ht="25.5" thickTop="1" x14ac:dyDescent="0.25">
      <c r="R17" s="448"/>
      <c r="S17" s="448"/>
      <c r="T17" s="447"/>
      <c r="U17" s="447"/>
    </row>
    <row r="18" spans="1:22" ht="26.25" x14ac:dyDescent="0.25">
      <c r="A18" s="447">
        <f>'وضعيت مالي'!D23</f>
        <v>20</v>
      </c>
      <c r="B18" s="1541" t="s">
        <v>17</v>
      </c>
      <c r="C18" s="1541"/>
      <c r="D18" s="1541" t="s">
        <v>17</v>
      </c>
      <c r="E18" s="1541"/>
      <c r="F18" s="1541"/>
      <c r="G18" s="1541"/>
      <c r="H18" s="1541"/>
      <c r="I18" s="1541"/>
      <c r="J18" s="1541"/>
      <c r="K18" s="1541"/>
      <c r="L18" s="1541"/>
      <c r="M18" s="1541"/>
      <c r="N18" s="1541"/>
      <c r="O18" s="1541"/>
      <c r="P18" s="1541"/>
      <c r="Q18" s="1541"/>
    </row>
    <row r="19" spans="1:22" ht="19.5" customHeight="1" x14ac:dyDescent="0.25">
      <c r="A19" s="453"/>
      <c r="B19" s="1545" t="s">
        <v>936</v>
      </c>
      <c r="C19" s="1545"/>
      <c r="D19" s="1545"/>
      <c r="E19" s="1545"/>
      <c r="F19" s="1545"/>
      <c r="G19" s="1545"/>
      <c r="H19" s="1545"/>
      <c r="I19" s="1545"/>
      <c r="J19" s="1545"/>
      <c r="K19" s="1545"/>
      <c r="L19" s="1545"/>
      <c r="M19" s="1545"/>
      <c r="N19" s="1545"/>
      <c r="O19" s="1545"/>
      <c r="P19" s="1545"/>
      <c r="Q19" s="1545"/>
    </row>
    <row r="20" spans="1:22" ht="26.25" x14ac:dyDescent="0.25">
      <c r="A20" s="453"/>
      <c r="B20" s="1545"/>
      <c r="C20" s="1545"/>
      <c r="D20" s="1545"/>
      <c r="E20" s="1545"/>
      <c r="F20" s="1545"/>
      <c r="G20" s="1545"/>
      <c r="H20" s="1545"/>
      <c r="I20" s="1545"/>
      <c r="J20" s="1545"/>
      <c r="K20" s="1545"/>
      <c r="L20" s="1545"/>
      <c r="M20" s="1545"/>
      <c r="N20" s="1545"/>
      <c r="O20" s="1545"/>
      <c r="P20" s="1545"/>
      <c r="Q20" s="1545"/>
    </row>
    <row r="21" spans="1:22" ht="26.25" x14ac:dyDescent="0.25">
      <c r="A21" s="453"/>
      <c r="B21" s="1545"/>
      <c r="C21" s="1545"/>
      <c r="D21" s="1545"/>
      <c r="E21" s="1545"/>
      <c r="F21" s="1545"/>
      <c r="G21" s="1545"/>
      <c r="H21" s="1545"/>
      <c r="I21" s="1545"/>
      <c r="J21" s="1545"/>
      <c r="K21" s="1545"/>
      <c r="L21" s="1545"/>
      <c r="M21" s="1545"/>
      <c r="N21" s="1545"/>
      <c r="O21" s="1545"/>
      <c r="P21" s="1545"/>
      <c r="Q21" s="1545"/>
    </row>
    <row r="22" spans="1:22" ht="71.25" customHeight="1" x14ac:dyDescent="0.25">
      <c r="A22" s="453"/>
      <c r="B22" s="1545"/>
      <c r="C22" s="1545"/>
      <c r="D22" s="1545"/>
      <c r="E22" s="1545"/>
      <c r="F22" s="1545"/>
      <c r="G22" s="1545"/>
      <c r="H22" s="1545"/>
      <c r="I22" s="1545"/>
      <c r="J22" s="1545"/>
      <c r="K22" s="1545"/>
      <c r="L22" s="1545"/>
      <c r="M22" s="1545"/>
      <c r="N22" s="1545"/>
      <c r="O22" s="1545"/>
      <c r="P22" s="1545"/>
      <c r="Q22" s="1545"/>
    </row>
    <row r="23" spans="1:22" ht="71.25" hidden="1" customHeight="1" x14ac:dyDescent="0.25">
      <c r="A23" s="453"/>
      <c r="B23" s="476"/>
      <c r="C23" s="476"/>
      <c r="D23" s="476"/>
      <c r="E23" s="476"/>
      <c r="F23" s="476"/>
      <c r="G23" s="476"/>
      <c r="H23" s="476"/>
      <c r="I23" s="476"/>
      <c r="J23" s="476"/>
      <c r="K23" s="476"/>
      <c r="L23" s="476"/>
      <c r="M23" s="476"/>
      <c r="N23" s="476"/>
      <c r="O23" s="476"/>
      <c r="P23" s="476"/>
      <c r="Q23" s="476"/>
    </row>
    <row r="24" spans="1:22" ht="71.25" hidden="1" customHeight="1" x14ac:dyDescent="0.25">
      <c r="A24" s="453"/>
      <c r="B24" s="476"/>
      <c r="C24" s="476"/>
      <c r="D24" s="476"/>
      <c r="E24" s="476"/>
      <c r="F24" s="476"/>
      <c r="G24" s="476"/>
      <c r="H24" s="476"/>
      <c r="I24" s="476"/>
      <c r="J24" s="476"/>
      <c r="K24" s="476"/>
      <c r="L24" s="476"/>
      <c r="M24" s="476"/>
      <c r="N24" s="476"/>
      <c r="O24" s="476"/>
      <c r="P24" s="476"/>
      <c r="Q24" s="476"/>
    </row>
    <row r="26" spans="1:22" ht="26.25" x14ac:dyDescent="0.25">
      <c r="A26" s="447">
        <f>'وضعيت مالي'!D28</f>
        <v>21</v>
      </c>
      <c r="B26" s="477" t="s">
        <v>232</v>
      </c>
      <c r="C26" s="478"/>
      <c r="D26" s="478"/>
      <c r="E26" s="478"/>
      <c r="F26" s="478"/>
      <c r="G26" s="478"/>
      <c r="H26" s="478"/>
      <c r="I26" s="478"/>
      <c r="J26" s="478"/>
      <c r="K26" s="478"/>
      <c r="L26" s="478"/>
    </row>
    <row r="27" spans="1:22" ht="27" thickBot="1" x14ac:dyDescent="0.3">
      <c r="A27" s="479"/>
      <c r="B27" s="478"/>
      <c r="C27" s="478"/>
      <c r="D27" s="478"/>
      <c r="E27" s="478"/>
      <c r="F27" s="478"/>
      <c r="G27" s="478"/>
      <c r="H27" s="480">
        <v>1403</v>
      </c>
      <c r="J27" s="480">
        <v>1402</v>
      </c>
      <c r="K27" s="481"/>
      <c r="L27" s="481"/>
    </row>
    <row r="28" spans="1:22" x14ac:dyDescent="0.25">
      <c r="A28" s="479"/>
      <c r="B28" s="478"/>
      <c r="C28" s="478"/>
      <c r="D28" s="478"/>
      <c r="E28" s="478"/>
      <c r="F28" s="478"/>
      <c r="G28" s="478"/>
      <c r="H28" s="424" t="s">
        <v>702</v>
      </c>
      <c r="J28" s="1065" t="s">
        <v>702</v>
      </c>
      <c r="K28" s="424"/>
      <c r="L28" s="424"/>
    </row>
    <row r="29" spans="1:22" ht="24.75" customHeight="1" x14ac:dyDescent="0.25">
      <c r="A29" s="479"/>
      <c r="B29" s="1543" t="s">
        <v>410</v>
      </c>
      <c r="C29" s="1543"/>
      <c r="D29" s="1543"/>
      <c r="E29" s="482"/>
      <c r="F29" s="482"/>
      <c r="G29" s="482"/>
      <c r="H29" s="424">
        <v>177158124384</v>
      </c>
      <c r="I29" s="483"/>
      <c r="J29" s="1065">
        <v>116107121127</v>
      </c>
      <c r="K29" s="483"/>
      <c r="L29" s="483"/>
    </row>
    <row r="30" spans="1:22" ht="24.75" customHeight="1" x14ac:dyDescent="0.25">
      <c r="A30" s="479"/>
      <c r="B30" s="1544" t="s">
        <v>193</v>
      </c>
      <c r="C30" s="1544"/>
      <c r="D30" s="1544"/>
      <c r="E30" s="1544"/>
      <c r="F30" s="1544"/>
      <c r="G30" s="484"/>
      <c r="H30" s="424">
        <v>-49782234407</v>
      </c>
      <c r="I30" s="485"/>
      <c r="J30" s="1065">
        <f>25180604285*-1</f>
        <v>-25180604285</v>
      </c>
      <c r="K30" s="485"/>
      <c r="L30" s="485"/>
    </row>
    <row r="31" spans="1:22" ht="24.75" customHeight="1" x14ac:dyDescent="0.25">
      <c r="A31" s="479"/>
      <c r="B31" s="484" t="s">
        <v>411</v>
      </c>
      <c r="C31" s="484"/>
      <c r="D31" s="484"/>
      <c r="E31" s="484"/>
      <c r="F31" s="484"/>
      <c r="G31" s="484"/>
      <c r="H31" s="475">
        <v>121308782510</v>
      </c>
      <c r="I31" s="485"/>
      <c r="J31" s="475">
        <v>86231607542</v>
      </c>
      <c r="K31" s="485"/>
      <c r="L31" s="485"/>
    </row>
    <row r="32" spans="1:22" ht="33" customHeight="1" thickBot="1" x14ac:dyDescent="0.3">
      <c r="A32" s="479"/>
      <c r="B32" s="486" t="s">
        <v>412</v>
      </c>
      <c r="C32" s="486"/>
      <c r="D32" s="486"/>
      <c r="E32" s="484"/>
      <c r="F32" s="484"/>
      <c r="G32" s="484"/>
      <c r="H32" s="487">
        <f>SUM(H29:H31)</f>
        <v>248684672487</v>
      </c>
      <c r="I32" s="488"/>
      <c r="J32" s="1329">
        <f>SUM(J29:J31)</f>
        <v>177158124384</v>
      </c>
      <c r="K32" s="485"/>
      <c r="L32" s="485"/>
      <c r="U32" s="448" t="b">
        <f>H32='وضعيت مالي'!F28</f>
        <v>1</v>
      </c>
      <c r="V32" s="447" t="b">
        <f>J32='وضعيت مالي'!H28</f>
        <v>1</v>
      </c>
    </row>
    <row r="33" spans="1:22" ht="25.5" thickTop="1" x14ac:dyDescent="0.25">
      <c r="A33" s="479"/>
      <c r="B33" s="478"/>
      <c r="C33" s="485"/>
      <c r="D33" s="485"/>
      <c r="E33" s="1542"/>
      <c r="F33" s="1542"/>
      <c r="G33" s="1542"/>
      <c r="H33" s="485"/>
      <c r="I33" s="485"/>
      <c r="J33" s="485"/>
      <c r="K33" s="485"/>
      <c r="L33" s="485"/>
      <c r="V33" s="447">
        <f>J32-'وضعيت مالي'!H28</f>
        <v>0</v>
      </c>
    </row>
    <row r="34" spans="1:22" ht="39.75" customHeight="1" x14ac:dyDescent="0.25">
      <c r="B34" s="1532" t="s">
        <v>751</v>
      </c>
      <c r="C34" s="1532"/>
      <c r="D34" s="1532"/>
      <c r="E34" s="1532"/>
      <c r="F34" s="1532"/>
      <c r="G34" s="1532"/>
      <c r="H34" s="1532"/>
      <c r="I34" s="1532"/>
      <c r="J34" s="1532"/>
      <c r="K34" s="1532"/>
      <c r="L34" s="1532"/>
      <c r="M34" s="1532"/>
      <c r="N34" s="1532"/>
      <c r="O34" s="1532"/>
      <c r="P34" s="1532"/>
    </row>
    <row r="49" spans="1:18" ht="30" x14ac:dyDescent="0.25">
      <c r="A49" s="1367" t="s">
        <v>456</v>
      </c>
      <c r="B49" s="1367"/>
      <c r="C49" s="1367"/>
      <c r="D49" s="1367"/>
      <c r="E49" s="1367"/>
      <c r="F49" s="1367"/>
      <c r="G49" s="1367"/>
      <c r="H49" s="1367"/>
      <c r="I49" s="1367"/>
      <c r="J49" s="1367"/>
      <c r="K49" s="1367"/>
      <c r="L49" s="1367"/>
      <c r="M49" s="1367"/>
      <c r="N49" s="1367"/>
      <c r="O49" s="1367"/>
      <c r="P49" s="1367"/>
      <c r="Q49" s="1367"/>
      <c r="R49" s="1367"/>
    </row>
  </sheetData>
  <customSheetViews>
    <customSheetView guid="{39716EAB-185B-4ADF-90CF-1B1041867F58}" scale="80" showPageBreaks="1" printArea="1" view="pageBreakPreview" topLeftCell="A25">
      <selection activeCell="J30" sqref="J30"/>
      <pageMargins left="0.39370078740157499" right="0.78740157480314998" top="0.39370078740157499" bottom="0.39370078740157499" header="0.31496062992126" footer="0.31496062992126"/>
      <pageSetup paperSize="9" scale="48" orientation="portrait" r:id="rId1"/>
    </customSheetView>
    <customSheetView guid="{5CB8382F-C212-4512-9396-17792C62978E}" scale="80" showPageBreaks="1" printArea="1" view="pageBreakPreview" topLeftCell="A25">
      <selection activeCell="J30" sqref="J30"/>
      <pageMargins left="0.39370078740157499" right="0.78740157480314998" top="0.39370078740157499" bottom="0.39370078740157499" header="0.31496062992126" footer="0.31496062992126"/>
      <pageSetup paperSize="9" scale="48" orientation="portrait" r:id="rId2"/>
    </customSheetView>
    <customSheetView guid="{184BCED3-EADB-44CF-BFDA-DA8D3E7206C0}" scale="80" showPageBreaks="1" printArea="1" view="pageBreakPreview" topLeftCell="A4">
      <selection activeCell="B6" sqref="B6:P6"/>
      <pageMargins left="0.39370078740157499" right="0.78740157480314998" top="0.39370078740157499" bottom="0.39370078740157499" header="0.31496062992126" footer="0.31496062992126"/>
      <pageSetup paperSize="9" scale="48" orientation="portrait" r:id="rId3"/>
    </customSheetView>
  </customSheetViews>
  <mergeCells count="21">
    <mergeCell ref="B15:D15"/>
    <mergeCell ref="L9:P9"/>
    <mergeCell ref="F9:J9"/>
    <mergeCell ref="B12:D12"/>
    <mergeCell ref="B13:D13"/>
    <mergeCell ref="B7:R7"/>
    <mergeCell ref="B11:D11"/>
    <mergeCell ref="B14:D14"/>
    <mergeCell ref="A1:Q1"/>
    <mergeCell ref="A2:Q2"/>
    <mergeCell ref="A3:Q3"/>
    <mergeCell ref="B8:Q8"/>
    <mergeCell ref="B4:Q4"/>
    <mergeCell ref="B6:P6"/>
    <mergeCell ref="A49:R49"/>
    <mergeCell ref="B34:P34"/>
    <mergeCell ref="B18:Q18"/>
    <mergeCell ref="E33:G33"/>
    <mergeCell ref="B29:D29"/>
    <mergeCell ref="B30:F30"/>
    <mergeCell ref="B19:Q22"/>
  </mergeCells>
  <conditionalFormatting sqref="F16">
    <cfRule type="cellIs" dxfId="38" priority="6" stopIfTrue="1" operator="lessThan">
      <formula>0</formula>
    </cfRule>
  </conditionalFormatting>
  <conditionalFormatting sqref="H16">
    <cfRule type="cellIs" dxfId="37" priority="5" stopIfTrue="1" operator="lessThan">
      <formula>0</formula>
    </cfRule>
  </conditionalFormatting>
  <conditionalFormatting sqref="J11:J16">
    <cfRule type="cellIs" dxfId="36" priority="8" stopIfTrue="1" operator="lessThan">
      <formula>0</formula>
    </cfRule>
  </conditionalFormatting>
  <conditionalFormatting sqref="L16">
    <cfRule type="cellIs" dxfId="35" priority="4" stopIfTrue="1" operator="lessThan">
      <formula>0</formula>
    </cfRule>
  </conditionalFormatting>
  <conditionalFormatting sqref="N16">
    <cfRule type="cellIs" dxfId="34" priority="3" stopIfTrue="1" operator="lessThan">
      <formula>0</formula>
    </cfRule>
  </conditionalFormatting>
  <conditionalFormatting sqref="P11:P16">
    <cfRule type="cellIs" dxfId="33" priority="7" stopIfTrue="1" operator="lessThan">
      <formula>0</formula>
    </cfRule>
  </conditionalFormatting>
  <hyperlinks>
    <hyperlink ref="A1:XFD3" r:id="rId4" display="http://modiriatmali.com/" xr:uid="{00000000-0004-0000-1C00-000000000000}"/>
  </hyperlinks>
  <printOptions horizontalCentered="1"/>
  <pageMargins left="0.39370078740157499" right="0.39370078740157499" top="0.39370078740157499" bottom="0.39370078740157499" header="0.31496062992126" footer="0.31496062992126"/>
  <pageSetup paperSize="9" scale="56" orientation="portrait" r:id="rId5"/>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M52"/>
  <sheetViews>
    <sheetView rightToLeft="1" tabSelected="1" topLeftCell="A29" zoomScaleNormal="100" zoomScaleSheetLayoutView="28" workbookViewId="0">
      <selection activeCell="G29" sqref="G29"/>
    </sheetView>
  </sheetViews>
  <sheetFormatPr defaultRowHeight="18" x14ac:dyDescent="0.25"/>
  <cols>
    <col min="1" max="1" width="6.85546875" style="361" bestFit="1" customWidth="1"/>
    <col min="2" max="2" width="4.140625" style="344" customWidth="1"/>
    <col min="3" max="3" width="0.7109375" style="344" customWidth="1"/>
    <col min="4" max="4" width="29.7109375" style="344" customWidth="1"/>
    <col min="5" max="5" width="16.85546875" style="344" bestFit="1" customWidth="1"/>
    <col min="6" max="6" width="1.7109375" style="344" customWidth="1"/>
    <col min="7" max="7" width="28.42578125" style="344" bestFit="1" customWidth="1"/>
    <col min="8" max="8" width="0.85546875" style="344" customWidth="1"/>
    <col min="9" max="9" width="28.7109375" style="344" bestFit="1" customWidth="1"/>
    <col min="10" max="10" width="2.85546875" style="344" customWidth="1"/>
    <col min="11" max="11" width="5" style="344" customWidth="1"/>
    <col min="12" max="12" width="14.42578125" style="344" customWidth="1"/>
    <col min="13" max="13" width="14.5703125" style="344" customWidth="1"/>
    <col min="14" max="242" width="9" style="344"/>
    <col min="243" max="243" width="3.5703125" style="344" customWidth="1"/>
    <col min="244" max="244" width="4.85546875" style="344" customWidth="1"/>
    <col min="245" max="245" width="5.42578125" style="344" customWidth="1"/>
    <col min="246" max="246" width="31.28515625" style="344" customWidth="1"/>
    <col min="247" max="247" width="7.5703125" style="344" customWidth="1"/>
    <col min="248" max="248" width="2.42578125" style="344" customWidth="1"/>
    <col min="249" max="249" width="11.5703125" style="344" customWidth="1"/>
    <col min="250" max="250" width="2.42578125" style="344" customWidth="1"/>
    <col min="251" max="251" width="11.5703125" style="344" customWidth="1"/>
    <col min="252" max="252" width="2.42578125" style="344" customWidth="1"/>
    <col min="253" max="253" width="10.85546875" style="344" customWidth="1"/>
    <col min="254" max="254" width="2.42578125" style="344" customWidth="1"/>
    <col min="255" max="255" width="11.140625" style="344" customWidth="1"/>
    <col min="256" max="256" width="1.85546875" style="344" customWidth="1"/>
    <col min="257" max="257" width="11" style="344" customWidth="1"/>
    <col min="258" max="258" width="0.7109375" style="344" customWidth="1"/>
    <col min="259" max="259" width="1.85546875" style="344" customWidth="1"/>
    <col min="260" max="260" width="11.85546875" style="344" bestFit="1" customWidth="1"/>
    <col min="261" max="261" width="15.28515625" style="344" bestFit="1" customWidth="1"/>
    <col min="262" max="262" width="5" style="344" customWidth="1"/>
    <col min="263" max="263" width="10.42578125" style="344" bestFit="1" customWidth="1"/>
    <col min="264" max="264" width="5" style="344" customWidth="1"/>
    <col min="265" max="265" width="10.42578125" style="344" bestFit="1" customWidth="1"/>
    <col min="266" max="268" width="9" style="344"/>
    <col min="269" max="269" width="10.42578125" style="344" bestFit="1" customWidth="1"/>
    <col min="270" max="498" width="9" style="344"/>
    <col min="499" max="499" width="3.5703125" style="344" customWidth="1"/>
    <col min="500" max="500" width="4.85546875" style="344" customWidth="1"/>
    <col min="501" max="501" width="5.42578125" style="344" customWidth="1"/>
    <col min="502" max="502" width="31.28515625" style="344" customWidth="1"/>
    <col min="503" max="503" width="7.5703125" style="344" customWidth="1"/>
    <col min="504" max="504" width="2.42578125" style="344" customWidth="1"/>
    <col min="505" max="505" width="11.5703125" style="344" customWidth="1"/>
    <col min="506" max="506" width="2.42578125" style="344" customWidth="1"/>
    <col min="507" max="507" width="11.5703125" style="344" customWidth="1"/>
    <col min="508" max="508" width="2.42578125" style="344" customWidth="1"/>
    <col min="509" max="509" width="10.85546875" style="344" customWidth="1"/>
    <col min="510" max="510" width="2.42578125" style="344" customWidth="1"/>
    <col min="511" max="511" width="11.140625" style="344" customWidth="1"/>
    <col min="512" max="512" width="1.85546875" style="344" customWidth="1"/>
    <col min="513" max="513" width="11" style="344" customWidth="1"/>
    <col min="514" max="514" width="0.7109375" style="344" customWidth="1"/>
    <col min="515" max="515" width="1.85546875" style="344" customWidth="1"/>
    <col min="516" max="516" width="11.85546875" style="344" bestFit="1" customWidth="1"/>
    <col min="517" max="517" width="15.28515625" style="344" bestFit="1" customWidth="1"/>
    <col min="518" max="518" width="5" style="344" customWidth="1"/>
    <col min="519" max="519" width="10.42578125" style="344" bestFit="1" customWidth="1"/>
    <col min="520" max="520" width="5" style="344" customWidth="1"/>
    <col min="521" max="521" width="10.42578125" style="344" bestFit="1" customWidth="1"/>
    <col min="522" max="524" width="9" style="344"/>
    <col min="525" max="525" width="10.42578125" style="344" bestFit="1" customWidth="1"/>
    <col min="526" max="754" width="9" style="344"/>
    <col min="755" max="755" width="3.5703125" style="344" customWidth="1"/>
    <col min="756" max="756" width="4.85546875" style="344" customWidth="1"/>
    <col min="757" max="757" width="5.42578125" style="344" customWidth="1"/>
    <col min="758" max="758" width="31.28515625" style="344" customWidth="1"/>
    <col min="759" max="759" width="7.5703125" style="344" customWidth="1"/>
    <col min="760" max="760" width="2.42578125" style="344" customWidth="1"/>
    <col min="761" max="761" width="11.5703125" style="344" customWidth="1"/>
    <col min="762" max="762" width="2.42578125" style="344" customWidth="1"/>
    <col min="763" max="763" width="11.5703125" style="344" customWidth="1"/>
    <col min="764" max="764" width="2.42578125" style="344" customWidth="1"/>
    <col min="765" max="765" width="10.85546875" style="344" customWidth="1"/>
    <col min="766" max="766" width="2.42578125" style="344" customWidth="1"/>
    <col min="767" max="767" width="11.140625" style="344" customWidth="1"/>
    <col min="768" max="768" width="1.85546875" style="344" customWidth="1"/>
    <col min="769" max="769" width="11" style="344" customWidth="1"/>
    <col min="770" max="770" width="0.7109375" style="344" customWidth="1"/>
    <col min="771" max="771" width="1.85546875" style="344" customWidth="1"/>
    <col min="772" max="772" width="11.85546875" style="344" bestFit="1" customWidth="1"/>
    <col min="773" max="773" width="15.28515625" style="344" bestFit="1" customWidth="1"/>
    <col min="774" max="774" width="5" style="344" customWidth="1"/>
    <col min="775" max="775" width="10.42578125" style="344" bestFit="1" customWidth="1"/>
    <col min="776" max="776" width="5" style="344" customWidth="1"/>
    <col min="777" max="777" width="10.42578125" style="344" bestFit="1" customWidth="1"/>
    <col min="778" max="780" width="9" style="344"/>
    <col min="781" max="781" width="10.42578125" style="344" bestFit="1" customWidth="1"/>
    <col min="782" max="1010" width="9" style="344"/>
    <col min="1011" max="1011" width="3.5703125" style="344" customWidth="1"/>
    <col min="1012" max="1012" width="4.85546875" style="344" customWidth="1"/>
    <col min="1013" max="1013" width="5.42578125" style="344" customWidth="1"/>
    <col min="1014" max="1014" width="31.28515625" style="344" customWidth="1"/>
    <col min="1015" max="1015" width="7.5703125" style="344" customWidth="1"/>
    <col min="1016" max="1016" width="2.42578125" style="344" customWidth="1"/>
    <col min="1017" max="1017" width="11.5703125" style="344" customWidth="1"/>
    <col min="1018" max="1018" width="2.42578125" style="344" customWidth="1"/>
    <col min="1019" max="1019" width="11.5703125" style="344" customWidth="1"/>
    <col min="1020" max="1020" width="2.42578125" style="344" customWidth="1"/>
    <col min="1021" max="1021" width="10.85546875" style="344" customWidth="1"/>
    <col min="1022" max="1022" width="2.42578125" style="344" customWidth="1"/>
    <col min="1023" max="1023" width="11.140625" style="344" customWidth="1"/>
    <col min="1024" max="1024" width="1.85546875" style="344" customWidth="1"/>
    <col min="1025" max="1025" width="11" style="344" customWidth="1"/>
    <col min="1026" max="1026" width="0.7109375" style="344" customWidth="1"/>
    <col min="1027" max="1027" width="1.85546875" style="344" customWidth="1"/>
    <col min="1028" max="1028" width="11.85546875" style="344" bestFit="1" customWidth="1"/>
    <col min="1029" max="1029" width="15.28515625" style="344" bestFit="1" customWidth="1"/>
    <col min="1030" max="1030" width="5" style="344" customWidth="1"/>
    <col min="1031" max="1031" width="10.42578125" style="344" bestFit="1" customWidth="1"/>
    <col min="1032" max="1032" width="5" style="344" customWidth="1"/>
    <col min="1033" max="1033" width="10.42578125" style="344" bestFit="1" customWidth="1"/>
    <col min="1034" max="1036" width="9" style="344"/>
    <col min="1037" max="1037" width="10.42578125" style="344" bestFit="1" customWidth="1"/>
    <col min="1038" max="1266" width="9" style="344"/>
    <col min="1267" max="1267" width="3.5703125" style="344" customWidth="1"/>
    <col min="1268" max="1268" width="4.85546875" style="344" customWidth="1"/>
    <col min="1269" max="1269" width="5.42578125" style="344" customWidth="1"/>
    <col min="1270" max="1270" width="31.28515625" style="344" customWidth="1"/>
    <col min="1271" max="1271" width="7.5703125" style="344" customWidth="1"/>
    <col min="1272" max="1272" width="2.42578125" style="344" customWidth="1"/>
    <col min="1273" max="1273" width="11.5703125" style="344" customWidth="1"/>
    <col min="1274" max="1274" width="2.42578125" style="344" customWidth="1"/>
    <col min="1275" max="1275" width="11.5703125" style="344" customWidth="1"/>
    <col min="1276" max="1276" width="2.42578125" style="344" customWidth="1"/>
    <col min="1277" max="1277" width="10.85546875" style="344" customWidth="1"/>
    <col min="1278" max="1278" width="2.42578125" style="344" customWidth="1"/>
    <col min="1279" max="1279" width="11.140625" style="344" customWidth="1"/>
    <col min="1280" max="1280" width="1.85546875" style="344" customWidth="1"/>
    <col min="1281" max="1281" width="11" style="344" customWidth="1"/>
    <col min="1282" max="1282" width="0.7109375" style="344" customWidth="1"/>
    <col min="1283" max="1283" width="1.85546875" style="344" customWidth="1"/>
    <col min="1284" max="1284" width="11.85546875" style="344" bestFit="1" customWidth="1"/>
    <col min="1285" max="1285" width="15.28515625" style="344" bestFit="1" customWidth="1"/>
    <col min="1286" max="1286" width="5" style="344" customWidth="1"/>
    <col min="1287" max="1287" width="10.42578125" style="344" bestFit="1" customWidth="1"/>
    <col min="1288" max="1288" width="5" style="344" customWidth="1"/>
    <col min="1289" max="1289" width="10.42578125" style="344" bestFit="1" customWidth="1"/>
    <col min="1290" max="1292" width="9" style="344"/>
    <col min="1293" max="1293" width="10.42578125" style="344" bestFit="1" customWidth="1"/>
    <col min="1294" max="1522" width="9" style="344"/>
    <col min="1523" max="1523" width="3.5703125" style="344" customWidth="1"/>
    <col min="1524" max="1524" width="4.85546875" style="344" customWidth="1"/>
    <col min="1525" max="1525" width="5.42578125" style="344" customWidth="1"/>
    <col min="1526" max="1526" width="31.28515625" style="344" customWidth="1"/>
    <col min="1527" max="1527" width="7.5703125" style="344" customWidth="1"/>
    <col min="1528" max="1528" width="2.42578125" style="344" customWidth="1"/>
    <col min="1529" max="1529" width="11.5703125" style="344" customWidth="1"/>
    <col min="1530" max="1530" width="2.42578125" style="344" customWidth="1"/>
    <col min="1531" max="1531" width="11.5703125" style="344" customWidth="1"/>
    <col min="1532" max="1532" width="2.42578125" style="344" customWidth="1"/>
    <col min="1533" max="1533" width="10.85546875" style="344" customWidth="1"/>
    <col min="1534" max="1534" width="2.42578125" style="344" customWidth="1"/>
    <col min="1535" max="1535" width="11.140625" style="344" customWidth="1"/>
    <col min="1536" max="1536" width="1.85546875" style="344" customWidth="1"/>
    <col min="1537" max="1537" width="11" style="344" customWidth="1"/>
    <col min="1538" max="1538" width="0.7109375" style="344" customWidth="1"/>
    <col min="1539" max="1539" width="1.85546875" style="344" customWidth="1"/>
    <col min="1540" max="1540" width="11.85546875" style="344" bestFit="1" customWidth="1"/>
    <col min="1541" max="1541" width="15.28515625" style="344" bestFit="1" customWidth="1"/>
    <col min="1542" max="1542" width="5" style="344" customWidth="1"/>
    <col min="1543" max="1543" width="10.42578125" style="344" bestFit="1" customWidth="1"/>
    <col min="1544" max="1544" width="5" style="344" customWidth="1"/>
    <col min="1545" max="1545" width="10.42578125" style="344" bestFit="1" customWidth="1"/>
    <col min="1546" max="1548" width="9" style="344"/>
    <col min="1549" max="1549" width="10.42578125" style="344" bestFit="1" customWidth="1"/>
    <col min="1550" max="1778" width="9" style="344"/>
    <col min="1779" max="1779" width="3.5703125" style="344" customWidth="1"/>
    <col min="1780" max="1780" width="4.85546875" style="344" customWidth="1"/>
    <col min="1781" max="1781" width="5.42578125" style="344" customWidth="1"/>
    <col min="1782" max="1782" width="31.28515625" style="344" customWidth="1"/>
    <col min="1783" max="1783" width="7.5703125" style="344" customWidth="1"/>
    <col min="1784" max="1784" width="2.42578125" style="344" customWidth="1"/>
    <col min="1785" max="1785" width="11.5703125" style="344" customWidth="1"/>
    <col min="1786" max="1786" width="2.42578125" style="344" customWidth="1"/>
    <col min="1787" max="1787" width="11.5703125" style="344" customWidth="1"/>
    <col min="1788" max="1788" width="2.42578125" style="344" customWidth="1"/>
    <col min="1789" max="1789" width="10.85546875" style="344" customWidth="1"/>
    <col min="1790" max="1790" width="2.42578125" style="344" customWidth="1"/>
    <col min="1791" max="1791" width="11.140625" style="344" customWidth="1"/>
    <col min="1792" max="1792" width="1.85546875" style="344" customWidth="1"/>
    <col min="1793" max="1793" width="11" style="344" customWidth="1"/>
    <col min="1794" max="1794" width="0.7109375" style="344" customWidth="1"/>
    <col min="1795" max="1795" width="1.85546875" style="344" customWidth="1"/>
    <col min="1796" max="1796" width="11.85546875" style="344" bestFit="1" customWidth="1"/>
    <col min="1797" max="1797" width="15.28515625" style="344" bestFit="1" customWidth="1"/>
    <col min="1798" max="1798" width="5" style="344" customWidth="1"/>
    <col min="1799" max="1799" width="10.42578125" style="344" bestFit="1" customWidth="1"/>
    <col min="1800" max="1800" width="5" style="344" customWidth="1"/>
    <col min="1801" max="1801" width="10.42578125" style="344" bestFit="1" customWidth="1"/>
    <col min="1802" max="1804" width="9" style="344"/>
    <col min="1805" max="1805" width="10.42578125" style="344" bestFit="1" customWidth="1"/>
    <col min="1806" max="2034" width="9" style="344"/>
    <col min="2035" max="2035" width="3.5703125" style="344" customWidth="1"/>
    <col min="2036" max="2036" width="4.85546875" style="344" customWidth="1"/>
    <col min="2037" max="2037" width="5.42578125" style="344" customWidth="1"/>
    <col min="2038" max="2038" width="31.28515625" style="344" customWidth="1"/>
    <col min="2039" max="2039" width="7.5703125" style="344" customWidth="1"/>
    <col min="2040" max="2040" width="2.42578125" style="344" customWidth="1"/>
    <col min="2041" max="2041" width="11.5703125" style="344" customWidth="1"/>
    <col min="2042" max="2042" width="2.42578125" style="344" customWidth="1"/>
    <col min="2043" max="2043" width="11.5703125" style="344" customWidth="1"/>
    <col min="2044" max="2044" width="2.42578125" style="344" customWidth="1"/>
    <col min="2045" max="2045" width="10.85546875" style="344" customWidth="1"/>
    <col min="2046" max="2046" width="2.42578125" style="344" customWidth="1"/>
    <col min="2047" max="2047" width="11.140625" style="344" customWidth="1"/>
    <col min="2048" max="2048" width="1.85546875" style="344" customWidth="1"/>
    <col min="2049" max="2049" width="11" style="344" customWidth="1"/>
    <col min="2050" max="2050" width="0.7109375" style="344" customWidth="1"/>
    <col min="2051" max="2051" width="1.85546875" style="344" customWidth="1"/>
    <col min="2052" max="2052" width="11.85546875" style="344" bestFit="1" customWidth="1"/>
    <col min="2053" max="2053" width="15.28515625" style="344" bestFit="1" customWidth="1"/>
    <col min="2054" max="2054" width="5" style="344" customWidth="1"/>
    <col min="2055" max="2055" width="10.42578125" style="344" bestFit="1" customWidth="1"/>
    <col min="2056" max="2056" width="5" style="344" customWidth="1"/>
    <col min="2057" max="2057" width="10.42578125" style="344" bestFit="1" customWidth="1"/>
    <col min="2058" max="2060" width="9" style="344"/>
    <col min="2061" max="2061" width="10.42578125" style="344" bestFit="1" customWidth="1"/>
    <col min="2062" max="2290" width="9" style="344"/>
    <col min="2291" max="2291" width="3.5703125" style="344" customWidth="1"/>
    <col min="2292" max="2292" width="4.85546875" style="344" customWidth="1"/>
    <col min="2293" max="2293" width="5.42578125" style="344" customWidth="1"/>
    <col min="2294" max="2294" width="31.28515625" style="344" customWidth="1"/>
    <col min="2295" max="2295" width="7.5703125" style="344" customWidth="1"/>
    <col min="2296" max="2296" width="2.42578125" style="344" customWidth="1"/>
    <col min="2297" max="2297" width="11.5703125" style="344" customWidth="1"/>
    <col min="2298" max="2298" width="2.42578125" style="344" customWidth="1"/>
    <col min="2299" max="2299" width="11.5703125" style="344" customWidth="1"/>
    <col min="2300" max="2300" width="2.42578125" style="344" customWidth="1"/>
    <col min="2301" max="2301" width="10.85546875" style="344" customWidth="1"/>
    <col min="2302" max="2302" width="2.42578125" style="344" customWidth="1"/>
    <col min="2303" max="2303" width="11.140625" style="344" customWidth="1"/>
    <col min="2304" max="2304" width="1.85546875" style="344" customWidth="1"/>
    <col min="2305" max="2305" width="11" style="344" customWidth="1"/>
    <col min="2306" max="2306" width="0.7109375" style="344" customWidth="1"/>
    <col min="2307" max="2307" width="1.85546875" style="344" customWidth="1"/>
    <col min="2308" max="2308" width="11.85546875" style="344" bestFit="1" customWidth="1"/>
    <col min="2309" max="2309" width="15.28515625" style="344" bestFit="1" customWidth="1"/>
    <col min="2310" max="2310" width="5" style="344" customWidth="1"/>
    <col min="2311" max="2311" width="10.42578125" style="344" bestFit="1" customWidth="1"/>
    <col min="2312" max="2312" width="5" style="344" customWidth="1"/>
    <col min="2313" max="2313" width="10.42578125" style="344" bestFit="1" customWidth="1"/>
    <col min="2314" max="2316" width="9" style="344"/>
    <col min="2317" max="2317" width="10.42578125" style="344" bestFit="1" customWidth="1"/>
    <col min="2318" max="2546" width="9" style="344"/>
    <col min="2547" max="2547" width="3.5703125" style="344" customWidth="1"/>
    <col min="2548" max="2548" width="4.85546875" style="344" customWidth="1"/>
    <col min="2549" max="2549" width="5.42578125" style="344" customWidth="1"/>
    <col min="2550" max="2550" width="31.28515625" style="344" customWidth="1"/>
    <col min="2551" max="2551" width="7.5703125" style="344" customWidth="1"/>
    <col min="2552" max="2552" width="2.42578125" style="344" customWidth="1"/>
    <col min="2553" max="2553" width="11.5703125" style="344" customWidth="1"/>
    <col min="2554" max="2554" width="2.42578125" style="344" customWidth="1"/>
    <col min="2555" max="2555" width="11.5703125" style="344" customWidth="1"/>
    <col min="2556" max="2556" width="2.42578125" style="344" customWidth="1"/>
    <col min="2557" max="2557" width="10.85546875" style="344" customWidth="1"/>
    <col min="2558" max="2558" width="2.42578125" style="344" customWidth="1"/>
    <col min="2559" max="2559" width="11.140625" style="344" customWidth="1"/>
    <col min="2560" max="2560" width="1.85546875" style="344" customWidth="1"/>
    <col min="2561" max="2561" width="11" style="344" customWidth="1"/>
    <col min="2562" max="2562" width="0.7109375" style="344" customWidth="1"/>
    <col min="2563" max="2563" width="1.85546875" style="344" customWidth="1"/>
    <col min="2564" max="2564" width="11.85546875" style="344" bestFit="1" customWidth="1"/>
    <col min="2565" max="2565" width="15.28515625" style="344" bestFit="1" customWidth="1"/>
    <col min="2566" max="2566" width="5" style="344" customWidth="1"/>
    <col min="2567" max="2567" width="10.42578125" style="344" bestFit="1" customWidth="1"/>
    <col min="2568" max="2568" width="5" style="344" customWidth="1"/>
    <col min="2569" max="2569" width="10.42578125" style="344" bestFit="1" customWidth="1"/>
    <col min="2570" max="2572" width="9" style="344"/>
    <col min="2573" max="2573" width="10.42578125" style="344" bestFit="1" customWidth="1"/>
    <col min="2574" max="2802" width="9" style="344"/>
    <col min="2803" max="2803" width="3.5703125" style="344" customWidth="1"/>
    <col min="2804" max="2804" width="4.85546875" style="344" customWidth="1"/>
    <col min="2805" max="2805" width="5.42578125" style="344" customWidth="1"/>
    <col min="2806" max="2806" width="31.28515625" style="344" customWidth="1"/>
    <col min="2807" max="2807" width="7.5703125" style="344" customWidth="1"/>
    <col min="2808" max="2808" width="2.42578125" style="344" customWidth="1"/>
    <col min="2809" max="2809" width="11.5703125" style="344" customWidth="1"/>
    <col min="2810" max="2810" width="2.42578125" style="344" customWidth="1"/>
    <col min="2811" max="2811" width="11.5703125" style="344" customWidth="1"/>
    <col min="2812" max="2812" width="2.42578125" style="344" customWidth="1"/>
    <col min="2813" max="2813" width="10.85546875" style="344" customWidth="1"/>
    <col min="2814" max="2814" width="2.42578125" style="344" customWidth="1"/>
    <col min="2815" max="2815" width="11.140625" style="344" customWidth="1"/>
    <col min="2816" max="2816" width="1.85546875" style="344" customWidth="1"/>
    <col min="2817" max="2817" width="11" style="344" customWidth="1"/>
    <col min="2818" max="2818" width="0.7109375" style="344" customWidth="1"/>
    <col min="2819" max="2819" width="1.85546875" style="344" customWidth="1"/>
    <col min="2820" max="2820" width="11.85546875" style="344" bestFit="1" customWidth="1"/>
    <col min="2821" max="2821" width="15.28515625" style="344" bestFit="1" customWidth="1"/>
    <col min="2822" max="2822" width="5" style="344" customWidth="1"/>
    <col min="2823" max="2823" width="10.42578125" style="344" bestFit="1" customWidth="1"/>
    <col min="2824" max="2824" width="5" style="344" customWidth="1"/>
    <col min="2825" max="2825" width="10.42578125" style="344" bestFit="1" customWidth="1"/>
    <col min="2826" max="2828" width="9" style="344"/>
    <col min="2829" max="2829" width="10.42578125" style="344" bestFit="1" customWidth="1"/>
    <col min="2830" max="3058" width="9" style="344"/>
    <col min="3059" max="3059" width="3.5703125" style="344" customWidth="1"/>
    <col min="3060" max="3060" width="4.85546875" style="344" customWidth="1"/>
    <col min="3061" max="3061" width="5.42578125" style="344" customWidth="1"/>
    <col min="3062" max="3062" width="31.28515625" style="344" customWidth="1"/>
    <col min="3063" max="3063" width="7.5703125" style="344" customWidth="1"/>
    <col min="3064" max="3064" width="2.42578125" style="344" customWidth="1"/>
    <col min="3065" max="3065" width="11.5703125" style="344" customWidth="1"/>
    <col min="3066" max="3066" width="2.42578125" style="344" customWidth="1"/>
    <col min="3067" max="3067" width="11.5703125" style="344" customWidth="1"/>
    <col min="3068" max="3068" width="2.42578125" style="344" customWidth="1"/>
    <col min="3069" max="3069" width="10.85546875" style="344" customWidth="1"/>
    <col min="3070" max="3070" width="2.42578125" style="344" customWidth="1"/>
    <col min="3071" max="3071" width="11.140625" style="344" customWidth="1"/>
    <col min="3072" max="3072" width="1.85546875" style="344" customWidth="1"/>
    <col min="3073" max="3073" width="11" style="344" customWidth="1"/>
    <col min="3074" max="3074" width="0.7109375" style="344" customWidth="1"/>
    <col min="3075" max="3075" width="1.85546875" style="344" customWidth="1"/>
    <col min="3076" max="3076" width="11.85546875" style="344" bestFit="1" customWidth="1"/>
    <col min="3077" max="3077" width="15.28515625" style="344" bestFit="1" customWidth="1"/>
    <col min="3078" max="3078" width="5" style="344" customWidth="1"/>
    <col min="3079" max="3079" width="10.42578125" style="344" bestFit="1" customWidth="1"/>
    <col min="3080" max="3080" width="5" style="344" customWidth="1"/>
    <col min="3081" max="3081" width="10.42578125" style="344" bestFit="1" customWidth="1"/>
    <col min="3082" max="3084" width="9" style="344"/>
    <col min="3085" max="3085" width="10.42578125" style="344" bestFit="1" customWidth="1"/>
    <col min="3086" max="3314" width="9" style="344"/>
    <col min="3315" max="3315" width="3.5703125" style="344" customWidth="1"/>
    <col min="3316" max="3316" width="4.85546875" style="344" customWidth="1"/>
    <col min="3317" max="3317" width="5.42578125" style="344" customWidth="1"/>
    <col min="3318" max="3318" width="31.28515625" style="344" customWidth="1"/>
    <col min="3319" max="3319" width="7.5703125" style="344" customWidth="1"/>
    <col min="3320" max="3320" width="2.42578125" style="344" customWidth="1"/>
    <col min="3321" max="3321" width="11.5703125" style="344" customWidth="1"/>
    <col min="3322" max="3322" width="2.42578125" style="344" customWidth="1"/>
    <col min="3323" max="3323" width="11.5703125" style="344" customWidth="1"/>
    <col min="3324" max="3324" width="2.42578125" style="344" customWidth="1"/>
    <col min="3325" max="3325" width="10.85546875" style="344" customWidth="1"/>
    <col min="3326" max="3326" width="2.42578125" style="344" customWidth="1"/>
    <col min="3327" max="3327" width="11.140625" style="344" customWidth="1"/>
    <col min="3328" max="3328" width="1.85546875" style="344" customWidth="1"/>
    <col min="3329" max="3329" width="11" style="344" customWidth="1"/>
    <col min="3330" max="3330" width="0.7109375" style="344" customWidth="1"/>
    <col min="3331" max="3331" width="1.85546875" style="344" customWidth="1"/>
    <col min="3332" max="3332" width="11.85546875" style="344" bestFit="1" customWidth="1"/>
    <col min="3333" max="3333" width="15.28515625" style="344" bestFit="1" customWidth="1"/>
    <col min="3334" max="3334" width="5" style="344" customWidth="1"/>
    <col min="3335" max="3335" width="10.42578125" style="344" bestFit="1" customWidth="1"/>
    <col min="3336" max="3336" width="5" style="344" customWidth="1"/>
    <col min="3337" max="3337" width="10.42578125" style="344" bestFit="1" customWidth="1"/>
    <col min="3338" max="3340" width="9" style="344"/>
    <col min="3341" max="3341" width="10.42578125" style="344" bestFit="1" customWidth="1"/>
    <col min="3342" max="3570" width="9" style="344"/>
    <col min="3571" max="3571" width="3.5703125" style="344" customWidth="1"/>
    <col min="3572" max="3572" width="4.85546875" style="344" customWidth="1"/>
    <col min="3573" max="3573" width="5.42578125" style="344" customWidth="1"/>
    <col min="3574" max="3574" width="31.28515625" style="344" customWidth="1"/>
    <col min="3575" max="3575" width="7.5703125" style="344" customWidth="1"/>
    <col min="3576" max="3576" width="2.42578125" style="344" customWidth="1"/>
    <col min="3577" max="3577" width="11.5703125" style="344" customWidth="1"/>
    <col min="3578" max="3578" width="2.42578125" style="344" customWidth="1"/>
    <col min="3579" max="3579" width="11.5703125" style="344" customWidth="1"/>
    <col min="3580" max="3580" width="2.42578125" style="344" customWidth="1"/>
    <col min="3581" max="3581" width="10.85546875" style="344" customWidth="1"/>
    <col min="3582" max="3582" width="2.42578125" style="344" customWidth="1"/>
    <col min="3583" max="3583" width="11.140625" style="344" customWidth="1"/>
    <col min="3584" max="3584" width="1.85546875" style="344" customWidth="1"/>
    <col min="3585" max="3585" width="11" style="344" customWidth="1"/>
    <col min="3586" max="3586" width="0.7109375" style="344" customWidth="1"/>
    <col min="3587" max="3587" width="1.85546875" style="344" customWidth="1"/>
    <col min="3588" max="3588" width="11.85546875" style="344" bestFit="1" customWidth="1"/>
    <col min="3589" max="3589" width="15.28515625" style="344" bestFit="1" customWidth="1"/>
    <col min="3590" max="3590" width="5" style="344" customWidth="1"/>
    <col min="3591" max="3591" width="10.42578125" style="344" bestFit="1" customWidth="1"/>
    <col min="3592" max="3592" width="5" style="344" customWidth="1"/>
    <col min="3593" max="3593" width="10.42578125" style="344" bestFit="1" customWidth="1"/>
    <col min="3594" max="3596" width="9" style="344"/>
    <col min="3597" max="3597" width="10.42578125" style="344" bestFit="1" customWidth="1"/>
    <col min="3598" max="3826" width="9" style="344"/>
    <col min="3827" max="3827" width="3.5703125" style="344" customWidth="1"/>
    <col min="3828" max="3828" width="4.85546875" style="344" customWidth="1"/>
    <col min="3829" max="3829" width="5.42578125" style="344" customWidth="1"/>
    <col min="3830" max="3830" width="31.28515625" style="344" customWidth="1"/>
    <col min="3831" max="3831" width="7.5703125" style="344" customWidth="1"/>
    <col min="3832" max="3832" width="2.42578125" style="344" customWidth="1"/>
    <col min="3833" max="3833" width="11.5703125" style="344" customWidth="1"/>
    <col min="3834" max="3834" width="2.42578125" style="344" customWidth="1"/>
    <col min="3835" max="3835" width="11.5703125" style="344" customWidth="1"/>
    <col min="3836" max="3836" width="2.42578125" style="344" customWidth="1"/>
    <col min="3837" max="3837" width="10.85546875" style="344" customWidth="1"/>
    <col min="3838" max="3838" width="2.42578125" style="344" customWidth="1"/>
    <col min="3839" max="3839" width="11.140625" style="344" customWidth="1"/>
    <col min="3840" max="3840" width="1.85546875" style="344" customWidth="1"/>
    <col min="3841" max="3841" width="11" style="344" customWidth="1"/>
    <col min="3842" max="3842" width="0.7109375" style="344" customWidth="1"/>
    <col min="3843" max="3843" width="1.85546875" style="344" customWidth="1"/>
    <col min="3844" max="3844" width="11.85546875" style="344" bestFit="1" customWidth="1"/>
    <col min="3845" max="3845" width="15.28515625" style="344" bestFit="1" customWidth="1"/>
    <col min="3846" max="3846" width="5" style="344" customWidth="1"/>
    <col min="3847" max="3847" width="10.42578125" style="344" bestFit="1" customWidth="1"/>
    <col min="3848" max="3848" width="5" style="344" customWidth="1"/>
    <col min="3849" max="3849" width="10.42578125" style="344" bestFit="1" customWidth="1"/>
    <col min="3850" max="3852" width="9" style="344"/>
    <col min="3853" max="3853" width="10.42578125" style="344" bestFit="1" customWidth="1"/>
    <col min="3854" max="4082" width="9" style="344"/>
    <col min="4083" max="4083" width="3.5703125" style="344" customWidth="1"/>
    <col min="4084" max="4084" width="4.85546875" style="344" customWidth="1"/>
    <col min="4085" max="4085" width="5.42578125" style="344" customWidth="1"/>
    <col min="4086" max="4086" width="31.28515625" style="344" customWidth="1"/>
    <col min="4087" max="4087" width="7.5703125" style="344" customWidth="1"/>
    <col min="4088" max="4088" width="2.42578125" style="344" customWidth="1"/>
    <col min="4089" max="4089" width="11.5703125" style="344" customWidth="1"/>
    <col min="4090" max="4090" width="2.42578125" style="344" customWidth="1"/>
    <col min="4091" max="4091" width="11.5703125" style="344" customWidth="1"/>
    <col min="4092" max="4092" width="2.42578125" style="344" customWidth="1"/>
    <col min="4093" max="4093" width="10.85546875" style="344" customWidth="1"/>
    <col min="4094" max="4094" width="2.42578125" style="344" customWidth="1"/>
    <col min="4095" max="4095" width="11.140625" style="344" customWidth="1"/>
    <col min="4096" max="4096" width="1.85546875" style="344" customWidth="1"/>
    <col min="4097" max="4097" width="11" style="344" customWidth="1"/>
    <col min="4098" max="4098" width="0.7109375" style="344" customWidth="1"/>
    <col min="4099" max="4099" width="1.85546875" style="344" customWidth="1"/>
    <col min="4100" max="4100" width="11.85546875" style="344" bestFit="1" customWidth="1"/>
    <col min="4101" max="4101" width="15.28515625" style="344" bestFit="1" customWidth="1"/>
    <col min="4102" max="4102" width="5" style="344" customWidth="1"/>
    <col min="4103" max="4103" width="10.42578125" style="344" bestFit="1" customWidth="1"/>
    <col min="4104" max="4104" width="5" style="344" customWidth="1"/>
    <col min="4105" max="4105" width="10.42578125" style="344" bestFit="1" customWidth="1"/>
    <col min="4106" max="4108" width="9" style="344"/>
    <col min="4109" max="4109" width="10.42578125" style="344" bestFit="1" customWidth="1"/>
    <col min="4110" max="4338" width="9" style="344"/>
    <col min="4339" max="4339" width="3.5703125" style="344" customWidth="1"/>
    <col min="4340" max="4340" width="4.85546875" style="344" customWidth="1"/>
    <col min="4341" max="4341" width="5.42578125" style="344" customWidth="1"/>
    <col min="4342" max="4342" width="31.28515625" style="344" customWidth="1"/>
    <col min="4343" max="4343" width="7.5703125" style="344" customWidth="1"/>
    <col min="4344" max="4344" width="2.42578125" style="344" customWidth="1"/>
    <col min="4345" max="4345" width="11.5703125" style="344" customWidth="1"/>
    <col min="4346" max="4346" width="2.42578125" style="344" customWidth="1"/>
    <col min="4347" max="4347" width="11.5703125" style="344" customWidth="1"/>
    <col min="4348" max="4348" width="2.42578125" style="344" customWidth="1"/>
    <col min="4349" max="4349" width="10.85546875" style="344" customWidth="1"/>
    <col min="4350" max="4350" width="2.42578125" style="344" customWidth="1"/>
    <col min="4351" max="4351" width="11.140625" style="344" customWidth="1"/>
    <col min="4352" max="4352" width="1.85546875" style="344" customWidth="1"/>
    <col min="4353" max="4353" width="11" style="344" customWidth="1"/>
    <col min="4354" max="4354" width="0.7109375" style="344" customWidth="1"/>
    <col min="4355" max="4355" width="1.85546875" style="344" customWidth="1"/>
    <col min="4356" max="4356" width="11.85546875" style="344" bestFit="1" customWidth="1"/>
    <col min="4357" max="4357" width="15.28515625" style="344" bestFit="1" customWidth="1"/>
    <col min="4358" max="4358" width="5" style="344" customWidth="1"/>
    <col min="4359" max="4359" width="10.42578125" style="344" bestFit="1" customWidth="1"/>
    <col min="4360" max="4360" width="5" style="344" customWidth="1"/>
    <col min="4361" max="4361" width="10.42578125" style="344" bestFit="1" customWidth="1"/>
    <col min="4362" max="4364" width="9" style="344"/>
    <col min="4365" max="4365" width="10.42578125" style="344" bestFit="1" customWidth="1"/>
    <col min="4366" max="4594" width="9" style="344"/>
    <col min="4595" max="4595" width="3.5703125" style="344" customWidth="1"/>
    <col min="4596" max="4596" width="4.85546875" style="344" customWidth="1"/>
    <col min="4597" max="4597" width="5.42578125" style="344" customWidth="1"/>
    <col min="4598" max="4598" width="31.28515625" style="344" customWidth="1"/>
    <col min="4599" max="4599" width="7.5703125" style="344" customWidth="1"/>
    <col min="4600" max="4600" width="2.42578125" style="344" customWidth="1"/>
    <col min="4601" max="4601" width="11.5703125" style="344" customWidth="1"/>
    <col min="4602" max="4602" width="2.42578125" style="344" customWidth="1"/>
    <col min="4603" max="4603" width="11.5703125" style="344" customWidth="1"/>
    <col min="4604" max="4604" width="2.42578125" style="344" customWidth="1"/>
    <col min="4605" max="4605" width="10.85546875" style="344" customWidth="1"/>
    <col min="4606" max="4606" width="2.42578125" style="344" customWidth="1"/>
    <col min="4607" max="4607" width="11.140625" style="344" customWidth="1"/>
    <col min="4608" max="4608" width="1.85546875" style="344" customWidth="1"/>
    <col min="4609" max="4609" width="11" style="344" customWidth="1"/>
    <col min="4610" max="4610" width="0.7109375" style="344" customWidth="1"/>
    <col min="4611" max="4611" width="1.85546875" style="344" customWidth="1"/>
    <col min="4612" max="4612" width="11.85546875" style="344" bestFit="1" customWidth="1"/>
    <col min="4613" max="4613" width="15.28515625" style="344" bestFit="1" customWidth="1"/>
    <col min="4614" max="4614" width="5" style="344" customWidth="1"/>
    <col min="4615" max="4615" width="10.42578125" style="344" bestFit="1" customWidth="1"/>
    <col min="4616" max="4616" width="5" style="344" customWidth="1"/>
    <col min="4617" max="4617" width="10.42578125" style="344" bestFit="1" customWidth="1"/>
    <col min="4618" max="4620" width="9" style="344"/>
    <col min="4621" max="4621" width="10.42578125" style="344" bestFit="1" customWidth="1"/>
    <col min="4622" max="4850" width="9" style="344"/>
    <col min="4851" max="4851" width="3.5703125" style="344" customWidth="1"/>
    <col min="4852" max="4852" width="4.85546875" style="344" customWidth="1"/>
    <col min="4853" max="4853" width="5.42578125" style="344" customWidth="1"/>
    <col min="4854" max="4854" width="31.28515625" style="344" customWidth="1"/>
    <col min="4855" max="4855" width="7.5703125" style="344" customWidth="1"/>
    <col min="4856" max="4856" width="2.42578125" style="344" customWidth="1"/>
    <col min="4857" max="4857" width="11.5703125" style="344" customWidth="1"/>
    <col min="4858" max="4858" width="2.42578125" style="344" customWidth="1"/>
    <col min="4859" max="4859" width="11.5703125" style="344" customWidth="1"/>
    <col min="4860" max="4860" width="2.42578125" style="344" customWidth="1"/>
    <col min="4861" max="4861" width="10.85546875" style="344" customWidth="1"/>
    <col min="4862" max="4862" width="2.42578125" style="344" customWidth="1"/>
    <col min="4863" max="4863" width="11.140625" style="344" customWidth="1"/>
    <col min="4864" max="4864" width="1.85546875" style="344" customWidth="1"/>
    <col min="4865" max="4865" width="11" style="344" customWidth="1"/>
    <col min="4866" max="4866" width="0.7109375" style="344" customWidth="1"/>
    <col min="4867" max="4867" width="1.85546875" style="344" customWidth="1"/>
    <col min="4868" max="4868" width="11.85546875" style="344" bestFit="1" customWidth="1"/>
    <col min="4869" max="4869" width="15.28515625" style="344" bestFit="1" customWidth="1"/>
    <col min="4870" max="4870" width="5" style="344" customWidth="1"/>
    <col min="4871" max="4871" width="10.42578125" style="344" bestFit="1" customWidth="1"/>
    <col min="4872" max="4872" width="5" style="344" customWidth="1"/>
    <col min="4873" max="4873" width="10.42578125" style="344" bestFit="1" customWidth="1"/>
    <col min="4874" max="4876" width="9" style="344"/>
    <col min="4877" max="4877" width="10.42578125" style="344" bestFit="1" customWidth="1"/>
    <col min="4878" max="5106" width="9" style="344"/>
    <col min="5107" max="5107" width="3.5703125" style="344" customWidth="1"/>
    <col min="5108" max="5108" width="4.85546875" style="344" customWidth="1"/>
    <col min="5109" max="5109" width="5.42578125" style="344" customWidth="1"/>
    <col min="5110" max="5110" width="31.28515625" style="344" customWidth="1"/>
    <col min="5111" max="5111" width="7.5703125" style="344" customWidth="1"/>
    <col min="5112" max="5112" width="2.42578125" style="344" customWidth="1"/>
    <col min="5113" max="5113" width="11.5703125" style="344" customWidth="1"/>
    <col min="5114" max="5114" width="2.42578125" style="344" customWidth="1"/>
    <col min="5115" max="5115" width="11.5703125" style="344" customWidth="1"/>
    <col min="5116" max="5116" width="2.42578125" style="344" customWidth="1"/>
    <col min="5117" max="5117" width="10.85546875" style="344" customWidth="1"/>
    <col min="5118" max="5118" width="2.42578125" style="344" customWidth="1"/>
    <col min="5119" max="5119" width="11.140625" style="344" customWidth="1"/>
    <col min="5120" max="5120" width="1.85546875" style="344" customWidth="1"/>
    <col min="5121" max="5121" width="11" style="344" customWidth="1"/>
    <col min="5122" max="5122" width="0.7109375" style="344" customWidth="1"/>
    <col min="5123" max="5123" width="1.85546875" style="344" customWidth="1"/>
    <col min="5124" max="5124" width="11.85546875" style="344" bestFit="1" customWidth="1"/>
    <col min="5125" max="5125" width="15.28515625" style="344" bestFit="1" customWidth="1"/>
    <col min="5126" max="5126" width="5" style="344" customWidth="1"/>
    <col min="5127" max="5127" width="10.42578125" style="344" bestFit="1" customWidth="1"/>
    <col min="5128" max="5128" width="5" style="344" customWidth="1"/>
    <col min="5129" max="5129" width="10.42578125" style="344" bestFit="1" customWidth="1"/>
    <col min="5130" max="5132" width="9" style="344"/>
    <col min="5133" max="5133" width="10.42578125" style="344" bestFit="1" customWidth="1"/>
    <col min="5134" max="5362" width="9" style="344"/>
    <col min="5363" max="5363" width="3.5703125" style="344" customWidth="1"/>
    <col min="5364" max="5364" width="4.85546875" style="344" customWidth="1"/>
    <col min="5365" max="5365" width="5.42578125" style="344" customWidth="1"/>
    <col min="5366" max="5366" width="31.28515625" style="344" customWidth="1"/>
    <col min="5367" max="5367" width="7.5703125" style="344" customWidth="1"/>
    <col min="5368" max="5368" width="2.42578125" style="344" customWidth="1"/>
    <col min="5369" max="5369" width="11.5703125" style="344" customWidth="1"/>
    <col min="5370" max="5370" width="2.42578125" style="344" customWidth="1"/>
    <col min="5371" max="5371" width="11.5703125" style="344" customWidth="1"/>
    <col min="5372" max="5372" width="2.42578125" style="344" customWidth="1"/>
    <col min="5373" max="5373" width="10.85546875" style="344" customWidth="1"/>
    <col min="5374" max="5374" width="2.42578125" style="344" customWidth="1"/>
    <col min="5375" max="5375" width="11.140625" style="344" customWidth="1"/>
    <col min="5376" max="5376" width="1.85546875" style="344" customWidth="1"/>
    <col min="5377" max="5377" width="11" style="344" customWidth="1"/>
    <col min="5378" max="5378" width="0.7109375" style="344" customWidth="1"/>
    <col min="5379" max="5379" width="1.85546875" style="344" customWidth="1"/>
    <col min="5380" max="5380" width="11.85546875" style="344" bestFit="1" customWidth="1"/>
    <col min="5381" max="5381" width="15.28515625" style="344" bestFit="1" customWidth="1"/>
    <col min="5382" max="5382" width="5" style="344" customWidth="1"/>
    <col min="5383" max="5383" width="10.42578125" style="344" bestFit="1" customWidth="1"/>
    <col min="5384" max="5384" width="5" style="344" customWidth="1"/>
    <col min="5385" max="5385" width="10.42578125" style="344" bestFit="1" customWidth="1"/>
    <col min="5386" max="5388" width="9" style="344"/>
    <col min="5389" max="5389" width="10.42578125" style="344" bestFit="1" customWidth="1"/>
    <col min="5390" max="5618" width="9" style="344"/>
    <col min="5619" max="5619" width="3.5703125" style="344" customWidth="1"/>
    <col min="5620" max="5620" width="4.85546875" style="344" customWidth="1"/>
    <col min="5621" max="5621" width="5.42578125" style="344" customWidth="1"/>
    <col min="5622" max="5622" width="31.28515625" style="344" customWidth="1"/>
    <col min="5623" max="5623" width="7.5703125" style="344" customWidth="1"/>
    <col min="5624" max="5624" width="2.42578125" style="344" customWidth="1"/>
    <col min="5625" max="5625" width="11.5703125" style="344" customWidth="1"/>
    <col min="5626" max="5626" width="2.42578125" style="344" customWidth="1"/>
    <col min="5627" max="5627" width="11.5703125" style="344" customWidth="1"/>
    <col min="5628" max="5628" width="2.42578125" style="344" customWidth="1"/>
    <col min="5629" max="5629" width="10.85546875" style="344" customWidth="1"/>
    <col min="5630" max="5630" width="2.42578125" style="344" customWidth="1"/>
    <col min="5631" max="5631" width="11.140625" style="344" customWidth="1"/>
    <col min="5632" max="5632" width="1.85546875" style="344" customWidth="1"/>
    <col min="5633" max="5633" width="11" style="344" customWidth="1"/>
    <col min="5634" max="5634" width="0.7109375" style="344" customWidth="1"/>
    <col min="5635" max="5635" width="1.85546875" style="344" customWidth="1"/>
    <col min="5636" max="5636" width="11.85546875" style="344" bestFit="1" customWidth="1"/>
    <col min="5637" max="5637" width="15.28515625" style="344" bestFit="1" customWidth="1"/>
    <col min="5638" max="5638" width="5" style="344" customWidth="1"/>
    <col min="5639" max="5639" width="10.42578125" style="344" bestFit="1" customWidth="1"/>
    <col min="5640" max="5640" width="5" style="344" customWidth="1"/>
    <col min="5641" max="5641" width="10.42578125" style="344" bestFit="1" customWidth="1"/>
    <col min="5642" max="5644" width="9" style="344"/>
    <col min="5645" max="5645" width="10.42578125" style="344" bestFit="1" customWidth="1"/>
    <col min="5646" max="5874" width="9" style="344"/>
    <col min="5875" max="5875" width="3.5703125" style="344" customWidth="1"/>
    <col min="5876" max="5876" width="4.85546875" style="344" customWidth="1"/>
    <col min="5877" max="5877" width="5.42578125" style="344" customWidth="1"/>
    <col min="5878" max="5878" width="31.28515625" style="344" customWidth="1"/>
    <col min="5879" max="5879" width="7.5703125" style="344" customWidth="1"/>
    <col min="5880" max="5880" width="2.42578125" style="344" customWidth="1"/>
    <col min="5881" max="5881" width="11.5703125" style="344" customWidth="1"/>
    <col min="5882" max="5882" width="2.42578125" style="344" customWidth="1"/>
    <col min="5883" max="5883" width="11.5703125" style="344" customWidth="1"/>
    <col min="5884" max="5884" width="2.42578125" style="344" customWidth="1"/>
    <col min="5885" max="5885" width="10.85546875" style="344" customWidth="1"/>
    <col min="5886" max="5886" width="2.42578125" style="344" customWidth="1"/>
    <col min="5887" max="5887" width="11.140625" style="344" customWidth="1"/>
    <col min="5888" max="5888" width="1.85546875" style="344" customWidth="1"/>
    <col min="5889" max="5889" width="11" style="344" customWidth="1"/>
    <col min="5890" max="5890" width="0.7109375" style="344" customWidth="1"/>
    <col min="5891" max="5891" width="1.85546875" style="344" customWidth="1"/>
    <col min="5892" max="5892" width="11.85546875" style="344" bestFit="1" customWidth="1"/>
    <col min="5893" max="5893" width="15.28515625" style="344" bestFit="1" customWidth="1"/>
    <col min="5894" max="5894" width="5" style="344" customWidth="1"/>
    <col min="5895" max="5895" width="10.42578125" style="344" bestFit="1" customWidth="1"/>
    <col min="5896" max="5896" width="5" style="344" customWidth="1"/>
    <col min="5897" max="5897" width="10.42578125" style="344" bestFit="1" customWidth="1"/>
    <col min="5898" max="5900" width="9" style="344"/>
    <col min="5901" max="5901" width="10.42578125" style="344" bestFit="1" customWidth="1"/>
    <col min="5902" max="6130" width="9" style="344"/>
    <col min="6131" max="6131" width="3.5703125" style="344" customWidth="1"/>
    <col min="6132" max="6132" width="4.85546875" style="344" customWidth="1"/>
    <col min="6133" max="6133" width="5.42578125" style="344" customWidth="1"/>
    <col min="6134" max="6134" width="31.28515625" style="344" customWidth="1"/>
    <col min="6135" max="6135" width="7.5703125" style="344" customWidth="1"/>
    <col min="6136" max="6136" width="2.42578125" style="344" customWidth="1"/>
    <col min="6137" max="6137" width="11.5703125" style="344" customWidth="1"/>
    <col min="6138" max="6138" width="2.42578125" style="344" customWidth="1"/>
    <col min="6139" max="6139" width="11.5703125" style="344" customWidth="1"/>
    <col min="6140" max="6140" width="2.42578125" style="344" customWidth="1"/>
    <col min="6141" max="6141" width="10.85546875" style="344" customWidth="1"/>
    <col min="6142" max="6142" width="2.42578125" style="344" customWidth="1"/>
    <col min="6143" max="6143" width="11.140625" style="344" customWidth="1"/>
    <col min="6144" max="6144" width="1.85546875" style="344" customWidth="1"/>
    <col min="6145" max="6145" width="11" style="344" customWidth="1"/>
    <col min="6146" max="6146" width="0.7109375" style="344" customWidth="1"/>
    <col min="6147" max="6147" width="1.85546875" style="344" customWidth="1"/>
    <col min="6148" max="6148" width="11.85546875" style="344" bestFit="1" customWidth="1"/>
    <col min="6149" max="6149" width="15.28515625" style="344" bestFit="1" customWidth="1"/>
    <col min="6150" max="6150" width="5" style="344" customWidth="1"/>
    <col min="6151" max="6151" width="10.42578125" style="344" bestFit="1" customWidth="1"/>
    <col min="6152" max="6152" width="5" style="344" customWidth="1"/>
    <col min="6153" max="6153" width="10.42578125" style="344" bestFit="1" customWidth="1"/>
    <col min="6154" max="6156" width="9" style="344"/>
    <col min="6157" max="6157" width="10.42578125" style="344" bestFit="1" customWidth="1"/>
    <col min="6158" max="6386" width="9" style="344"/>
    <col min="6387" max="6387" width="3.5703125" style="344" customWidth="1"/>
    <col min="6388" max="6388" width="4.85546875" style="344" customWidth="1"/>
    <col min="6389" max="6389" width="5.42578125" style="344" customWidth="1"/>
    <col min="6390" max="6390" width="31.28515625" style="344" customWidth="1"/>
    <col min="6391" max="6391" width="7.5703125" style="344" customWidth="1"/>
    <col min="6392" max="6392" width="2.42578125" style="344" customWidth="1"/>
    <col min="6393" max="6393" width="11.5703125" style="344" customWidth="1"/>
    <col min="6394" max="6394" width="2.42578125" style="344" customWidth="1"/>
    <col min="6395" max="6395" width="11.5703125" style="344" customWidth="1"/>
    <col min="6396" max="6396" width="2.42578125" style="344" customWidth="1"/>
    <col min="6397" max="6397" width="10.85546875" style="344" customWidth="1"/>
    <col min="6398" max="6398" width="2.42578125" style="344" customWidth="1"/>
    <col min="6399" max="6399" width="11.140625" style="344" customWidth="1"/>
    <col min="6400" max="6400" width="1.85546875" style="344" customWidth="1"/>
    <col min="6401" max="6401" width="11" style="344" customWidth="1"/>
    <col min="6402" max="6402" width="0.7109375" style="344" customWidth="1"/>
    <col min="6403" max="6403" width="1.85546875" style="344" customWidth="1"/>
    <col min="6404" max="6404" width="11.85546875" style="344" bestFit="1" customWidth="1"/>
    <col min="6405" max="6405" width="15.28515625" style="344" bestFit="1" customWidth="1"/>
    <col min="6406" max="6406" width="5" style="344" customWidth="1"/>
    <col min="6407" max="6407" width="10.42578125" style="344" bestFit="1" customWidth="1"/>
    <col min="6408" max="6408" width="5" style="344" customWidth="1"/>
    <col min="6409" max="6409" width="10.42578125" style="344" bestFit="1" customWidth="1"/>
    <col min="6410" max="6412" width="9" style="344"/>
    <col min="6413" max="6413" width="10.42578125" style="344" bestFit="1" customWidth="1"/>
    <col min="6414" max="6642" width="9" style="344"/>
    <col min="6643" max="6643" width="3.5703125" style="344" customWidth="1"/>
    <col min="6644" max="6644" width="4.85546875" style="344" customWidth="1"/>
    <col min="6645" max="6645" width="5.42578125" style="344" customWidth="1"/>
    <col min="6646" max="6646" width="31.28515625" style="344" customWidth="1"/>
    <col min="6647" max="6647" width="7.5703125" style="344" customWidth="1"/>
    <col min="6648" max="6648" width="2.42578125" style="344" customWidth="1"/>
    <col min="6649" max="6649" width="11.5703125" style="344" customWidth="1"/>
    <col min="6650" max="6650" width="2.42578125" style="344" customWidth="1"/>
    <col min="6651" max="6651" width="11.5703125" style="344" customWidth="1"/>
    <col min="6652" max="6652" width="2.42578125" style="344" customWidth="1"/>
    <col min="6653" max="6653" width="10.85546875" style="344" customWidth="1"/>
    <col min="6654" max="6654" width="2.42578125" style="344" customWidth="1"/>
    <col min="6655" max="6655" width="11.140625" style="344" customWidth="1"/>
    <col min="6656" max="6656" width="1.85546875" style="344" customWidth="1"/>
    <col min="6657" max="6657" width="11" style="344" customWidth="1"/>
    <col min="6658" max="6658" width="0.7109375" style="344" customWidth="1"/>
    <col min="6659" max="6659" width="1.85546875" style="344" customWidth="1"/>
    <col min="6660" max="6660" width="11.85546875" style="344" bestFit="1" customWidth="1"/>
    <col min="6661" max="6661" width="15.28515625" style="344" bestFit="1" customWidth="1"/>
    <col min="6662" max="6662" width="5" style="344" customWidth="1"/>
    <col min="6663" max="6663" width="10.42578125" style="344" bestFit="1" customWidth="1"/>
    <col min="6664" max="6664" width="5" style="344" customWidth="1"/>
    <col min="6665" max="6665" width="10.42578125" style="344" bestFit="1" customWidth="1"/>
    <col min="6666" max="6668" width="9" style="344"/>
    <col min="6669" max="6669" width="10.42578125" style="344" bestFit="1" customWidth="1"/>
    <col min="6670" max="6898" width="9" style="344"/>
    <col min="6899" max="6899" width="3.5703125" style="344" customWidth="1"/>
    <col min="6900" max="6900" width="4.85546875" style="344" customWidth="1"/>
    <col min="6901" max="6901" width="5.42578125" style="344" customWidth="1"/>
    <col min="6902" max="6902" width="31.28515625" style="344" customWidth="1"/>
    <col min="6903" max="6903" width="7.5703125" style="344" customWidth="1"/>
    <col min="6904" max="6904" width="2.42578125" style="344" customWidth="1"/>
    <col min="6905" max="6905" width="11.5703125" style="344" customWidth="1"/>
    <col min="6906" max="6906" width="2.42578125" style="344" customWidth="1"/>
    <col min="6907" max="6907" width="11.5703125" style="344" customWidth="1"/>
    <col min="6908" max="6908" width="2.42578125" style="344" customWidth="1"/>
    <col min="6909" max="6909" width="10.85546875" style="344" customWidth="1"/>
    <col min="6910" max="6910" width="2.42578125" style="344" customWidth="1"/>
    <col min="6911" max="6911" width="11.140625" style="344" customWidth="1"/>
    <col min="6912" max="6912" width="1.85546875" style="344" customWidth="1"/>
    <col min="6913" max="6913" width="11" style="344" customWidth="1"/>
    <col min="6914" max="6914" width="0.7109375" style="344" customWidth="1"/>
    <col min="6915" max="6915" width="1.85546875" style="344" customWidth="1"/>
    <col min="6916" max="6916" width="11.85546875" style="344" bestFit="1" customWidth="1"/>
    <col min="6917" max="6917" width="15.28515625" style="344" bestFit="1" customWidth="1"/>
    <col min="6918" max="6918" width="5" style="344" customWidth="1"/>
    <col min="6919" max="6919" width="10.42578125" style="344" bestFit="1" customWidth="1"/>
    <col min="6920" max="6920" width="5" style="344" customWidth="1"/>
    <col min="6921" max="6921" width="10.42578125" style="344" bestFit="1" customWidth="1"/>
    <col min="6922" max="6924" width="9" style="344"/>
    <col min="6925" max="6925" width="10.42578125" style="344" bestFit="1" customWidth="1"/>
    <col min="6926" max="7154" width="9" style="344"/>
    <col min="7155" max="7155" width="3.5703125" style="344" customWidth="1"/>
    <col min="7156" max="7156" width="4.85546875" style="344" customWidth="1"/>
    <col min="7157" max="7157" width="5.42578125" style="344" customWidth="1"/>
    <col min="7158" max="7158" width="31.28515625" style="344" customWidth="1"/>
    <col min="7159" max="7159" width="7.5703125" style="344" customWidth="1"/>
    <col min="7160" max="7160" width="2.42578125" style="344" customWidth="1"/>
    <col min="7161" max="7161" width="11.5703125" style="344" customWidth="1"/>
    <col min="7162" max="7162" width="2.42578125" style="344" customWidth="1"/>
    <col min="7163" max="7163" width="11.5703125" style="344" customWidth="1"/>
    <col min="7164" max="7164" width="2.42578125" style="344" customWidth="1"/>
    <col min="7165" max="7165" width="10.85546875" style="344" customWidth="1"/>
    <col min="7166" max="7166" width="2.42578125" style="344" customWidth="1"/>
    <col min="7167" max="7167" width="11.140625" style="344" customWidth="1"/>
    <col min="7168" max="7168" width="1.85546875" style="344" customWidth="1"/>
    <col min="7169" max="7169" width="11" style="344" customWidth="1"/>
    <col min="7170" max="7170" width="0.7109375" style="344" customWidth="1"/>
    <col min="7171" max="7171" width="1.85546875" style="344" customWidth="1"/>
    <col min="7172" max="7172" width="11.85546875" style="344" bestFit="1" customWidth="1"/>
    <col min="7173" max="7173" width="15.28515625" style="344" bestFit="1" customWidth="1"/>
    <col min="7174" max="7174" width="5" style="344" customWidth="1"/>
    <col min="7175" max="7175" width="10.42578125" style="344" bestFit="1" customWidth="1"/>
    <col min="7176" max="7176" width="5" style="344" customWidth="1"/>
    <col min="7177" max="7177" width="10.42578125" style="344" bestFit="1" customWidth="1"/>
    <col min="7178" max="7180" width="9" style="344"/>
    <col min="7181" max="7181" width="10.42578125" style="344" bestFit="1" customWidth="1"/>
    <col min="7182" max="7410" width="9" style="344"/>
    <col min="7411" max="7411" width="3.5703125" style="344" customWidth="1"/>
    <col min="7412" max="7412" width="4.85546875" style="344" customWidth="1"/>
    <col min="7413" max="7413" width="5.42578125" style="344" customWidth="1"/>
    <col min="7414" max="7414" width="31.28515625" style="344" customWidth="1"/>
    <col min="7415" max="7415" width="7.5703125" style="344" customWidth="1"/>
    <col min="7416" max="7416" width="2.42578125" style="344" customWidth="1"/>
    <col min="7417" max="7417" width="11.5703125" style="344" customWidth="1"/>
    <col min="7418" max="7418" width="2.42578125" style="344" customWidth="1"/>
    <col min="7419" max="7419" width="11.5703125" style="344" customWidth="1"/>
    <col min="7420" max="7420" width="2.42578125" style="344" customWidth="1"/>
    <col min="7421" max="7421" width="10.85546875" style="344" customWidth="1"/>
    <col min="7422" max="7422" width="2.42578125" style="344" customWidth="1"/>
    <col min="7423" max="7423" width="11.140625" style="344" customWidth="1"/>
    <col min="7424" max="7424" width="1.85546875" style="344" customWidth="1"/>
    <col min="7425" max="7425" width="11" style="344" customWidth="1"/>
    <col min="7426" max="7426" width="0.7109375" style="344" customWidth="1"/>
    <col min="7427" max="7427" width="1.85546875" style="344" customWidth="1"/>
    <col min="7428" max="7428" width="11.85546875" style="344" bestFit="1" customWidth="1"/>
    <col min="7429" max="7429" width="15.28515625" style="344" bestFit="1" customWidth="1"/>
    <col min="7430" max="7430" width="5" style="344" customWidth="1"/>
    <col min="7431" max="7431" width="10.42578125" style="344" bestFit="1" customWidth="1"/>
    <col min="7432" max="7432" width="5" style="344" customWidth="1"/>
    <col min="7433" max="7433" width="10.42578125" style="344" bestFit="1" customWidth="1"/>
    <col min="7434" max="7436" width="9" style="344"/>
    <col min="7437" max="7437" width="10.42578125" style="344" bestFit="1" customWidth="1"/>
    <col min="7438" max="7666" width="9" style="344"/>
    <col min="7667" max="7667" width="3.5703125" style="344" customWidth="1"/>
    <col min="7668" max="7668" width="4.85546875" style="344" customWidth="1"/>
    <col min="7669" max="7669" width="5.42578125" style="344" customWidth="1"/>
    <col min="7670" max="7670" width="31.28515625" style="344" customWidth="1"/>
    <col min="7671" max="7671" width="7.5703125" style="344" customWidth="1"/>
    <col min="7672" max="7672" width="2.42578125" style="344" customWidth="1"/>
    <col min="7673" max="7673" width="11.5703125" style="344" customWidth="1"/>
    <col min="7674" max="7674" width="2.42578125" style="344" customWidth="1"/>
    <col min="7675" max="7675" width="11.5703125" style="344" customWidth="1"/>
    <col min="7676" max="7676" width="2.42578125" style="344" customWidth="1"/>
    <col min="7677" max="7677" width="10.85546875" style="344" customWidth="1"/>
    <col min="7678" max="7678" width="2.42578125" style="344" customWidth="1"/>
    <col min="7679" max="7679" width="11.140625" style="344" customWidth="1"/>
    <col min="7680" max="7680" width="1.85546875" style="344" customWidth="1"/>
    <col min="7681" max="7681" width="11" style="344" customWidth="1"/>
    <col min="7682" max="7682" width="0.7109375" style="344" customWidth="1"/>
    <col min="7683" max="7683" width="1.85546875" style="344" customWidth="1"/>
    <col min="7684" max="7684" width="11.85546875" style="344" bestFit="1" customWidth="1"/>
    <col min="7685" max="7685" width="15.28515625" style="344" bestFit="1" customWidth="1"/>
    <col min="7686" max="7686" width="5" style="344" customWidth="1"/>
    <col min="7687" max="7687" width="10.42578125" style="344" bestFit="1" customWidth="1"/>
    <col min="7688" max="7688" width="5" style="344" customWidth="1"/>
    <col min="7689" max="7689" width="10.42578125" style="344" bestFit="1" customWidth="1"/>
    <col min="7690" max="7692" width="9" style="344"/>
    <col min="7693" max="7693" width="10.42578125" style="344" bestFit="1" customWidth="1"/>
    <col min="7694" max="7922" width="9" style="344"/>
    <col min="7923" max="7923" width="3.5703125" style="344" customWidth="1"/>
    <col min="7924" max="7924" width="4.85546875" style="344" customWidth="1"/>
    <col min="7925" max="7925" width="5.42578125" style="344" customWidth="1"/>
    <col min="7926" max="7926" width="31.28515625" style="344" customWidth="1"/>
    <col min="7927" max="7927" width="7.5703125" style="344" customWidth="1"/>
    <col min="7928" max="7928" width="2.42578125" style="344" customWidth="1"/>
    <col min="7929" max="7929" width="11.5703125" style="344" customWidth="1"/>
    <col min="7930" max="7930" width="2.42578125" style="344" customWidth="1"/>
    <col min="7931" max="7931" width="11.5703125" style="344" customWidth="1"/>
    <col min="7932" max="7932" width="2.42578125" style="344" customWidth="1"/>
    <col min="7933" max="7933" width="10.85546875" style="344" customWidth="1"/>
    <col min="7934" max="7934" width="2.42578125" style="344" customWidth="1"/>
    <col min="7935" max="7935" width="11.140625" style="344" customWidth="1"/>
    <col min="7936" max="7936" width="1.85546875" style="344" customWidth="1"/>
    <col min="7937" max="7937" width="11" style="344" customWidth="1"/>
    <col min="7938" max="7938" width="0.7109375" style="344" customWidth="1"/>
    <col min="7939" max="7939" width="1.85546875" style="344" customWidth="1"/>
    <col min="7940" max="7940" width="11.85546875" style="344" bestFit="1" customWidth="1"/>
    <col min="7941" max="7941" width="15.28515625" style="344" bestFit="1" customWidth="1"/>
    <col min="7942" max="7942" width="5" style="344" customWidth="1"/>
    <col min="7943" max="7943" width="10.42578125" style="344" bestFit="1" customWidth="1"/>
    <col min="7944" max="7944" width="5" style="344" customWidth="1"/>
    <col min="7945" max="7945" width="10.42578125" style="344" bestFit="1" customWidth="1"/>
    <col min="7946" max="7948" width="9" style="344"/>
    <col min="7949" max="7949" width="10.42578125" style="344" bestFit="1" customWidth="1"/>
    <col min="7950" max="8178" width="9" style="344"/>
    <col min="8179" max="8179" width="3.5703125" style="344" customWidth="1"/>
    <col min="8180" max="8180" width="4.85546875" style="344" customWidth="1"/>
    <col min="8181" max="8181" width="5.42578125" style="344" customWidth="1"/>
    <col min="8182" max="8182" width="31.28515625" style="344" customWidth="1"/>
    <col min="8183" max="8183" width="7.5703125" style="344" customWidth="1"/>
    <col min="8184" max="8184" width="2.42578125" style="344" customWidth="1"/>
    <col min="8185" max="8185" width="11.5703125" style="344" customWidth="1"/>
    <col min="8186" max="8186" width="2.42578125" style="344" customWidth="1"/>
    <col min="8187" max="8187" width="11.5703125" style="344" customWidth="1"/>
    <col min="8188" max="8188" width="2.42578125" style="344" customWidth="1"/>
    <col min="8189" max="8189" width="10.85546875" style="344" customWidth="1"/>
    <col min="8190" max="8190" width="2.42578125" style="344" customWidth="1"/>
    <col min="8191" max="8191" width="11.140625" style="344" customWidth="1"/>
    <col min="8192" max="8192" width="1.85546875" style="344" customWidth="1"/>
    <col min="8193" max="8193" width="11" style="344" customWidth="1"/>
    <col min="8194" max="8194" width="0.7109375" style="344" customWidth="1"/>
    <col min="8195" max="8195" width="1.85546875" style="344" customWidth="1"/>
    <col min="8196" max="8196" width="11.85546875" style="344" bestFit="1" customWidth="1"/>
    <col min="8197" max="8197" width="15.28515625" style="344" bestFit="1" customWidth="1"/>
    <col min="8198" max="8198" width="5" style="344" customWidth="1"/>
    <col min="8199" max="8199" width="10.42578125" style="344" bestFit="1" customWidth="1"/>
    <col min="8200" max="8200" width="5" style="344" customWidth="1"/>
    <col min="8201" max="8201" width="10.42578125" style="344" bestFit="1" customWidth="1"/>
    <col min="8202" max="8204" width="9" style="344"/>
    <col min="8205" max="8205" width="10.42578125" style="344" bestFit="1" customWidth="1"/>
    <col min="8206" max="8434" width="9" style="344"/>
    <col min="8435" max="8435" width="3.5703125" style="344" customWidth="1"/>
    <col min="8436" max="8436" width="4.85546875" style="344" customWidth="1"/>
    <col min="8437" max="8437" width="5.42578125" style="344" customWidth="1"/>
    <col min="8438" max="8438" width="31.28515625" style="344" customWidth="1"/>
    <col min="8439" max="8439" width="7.5703125" style="344" customWidth="1"/>
    <col min="8440" max="8440" width="2.42578125" style="344" customWidth="1"/>
    <col min="8441" max="8441" width="11.5703125" style="344" customWidth="1"/>
    <col min="8442" max="8442" width="2.42578125" style="344" customWidth="1"/>
    <col min="8443" max="8443" width="11.5703125" style="344" customWidth="1"/>
    <col min="8444" max="8444" width="2.42578125" style="344" customWidth="1"/>
    <col min="8445" max="8445" width="10.85546875" style="344" customWidth="1"/>
    <col min="8446" max="8446" width="2.42578125" style="344" customWidth="1"/>
    <col min="8447" max="8447" width="11.140625" style="344" customWidth="1"/>
    <col min="8448" max="8448" width="1.85546875" style="344" customWidth="1"/>
    <col min="8449" max="8449" width="11" style="344" customWidth="1"/>
    <col min="8450" max="8450" width="0.7109375" style="344" customWidth="1"/>
    <col min="8451" max="8451" width="1.85546875" style="344" customWidth="1"/>
    <col min="8452" max="8452" width="11.85546875" style="344" bestFit="1" customWidth="1"/>
    <col min="8453" max="8453" width="15.28515625" style="344" bestFit="1" customWidth="1"/>
    <col min="8454" max="8454" width="5" style="344" customWidth="1"/>
    <col min="8455" max="8455" width="10.42578125" style="344" bestFit="1" customWidth="1"/>
    <col min="8456" max="8456" width="5" style="344" customWidth="1"/>
    <col min="8457" max="8457" width="10.42578125" style="344" bestFit="1" customWidth="1"/>
    <col min="8458" max="8460" width="9" style="344"/>
    <col min="8461" max="8461" width="10.42578125" style="344" bestFit="1" customWidth="1"/>
    <col min="8462" max="8690" width="9" style="344"/>
    <col min="8691" max="8691" width="3.5703125" style="344" customWidth="1"/>
    <col min="8692" max="8692" width="4.85546875" style="344" customWidth="1"/>
    <col min="8693" max="8693" width="5.42578125" style="344" customWidth="1"/>
    <col min="8694" max="8694" width="31.28515625" style="344" customWidth="1"/>
    <col min="8695" max="8695" width="7.5703125" style="344" customWidth="1"/>
    <col min="8696" max="8696" width="2.42578125" style="344" customWidth="1"/>
    <col min="8697" max="8697" width="11.5703125" style="344" customWidth="1"/>
    <col min="8698" max="8698" width="2.42578125" style="344" customWidth="1"/>
    <col min="8699" max="8699" width="11.5703125" style="344" customWidth="1"/>
    <col min="8700" max="8700" width="2.42578125" style="344" customWidth="1"/>
    <col min="8701" max="8701" width="10.85546875" style="344" customWidth="1"/>
    <col min="8702" max="8702" width="2.42578125" style="344" customWidth="1"/>
    <col min="8703" max="8703" width="11.140625" style="344" customWidth="1"/>
    <col min="8704" max="8704" width="1.85546875" style="344" customWidth="1"/>
    <col min="8705" max="8705" width="11" style="344" customWidth="1"/>
    <col min="8706" max="8706" width="0.7109375" style="344" customWidth="1"/>
    <col min="8707" max="8707" width="1.85546875" style="344" customWidth="1"/>
    <col min="8708" max="8708" width="11.85546875" style="344" bestFit="1" customWidth="1"/>
    <col min="8709" max="8709" width="15.28515625" style="344" bestFit="1" customWidth="1"/>
    <col min="8710" max="8710" width="5" style="344" customWidth="1"/>
    <col min="8711" max="8711" width="10.42578125" style="344" bestFit="1" customWidth="1"/>
    <col min="8712" max="8712" width="5" style="344" customWidth="1"/>
    <col min="8713" max="8713" width="10.42578125" style="344" bestFit="1" customWidth="1"/>
    <col min="8714" max="8716" width="9" style="344"/>
    <col min="8717" max="8717" width="10.42578125" style="344" bestFit="1" customWidth="1"/>
    <col min="8718" max="8946" width="9" style="344"/>
    <col min="8947" max="8947" width="3.5703125" style="344" customWidth="1"/>
    <col min="8948" max="8948" width="4.85546875" style="344" customWidth="1"/>
    <col min="8949" max="8949" width="5.42578125" style="344" customWidth="1"/>
    <col min="8950" max="8950" width="31.28515625" style="344" customWidth="1"/>
    <col min="8951" max="8951" width="7.5703125" style="344" customWidth="1"/>
    <col min="8952" max="8952" width="2.42578125" style="344" customWidth="1"/>
    <col min="8953" max="8953" width="11.5703125" style="344" customWidth="1"/>
    <col min="8954" max="8954" width="2.42578125" style="344" customWidth="1"/>
    <col min="8955" max="8955" width="11.5703125" style="344" customWidth="1"/>
    <col min="8956" max="8956" width="2.42578125" style="344" customWidth="1"/>
    <col min="8957" max="8957" width="10.85546875" style="344" customWidth="1"/>
    <col min="8958" max="8958" width="2.42578125" style="344" customWidth="1"/>
    <col min="8959" max="8959" width="11.140625" style="344" customWidth="1"/>
    <col min="8960" max="8960" width="1.85546875" style="344" customWidth="1"/>
    <col min="8961" max="8961" width="11" style="344" customWidth="1"/>
    <col min="8962" max="8962" width="0.7109375" style="344" customWidth="1"/>
    <col min="8963" max="8963" width="1.85546875" style="344" customWidth="1"/>
    <col min="8964" max="8964" width="11.85546875" style="344" bestFit="1" customWidth="1"/>
    <col min="8965" max="8965" width="15.28515625" style="344" bestFit="1" customWidth="1"/>
    <col min="8966" max="8966" width="5" style="344" customWidth="1"/>
    <col min="8967" max="8967" width="10.42578125" style="344" bestFit="1" customWidth="1"/>
    <col min="8968" max="8968" width="5" style="344" customWidth="1"/>
    <col min="8969" max="8969" width="10.42578125" style="344" bestFit="1" customWidth="1"/>
    <col min="8970" max="8972" width="9" style="344"/>
    <col min="8973" max="8973" width="10.42578125" style="344" bestFit="1" customWidth="1"/>
    <col min="8974" max="9202" width="9" style="344"/>
    <col min="9203" max="9203" width="3.5703125" style="344" customWidth="1"/>
    <col min="9204" max="9204" width="4.85546875" style="344" customWidth="1"/>
    <col min="9205" max="9205" width="5.42578125" style="344" customWidth="1"/>
    <col min="9206" max="9206" width="31.28515625" style="344" customWidth="1"/>
    <col min="9207" max="9207" width="7.5703125" style="344" customWidth="1"/>
    <col min="9208" max="9208" width="2.42578125" style="344" customWidth="1"/>
    <col min="9209" max="9209" width="11.5703125" style="344" customWidth="1"/>
    <col min="9210" max="9210" width="2.42578125" style="344" customWidth="1"/>
    <col min="9211" max="9211" width="11.5703125" style="344" customWidth="1"/>
    <col min="9212" max="9212" width="2.42578125" style="344" customWidth="1"/>
    <col min="9213" max="9213" width="10.85546875" style="344" customWidth="1"/>
    <col min="9214" max="9214" width="2.42578125" style="344" customWidth="1"/>
    <col min="9215" max="9215" width="11.140625" style="344" customWidth="1"/>
    <col min="9216" max="9216" width="1.85546875" style="344" customWidth="1"/>
    <col min="9217" max="9217" width="11" style="344" customWidth="1"/>
    <col min="9218" max="9218" width="0.7109375" style="344" customWidth="1"/>
    <col min="9219" max="9219" width="1.85546875" style="344" customWidth="1"/>
    <col min="9220" max="9220" width="11.85546875" style="344" bestFit="1" customWidth="1"/>
    <col min="9221" max="9221" width="15.28515625" style="344" bestFit="1" customWidth="1"/>
    <col min="9222" max="9222" width="5" style="344" customWidth="1"/>
    <col min="9223" max="9223" width="10.42578125" style="344" bestFit="1" customWidth="1"/>
    <col min="9224" max="9224" width="5" style="344" customWidth="1"/>
    <col min="9225" max="9225" width="10.42578125" style="344" bestFit="1" customWidth="1"/>
    <col min="9226" max="9228" width="9" style="344"/>
    <col min="9229" max="9229" width="10.42578125" style="344" bestFit="1" customWidth="1"/>
    <col min="9230" max="9458" width="9" style="344"/>
    <col min="9459" max="9459" width="3.5703125" style="344" customWidth="1"/>
    <col min="9460" max="9460" width="4.85546875" style="344" customWidth="1"/>
    <col min="9461" max="9461" width="5.42578125" style="344" customWidth="1"/>
    <col min="9462" max="9462" width="31.28515625" style="344" customWidth="1"/>
    <col min="9463" max="9463" width="7.5703125" style="344" customWidth="1"/>
    <col min="9464" max="9464" width="2.42578125" style="344" customWidth="1"/>
    <col min="9465" max="9465" width="11.5703125" style="344" customWidth="1"/>
    <col min="9466" max="9466" width="2.42578125" style="344" customWidth="1"/>
    <col min="9467" max="9467" width="11.5703125" style="344" customWidth="1"/>
    <col min="9468" max="9468" width="2.42578125" style="344" customWidth="1"/>
    <col min="9469" max="9469" width="10.85546875" style="344" customWidth="1"/>
    <col min="9470" max="9470" width="2.42578125" style="344" customWidth="1"/>
    <col min="9471" max="9471" width="11.140625" style="344" customWidth="1"/>
    <col min="9472" max="9472" width="1.85546875" style="344" customWidth="1"/>
    <col min="9473" max="9473" width="11" style="344" customWidth="1"/>
    <col min="9474" max="9474" width="0.7109375" style="344" customWidth="1"/>
    <col min="9475" max="9475" width="1.85546875" style="344" customWidth="1"/>
    <col min="9476" max="9476" width="11.85546875" style="344" bestFit="1" customWidth="1"/>
    <col min="9477" max="9477" width="15.28515625" style="344" bestFit="1" customWidth="1"/>
    <col min="9478" max="9478" width="5" style="344" customWidth="1"/>
    <col min="9479" max="9479" width="10.42578125" style="344" bestFit="1" customWidth="1"/>
    <col min="9480" max="9480" width="5" style="344" customWidth="1"/>
    <col min="9481" max="9481" width="10.42578125" style="344" bestFit="1" customWidth="1"/>
    <col min="9482" max="9484" width="9" style="344"/>
    <col min="9485" max="9485" width="10.42578125" style="344" bestFit="1" customWidth="1"/>
    <col min="9486" max="9714" width="9" style="344"/>
    <col min="9715" max="9715" width="3.5703125" style="344" customWidth="1"/>
    <col min="9716" max="9716" width="4.85546875" style="344" customWidth="1"/>
    <col min="9717" max="9717" width="5.42578125" style="344" customWidth="1"/>
    <col min="9718" max="9718" width="31.28515625" style="344" customWidth="1"/>
    <col min="9719" max="9719" width="7.5703125" style="344" customWidth="1"/>
    <col min="9720" max="9720" width="2.42578125" style="344" customWidth="1"/>
    <col min="9721" max="9721" width="11.5703125" style="344" customWidth="1"/>
    <col min="9722" max="9722" width="2.42578125" style="344" customWidth="1"/>
    <col min="9723" max="9723" width="11.5703125" style="344" customWidth="1"/>
    <col min="9724" max="9724" width="2.42578125" style="344" customWidth="1"/>
    <col min="9725" max="9725" width="10.85546875" style="344" customWidth="1"/>
    <col min="9726" max="9726" width="2.42578125" style="344" customWidth="1"/>
    <col min="9727" max="9727" width="11.140625" style="344" customWidth="1"/>
    <col min="9728" max="9728" width="1.85546875" style="344" customWidth="1"/>
    <col min="9729" max="9729" width="11" style="344" customWidth="1"/>
    <col min="9730" max="9730" width="0.7109375" style="344" customWidth="1"/>
    <col min="9731" max="9731" width="1.85546875" style="344" customWidth="1"/>
    <col min="9732" max="9732" width="11.85546875" style="344" bestFit="1" customWidth="1"/>
    <col min="9733" max="9733" width="15.28515625" style="344" bestFit="1" customWidth="1"/>
    <col min="9734" max="9734" width="5" style="344" customWidth="1"/>
    <col min="9735" max="9735" width="10.42578125" style="344" bestFit="1" customWidth="1"/>
    <col min="9736" max="9736" width="5" style="344" customWidth="1"/>
    <col min="9737" max="9737" width="10.42578125" style="344" bestFit="1" customWidth="1"/>
    <col min="9738" max="9740" width="9" style="344"/>
    <col min="9741" max="9741" width="10.42578125" style="344" bestFit="1" customWidth="1"/>
    <col min="9742" max="9970" width="9" style="344"/>
    <col min="9971" max="9971" width="3.5703125" style="344" customWidth="1"/>
    <col min="9972" max="9972" width="4.85546875" style="344" customWidth="1"/>
    <col min="9973" max="9973" width="5.42578125" style="344" customWidth="1"/>
    <col min="9974" max="9974" width="31.28515625" style="344" customWidth="1"/>
    <col min="9975" max="9975" width="7.5703125" style="344" customWidth="1"/>
    <col min="9976" max="9976" width="2.42578125" style="344" customWidth="1"/>
    <col min="9977" max="9977" width="11.5703125" style="344" customWidth="1"/>
    <col min="9978" max="9978" width="2.42578125" style="344" customWidth="1"/>
    <col min="9979" max="9979" width="11.5703125" style="344" customWidth="1"/>
    <col min="9980" max="9980" width="2.42578125" style="344" customWidth="1"/>
    <col min="9981" max="9981" width="10.85546875" style="344" customWidth="1"/>
    <col min="9982" max="9982" width="2.42578125" style="344" customWidth="1"/>
    <col min="9983" max="9983" width="11.140625" style="344" customWidth="1"/>
    <col min="9984" max="9984" width="1.85546875" style="344" customWidth="1"/>
    <col min="9985" max="9985" width="11" style="344" customWidth="1"/>
    <col min="9986" max="9986" width="0.7109375" style="344" customWidth="1"/>
    <col min="9987" max="9987" width="1.85546875" style="344" customWidth="1"/>
    <col min="9988" max="9988" width="11.85546875" style="344" bestFit="1" customWidth="1"/>
    <col min="9989" max="9989" width="15.28515625" style="344" bestFit="1" customWidth="1"/>
    <col min="9990" max="9990" width="5" style="344" customWidth="1"/>
    <col min="9991" max="9991" width="10.42578125" style="344" bestFit="1" customWidth="1"/>
    <col min="9992" max="9992" width="5" style="344" customWidth="1"/>
    <col min="9993" max="9993" width="10.42578125" style="344" bestFit="1" customWidth="1"/>
    <col min="9994" max="9996" width="9" style="344"/>
    <col min="9997" max="9997" width="10.42578125" style="344" bestFit="1" customWidth="1"/>
    <col min="9998" max="10226" width="9" style="344"/>
    <col min="10227" max="10227" width="3.5703125" style="344" customWidth="1"/>
    <col min="10228" max="10228" width="4.85546875" style="344" customWidth="1"/>
    <col min="10229" max="10229" width="5.42578125" style="344" customWidth="1"/>
    <col min="10230" max="10230" width="31.28515625" style="344" customWidth="1"/>
    <col min="10231" max="10231" width="7.5703125" style="344" customWidth="1"/>
    <col min="10232" max="10232" width="2.42578125" style="344" customWidth="1"/>
    <col min="10233" max="10233" width="11.5703125" style="344" customWidth="1"/>
    <col min="10234" max="10234" width="2.42578125" style="344" customWidth="1"/>
    <col min="10235" max="10235" width="11.5703125" style="344" customWidth="1"/>
    <col min="10236" max="10236" width="2.42578125" style="344" customWidth="1"/>
    <col min="10237" max="10237" width="10.85546875" style="344" customWidth="1"/>
    <col min="10238" max="10238" width="2.42578125" style="344" customWidth="1"/>
    <col min="10239" max="10239" width="11.140625" style="344" customWidth="1"/>
    <col min="10240" max="10240" width="1.85546875" style="344" customWidth="1"/>
    <col min="10241" max="10241" width="11" style="344" customWidth="1"/>
    <col min="10242" max="10242" width="0.7109375" style="344" customWidth="1"/>
    <col min="10243" max="10243" width="1.85546875" style="344" customWidth="1"/>
    <col min="10244" max="10244" width="11.85546875" style="344" bestFit="1" customWidth="1"/>
    <col min="10245" max="10245" width="15.28515625" style="344" bestFit="1" customWidth="1"/>
    <col min="10246" max="10246" width="5" style="344" customWidth="1"/>
    <col min="10247" max="10247" width="10.42578125" style="344" bestFit="1" customWidth="1"/>
    <col min="10248" max="10248" width="5" style="344" customWidth="1"/>
    <col min="10249" max="10249" width="10.42578125" style="344" bestFit="1" customWidth="1"/>
    <col min="10250" max="10252" width="9" style="344"/>
    <col min="10253" max="10253" width="10.42578125" style="344" bestFit="1" customWidth="1"/>
    <col min="10254" max="10482" width="9" style="344"/>
    <col min="10483" max="10483" width="3.5703125" style="344" customWidth="1"/>
    <col min="10484" max="10484" width="4.85546875" style="344" customWidth="1"/>
    <col min="10485" max="10485" width="5.42578125" style="344" customWidth="1"/>
    <col min="10486" max="10486" width="31.28515625" style="344" customWidth="1"/>
    <col min="10487" max="10487" width="7.5703125" style="344" customWidth="1"/>
    <col min="10488" max="10488" width="2.42578125" style="344" customWidth="1"/>
    <col min="10489" max="10489" width="11.5703125" style="344" customWidth="1"/>
    <col min="10490" max="10490" width="2.42578125" style="344" customWidth="1"/>
    <col min="10491" max="10491" width="11.5703125" style="344" customWidth="1"/>
    <col min="10492" max="10492" width="2.42578125" style="344" customWidth="1"/>
    <col min="10493" max="10493" width="10.85546875" style="344" customWidth="1"/>
    <col min="10494" max="10494" width="2.42578125" style="344" customWidth="1"/>
    <col min="10495" max="10495" width="11.140625" style="344" customWidth="1"/>
    <col min="10496" max="10496" width="1.85546875" style="344" customWidth="1"/>
    <col min="10497" max="10497" width="11" style="344" customWidth="1"/>
    <col min="10498" max="10498" width="0.7109375" style="344" customWidth="1"/>
    <col min="10499" max="10499" width="1.85546875" style="344" customWidth="1"/>
    <col min="10500" max="10500" width="11.85546875" style="344" bestFit="1" customWidth="1"/>
    <col min="10501" max="10501" width="15.28515625" style="344" bestFit="1" customWidth="1"/>
    <col min="10502" max="10502" width="5" style="344" customWidth="1"/>
    <col min="10503" max="10503" width="10.42578125" style="344" bestFit="1" customWidth="1"/>
    <col min="10504" max="10504" width="5" style="344" customWidth="1"/>
    <col min="10505" max="10505" width="10.42578125" style="344" bestFit="1" customWidth="1"/>
    <col min="10506" max="10508" width="9" style="344"/>
    <col min="10509" max="10509" width="10.42578125" style="344" bestFit="1" customWidth="1"/>
    <col min="10510" max="10738" width="9" style="344"/>
    <col min="10739" max="10739" width="3.5703125" style="344" customWidth="1"/>
    <col min="10740" max="10740" width="4.85546875" style="344" customWidth="1"/>
    <col min="10741" max="10741" width="5.42578125" style="344" customWidth="1"/>
    <col min="10742" max="10742" width="31.28515625" style="344" customWidth="1"/>
    <col min="10743" max="10743" width="7.5703125" style="344" customWidth="1"/>
    <col min="10744" max="10744" width="2.42578125" style="344" customWidth="1"/>
    <col min="10745" max="10745" width="11.5703125" style="344" customWidth="1"/>
    <col min="10746" max="10746" width="2.42578125" style="344" customWidth="1"/>
    <col min="10747" max="10747" width="11.5703125" style="344" customWidth="1"/>
    <col min="10748" max="10748" width="2.42578125" style="344" customWidth="1"/>
    <col min="10749" max="10749" width="10.85546875" style="344" customWidth="1"/>
    <col min="10750" max="10750" width="2.42578125" style="344" customWidth="1"/>
    <col min="10751" max="10751" width="11.140625" style="344" customWidth="1"/>
    <col min="10752" max="10752" width="1.85546875" style="344" customWidth="1"/>
    <col min="10753" max="10753" width="11" style="344" customWidth="1"/>
    <col min="10754" max="10754" width="0.7109375" style="344" customWidth="1"/>
    <col min="10755" max="10755" width="1.85546875" style="344" customWidth="1"/>
    <col min="10756" max="10756" width="11.85546875" style="344" bestFit="1" customWidth="1"/>
    <col min="10757" max="10757" width="15.28515625" style="344" bestFit="1" customWidth="1"/>
    <col min="10758" max="10758" width="5" style="344" customWidth="1"/>
    <col min="10759" max="10759" width="10.42578125" style="344" bestFit="1" customWidth="1"/>
    <col min="10760" max="10760" width="5" style="344" customWidth="1"/>
    <col min="10761" max="10761" width="10.42578125" style="344" bestFit="1" customWidth="1"/>
    <col min="10762" max="10764" width="9" style="344"/>
    <col min="10765" max="10765" width="10.42578125" style="344" bestFit="1" customWidth="1"/>
    <col min="10766" max="10994" width="9" style="344"/>
    <col min="10995" max="10995" width="3.5703125" style="344" customWidth="1"/>
    <col min="10996" max="10996" width="4.85546875" style="344" customWidth="1"/>
    <col min="10997" max="10997" width="5.42578125" style="344" customWidth="1"/>
    <col min="10998" max="10998" width="31.28515625" style="344" customWidth="1"/>
    <col min="10999" max="10999" width="7.5703125" style="344" customWidth="1"/>
    <col min="11000" max="11000" width="2.42578125" style="344" customWidth="1"/>
    <col min="11001" max="11001" width="11.5703125" style="344" customWidth="1"/>
    <col min="11002" max="11002" width="2.42578125" style="344" customWidth="1"/>
    <col min="11003" max="11003" width="11.5703125" style="344" customWidth="1"/>
    <col min="11004" max="11004" width="2.42578125" style="344" customWidth="1"/>
    <col min="11005" max="11005" width="10.85546875" style="344" customWidth="1"/>
    <col min="11006" max="11006" width="2.42578125" style="344" customWidth="1"/>
    <col min="11007" max="11007" width="11.140625" style="344" customWidth="1"/>
    <col min="11008" max="11008" width="1.85546875" style="344" customWidth="1"/>
    <col min="11009" max="11009" width="11" style="344" customWidth="1"/>
    <col min="11010" max="11010" width="0.7109375" style="344" customWidth="1"/>
    <col min="11011" max="11011" width="1.85546875" style="344" customWidth="1"/>
    <col min="11012" max="11012" width="11.85546875" style="344" bestFit="1" customWidth="1"/>
    <col min="11013" max="11013" width="15.28515625" style="344" bestFit="1" customWidth="1"/>
    <col min="11014" max="11014" width="5" style="344" customWidth="1"/>
    <col min="11015" max="11015" width="10.42578125" style="344" bestFit="1" customWidth="1"/>
    <col min="11016" max="11016" width="5" style="344" customWidth="1"/>
    <col min="11017" max="11017" width="10.42578125" style="344" bestFit="1" customWidth="1"/>
    <col min="11018" max="11020" width="9" style="344"/>
    <col min="11021" max="11021" width="10.42578125" style="344" bestFit="1" customWidth="1"/>
    <col min="11022" max="11250" width="9" style="344"/>
    <col min="11251" max="11251" width="3.5703125" style="344" customWidth="1"/>
    <col min="11252" max="11252" width="4.85546875" style="344" customWidth="1"/>
    <col min="11253" max="11253" width="5.42578125" style="344" customWidth="1"/>
    <col min="11254" max="11254" width="31.28515625" style="344" customWidth="1"/>
    <col min="11255" max="11255" width="7.5703125" style="344" customWidth="1"/>
    <col min="11256" max="11256" width="2.42578125" style="344" customWidth="1"/>
    <col min="11257" max="11257" width="11.5703125" style="344" customWidth="1"/>
    <col min="11258" max="11258" width="2.42578125" style="344" customWidth="1"/>
    <col min="11259" max="11259" width="11.5703125" style="344" customWidth="1"/>
    <col min="11260" max="11260" width="2.42578125" style="344" customWidth="1"/>
    <col min="11261" max="11261" width="10.85546875" style="344" customWidth="1"/>
    <col min="11262" max="11262" width="2.42578125" style="344" customWidth="1"/>
    <col min="11263" max="11263" width="11.140625" style="344" customWidth="1"/>
    <col min="11264" max="11264" width="1.85546875" style="344" customWidth="1"/>
    <col min="11265" max="11265" width="11" style="344" customWidth="1"/>
    <col min="11266" max="11266" width="0.7109375" style="344" customWidth="1"/>
    <col min="11267" max="11267" width="1.85546875" style="344" customWidth="1"/>
    <col min="11268" max="11268" width="11.85546875" style="344" bestFit="1" customWidth="1"/>
    <col min="11269" max="11269" width="15.28515625" style="344" bestFit="1" customWidth="1"/>
    <col min="11270" max="11270" width="5" style="344" customWidth="1"/>
    <col min="11271" max="11271" width="10.42578125" style="344" bestFit="1" customWidth="1"/>
    <col min="11272" max="11272" width="5" style="344" customWidth="1"/>
    <col min="11273" max="11273" width="10.42578125" style="344" bestFit="1" customWidth="1"/>
    <col min="11274" max="11276" width="9" style="344"/>
    <col min="11277" max="11277" width="10.42578125" style="344" bestFit="1" customWidth="1"/>
    <col min="11278" max="11506" width="9" style="344"/>
    <col min="11507" max="11507" width="3.5703125" style="344" customWidth="1"/>
    <col min="11508" max="11508" width="4.85546875" style="344" customWidth="1"/>
    <col min="11509" max="11509" width="5.42578125" style="344" customWidth="1"/>
    <col min="11510" max="11510" width="31.28515625" style="344" customWidth="1"/>
    <col min="11511" max="11511" width="7.5703125" style="344" customWidth="1"/>
    <col min="11512" max="11512" width="2.42578125" style="344" customWidth="1"/>
    <col min="11513" max="11513" width="11.5703125" style="344" customWidth="1"/>
    <col min="11514" max="11514" width="2.42578125" style="344" customWidth="1"/>
    <col min="11515" max="11515" width="11.5703125" style="344" customWidth="1"/>
    <col min="11516" max="11516" width="2.42578125" style="344" customWidth="1"/>
    <col min="11517" max="11517" width="10.85546875" style="344" customWidth="1"/>
    <col min="11518" max="11518" width="2.42578125" style="344" customWidth="1"/>
    <col min="11519" max="11519" width="11.140625" style="344" customWidth="1"/>
    <col min="11520" max="11520" width="1.85546875" style="344" customWidth="1"/>
    <col min="11521" max="11521" width="11" style="344" customWidth="1"/>
    <col min="11522" max="11522" width="0.7109375" style="344" customWidth="1"/>
    <col min="11523" max="11523" width="1.85546875" style="344" customWidth="1"/>
    <col min="11524" max="11524" width="11.85546875" style="344" bestFit="1" customWidth="1"/>
    <col min="11525" max="11525" width="15.28515625" style="344" bestFit="1" customWidth="1"/>
    <col min="11526" max="11526" width="5" style="344" customWidth="1"/>
    <col min="11527" max="11527" width="10.42578125" style="344" bestFit="1" customWidth="1"/>
    <col min="11528" max="11528" width="5" style="344" customWidth="1"/>
    <col min="11529" max="11529" width="10.42578125" style="344" bestFit="1" customWidth="1"/>
    <col min="11530" max="11532" width="9" style="344"/>
    <col min="11533" max="11533" width="10.42578125" style="344" bestFit="1" customWidth="1"/>
    <col min="11534" max="11762" width="9" style="344"/>
    <col min="11763" max="11763" width="3.5703125" style="344" customWidth="1"/>
    <col min="11764" max="11764" width="4.85546875" style="344" customWidth="1"/>
    <col min="11765" max="11765" width="5.42578125" style="344" customWidth="1"/>
    <col min="11766" max="11766" width="31.28515625" style="344" customWidth="1"/>
    <col min="11767" max="11767" width="7.5703125" style="344" customWidth="1"/>
    <col min="11768" max="11768" width="2.42578125" style="344" customWidth="1"/>
    <col min="11769" max="11769" width="11.5703125" style="344" customWidth="1"/>
    <col min="11770" max="11770" width="2.42578125" style="344" customWidth="1"/>
    <col min="11771" max="11771" width="11.5703125" style="344" customWidth="1"/>
    <col min="11772" max="11772" width="2.42578125" style="344" customWidth="1"/>
    <col min="11773" max="11773" width="10.85546875" style="344" customWidth="1"/>
    <col min="11774" max="11774" width="2.42578125" style="344" customWidth="1"/>
    <col min="11775" max="11775" width="11.140625" style="344" customWidth="1"/>
    <col min="11776" max="11776" width="1.85546875" style="344" customWidth="1"/>
    <col min="11777" max="11777" width="11" style="344" customWidth="1"/>
    <col min="11778" max="11778" width="0.7109375" style="344" customWidth="1"/>
    <col min="11779" max="11779" width="1.85546875" style="344" customWidth="1"/>
    <col min="11780" max="11780" width="11.85546875" style="344" bestFit="1" customWidth="1"/>
    <col min="11781" max="11781" width="15.28515625" style="344" bestFit="1" customWidth="1"/>
    <col min="11782" max="11782" width="5" style="344" customWidth="1"/>
    <col min="11783" max="11783" width="10.42578125" style="344" bestFit="1" customWidth="1"/>
    <col min="11784" max="11784" width="5" style="344" customWidth="1"/>
    <col min="11785" max="11785" width="10.42578125" style="344" bestFit="1" customWidth="1"/>
    <col min="11786" max="11788" width="9" style="344"/>
    <col min="11789" max="11789" width="10.42578125" style="344" bestFit="1" customWidth="1"/>
    <col min="11790" max="12018" width="9" style="344"/>
    <col min="12019" max="12019" width="3.5703125" style="344" customWidth="1"/>
    <col min="12020" max="12020" width="4.85546875" style="344" customWidth="1"/>
    <col min="12021" max="12021" width="5.42578125" style="344" customWidth="1"/>
    <col min="12022" max="12022" width="31.28515625" style="344" customWidth="1"/>
    <col min="12023" max="12023" width="7.5703125" style="344" customWidth="1"/>
    <col min="12024" max="12024" width="2.42578125" style="344" customWidth="1"/>
    <col min="12025" max="12025" width="11.5703125" style="344" customWidth="1"/>
    <col min="12026" max="12026" width="2.42578125" style="344" customWidth="1"/>
    <col min="12027" max="12027" width="11.5703125" style="344" customWidth="1"/>
    <col min="12028" max="12028" width="2.42578125" style="344" customWidth="1"/>
    <col min="12029" max="12029" width="10.85546875" style="344" customWidth="1"/>
    <col min="12030" max="12030" width="2.42578125" style="344" customWidth="1"/>
    <col min="12031" max="12031" width="11.140625" style="344" customWidth="1"/>
    <col min="12032" max="12032" width="1.85546875" style="344" customWidth="1"/>
    <col min="12033" max="12033" width="11" style="344" customWidth="1"/>
    <col min="12034" max="12034" width="0.7109375" style="344" customWidth="1"/>
    <col min="12035" max="12035" width="1.85546875" style="344" customWidth="1"/>
    <col min="12036" max="12036" width="11.85546875" style="344" bestFit="1" customWidth="1"/>
    <col min="12037" max="12037" width="15.28515625" style="344" bestFit="1" customWidth="1"/>
    <col min="12038" max="12038" width="5" style="344" customWidth="1"/>
    <col min="12039" max="12039" width="10.42578125" style="344" bestFit="1" customWidth="1"/>
    <col min="12040" max="12040" width="5" style="344" customWidth="1"/>
    <col min="12041" max="12041" width="10.42578125" style="344" bestFit="1" customWidth="1"/>
    <col min="12042" max="12044" width="9" style="344"/>
    <col min="12045" max="12045" width="10.42578125" style="344" bestFit="1" customWidth="1"/>
    <col min="12046" max="12274" width="9" style="344"/>
    <col min="12275" max="12275" width="3.5703125" style="344" customWidth="1"/>
    <col min="12276" max="12276" width="4.85546875" style="344" customWidth="1"/>
    <col min="12277" max="12277" width="5.42578125" style="344" customWidth="1"/>
    <col min="12278" max="12278" width="31.28515625" style="344" customWidth="1"/>
    <col min="12279" max="12279" width="7.5703125" style="344" customWidth="1"/>
    <col min="12280" max="12280" width="2.42578125" style="344" customWidth="1"/>
    <col min="12281" max="12281" width="11.5703125" style="344" customWidth="1"/>
    <col min="12282" max="12282" width="2.42578125" style="344" customWidth="1"/>
    <col min="12283" max="12283" width="11.5703125" style="344" customWidth="1"/>
    <col min="12284" max="12284" width="2.42578125" style="344" customWidth="1"/>
    <col min="12285" max="12285" width="10.85546875" style="344" customWidth="1"/>
    <col min="12286" max="12286" width="2.42578125" style="344" customWidth="1"/>
    <col min="12287" max="12287" width="11.140625" style="344" customWidth="1"/>
    <col min="12288" max="12288" width="1.85546875" style="344" customWidth="1"/>
    <col min="12289" max="12289" width="11" style="344" customWidth="1"/>
    <col min="12290" max="12290" width="0.7109375" style="344" customWidth="1"/>
    <col min="12291" max="12291" width="1.85546875" style="344" customWidth="1"/>
    <col min="12292" max="12292" width="11.85546875" style="344" bestFit="1" customWidth="1"/>
    <col min="12293" max="12293" width="15.28515625" style="344" bestFit="1" customWidth="1"/>
    <col min="12294" max="12294" width="5" style="344" customWidth="1"/>
    <col min="12295" max="12295" width="10.42578125" style="344" bestFit="1" customWidth="1"/>
    <col min="12296" max="12296" width="5" style="344" customWidth="1"/>
    <col min="12297" max="12297" width="10.42578125" style="344" bestFit="1" customWidth="1"/>
    <col min="12298" max="12300" width="9" style="344"/>
    <col min="12301" max="12301" width="10.42578125" style="344" bestFit="1" customWidth="1"/>
    <col min="12302" max="12530" width="9" style="344"/>
    <col min="12531" max="12531" width="3.5703125" style="344" customWidth="1"/>
    <col min="12532" max="12532" width="4.85546875" style="344" customWidth="1"/>
    <col min="12533" max="12533" width="5.42578125" style="344" customWidth="1"/>
    <col min="12534" max="12534" width="31.28515625" style="344" customWidth="1"/>
    <col min="12535" max="12535" width="7.5703125" style="344" customWidth="1"/>
    <col min="12536" max="12536" width="2.42578125" style="344" customWidth="1"/>
    <col min="12537" max="12537" width="11.5703125" style="344" customWidth="1"/>
    <col min="12538" max="12538" width="2.42578125" style="344" customWidth="1"/>
    <col min="12539" max="12539" width="11.5703125" style="344" customWidth="1"/>
    <col min="12540" max="12540" width="2.42578125" style="344" customWidth="1"/>
    <col min="12541" max="12541" width="10.85546875" style="344" customWidth="1"/>
    <col min="12542" max="12542" width="2.42578125" style="344" customWidth="1"/>
    <col min="12543" max="12543" width="11.140625" style="344" customWidth="1"/>
    <col min="12544" max="12544" width="1.85546875" style="344" customWidth="1"/>
    <col min="12545" max="12545" width="11" style="344" customWidth="1"/>
    <col min="12546" max="12546" width="0.7109375" style="344" customWidth="1"/>
    <col min="12547" max="12547" width="1.85546875" style="344" customWidth="1"/>
    <col min="12548" max="12548" width="11.85546875" style="344" bestFit="1" customWidth="1"/>
    <col min="12549" max="12549" width="15.28515625" style="344" bestFit="1" customWidth="1"/>
    <col min="12550" max="12550" width="5" style="344" customWidth="1"/>
    <col min="12551" max="12551" width="10.42578125" style="344" bestFit="1" customWidth="1"/>
    <col min="12552" max="12552" width="5" style="344" customWidth="1"/>
    <col min="12553" max="12553" width="10.42578125" style="344" bestFit="1" customWidth="1"/>
    <col min="12554" max="12556" width="9" style="344"/>
    <col min="12557" max="12557" width="10.42578125" style="344" bestFit="1" customWidth="1"/>
    <col min="12558" max="12786" width="9" style="344"/>
    <col min="12787" max="12787" width="3.5703125" style="344" customWidth="1"/>
    <col min="12788" max="12788" width="4.85546875" style="344" customWidth="1"/>
    <col min="12789" max="12789" width="5.42578125" style="344" customWidth="1"/>
    <col min="12790" max="12790" width="31.28515625" style="344" customWidth="1"/>
    <col min="12791" max="12791" width="7.5703125" style="344" customWidth="1"/>
    <col min="12792" max="12792" width="2.42578125" style="344" customWidth="1"/>
    <col min="12793" max="12793" width="11.5703125" style="344" customWidth="1"/>
    <col min="12794" max="12794" width="2.42578125" style="344" customWidth="1"/>
    <col min="12795" max="12795" width="11.5703125" style="344" customWidth="1"/>
    <col min="12796" max="12796" width="2.42578125" style="344" customWidth="1"/>
    <col min="12797" max="12797" width="10.85546875" style="344" customWidth="1"/>
    <col min="12798" max="12798" width="2.42578125" style="344" customWidth="1"/>
    <col min="12799" max="12799" width="11.140625" style="344" customWidth="1"/>
    <col min="12800" max="12800" width="1.85546875" style="344" customWidth="1"/>
    <col min="12801" max="12801" width="11" style="344" customWidth="1"/>
    <col min="12802" max="12802" width="0.7109375" style="344" customWidth="1"/>
    <col min="12803" max="12803" width="1.85546875" style="344" customWidth="1"/>
    <col min="12804" max="12804" width="11.85546875" style="344" bestFit="1" customWidth="1"/>
    <col min="12805" max="12805" width="15.28515625" style="344" bestFit="1" customWidth="1"/>
    <col min="12806" max="12806" width="5" style="344" customWidth="1"/>
    <col min="12807" max="12807" width="10.42578125" style="344" bestFit="1" customWidth="1"/>
    <col min="12808" max="12808" width="5" style="344" customWidth="1"/>
    <col min="12809" max="12809" width="10.42578125" style="344" bestFit="1" customWidth="1"/>
    <col min="12810" max="12812" width="9" style="344"/>
    <col min="12813" max="12813" width="10.42578125" style="344" bestFit="1" customWidth="1"/>
    <col min="12814" max="13042" width="9" style="344"/>
    <col min="13043" max="13043" width="3.5703125" style="344" customWidth="1"/>
    <col min="13044" max="13044" width="4.85546875" style="344" customWidth="1"/>
    <col min="13045" max="13045" width="5.42578125" style="344" customWidth="1"/>
    <col min="13046" max="13046" width="31.28515625" style="344" customWidth="1"/>
    <col min="13047" max="13047" width="7.5703125" style="344" customWidth="1"/>
    <col min="13048" max="13048" width="2.42578125" style="344" customWidth="1"/>
    <col min="13049" max="13049" width="11.5703125" style="344" customWidth="1"/>
    <col min="13050" max="13050" width="2.42578125" style="344" customWidth="1"/>
    <col min="13051" max="13051" width="11.5703125" style="344" customWidth="1"/>
    <col min="13052" max="13052" width="2.42578125" style="344" customWidth="1"/>
    <col min="13053" max="13053" width="10.85546875" style="344" customWidth="1"/>
    <col min="13054" max="13054" width="2.42578125" style="344" customWidth="1"/>
    <col min="13055" max="13055" width="11.140625" style="344" customWidth="1"/>
    <col min="13056" max="13056" width="1.85546875" style="344" customWidth="1"/>
    <col min="13057" max="13057" width="11" style="344" customWidth="1"/>
    <col min="13058" max="13058" width="0.7109375" style="344" customWidth="1"/>
    <col min="13059" max="13059" width="1.85546875" style="344" customWidth="1"/>
    <col min="13060" max="13060" width="11.85546875" style="344" bestFit="1" customWidth="1"/>
    <col min="13061" max="13061" width="15.28515625" style="344" bestFit="1" customWidth="1"/>
    <col min="13062" max="13062" width="5" style="344" customWidth="1"/>
    <col min="13063" max="13063" width="10.42578125" style="344" bestFit="1" customWidth="1"/>
    <col min="13064" max="13064" width="5" style="344" customWidth="1"/>
    <col min="13065" max="13065" width="10.42578125" style="344" bestFit="1" customWidth="1"/>
    <col min="13066" max="13068" width="9" style="344"/>
    <col min="13069" max="13069" width="10.42578125" style="344" bestFit="1" customWidth="1"/>
    <col min="13070" max="13298" width="9" style="344"/>
    <col min="13299" max="13299" width="3.5703125" style="344" customWidth="1"/>
    <col min="13300" max="13300" width="4.85546875" style="344" customWidth="1"/>
    <col min="13301" max="13301" width="5.42578125" style="344" customWidth="1"/>
    <col min="13302" max="13302" width="31.28515625" style="344" customWidth="1"/>
    <col min="13303" max="13303" width="7.5703125" style="344" customWidth="1"/>
    <col min="13304" max="13304" width="2.42578125" style="344" customWidth="1"/>
    <col min="13305" max="13305" width="11.5703125" style="344" customWidth="1"/>
    <col min="13306" max="13306" width="2.42578125" style="344" customWidth="1"/>
    <col min="13307" max="13307" width="11.5703125" style="344" customWidth="1"/>
    <col min="13308" max="13308" width="2.42578125" style="344" customWidth="1"/>
    <col min="13309" max="13309" width="10.85546875" style="344" customWidth="1"/>
    <col min="13310" max="13310" width="2.42578125" style="344" customWidth="1"/>
    <col min="13311" max="13311" width="11.140625" style="344" customWidth="1"/>
    <col min="13312" max="13312" width="1.85546875" style="344" customWidth="1"/>
    <col min="13313" max="13313" width="11" style="344" customWidth="1"/>
    <col min="13314" max="13314" width="0.7109375" style="344" customWidth="1"/>
    <col min="13315" max="13315" width="1.85546875" style="344" customWidth="1"/>
    <col min="13316" max="13316" width="11.85546875" style="344" bestFit="1" customWidth="1"/>
    <col min="13317" max="13317" width="15.28515625" style="344" bestFit="1" customWidth="1"/>
    <col min="13318" max="13318" width="5" style="344" customWidth="1"/>
    <col min="13319" max="13319" width="10.42578125" style="344" bestFit="1" customWidth="1"/>
    <col min="13320" max="13320" width="5" style="344" customWidth="1"/>
    <col min="13321" max="13321" width="10.42578125" style="344" bestFit="1" customWidth="1"/>
    <col min="13322" max="13324" width="9" style="344"/>
    <col min="13325" max="13325" width="10.42578125" style="344" bestFit="1" customWidth="1"/>
    <col min="13326" max="13554" width="9" style="344"/>
    <col min="13555" max="13555" width="3.5703125" style="344" customWidth="1"/>
    <col min="13556" max="13556" width="4.85546875" style="344" customWidth="1"/>
    <col min="13557" max="13557" width="5.42578125" style="344" customWidth="1"/>
    <col min="13558" max="13558" width="31.28515625" style="344" customWidth="1"/>
    <col min="13559" max="13559" width="7.5703125" style="344" customWidth="1"/>
    <col min="13560" max="13560" width="2.42578125" style="344" customWidth="1"/>
    <col min="13561" max="13561" width="11.5703125" style="344" customWidth="1"/>
    <col min="13562" max="13562" width="2.42578125" style="344" customWidth="1"/>
    <col min="13563" max="13563" width="11.5703125" style="344" customWidth="1"/>
    <col min="13564" max="13564" width="2.42578125" style="344" customWidth="1"/>
    <col min="13565" max="13565" width="10.85546875" style="344" customWidth="1"/>
    <col min="13566" max="13566" width="2.42578125" style="344" customWidth="1"/>
    <col min="13567" max="13567" width="11.140625" style="344" customWidth="1"/>
    <col min="13568" max="13568" width="1.85546875" style="344" customWidth="1"/>
    <col min="13569" max="13569" width="11" style="344" customWidth="1"/>
    <col min="13570" max="13570" width="0.7109375" style="344" customWidth="1"/>
    <col min="13571" max="13571" width="1.85546875" style="344" customWidth="1"/>
    <col min="13572" max="13572" width="11.85546875" style="344" bestFit="1" customWidth="1"/>
    <col min="13573" max="13573" width="15.28515625" style="344" bestFit="1" customWidth="1"/>
    <col min="13574" max="13574" width="5" style="344" customWidth="1"/>
    <col min="13575" max="13575" width="10.42578125" style="344" bestFit="1" customWidth="1"/>
    <col min="13576" max="13576" width="5" style="344" customWidth="1"/>
    <col min="13577" max="13577" width="10.42578125" style="344" bestFit="1" customWidth="1"/>
    <col min="13578" max="13580" width="9" style="344"/>
    <col min="13581" max="13581" width="10.42578125" style="344" bestFit="1" customWidth="1"/>
    <col min="13582" max="13810" width="9" style="344"/>
    <col min="13811" max="13811" width="3.5703125" style="344" customWidth="1"/>
    <col min="13812" max="13812" width="4.85546875" style="344" customWidth="1"/>
    <col min="13813" max="13813" width="5.42578125" style="344" customWidth="1"/>
    <col min="13814" max="13814" width="31.28515625" style="344" customWidth="1"/>
    <col min="13815" max="13815" width="7.5703125" style="344" customWidth="1"/>
    <col min="13816" max="13816" width="2.42578125" style="344" customWidth="1"/>
    <col min="13817" max="13817" width="11.5703125" style="344" customWidth="1"/>
    <col min="13818" max="13818" width="2.42578125" style="344" customWidth="1"/>
    <col min="13819" max="13819" width="11.5703125" style="344" customWidth="1"/>
    <col min="13820" max="13820" width="2.42578125" style="344" customWidth="1"/>
    <col min="13821" max="13821" width="10.85546875" style="344" customWidth="1"/>
    <col min="13822" max="13822" width="2.42578125" style="344" customWidth="1"/>
    <col min="13823" max="13823" width="11.140625" style="344" customWidth="1"/>
    <col min="13824" max="13824" width="1.85546875" style="344" customWidth="1"/>
    <col min="13825" max="13825" width="11" style="344" customWidth="1"/>
    <col min="13826" max="13826" width="0.7109375" style="344" customWidth="1"/>
    <col min="13827" max="13827" width="1.85546875" style="344" customWidth="1"/>
    <col min="13828" max="13828" width="11.85546875" style="344" bestFit="1" customWidth="1"/>
    <col min="13829" max="13829" width="15.28515625" style="344" bestFit="1" customWidth="1"/>
    <col min="13830" max="13830" width="5" style="344" customWidth="1"/>
    <col min="13831" max="13831" width="10.42578125" style="344" bestFit="1" customWidth="1"/>
    <col min="13832" max="13832" width="5" style="344" customWidth="1"/>
    <col min="13833" max="13833" width="10.42578125" style="344" bestFit="1" customWidth="1"/>
    <col min="13834" max="13836" width="9" style="344"/>
    <col min="13837" max="13837" width="10.42578125" style="344" bestFit="1" customWidth="1"/>
    <col min="13838" max="14066" width="9" style="344"/>
    <col min="14067" max="14067" width="3.5703125" style="344" customWidth="1"/>
    <col min="14068" max="14068" width="4.85546875" style="344" customWidth="1"/>
    <col min="14069" max="14069" width="5.42578125" style="344" customWidth="1"/>
    <col min="14070" max="14070" width="31.28515625" style="344" customWidth="1"/>
    <col min="14071" max="14071" width="7.5703125" style="344" customWidth="1"/>
    <col min="14072" max="14072" width="2.42578125" style="344" customWidth="1"/>
    <col min="14073" max="14073" width="11.5703125" style="344" customWidth="1"/>
    <col min="14074" max="14074" width="2.42578125" style="344" customWidth="1"/>
    <col min="14075" max="14075" width="11.5703125" style="344" customWidth="1"/>
    <col min="14076" max="14076" width="2.42578125" style="344" customWidth="1"/>
    <col min="14077" max="14077" width="10.85546875" style="344" customWidth="1"/>
    <col min="14078" max="14078" width="2.42578125" style="344" customWidth="1"/>
    <col min="14079" max="14079" width="11.140625" style="344" customWidth="1"/>
    <col min="14080" max="14080" width="1.85546875" style="344" customWidth="1"/>
    <col min="14081" max="14081" width="11" style="344" customWidth="1"/>
    <col min="14082" max="14082" width="0.7109375" style="344" customWidth="1"/>
    <col min="14083" max="14083" width="1.85546875" style="344" customWidth="1"/>
    <col min="14084" max="14084" width="11.85546875" style="344" bestFit="1" customWidth="1"/>
    <col min="14085" max="14085" width="15.28515625" style="344" bestFit="1" customWidth="1"/>
    <col min="14086" max="14086" width="5" style="344" customWidth="1"/>
    <col min="14087" max="14087" width="10.42578125" style="344" bestFit="1" customWidth="1"/>
    <col min="14088" max="14088" width="5" style="344" customWidth="1"/>
    <col min="14089" max="14089" width="10.42578125" style="344" bestFit="1" customWidth="1"/>
    <col min="14090" max="14092" width="9" style="344"/>
    <col min="14093" max="14093" width="10.42578125" style="344" bestFit="1" customWidth="1"/>
    <col min="14094" max="14322" width="9" style="344"/>
    <col min="14323" max="14323" width="3.5703125" style="344" customWidth="1"/>
    <col min="14324" max="14324" width="4.85546875" style="344" customWidth="1"/>
    <col min="14325" max="14325" width="5.42578125" style="344" customWidth="1"/>
    <col min="14326" max="14326" width="31.28515625" style="344" customWidth="1"/>
    <col min="14327" max="14327" width="7.5703125" style="344" customWidth="1"/>
    <col min="14328" max="14328" width="2.42578125" style="344" customWidth="1"/>
    <col min="14329" max="14329" width="11.5703125" style="344" customWidth="1"/>
    <col min="14330" max="14330" width="2.42578125" style="344" customWidth="1"/>
    <col min="14331" max="14331" width="11.5703125" style="344" customWidth="1"/>
    <col min="14332" max="14332" width="2.42578125" style="344" customWidth="1"/>
    <col min="14333" max="14333" width="10.85546875" style="344" customWidth="1"/>
    <col min="14334" max="14334" width="2.42578125" style="344" customWidth="1"/>
    <col min="14335" max="14335" width="11.140625" style="344" customWidth="1"/>
    <col min="14336" max="14336" width="1.85546875" style="344" customWidth="1"/>
    <col min="14337" max="14337" width="11" style="344" customWidth="1"/>
    <col min="14338" max="14338" width="0.7109375" style="344" customWidth="1"/>
    <col min="14339" max="14339" width="1.85546875" style="344" customWidth="1"/>
    <col min="14340" max="14340" width="11.85546875" style="344" bestFit="1" customWidth="1"/>
    <col min="14341" max="14341" width="15.28515625" style="344" bestFit="1" customWidth="1"/>
    <col min="14342" max="14342" width="5" style="344" customWidth="1"/>
    <col min="14343" max="14343" width="10.42578125" style="344" bestFit="1" customWidth="1"/>
    <col min="14344" max="14344" width="5" style="344" customWidth="1"/>
    <col min="14345" max="14345" width="10.42578125" style="344" bestFit="1" customWidth="1"/>
    <col min="14346" max="14348" width="9" style="344"/>
    <col min="14349" max="14349" width="10.42578125" style="344" bestFit="1" customWidth="1"/>
    <col min="14350" max="14578" width="9" style="344"/>
    <col min="14579" max="14579" width="3.5703125" style="344" customWidth="1"/>
    <col min="14580" max="14580" width="4.85546875" style="344" customWidth="1"/>
    <col min="14581" max="14581" width="5.42578125" style="344" customWidth="1"/>
    <col min="14582" max="14582" width="31.28515625" style="344" customWidth="1"/>
    <col min="14583" max="14583" width="7.5703125" style="344" customWidth="1"/>
    <col min="14584" max="14584" width="2.42578125" style="344" customWidth="1"/>
    <col min="14585" max="14585" width="11.5703125" style="344" customWidth="1"/>
    <col min="14586" max="14586" width="2.42578125" style="344" customWidth="1"/>
    <col min="14587" max="14587" width="11.5703125" style="344" customWidth="1"/>
    <col min="14588" max="14588" width="2.42578125" style="344" customWidth="1"/>
    <col min="14589" max="14589" width="10.85546875" style="344" customWidth="1"/>
    <col min="14590" max="14590" width="2.42578125" style="344" customWidth="1"/>
    <col min="14591" max="14591" width="11.140625" style="344" customWidth="1"/>
    <col min="14592" max="14592" width="1.85546875" style="344" customWidth="1"/>
    <col min="14593" max="14593" width="11" style="344" customWidth="1"/>
    <col min="14594" max="14594" width="0.7109375" style="344" customWidth="1"/>
    <col min="14595" max="14595" width="1.85546875" style="344" customWidth="1"/>
    <col min="14596" max="14596" width="11.85546875" style="344" bestFit="1" customWidth="1"/>
    <col min="14597" max="14597" width="15.28515625" style="344" bestFit="1" customWidth="1"/>
    <col min="14598" max="14598" width="5" style="344" customWidth="1"/>
    <col min="14599" max="14599" width="10.42578125" style="344" bestFit="1" customWidth="1"/>
    <col min="14600" max="14600" width="5" style="344" customWidth="1"/>
    <col min="14601" max="14601" width="10.42578125" style="344" bestFit="1" customWidth="1"/>
    <col min="14602" max="14604" width="9" style="344"/>
    <col min="14605" max="14605" width="10.42578125" style="344" bestFit="1" customWidth="1"/>
    <col min="14606" max="14834" width="9" style="344"/>
    <col min="14835" max="14835" width="3.5703125" style="344" customWidth="1"/>
    <col min="14836" max="14836" width="4.85546875" style="344" customWidth="1"/>
    <col min="14837" max="14837" width="5.42578125" style="344" customWidth="1"/>
    <col min="14838" max="14838" width="31.28515625" style="344" customWidth="1"/>
    <col min="14839" max="14839" width="7.5703125" style="344" customWidth="1"/>
    <col min="14840" max="14840" width="2.42578125" style="344" customWidth="1"/>
    <col min="14841" max="14841" width="11.5703125" style="344" customWidth="1"/>
    <col min="14842" max="14842" width="2.42578125" style="344" customWidth="1"/>
    <col min="14843" max="14843" width="11.5703125" style="344" customWidth="1"/>
    <col min="14844" max="14844" width="2.42578125" style="344" customWidth="1"/>
    <col min="14845" max="14845" width="10.85546875" style="344" customWidth="1"/>
    <col min="14846" max="14846" width="2.42578125" style="344" customWidth="1"/>
    <col min="14847" max="14847" width="11.140625" style="344" customWidth="1"/>
    <col min="14848" max="14848" width="1.85546875" style="344" customWidth="1"/>
    <col min="14849" max="14849" width="11" style="344" customWidth="1"/>
    <col min="14850" max="14850" width="0.7109375" style="344" customWidth="1"/>
    <col min="14851" max="14851" width="1.85546875" style="344" customWidth="1"/>
    <col min="14852" max="14852" width="11.85546875" style="344" bestFit="1" customWidth="1"/>
    <col min="14853" max="14853" width="15.28515625" style="344" bestFit="1" customWidth="1"/>
    <col min="14854" max="14854" width="5" style="344" customWidth="1"/>
    <col min="14855" max="14855" width="10.42578125" style="344" bestFit="1" customWidth="1"/>
    <col min="14856" max="14856" width="5" style="344" customWidth="1"/>
    <col min="14857" max="14857" width="10.42578125" style="344" bestFit="1" customWidth="1"/>
    <col min="14858" max="14860" width="9" style="344"/>
    <col min="14861" max="14861" width="10.42578125" style="344" bestFit="1" customWidth="1"/>
    <col min="14862" max="15090" width="9" style="344"/>
    <col min="15091" max="15091" width="3.5703125" style="344" customWidth="1"/>
    <col min="15092" max="15092" width="4.85546875" style="344" customWidth="1"/>
    <col min="15093" max="15093" width="5.42578125" style="344" customWidth="1"/>
    <col min="15094" max="15094" width="31.28515625" style="344" customWidth="1"/>
    <col min="15095" max="15095" width="7.5703125" style="344" customWidth="1"/>
    <col min="15096" max="15096" width="2.42578125" style="344" customWidth="1"/>
    <col min="15097" max="15097" width="11.5703125" style="344" customWidth="1"/>
    <col min="15098" max="15098" width="2.42578125" style="344" customWidth="1"/>
    <col min="15099" max="15099" width="11.5703125" style="344" customWidth="1"/>
    <col min="15100" max="15100" width="2.42578125" style="344" customWidth="1"/>
    <col min="15101" max="15101" width="10.85546875" style="344" customWidth="1"/>
    <col min="15102" max="15102" width="2.42578125" style="344" customWidth="1"/>
    <col min="15103" max="15103" width="11.140625" style="344" customWidth="1"/>
    <col min="15104" max="15104" width="1.85546875" style="344" customWidth="1"/>
    <col min="15105" max="15105" width="11" style="344" customWidth="1"/>
    <col min="15106" max="15106" width="0.7109375" style="344" customWidth="1"/>
    <col min="15107" max="15107" width="1.85546875" style="344" customWidth="1"/>
    <col min="15108" max="15108" width="11.85546875" style="344" bestFit="1" customWidth="1"/>
    <col min="15109" max="15109" width="15.28515625" style="344" bestFit="1" customWidth="1"/>
    <col min="15110" max="15110" width="5" style="344" customWidth="1"/>
    <col min="15111" max="15111" width="10.42578125" style="344" bestFit="1" customWidth="1"/>
    <col min="15112" max="15112" width="5" style="344" customWidth="1"/>
    <col min="15113" max="15113" width="10.42578125" style="344" bestFit="1" customWidth="1"/>
    <col min="15114" max="15116" width="9" style="344"/>
    <col min="15117" max="15117" width="10.42578125" style="344" bestFit="1" customWidth="1"/>
    <col min="15118" max="15346" width="9" style="344"/>
    <col min="15347" max="15347" width="3.5703125" style="344" customWidth="1"/>
    <col min="15348" max="15348" width="4.85546875" style="344" customWidth="1"/>
    <col min="15349" max="15349" width="5.42578125" style="344" customWidth="1"/>
    <col min="15350" max="15350" width="31.28515625" style="344" customWidth="1"/>
    <col min="15351" max="15351" width="7.5703125" style="344" customWidth="1"/>
    <col min="15352" max="15352" width="2.42578125" style="344" customWidth="1"/>
    <col min="15353" max="15353" width="11.5703125" style="344" customWidth="1"/>
    <col min="15354" max="15354" width="2.42578125" style="344" customWidth="1"/>
    <col min="15355" max="15355" width="11.5703125" style="344" customWidth="1"/>
    <col min="15356" max="15356" width="2.42578125" style="344" customWidth="1"/>
    <col min="15357" max="15357" width="10.85546875" style="344" customWidth="1"/>
    <col min="15358" max="15358" width="2.42578125" style="344" customWidth="1"/>
    <col min="15359" max="15359" width="11.140625" style="344" customWidth="1"/>
    <col min="15360" max="15360" width="1.85546875" style="344" customWidth="1"/>
    <col min="15361" max="15361" width="11" style="344" customWidth="1"/>
    <col min="15362" max="15362" width="0.7109375" style="344" customWidth="1"/>
    <col min="15363" max="15363" width="1.85546875" style="344" customWidth="1"/>
    <col min="15364" max="15364" width="11.85546875" style="344" bestFit="1" customWidth="1"/>
    <col min="15365" max="15365" width="15.28515625" style="344" bestFit="1" customWidth="1"/>
    <col min="15366" max="15366" width="5" style="344" customWidth="1"/>
    <col min="15367" max="15367" width="10.42578125" style="344" bestFit="1" customWidth="1"/>
    <col min="15368" max="15368" width="5" style="344" customWidth="1"/>
    <col min="15369" max="15369" width="10.42578125" style="344" bestFit="1" customWidth="1"/>
    <col min="15370" max="15372" width="9" style="344"/>
    <col min="15373" max="15373" width="10.42578125" style="344" bestFit="1" customWidth="1"/>
    <col min="15374" max="15602" width="9" style="344"/>
    <col min="15603" max="15603" width="3.5703125" style="344" customWidth="1"/>
    <col min="15604" max="15604" width="4.85546875" style="344" customWidth="1"/>
    <col min="15605" max="15605" width="5.42578125" style="344" customWidth="1"/>
    <col min="15606" max="15606" width="31.28515625" style="344" customWidth="1"/>
    <col min="15607" max="15607" width="7.5703125" style="344" customWidth="1"/>
    <col min="15608" max="15608" width="2.42578125" style="344" customWidth="1"/>
    <col min="15609" max="15609" width="11.5703125" style="344" customWidth="1"/>
    <col min="15610" max="15610" width="2.42578125" style="344" customWidth="1"/>
    <col min="15611" max="15611" width="11.5703125" style="344" customWidth="1"/>
    <col min="15612" max="15612" width="2.42578125" style="344" customWidth="1"/>
    <col min="15613" max="15613" width="10.85546875" style="344" customWidth="1"/>
    <col min="15614" max="15614" width="2.42578125" style="344" customWidth="1"/>
    <col min="15615" max="15615" width="11.140625" style="344" customWidth="1"/>
    <col min="15616" max="15616" width="1.85546875" style="344" customWidth="1"/>
    <col min="15617" max="15617" width="11" style="344" customWidth="1"/>
    <col min="15618" max="15618" width="0.7109375" style="344" customWidth="1"/>
    <col min="15619" max="15619" width="1.85546875" style="344" customWidth="1"/>
    <col min="15620" max="15620" width="11.85546875" style="344" bestFit="1" customWidth="1"/>
    <col min="15621" max="15621" width="15.28515625" style="344" bestFit="1" customWidth="1"/>
    <col min="15622" max="15622" width="5" style="344" customWidth="1"/>
    <col min="15623" max="15623" width="10.42578125" style="344" bestFit="1" customWidth="1"/>
    <col min="15624" max="15624" width="5" style="344" customWidth="1"/>
    <col min="15625" max="15625" width="10.42578125" style="344" bestFit="1" customWidth="1"/>
    <col min="15626" max="15628" width="9" style="344"/>
    <col min="15629" max="15629" width="10.42578125" style="344" bestFit="1" customWidth="1"/>
    <col min="15630" max="15858" width="9" style="344"/>
    <col min="15859" max="15859" width="3.5703125" style="344" customWidth="1"/>
    <col min="15860" max="15860" width="4.85546875" style="344" customWidth="1"/>
    <col min="15861" max="15861" width="5.42578125" style="344" customWidth="1"/>
    <col min="15862" max="15862" width="31.28515625" style="344" customWidth="1"/>
    <col min="15863" max="15863" width="7.5703125" style="344" customWidth="1"/>
    <col min="15864" max="15864" width="2.42578125" style="344" customWidth="1"/>
    <col min="15865" max="15865" width="11.5703125" style="344" customWidth="1"/>
    <col min="15866" max="15866" width="2.42578125" style="344" customWidth="1"/>
    <col min="15867" max="15867" width="11.5703125" style="344" customWidth="1"/>
    <col min="15868" max="15868" width="2.42578125" style="344" customWidth="1"/>
    <col min="15869" max="15869" width="10.85546875" style="344" customWidth="1"/>
    <col min="15870" max="15870" width="2.42578125" style="344" customWidth="1"/>
    <col min="15871" max="15871" width="11.140625" style="344" customWidth="1"/>
    <col min="15872" max="15872" width="1.85546875" style="344" customWidth="1"/>
    <col min="15873" max="15873" width="11" style="344" customWidth="1"/>
    <col min="15874" max="15874" width="0.7109375" style="344" customWidth="1"/>
    <col min="15875" max="15875" width="1.85546875" style="344" customWidth="1"/>
    <col min="15876" max="15876" width="11.85546875" style="344" bestFit="1" customWidth="1"/>
    <col min="15877" max="15877" width="15.28515625" style="344" bestFit="1" customWidth="1"/>
    <col min="15878" max="15878" width="5" style="344" customWidth="1"/>
    <col min="15879" max="15879" width="10.42578125" style="344" bestFit="1" customWidth="1"/>
    <col min="15880" max="15880" width="5" style="344" customWidth="1"/>
    <col min="15881" max="15881" width="10.42578125" style="344" bestFit="1" customWidth="1"/>
    <col min="15882" max="15884" width="9" style="344"/>
    <col min="15885" max="15885" width="10.42578125" style="344" bestFit="1" customWidth="1"/>
    <col min="15886" max="16114" width="9" style="344"/>
    <col min="16115" max="16115" width="3.5703125" style="344" customWidth="1"/>
    <col min="16116" max="16116" width="4.85546875" style="344" customWidth="1"/>
    <col min="16117" max="16117" width="5.42578125" style="344" customWidth="1"/>
    <col min="16118" max="16118" width="31.28515625" style="344" customWidth="1"/>
    <col min="16119" max="16119" width="7.5703125" style="344" customWidth="1"/>
    <col min="16120" max="16120" width="2.42578125" style="344" customWidth="1"/>
    <col min="16121" max="16121" width="11.5703125" style="344" customWidth="1"/>
    <col min="16122" max="16122" width="2.42578125" style="344" customWidth="1"/>
    <col min="16123" max="16123" width="11.5703125" style="344" customWidth="1"/>
    <col min="16124" max="16124" width="2.42578125" style="344" customWidth="1"/>
    <col min="16125" max="16125" width="10.85546875" style="344" customWidth="1"/>
    <col min="16126" max="16126" width="2.42578125" style="344" customWidth="1"/>
    <col min="16127" max="16127" width="11.140625" style="344" customWidth="1"/>
    <col min="16128" max="16128" width="1.85546875" style="344" customWidth="1"/>
    <col min="16129" max="16129" width="11" style="344" customWidth="1"/>
    <col min="16130" max="16130" width="0.7109375" style="344" customWidth="1"/>
    <col min="16131" max="16131" width="1.85546875" style="344" customWidth="1"/>
    <col min="16132" max="16132" width="11.85546875" style="344" bestFit="1" customWidth="1"/>
    <col min="16133" max="16133" width="15.28515625" style="344" bestFit="1" customWidth="1"/>
    <col min="16134" max="16134" width="5" style="344" customWidth="1"/>
    <col min="16135" max="16135" width="10.42578125" style="344" bestFit="1" customWidth="1"/>
    <col min="16136" max="16136" width="5" style="344" customWidth="1"/>
    <col min="16137" max="16137" width="10.42578125" style="344" bestFit="1" customWidth="1"/>
    <col min="16138" max="16140" width="9" style="344"/>
    <col min="16141" max="16141" width="10.42578125" style="344" bestFit="1" customWidth="1"/>
    <col min="16142" max="16381" width="9" style="344"/>
    <col min="16382" max="16384" width="9" style="344" customWidth="1"/>
  </cols>
  <sheetData>
    <row r="1" spans="1:12" s="348" customFormat="1" ht="18.75" x14ac:dyDescent="0.45">
      <c r="A1" s="1551" t="s">
        <v>248</v>
      </c>
      <c r="B1" s="1551"/>
      <c r="C1" s="1551"/>
      <c r="D1" s="1551"/>
      <c r="E1" s="1551"/>
      <c r="F1" s="1551"/>
      <c r="G1" s="1551"/>
      <c r="H1" s="1551"/>
      <c r="I1" s="1551"/>
      <c r="J1" s="1551"/>
    </row>
    <row r="2" spans="1:12" s="348" customFormat="1" ht="18.75" x14ac:dyDescent="0.45">
      <c r="A2" s="1552" t="str">
        <f>'19-20-21'!A2:Q2</f>
        <v>يادداشتهاي توضيحي صورتهاي مالي</v>
      </c>
      <c r="B2" s="1552"/>
      <c r="C2" s="1552"/>
      <c r="D2" s="1552"/>
      <c r="E2" s="1552"/>
      <c r="F2" s="1552"/>
      <c r="G2" s="1552"/>
      <c r="H2" s="1552"/>
      <c r="I2" s="1552"/>
      <c r="J2" s="1552"/>
    </row>
    <row r="3" spans="1:12" s="348" customFormat="1" ht="18.75" x14ac:dyDescent="0.45">
      <c r="A3" s="1552" t="str">
        <f>سودوزيان!A3</f>
        <v>سال مالی منتهی به 30 اسفند 1403</v>
      </c>
      <c r="B3" s="1552"/>
      <c r="C3" s="1552"/>
      <c r="D3" s="1552"/>
      <c r="E3" s="1552"/>
      <c r="F3" s="1552"/>
      <c r="G3" s="1552"/>
      <c r="H3" s="1552"/>
      <c r="I3" s="1552"/>
      <c r="J3" s="1552"/>
    </row>
    <row r="4" spans="1:12" s="348" customFormat="1" ht="18.75" x14ac:dyDescent="0.45">
      <c r="A4" s="1027"/>
      <c r="B4" s="1027"/>
      <c r="C4" s="1027"/>
      <c r="D4" s="1027"/>
      <c r="E4" s="1027"/>
      <c r="F4" s="1027"/>
      <c r="G4" s="1027"/>
      <c r="H4" s="1027"/>
      <c r="I4" s="1027"/>
      <c r="J4" s="1027"/>
    </row>
    <row r="5" spans="1:12" s="179" customFormat="1" ht="26.25" customHeight="1" x14ac:dyDescent="0.25">
      <c r="A5" s="1026" t="s">
        <v>1067</v>
      </c>
      <c r="B5" s="1524" t="s">
        <v>144</v>
      </c>
      <c r="C5" s="1524"/>
      <c r="D5" s="1524"/>
      <c r="E5" s="1524"/>
      <c r="F5" s="1524"/>
      <c r="G5" s="1524"/>
      <c r="H5" s="1524"/>
      <c r="I5" s="1524"/>
    </row>
    <row r="6" spans="1:12" s="179" customFormat="1" ht="26.25" hidden="1" customHeight="1" x14ac:dyDescent="0.25">
      <c r="A6" s="440">
        <f>'وضعيت مالي'!D31</f>
        <v>22</v>
      </c>
      <c r="B6" s="1524" t="s">
        <v>145</v>
      </c>
      <c r="C6" s="1524"/>
      <c r="D6" s="1524"/>
      <c r="E6" s="1524"/>
      <c r="F6" s="1524"/>
      <c r="G6" s="1524"/>
      <c r="H6" s="1524"/>
      <c r="I6" s="1524"/>
    </row>
    <row r="7" spans="1:12" s="179" customFormat="1" ht="26.25" customHeight="1" x14ac:dyDescent="0.25">
      <c r="A7" s="201"/>
      <c r="E7" s="566" t="s">
        <v>438</v>
      </c>
      <c r="G7" s="489">
        <v>1403</v>
      </c>
      <c r="H7" s="490"/>
      <c r="I7" s="240">
        <v>1402</v>
      </c>
    </row>
    <row r="8" spans="1:12" s="440" customFormat="1" ht="26.25" customHeight="1" x14ac:dyDescent="0.25">
      <c r="A8" s="491"/>
      <c r="D8" s="346"/>
      <c r="G8" s="346" t="s">
        <v>682</v>
      </c>
      <c r="H8" s="346"/>
      <c r="I8" s="346" t="s">
        <v>682</v>
      </c>
    </row>
    <row r="9" spans="1:12" s="179" customFormat="1" ht="21" customHeight="1" x14ac:dyDescent="0.25">
      <c r="A9" s="201"/>
      <c r="B9" s="1524" t="s">
        <v>146</v>
      </c>
      <c r="C9" s="1524"/>
      <c r="D9" s="1524"/>
      <c r="E9" s="222"/>
      <c r="F9" s="222"/>
    </row>
    <row r="10" spans="1:12" s="179" customFormat="1" ht="21" customHeight="1" x14ac:dyDescent="0.25">
      <c r="A10" s="201" t="s">
        <v>490</v>
      </c>
      <c r="B10" s="1524" t="s">
        <v>147</v>
      </c>
      <c r="C10" s="1524"/>
      <c r="D10" s="1524"/>
      <c r="E10" s="222"/>
      <c r="F10" s="222"/>
    </row>
    <row r="11" spans="1:12" s="179" customFormat="1" ht="26.25" hidden="1" customHeight="1" x14ac:dyDescent="0.55000000000000004">
      <c r="A11" s="201"/>
      <c r="B11" s="492"/>
      <c r="D11" s="179" t="s">
        <v>62</v>
      </c>
      <c r="E11" s="232"/>
      <c r="F11" s="232"/>
      <c r="G11" s="222">
        <v>0</v>
      </c>
      <c r="H11" s="188"/>
      <c r="I11" s="493">
        <v>0</v>
      </c>
    </row>
    <row r="12" spans="1:12" s="179" customFormat="1" ht="26.25" customHeight="1" x14ac:dyDescent="0.55000000000000004">
      <c r="A12" s="201"/>
      <c r="B12" s="492"/>
      <c r="D12" s="179" t="s">
        <v>1068</v>
      </c>
      <c r="E12" s="232" t="s">
        <v>752</v>
      </c>
      <c r="F12" s="222"/>
      <c r="G12" s="494">
        <f>'22-1'!G59</f>
        <v>813784447922</v>
      </c>
      <c r="H12" s="188"/>
      <c r="I12" s="494">
        <v>535950846612</v>
      </c>
      <c r="L12" s="1684" t="s">
        <v>1323</v>
      </c>
    </row>
    <row r="13" spans="1:12" s="179" customFormat="1" ht="26.25" customHeight="1" x14ac:dyDescent="0.25">
      <c r="A13" s="201"/>
      <c r="E13" s="222"/>
      <c r="F13" s="222"/>
      <c r="G13" s="1108">
        <f>SUM(G11:G12)</f>
        <v>813784447922</v>
      </c>
      <c r="H13" s="440"/>
      <c r="I13" s="976">
        <f>SUM(I11:I12)</f>
        <v>535950846612</v>
      </c>
    </row>
    <row r="14" spans="1:12" s="179" customFormat="1" ht="26.25" hidden="1" customHeight="1" x14ac:dyDescent="0.25">
      <c r="A14" s="201"/>
      <c r="E14" s="222"/>
      <c r="F14" s="222"/>
      <c r="G14" s="1103"/>
      <c r="I14" s="346"/>
    </row>
    <row r="15" spans="1:12" s="179" customFormat="1" ht="21.75" customHeight="1" x14ac:dyDescent="0.55000000000000004">
      <c r="A15" s="201"/>
      <c r="B15" s="1524" t="s">
        <v>149</v>
      </c>
      <c r="C15" s="1524"/>
      <c r="D15" s="1524"/>
      <c r="E15" s="222"/>
      <c r="F15" s="222"/>
      <c r="G15" s="493"/>
      <c r="I15" s="222"/>
    </row>
    <row r="16" spans="1:12" s="179" customFormat="1" ht="21.75" customHeight="1" x14ac:dyDescent="0.55000000000000004">
      <c r="A16" s="201"/>
      <c r="B16" s="492"/>
      <c r="D16" s="179" t="s">
        <v>62</v>
      </c>
      <c r="E16" s="232" t="s">
        <v>753</v>
      </c>
      <c r="F16" s="222"/>
      <c r="G16" s="493">
        <v>122580447431</v>
      </c>
      <c r="H16" s="493"/>
      <c r="I16" s="493">
        <v>344136700663</v>
      </c>
      <c r="L16" s="179" t="s">
        <v>1328</v>
      </c>
    </row>
    <row r="17" spans="1:12" s="179" customFormat="1" ht="21.75" customHeight="1" x14ac:dyDescent="0.55000000000000004">
      <c r="A17" s="201"/>
      <c r="B17" s="492"/>
      <c r="D17" s="179" t="s">
        <v>148</v>
      </c>
      <c r="E17" s="232" t="s">
        <v>754</v>
      </c>
      <c r="F17" s="222"/>
      <c r="G17" s="493">
        <f>'22-3'!G71</f>
        <v>334376782363</v>
      </c>
      <c r="H17" s="493"/>
      <c r="I17" s="494">
        <v>339557948126</v>
      </c>
      <c r="L17" s="179" t="s">
        <v>1339</v>
      </c>
    </row>
    <row r="18" spans="1:12" s="179" customFormat="1" ht="26.25" customHeight="1" x14ac:dyDescent="0.55000000000000004">
      <c r="A18" s="201"/>
      <c r="B18" s="492"/>
      <c r="E18" s="222"/>
      <c r="F18" s="222"/>
      <c r="G18" s="1142">
        <f>SUM(G16:G17)</f>
        <v>456957229794</v>
      </c>
      <c r="H18" s="346"/>
      <c r="I18" s="493">
        <f>SUM(I16:I17)</f>
        <v>683694648789</v>
      </c>
    </row>
    <row r="19" spans="1:12" s="179" customFormat="1" ht="26.25" customHeight="1" x14ac:dyDescent="0.25">
      <c r="A19" s="201"/>
      <c r="B19" s="492"/>
      <c r="E19" s="222"/>
      <c r="F19" s="222"/>
      <c r="G19" s="1108">
        <f>G18+G13</f>
        <v>1270741677716</v>
      </c>
      <c r="H19" s="346"/>
      <c r="I19" s="976">
        <f>I18+I13</f>
        <v>1219645495401</v>
      </c>
    </row>
    <row r="20" spans="1:12" s="179" customFormat="1" ht="26.25" hidden="1" customHeight="1" x14ac:dyDescent="0.25">
      <c r="A20" s="201"/>
      <c r="B20" s="492"/>
      <c r="E20" s="222"/>
      <c r="F20" s="222"/>
      <c r="G20" s="189"/>
      <c r="I20" s="222"/>
    </row>
    <row r="21" spans="1:12" s="179" customFormat="1" ht="21.75" customHeight="1" x14ac:dyDescent="0.25">
      <c r="A21" s="201"/>
      <c r="B21" s="492" t="s">
        <v>150</v>
      </c>
      <c r="E21" s="222"/>
      <c r="F21" s="222"/>
      <c r="G21" s="189"/>
      <c r="I21" s="222"/>
    </row>
    <row r="22" spans="1:12" s="179" customFormat="1" ht="21.75" customHeight="1" x14ac:dyDescent="0.55000000000000004">
      <c r="A22" s="201"/>
      <c r="B22" s="492" t="s">
        <v>147</v>
      </c>
      <c r="E22" s="222"/>
      <c r="F22" s="222"/>
      <c r="G22" s="1109"/>
      <c r="I22" s="222"/>
    </row>
    <row r="23" spans="1:12" s="179" customFormat="1" ht="21.75" hidden="1" customHeight="1" x14ac:dyDescent="0.55000000000000004">
      <c r="A23" s="201"/>
      <c r="B23" s="492"/>
      <c r="D23" s="179" t="s">
        <v>62</v>
      </c>
      <c r="E23" s="232" t="s">
        <v>755</v>
      </c>
      <c r="F23" s="222"/>
      <c r="G23" s="1109">
        <v>0</v>
      </c>
      <c r="H23" s="222"/>
      <c r="I23" s="493">
        <v>0</v>
      </c>
    </row>
    <row r="24" spans="1:12" s="179" customFormat="1" ht="21.75" customHeight="1" x14ac:dyDescent="0.55000000000000004">
      <c r="A24" s="201"/>
      <c r="B24" s="492"/>
      <c r="D24" s="179" t="s">
        <v>151</v>
      </c>
      <c r="E24" s="232" t="s">
        <v>755</v>
      </c>
      <c r="F24" s="222"/>
      <c r="G24" s="493">
        <f>'22-4'!F82</f>
        <v>66468196829</v>
      </c>
      <c r="H24" s="222"/>
      <c r="I24" s="493">
        <v>139495618819</v>
      </c>
      <c r="L24" s="179" t="s">
        <v>1329</v>
      </c>
    </row>
    <row r="25" spans="1:12" s="179" customFormat="1" ht="26.25" customHeight="1" x14ac:dyDescent="0.25">
      <c r="A25" s="201"/>
      <c r="E25" s="222"/>
      <c r="F25" s="222"/>
      <c r="G25" s="976">
        <f>SUM(G23:G24)</f>
        <v>66468196829</v>
      </c>
      <c r="H25" s="346"/>
      <c r="I25" s="976">
        <f>SUM(I23:I24)</f>
        <v>139495618819</v>
      </c>
    </row>
    <row r="26" spans="1:12" s="179" customFormat="1" ht="26.25" hidden="1" customHeight="1" x14ac:dyDescent="0.25">
      <c r="A26" s="201"/>
      <c r="E26" s="222"/>
      <c r="F26" s="222"/>
      <c r="G26" s="222"/>
      <c r="H26" s="222"/>
      <c r="I26" s="222"/>
    </row>
    <row r="27" spans="1:12" s="179" customFormat="1" ht="26.25" customHeight="1" x14ac:dyDescent="0.25">
      <c r="A27" s="201"/>
      <c r="B27" s="1524" t="s">
        <v>152</v>
      </c>
      <c r="C27" s="1524"/>
      <c r="D27" s="1524"/>
      <c r="E27" s="222"/>
      <c r="F27" s="222"/>
      <c r="I27" s="222"/>
    </row>
    <row r="28" spans="1:12" s="179" customFormat="1" ht="24" customHeight="1" x14ac:dyDescent="0.55000000000000004">
      <c r="A28" s="201"/>
      <c r="D28" s="179" t="s">
        <v>62</v>
      </c>
      <c r="E28" s="232" t="s">
        <v>1256</v>
      </c>
      <c r="F28" s="496"/>
      <c r="G28" s="222">
        <f>'22-4'!F90</f>
        <v>0</v>
      </c>
      <c r="H28" s="222"/>
      <c r="I28" s="493">
        <v>429317396</v>
      </c>
      <c r="L28" s="179">
        <v>3212</v>
      </c>
    </row>
    <row r="29" spans="1:12" s="179" customFormat="1" ht="24" customHeight="1" x14ac:dyDescent="0.55000000000000004">
      <c r="A29" s="201"/>
      <c r="D29" s="179" t="s">
        <v>262</v>
      </c>
      <c r="E29" s="232" t="s">
        <v>756</v>
      </c>
      <c r="F29" s="496"/>
      <c r="G29" s="222">
        <f>'22-4'!F118</f>
        <v>181961364611</v>
      </c>
      <c r="H29" s="222"/>
      <c r="I29" s="493">
        <v>99887098682</v>
      </c>
      <c r="L29" s="179">
        <v>3212</v>
      </c>
    </row>
    <row r="30" spans="1:12" s="179" customFormat="1" ht="24" customHeight="1" x14ac:dyDescent="0.55000000000000004">
      <c r="A30" s="201"/>
      <c r="D30" s="179" t="s">
        <v>266</v>
      </c>
      <c r="E30" s="232" t="s">
        <v>757</v>
      </c>
      <c r="F30" s="496"/>
      <c r="G30" s="222">
        <f>'22-4'!F129</f>
        <v>863492177188</v>
      </c>
      <c r="H30" s="222"/>
      <c r="I30" s="493">
        <v>558528555203</v>
      </c>
    </row>
    <row r="31" spans="1:12" s="179" customFormat="1" ht="24" customHeight="1" x14ac:dyDescent="0.55000000000000004">
      <c r="A31" s="201"/>
      <c r="D31" s="179" t="s">
        <v>263</v>
      </c>
      <c r="E31" s="222"/>
      <c r="F31" s="222"/>
      <c r="G31" s="222">
        <v>150964017055</v>
      </c>
      <c r="H31" s="222"/>
      <c r="I31" s="493">
        <v>30683536785</v>
      </c>
      <c r="L31" s="179">
        <v>3236</v>
      </c>
    </row>
    <row r="32" spans="1:12" s="179" customFormat="1" ht="24" customHeight="1" x14ac:dyDescent="0.55000000000000004">
      <c r="A32" s="201"/>
      <c r="D32" s="179" t="s">
        <v>1084</v>
      </c>
      <c r="E32" s="222"/>
      <c r="F32" s="222"/>
      <c r="G32" s="222">
        <v>69774155530</v>
      </c>
      <c r="H32" s="222"/>
      <c r="I32" s="493">
        <v>16929768252</v>
      </c>
      <c r="L32" s="179">
        <v>3215</v>
      </c>
    </row>
    <row r="33" spans="1:13" s="179" customFormat="1" ht="24" customHeight="1" x14ac:dyDescent="0.55000000000000004">
      <c r="A33" s="201"/>
      <c r="D33" s="179" t="s">
        <v>1283</v>
      </c>
      <c r="E33" s="1287"/>
      <c r="F33" s="1287"/>
      <c r="G33" s="1287">
        <v>67756778030</v>
      </c>
      <c r="H33" s="1287"/>
      <c r="I33" s="493">
        <v>0</v>
      </c>
      <c r="L33" s="1682">
        <v>3250</v>
      </c>
      <c r="M33" s="1682" t="s">
        <v>1336</v>
      </c>
    </row>
    <row r="34" spans="1:13" s="179" customFormat="1" ht="24" customHeight="1" x14ac:dyDescent="0.55000000000000004">
      <c r="A34" s="201"/>
      <c r="D34" s="179" t="s">
        <v>890</v>
      </c>
      <c r="E34" s="496"/>
      <c r="F34" s="496"/>
      <c r="G34" s="1106">
        <f>62992074562+120820</f>
        <v>62992195382</v>
      </c>
      <c r="H34" s="222"/>
      <c r="I34" s="493">
        <v>17978476735</v>
      </c>
      <c r="L34" s="1682">
        <v>1450</v>
      </c>
      <c r="M34" s="1682" t="s">
        <v>1337</v>
      </c>
    </row>
    <row r="35" spans="1:13" s="179" customFormat="1" ht="24" customHeight="1" x14ac:dyDescent="0.55000000000000004">
      <c r="A35" s="201"/>
      <c r="D35" s="179" t="s">
        <v>264</v>
      </c>
      <c r="E35" s="222"/>
      <c r="F35" s="222"/>
      <c r="G35" s="222">
        <v>20039086039</v>
      </c>
      <c r="H35" s="222"/>
      <c r="I35" s="493">
        <v>28021522080</v>
      </c>
      <c r="L35" s="179">
        <v>3217</v>
      </c>
    </row>
    <row r="36" spans="1:13" s="179" customFormat="1" ht="24" customHeight="1" x14ac:dyDescent="0.55000000000000004">
      <c r="A36" s="201"/>
      <c r="D36" s="179" t="s">
        <v>706</v>
      </c>
      <c r="E36" s="496"/>
      <c r="F36" s="496"/>
      <c r="G36" s="222">
        <v>16937867662</v>
      </c>
      <c r="H36" s="222"/>
      <c r="I36" s="493">
        <v>10327555229</v>
      </c>
      <c r="L36" s="179">
        <v>3221</v>
      </c>
    </row>
    <row r="37" spans="1:13" s="179" customFormat="1" ht="24" customHeight="1" x14ac:dyDescent="0.55000000000000004">
      <c r="A37" s="201"/>
      <c r="D37" s="179" t="s">
        <v>416</v>
      </c>
      <c r="E37" s="222"/>
      <c r="F37" s="222"/>
      <c r="G37" s="222">
        <v>15569618301</v>
      </c>
      <c r="H37" s="222"/>
      <c r="I37" s="493">
        <v>18833571523</v>
      </c>
      <c r="L37" s="179">
        <v>4311</v>
      </c>
    </row>
    <row r="38" spans="1:13" s="179" customFormat="1" ht="24" customHeight="1" x14ac:dyDescent="0.55000000000000004">
      <c r="A38" s="201"/>
      <c r="D38" s="179" t="s">
        <v>265</v>
      </c>
      <c r="E38" s="222"/>
      <c r="F38" s="222"/>
      <c r="G38" s="222">
        <v>6634108579</v>
      </c>
      <c r="H38" s="222"/>
      <c r="I38" s="493">
        <v>8120126470</v>
      </c>
      <c r="L38" s="179">
        <v>3220</v>
      </c>
    </row>
    <row r="39" spans="1:13" s="179" customFormat="1" ht="24" customHeight="1" x14ac:dyDescent="0.55000000000000004">
      <c r="A39" s="201"/>
      <c r="D39" s="179" t="s">
        <v>705</v>
      </c>
      <c r="E39" s="496"/>
      <c r="F39" s="496"/>
      <c r="G39" s="222">
        <v>4131819000</v>
      </c>
      <c r="H39" s="222"/>
      <c r="I39" s="493">
        <v>4131819000</v>
      </c>
      <c r="L39" s="179">
        <v>3299</v>
      </c>
    </row>
    <row r="40" spans="1:13" s="179" customFormat="1" ht="24" customHeight="1" x14ac:dyDescent="0.55000000000000004">
      <c r="A40" s="201"/>
      <c r="D40" s="179" t="s">
        <v>386</v>
      </c>
      <c r="E40" s="222"/>
      <c r="F40" s="222"/>
      <c r="G40" s="222">
        <v>3345000000</v>
      </c>
      <c r="H40" s="222"/>
      <c r="I40" s="493">
        <v>2230000000</v>
      </c>
      <c r="L40" s="179">
        <v>3229</v>
      </c>
    </row>
    <row r="41" spans="1:13" s="179" customFormat="1" ht="24" hidden="1" customHeight="1" x14ac:dyDescent="0.55000000000000004">
      <c r="A41" s="201"/>
      <c r="D41" s="179" t="s">
        <v>915</v>
      </c>
      <c r="E41" s="222"/>
      <c r="F41" s="222"/>
      <c r="G41" s="222">
        <v>0</v>
      </c>
      <c r="H41" s="222"/>
      <c r="I41" s="493">
        <v>0</v>
      </c>
    </row>
    <row r="42" spans="1:13" s="179" customFormat="1" ht="24" hidden="1" customHeight="1" x14ac:dyDescent="0.55000000000000004">
      <c r="A42" s="201"/>
      <c r="D42" s="179" t="s">
        <v>520</v>
      </c>
      <c r="E42" s="222"/>
      <c r="F42" s="222"/>
      <c r="G42" s="222">
        <v>0</v>
      </c>
      <c r="H42" s="222"/>
      <c r="I42" s="493">
        <v>0</v>
      </c>
    </row>
    <row r="43" spans="1:13" s="179" customFormat="1" ht="24" hidden="1" customHeight="1" x14ac:dyDescent="0.55000000000000004">
      <c r="A43" s="201"/>
      <c r="D43" s="179" t="s">
        <v>903</v>
      </c>
      <c r="E43" s="496"/>
      <c r="F43" s="496"/>
      <c r="G43" s="222">
        <v>0</v>
      </c>
      <c r="H43" s="222"/>
      <c r="I43" s="493">
        <v>0</v>
      </c>
    </row>
    <row r="44" spans="1:13" s="179" customFormat="1" ht="24" customHeight="1" x14ac:dyDescent="0.25">
      <c r="A44" s="201"/>
      <c r="D44" s="179" t="s">
        <v>130</v>
      </c>
      <c r="E44" s="496"/>
      <c r="F44" s="496"/>
      <c r="G44" s="497">
        <f>3548569409+5620874335+2304592098+8078423759-6</f>
        <v>19552459595</v>
      </c>
      <c r="H44" s="222"/>
      <c r="I44" s="1240">
        <v>5137500415</v>
      </c>
      <c r="L44" s="179" t="s">
        <v>1351</v>
      </c>
      <c r="M44" s="1682" t="s">
        <v>1338</v>
      </c>
    </row>
    <row r="45" spans="1:13" s="179" customFormat="1" ht="26.25" customHeight="1" x14ac:dyDescent="0.55000000000000004">
      <c r="A45" s="201"/>
      <c r="E45" s="222"/>
      <c r="F45" s="222"/>
      <c r="G45" s="498">
        <f>SUM(G28:G44)</f>
        <v>1483150646972</v>
      </c>
      <c r="H45" s="222"/>
      <c r="I45" s="498">
        <f>SUM(I28:I44)</f>
        <v>801238847770</v>
      </c>
    </row>
    <row r="46" spans="1:13" s="179" customFormat="1" ht="26.25" customHeight="1" x14ac:dyDescent="0.55000000000000004">
      <c r="A46" s="201"/>
      <c r="E46" s="222"/>
      <c r="F46" s="222"/>
      <c r="G46" s="493">
        <f>G45+G25</f>
        <v>1549618843801</v>
      </c>
      <c r="H46" s="222"/>
      <c r="I46" s="493">
        <f>I45+I25</f>
        <v>940734466589</v>
      </c>
    </row>
    <row r="47" spans="1:13" s="179" customFormat="1" ht="26.25" customHeight="1" thickBot="1" x14ac:dyDescent="0.3">
      <c r="A47" s="201"/>
      <c r="E47" s="222"/>
      <c r="F47" s="222"/>
      <c r="G47" s="499">
        <f>G19+G46</f>
        <v>2820360521517</v>
      </c>
      <c r="H47" s="971">
        <f>H46+H19+H13</f>
        <v>0</v>
      </c>
      <c r="I47" s="499">
        <f>I19+I46</f>
        <v>2160379961990</v>
      </c>
      <c r="L47" s="179" t="b">
        <f>G47='وضعيت مالي'!F31</f>
        <v>1</v>
      </c>
      <c r="M47" s="179" t="b">
        <f>I47='وضعيت مالي'!H31</f>
        <v>1</v>
      </c>
    </row>
    <row r="48" spans="1:13" s="179" customFormat="1" ht="10.5" customHeight="1" thickTop="1" x14ac:dyDescent="0.25">
      <c r="A48" s="201"/>
      <c r="E48" s="222"/>
      <c r="F48" s="222"/>
    </row>
    <row r="50" spans="1:10" s="179" customFormat="1" ht="16.5" customHeight="1" x14ac:dyDescent="0.25">
      <c r="A50" s="201"/>
      <c r="E50" s="222"/>
      <c r="F50" s="222"/>
    </row>
    <row r="51" spans="1:10" s="179" customFormat="1" ht="26.25" x14ac:dyDescent="0.25">
      <c r="A51" s="1497" t="s">
        <v>457</v>
      </c>
      <c r="B51" s="1497"/>
      <c r="C51" s="1497"/>
      <c r="D51" s="1497"/>
      <c r="E51" s="1497"/>
      <c r="F51" s="1497"/>
      <c r="G51" s="1497"/>
      <c r="H51" s="1497"/>
      <c r="I51" s="1497"/>
      <c r="J51" s="1497"/>
    </row>
    <row r="52" spans="1:10" s="179" customFormat="1" ht="22.5" x14ac:dyDescent="0.25">
      <c r="A52" s="201"/>
    </row>
  </sheetData>
  <customSheetViews>
    <customSheetView guid="{39716EAB-185B-4ADF-90CF-1B1041867F58}" scale="90" showPageBreaks="1" printArea="1" view="pageBreakPreview" topLeftCell="A34">
      <selection activeCell="G42" sqref="G42"/>
      <pageMargins left="0.39370078740157499" right="0.78740157480314998" top="0.39370078740157499" bottom="0.39370078740157499" header="0.31496062992126" footer="0.31496062992126"/>
      <pageSetup paperSize="9" scale="58" orientation="portrait" r:id="rId1"/>
    </customSheetView>
    <customSheetView guid="{5CB8382F-C212-4512-9396-17792C62978E}" scale="90" showPageBreaks="1" printArea="1" view="pageBreakPreview" topLeftCell="A34">
      <selection activeCell="G42" sqref="G42"/>
      <pageMargins left="0.39370078740157499" right="0.78740157480314998" top="0.39370078740157499" bottom="0.39370078740157499" header="0.31496062992126" footer="0.31496062992126"/>
      <pageSetup paperSize="9" scale="58" orientation="portrait" r:id="rId2"/>
    </customSheetView>
    <customSheetView guid="{184BCED3-EADB-44CF-BFDA-DA8D3E7206C0}" scale="90" showPageBreaks="1" printArea="1" view="pageBreakPreview" topLeftCell="A28">
      <selection activeCell="G27" sqref="G27:G28"/>
      <pageMargins left="0.39370078740157499" right="0.78740157480314998" top="0.39370078740157499" bottom="0.39370078740157499" header="0.31496062992126" footer="0.31496062992126"/>
      <pageSetup paperSize="9" scale="63" orientation="portrait" r:id="rId3"/>
    </customSheetView>
  </customSheetViews>
  <mergeCells count="10">
    <mergeCell ref="A51:J51"/>
    <mergeCell ref="A1:J1"/>
    <mergeCell ref="A2:J2"/>
    <mergeCell ref="A3:J3"/>
    <mergeCell ref="B9:D9"/>
    <mergeCell ref="B10:D10"/>
    <mergeCell ref="B15:D15"/>
    <mergeCell ref="B6:I6"/>
    <mergeCell ref="B5:I5"/>
    <mergeCell ref="B27:D27"/>
  </mergeCells>
  <conditionalFormatting sqref="G13">
    <cfRule type="cellIs" dxfId="32" priority="10" stopIfTrue="1" operator="lessThan">
      <formula>0</formula>
    </cfRule>
  </conditionalFormatting>
  <conditionalFormatting sqref="G19">
    <cfRule type="cellIs" dxfId="31" priority="7" stopIfTrue="1" operator="lessThan">
      <formula>0</formula>
    </cfRule>
  </conditionalFormatting>
  <conditionalFormatting sqref="G25">
    <cfRule type="cellIs" dxfId="30" priority="5" stopIfTrue="1" operator="lessThan">
      <formula>0</formula>
    </cfRule>
  </conditionalFormatting>
  <conditionalFormatting sqref="G47">
    <cfRule type="cellIs" dxfId="29" priority="3" stopIfTrue="1" operator="lessThan">
      <formula>0</formula>
    </cfRule>
  </conditionalFormatting>
  <conditionalFormatting sqref="I13">
    <cfRule type="cellIs" dxfId="28" priority="11" stopIfTrue="1" operator="lessThan">
      <formula>0</formula>
    </cfRule>
  </conditionalFormatting>
  <conditionalFormatting sqref="I19">
    <cfRule type="cellIs" dxfId="27" priority="9" stopIfTrue="1" operator="lessThan">
      <formula>0</formula>
    </cfRule>
  </conditionalFormatting>
  <conditionalFormatting sqref="I25">
    <cfRule type="cellIs" dxfId="26" priority="6" stopIfTrue="1" operator="lessThan">
      <formula>0</formula>
    </cfRule>
  </conditionalFormatting>
  <conditionalFormatting sqref="I47">
    <cfRule type="cellIs" dxfId="25" priority="1" stopIfTrue="1" operator="lessThan">
      <formula>0</formula>
    </cfRule>
  </conditionalFormatting>
  <hyperlinks>
    <hyperlink ref="A1:XFD3" r:id="rId4" display="http://modiriatmali.com/" xr:uid="{00000000-0004-0000-1D00-000000000000}"/>
  </hyperlinks>
  <printOptions horizontalCentered="1"/>
  <pageMargins left="0.39370078740157499" right="0.39370078740157499" top="0.39370078740157499" bottom="0.39370078740157499" header="0.31496062992126" footer="0.31496062992126"/>
  <pageSetup paperSize="9" scale="76" orientation="portrait" r:id="rId5"/>
  <legacyDrawing r:id="rId6"/>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P65"/>
  <sheetViews>
    <sheetView rightToLeft="1" view="pageBreakPreview" topLeftCell="C16" zoomScale="95" zoomScaleSheetLayoutView="95" workbookViewId="0">
      <selection activeCell="G8" sqref="G8"/>
    </sheetView>
  </sheetViews>
  <sheetFormatPr defaultRowHeight="18.75" x14ac:dyDescent="0.25"/>
  <cols>
    <col min="1" max="1" width="5.42578125" style="500" hidden="1" customWidth="1"/>
    <col min="2" max="2" width="4.140625" style="501" hidden="1" customWidth="1"/>
    <col min="3" max="3" width="0.7109375" style="501" customWidth="1"/>
    <col min="4" max="4" width="47.42578125" style="501" customWidth="1"/>
    <col min="5" max="5" width="13.85546875" style="501" hidden="1" customWidth="1"/>
    <col min="6" max="6" width="1" style="501" customWidth="1"/>
    <col min="7" max="7" width="24.85546875" style="501" bestFit="1" customWidth="1"/>
    <col min="8" max="8" width="2.28515625" style="501" customWidth="1"/>
    <col min="9" max="9" width="25.5703125" style="501" customWidth="1"/>
    <col min="10" max="10" width="0.7109375" style="501" hidden="1" customWidth="1"/>
    <col min="11" max="11" width="4.28515625" style="501" hidden="1" customWidth="1"/>
    <col min="12" max="12" width="3.28515625" style="501" customWidth="1"/>
    <col min="13" max="13" width="22.140625" style="502" customWidth="1"/>
    <col min="14" max="14" width="16.85546875" style="502" bestFit="1" customWidth="1"/>
    <col min="15" max="15" width="5" style="501" customWidth="1"/>
    <col min="16" max="16" width="10.42578125" style="501" bestFit="1" customWidth="1"/>
    <col min="17" max="17" width="5" style="501" customWidth="1"/>
    <col min="18" max="18" width="10.42578125" style="501" bestFit="1" customWidth="1"/>
    <col min="19" max="21" width="9.140625" style="501"/>
    <col min="22" max="22" width="10.42578125" style="501" bestFit="1" customWidth="1"/>
    <col min="23" max="251" width="9.140625" style="501"/>
    <col min="252" max="252" width="3.5703125" style="501" customWidth="1"/>
    <col min="253" max="253" width="4.85546875" style="501" customWidth="1"/>
    <col min="254" max="254" width="5.42578125" style="501" customWidth="1"/>
    <col min="255" max="255" width="31.28515625" style="501" customWidth="1"/>
    <col min="256" max="256" width="7.5703125" style="501" customWidth="1"/>
    <col min="257" max="257" width="2.42578125" style="501" customWidth="1"/>
    <col min="258" max="258" width="11.5703125" style="501" customWidth="1"/>
    <col min="259" max="259" width="2.42578125" style="501" customWidth="1"/>
    <col min="260" max="260" width="11.5703125" style="501" customWidth="1"/>
    <col min="261" max="261" width="2.42578125" style="501" customWidth="1"/>
    <col min="262" max="262" width="10.85546875" style="501" customWidth="1"/>
    <col min="263" max="263" width="2.42578125" style="501" customWidth="1"/>
    <col min="264" max="264" width="11.140625" style="501" customWidth="1"/>
    <col min="265" max="265" width="1.85546875" style="501" customWidth="1"/>
    <col min="266" max="266" width="11" style="501" customWidth="1"/>
    <col min="267" max="267" width="0.7109375" style="501" customWidth="1"/>
    <col min="268" max="268" width="1.85546875" style="501" customWidth="1"/>
    <col min="269" max="269" width="11.85546875" style="501" bestFit="1" customWidth="1"/>
    <col min="270" max="270" width="15.28515625" style="501" bestFit="1" customWidth="1"/>
    <col min="271" max="271" width="5" style="501" customWidth="1"/>
    <col min="272" max="272" width="10.42578125" style="501" bestFit="1" customWidth="1"/>
    <col min="273" max="273" width="5" style="501" customWidth="1"/>
    <col min="274" max="274" width="10.42578125" style="501" bestFit="1" customWidth="1"/>
    <col min="275" max="277" width="9.140625" style="501"/>
    <col min="278" max="278" width="10.42578125" style="501" bestFit="1" customWidth="1"/>
    <col min="279" max="507" width="9.140625" style="501"/>
    <col min="508" max="508" width="3.5703125" style="501" customWidth="1"/>
    <col min="509" max="509" width="4.85546875" style="501" customWidth="1"/>
    <col min="510" max="510" width="5.42578125" style="501" customWidth="1"/>
    <col min="511" max="511" width="31.28515625" style="501" customWidth="1"/>
    <col min="512" max="512" width="7.5703125" style="501" customWidth="1"/>
    <col min="513" max="513" width="2.42578125" style="501" customWidth="1"/>
    <col min="514" max="514" width="11.5703125" style="501" customWidth="1"/>
    <col min="515" max="515" width="2.42578125" style="501" customWidth="1"/>
    <col min="516" max="516" width="11.5703125" style="501" customWidth="1"/>
    <col min="517" max="517" width="2.42578125" style="501" customWidth="1"/>
    <col min="518" max="518" width="10.85546875" style="501" customWidth="1"/>
    <col min="519" max="519" width="2.42578125" style="501" customWidth="1"/>
    <col min="520" max="520" width="11.140625" style="501" customWidth="1"/>
    <col min="521" max="521" width="1.85546875" style="501" customWidth="1"/>
    <col min="522" max="522" width="11" style="501" customWidth="1"/>
    <col min="523" max="523" width="0.7109375" style="501" customWidth="1"/>
    <col min="524" max="524" width="1.85546875" style="501" customWidth="1"/>
    <col min="525" max="525" width="11.85546875" style="501" bestFit="1" customWidth="1"/>
    <col min="526" max="526" width="15.28515625" style="501" bestFit="1" customWidth="1"/>
    <col min="527" max="527" width="5" style="501" customWidth="1"/>
    <col min="528" max="528" width="10.42578125" style="501" bestFit="1" customWidth="1"/>
    <col min="529" max="529" width="5" style="501" customWidth="1"/>
    <col min="530" max="530" width="10.42578125" style="501" bestFit="1" customWidth="1"/>
    <col min="531" max="533" width="9.140625" style="501"/>
    <col min="534" max="534" width="10.42578125" style="501" bestFit="1" customWidth="1"/>
    <col min="535" max="763" width="9.140625" style="501"/>
    <col min="764" max="764" width="3.5703125" style="501" customWidth="1"/>
    <col min="765" max="765" width="4.85546875" style="501" customWidth="1"/>
    <col min="766" max="766" width="5.42578125" style="501" customWidth="1"/>
    <col min="767" max="767" width="31.28515625" style="501" customWidth="1"/>
    <col min="768" max="768" width="7.5703125" style="501" customWidth="1"/>
    <col min="769" max="769" width="2.42578125" style="501" customWidth="1"/>
    <col min="770" max="770" width="11.5703125" style="501" customWidth="1"/>
    <col min="771" max="771" width="2.42578125" style="501" customWidth="1"/>
    <col min="772" max="772" width="11.5703125" style="501" customWidth="1"/>
    <col min="773" max="773" width="2.42578125" style="501" customWidth="1"/>
    <col min="774" max="774" width="10.85546875" style="501" customWidth="1"/>
    <col min="775" max="775" width="2.42578125" style="501" customWidth="1"/>
    <col min="776" max="776" width="11.140625" style="501" customWidth="1"/>
    <col min="777" max="777" width="1.85546875" style="501" customWidth="1"/>
    <col min="778" max="778" width="11" style="501" customWidth="1"/>
    <col min="779" max="779" width="0.7109375" style="501" customWidth="1"/>
    <col min="780" max="780" width="1.85546875" style="501" customWidth="1"/>
    <col min="781" max="781" width="11.85546875" style="501" bestFit="1" customWidth="1"/>
    <col min="782" max="782" width="15.28515625" style="501" bestFit="1" customWidth="1"/>
    <col min="783" max="783" width="5" style="501" customWidth="1"/>
    <col min="784" max="784" width="10.42578125" style="501" bestFit="1" customWidth="1"/>
    <col min="785" max="785" width="5" style="501" customWidth="1"/>
    <col min="786" max="786" width="10.42578125" style="501" bestFit="1" customWidth="1"/>
    <col min="787" max="789" width="9.140625" style="501"/>
    <col min="790" max="790" width="10.42578125" style="501" bestFit="1" customWidth="1"/>
    <col min="791" max="1019" width="9.140625" style="501"/>
    <col min="1020" max="1020" width="3.5703125" style="501" customWidth="1"/>
    <col min="1021" max="1021" width="4.85546875" style="501" customWidth="1"/>
    <col min="1022" max="1022" width="5.42578125" style="501" customWidth="1"/>
    <col min="1023" max="1023" width="31.28515625" style="501" customWidth="1"/>
    <col min="1024" max="1024" width="7.5703125" style="501" customWidth="1"/>
    <col min="1025" max="1025" width="2.42578125" style="501" customWidth="1"/>
    <col min="1026" max="1026" width="11.5703125" style="501" customWidth="1"/>
    <col min="1027" max="1027" width="2.42578125" style="501" customWidth="1"/>
    <col min="1028" max="1028" width="11.5703125" style="501" customWidth="1"/>
    <col min="1029" max="1029" width="2.42578125" style="501" customWidth="1"/>
    <col min="1030" max="1030" width="10.85546875" style="501" customWidth="1"/>
    <col min="1031" max="1031" width="2.42578125" style="501" customWidth="1"/>
    <col min="1032" max="1032" width="11.140625" style="501" customWidth="1"/>
    <col min="1033" max="1033" width="1.85546875" style="501" customWidth="1"/>
    <col min="1034" max="1034" width="11" style="501" customWidth="1"/>
    <col min="1035" max="1035" width="0.7109375" style="501" customWidth="1"/>
    <col min="1036" max="1036" width="1.85546875" style="501" customWidth="1"/>
    <col min="1037" max="1037" width="11.85546875" style="501" bestFit="1" customWidth="1"/>
    <col min="1038" max="1038" width="15.28515625" style="501" bestFit="1" customWidth="1"/>
    <col min="1039" max="1039" width="5" style="501" customWidth="1"/>
    <col min="1040" max="1040" width="10.42578125" style="501" bestFit="1" customWidth="1"/>
    <col min="1041" max="1041" width="5" style="501" customWidth="1"/>
    <col min="1042" max="1042" width="10.42578125" style="501" bestFit="1" customWidth="1"/>
    <col min="1043" max="1045" width="9.140625" style="501"/>
    <col min="1046" max="1046" width="10.42578125" style="501" bestFit="1" customWidth="1"/>
    <col min="1047" max="1275" width="9.140625" style="501"/>
    <col min="1276" max="1276" width="3.5703125" style="501" customWidth="1"/>
    <col min="1277" max="1277" width="4.85546875" style="501" customWidth="1"/>
    <col min="1278" max="1278" width="5.42578125" style="501" customWidth="1"/>
    <col min="1279" max="1279" width="31.28515625" style="501" customWidth="1"/>
    <col min="1280" max="1280" width="7.5703125" style="501" customWidth="1"/>
    <col min="1281" max="1281" width="2.42578125" style="501" customWidth="1"/>
    <col min="1282" max="1282" width="11.5703125" style="501" customWidth="1"/>
    <col min="1283" max="1283" width="2.42578125" style="501" customWidth="1"/>
    <col min="1284" max="1284" width="11.5703125" style="501" customWidth="1"/>
    <col min="1285" max="1285" width="2.42578125" style="501" customWidth="1"/>
    <col min="1286" max="1286" width="10.85546875" style="501" customWidth="1"/>
    <col min="1287" max="1287" width="2.42578125" style="501" customWidth="1"/>
    <col min="1288" max="1288" width="11.140625" style="501" customWidth="1"/>
    <col min="1289" max="1289" width="1.85546875" style="501" customWidth="1"/>
    <col min="1290" max="1290" width="11" style="501" customWidth="1"/>
    <col min="1291" max="1291" width="0.7109375" style="501" customWidth="1"/>
    <col min="1292" max="1292" width="1.85546875" style="501" customWidth="1"/>
    <col min="1293" max="1293" width="11.85546875" style="501" bestFit="1" customWidth="1"/>
    <col min="1294" max="1294" width="15.28515625" style="501" bestFit="1" customWidth="1"/>
    <col min="1295" max="1295" width="5" style="501" customWidth="1"/>
    <col min="1296" max="1296" width="10.42578125" style="501" bestFit="1" customWidth="1"/>
    <col min="1297" max="1297" width="5" style="501" customWidth="1"/>
    <col min="1298" max="1298" width="10.42578125" style="501" bestFit="1" customWidth="1"/>
    <col min="1299" max="1301" width="9.140625" style="501"/>
    <col min="1302" max="1302" width="10.42578125" style="501" bestFit="1" customWidth="1"/>
    <col min="1303" max="1531" width="9.140625" style="501"/>
    <col min="1532" max="1532" width="3.5703125" style="501" customWidth="1"/>
    <col min="1533" max="1533" width="4.85546875" style="501" customWidth="1"/>
    <col min="1534" max="1534" width="5.42578125" style="501" customWidth="1"/>
    <col min="1535" max="1535" width="31.28515625" style="501" customWidth="1"/>
    <col min="1536" max="1536" width="7.5703125" style="501" customWidth="1"/>
    <col min="1537" max="1537" width="2.42578125" style="501" customWidth="1"/>
    <col min="1538" max="1538" width="11.5703125" style="501" customWidth="1"/>
    <col min="1539" max="1539" width="2.42578125" style="501" customWidth="1"/>
    <col min="1540" max="1540" width="11.5703125" style="501" customWidth="1"/>
    <col min="1541" max="1541" width="2.42578125" style="501" customWidth="1"/>
    <col min="1542" max="1542" width="10.85546875" style="501" customWidth="1"/>
    <col min="1543" max="1543" width="2.42578125" style="501" customWidth="1"/>
    <col min="1544" max="1544" width="11.140625" style="501" customWidth="1"/>
    <col min="1545" max="1545" width="1.85546875" style="501" customWidth="1"/>
    <col min="1546" max="1546" width="11" style="501" customWidth="1"/>
    <col min="1547" max="1547" width="0.7109375" style="501" customWidth="1"/>
    <col min="1548" max="1548" width="1.85546875" style="501" customWidth="1"/>
    <col min="1549" max="1549" width="11.85546875" style="501" bestFit="1" customWidth="1"/>
    <col min="1550" max="1550" width="15.28515625" style="501" bestFit="1" customWidth="1"/>
    <col min="1551" max="1551" width="5" style="501" customWidth="1"/>
    <col min="1552" max="1552" width="10.42578125" style="501" bestFit="1" customWidth="1"/>
    <col min="1553" max="1553" width="5" style="501" customWidth="1"/>
    <col min="1554" max="1554" width="10.42578125" style="501" bestFit="1" customWidth="1"/>
    <col min="1555" max="1557" width="9.140625" style="501"/>
    <col min="1558" max="1558" width="10.42578125" style="501" bestFit="1" customWidth="1"/>
    <col min="1559" max="1787" width="9.140625" style="501"/>
    <col min="1788" max="1788" width="3.5703125" style="501" customWidth="1"/>
    <col min="1789" max="1789" width="4.85546875" style="501" customWidth="1"/>
    <col min="1790" max="1790" width="5.42578125" style="501" customWidth="1"/>
    <col min="1791" max="1791" width="31.28515625" style="501" customWidth="1"/>
    <col min="1792" max="1792" width="7.5703125" style="501" customWidth="1"/>
    <col min="1793" max="1793" width="2.42578125" style="501" customWidth="1"/>
    <col min="1794" max="1794" width="11.5703125" style="501" customWidth="1"/>
    <col min="1795" max="1795" width="2.42578125" style="501" customWidth="1"/>
    <col min="1796" max="1796" width="11.5703125" style="501" customWidth="1"/>
    <col min="1797" max="1797" width="2.42578125" style="501" customWidth="1"/>
    <col min="1798" max="1798" width="10.85546875" style="501" customWidth="1"/>
    <col min="1799" max="1799" width="2.42578125" style="501" customWidth="1"/>
    <col min="1800" max="1800" width="11.140625" style="501" customWidth="1"/>
    <col min="1801" max="1801" width="1.85546875" style="501" customWidth="1"/>
    <col min="1802" max="1802" width="11" style="501" customWidth="1"/>
    <col min="1803" max="1803" width="0.7109375" style="501" customWidth="1"/>
    <col min="1804" max="1804" width="1.85546875" style="501" customWidth="1"/>
    <col min="1805" max="1805" width="11.85546875" style="501" bestFit="1" customWidth="1"/>
    <col min="1806" max="1806" width="15.28515625" style="501" bestFit="1" customWidth="1"/>
    <col min="1807" max="1807" width="5" style="501" customWidth="1"/>
    <col min="1808" max="1808" width="10.42578125" style="501" bestFit="1" customWidth="1"/>
    <col min="1809" max="1809" width="5" style="501" customWidth="1"/>
    <col min="1810" max="1810" width="10.42578125" style="501" bestFit="1" customWidth="1"/>
    <col min="1811" max="1813" width="9.140625" style="501"/>
    <col min="1814" max="1814" width="10.42578125" style="501" bestFit="1" customWidth="1"/>
    <col min="1815" max="2043" width="9.140625" style="501"/>
    <col min="2044" max="2044" width="3.5703125" style="501" customWidth="1"/>
    <col min="2045" max="2045" width="4.85546875" style="501" customWidth="1"/>
    <col min="2046" max="2046" width="5.42578125" style="501" customWidth="1"/>
    <col min="2047" max="2047" width="31.28515625" style="501" customWidth="1"/>
    <col min="2048" max="2048" width="7.5703125" style="501" customWidth="1"/>
    <col min="2049" max="2049" width="2.42578125" style="501" customWidth="1"/>
    <col min="2050" max="2050" width="11.5703125" style="501" customWidth="1"/>
    <col min="2051" max="2051" width="2.42578125" style="501" customWidth="1"/>
    <col min="2052" max="2052" width="11.5703125" style="501" customWidth="1"/>
    <col min="2053" max="2053" width="2.42578125" style="501" customWidth="1"/>
    <col min="2054" max="2054" width="10.85546875" style="501" customWidth="1"/>
    <col min="2055" max="2055" width="2.42578125" style="501" customWidth="1"/>
    <col min="2056" max="2056" width="11.140625" style="501" customWidth="1"/>
    <col min="2057" max="2057" width="1.85546875" style="501" customWidth="1"/>
    <col min="2058" max="2058" width="11" style="501" customWidth="1"/>
    <col min="2059" max="2059" width="0.7109375" style="501" customWidth="1"/>
    <col min="2060" max="2060" width="1.85546875" style="501" customWidth="1"/>
    <col min="2061" max="2061" width="11.85546875" style="501" bestFit="1" customWidth="1"/>
    <col min="2062" max="2062" width="15.28515625" style="501" bestFit="1" customWidth="1"/>
    <col min="2063" max="2063" width="5" style="501" customWidth="1"/>
    <col min="2064" max="2064" width="10.42578125" style="501" bestFit="1" customWidth="1"/>
    <col min="2065" max="2065" width="5" style="501" customWidth="1"/>
    <col min="2066" max="2066" width="10.42578125" style="501" bestFit="1" customWidth="1"/>
    <col min="2067" max="2069" width="9.140625" style="501"/>
    <col min="2070" max="2070" width="10.42578125" style="501" bestFit="1" customWidth="1"/>
    <col min="2071" max="2299" width="9.140625" style="501"/>
    <col min="2300" max="2300" width="3.5703125" style="501" customWidth="1"/>
    <col min="2301" max="2301" width="4.85546875" style="501" customWidth="1"/>
    <col min="2302" max="2302" width="5.42578125" style="501" customWidth="1"/>
    <col min="2303" max="2303" width="31.28515625" style="501" customWidth="1"/>
    <col min="2304" max="2304" width="7.5703125" style="501" customWidth="1"/>
    <col min="2305" max="2305" width="2.42578125" style="501" customWidth="1"/>
    <col min="2306" max="2306" width="11.5703125" style="501" customWidth="1"/>
    <col min="2307" max="2307" width="2.42578125" style="501" customWidth="1"/>
    <col min="2308" max="2308" width="11.5703125" style="501" customWidth="1"/>
    <col min="2309" max="2309" width="2.42578125" style="501" customWidth="1"/>
    <col min="2310" max="2310" width="10.85546875" style="501" customWidth="1"/>
    <col min="2311" max="2311" width="2.42578125" style="501" customWidth="1"/>
    <col min="2312" max="2312" width="11.140625" style="501" customWidth="1"/>
    <col min="2313" max="2313" width="1.85546875" style="501" customWidth="1"/>
    <col min="2314" max="2314" width="11" style="501" customWidth="1"/>
    <col min="2315" max="2315" width="0.7109375" style="501" customWidth="1"/>
    <col min="2316" max="2316" width="1.85546875" style="501" customWidth="1"/>
    <col min="2317" max="2317" width="11.85546875" style="501" bestFit="1" customWidth="1"/>
    <col min="2318" max="2318" width="15.28515625" style="501" bestFit="1" customWidth="1"/>
    <col min="2319" max="2319" width="5" style="501" customWidth="1"/>
    <col min="2320" max="2320" width="10.42578125" style="501" bestFit="1" customWidth="1"/>
    <col min="2321" max="2321" width="5" style="501" customWidth="1"/>
    <col min="2322" max="2322" width="10.42578125" style="501" bestFit="1" customWidth="1"/>
    <col min="2323" max="2325" width="9.140625" style="501"/>
    <col min="2326" max="2326" width="10.42578125" style="501" bestFit="1" customWidth="1"/>
    <col min="2327" max="2555" width="9.140625" style="501"/>
    <col min="2556" max="2556" width="3.5703125" style="501" customWidth="1"/>
    <col min="2557" max="2557" width="4.85546875" style="501" customWidth="1"/>
    <col min="2558" max="2558" width="5.42578125" style="501" customWidth="1"/>
    <col min="2559" max="2559" width="31.28515625" style="501" customWidth="1"/>
    <col min="2560" max="2560" width="7.5703125" style="501" customWidth="1"/>
    <col min="2561" max="2561" width="2.42578125" style="501" customWidth="1"/>
    <col min="2562" max="2562" width="11.5703125" style="501" customWidth="1"/>
    <col min="2563" max="2563" width="2.42578125" style="501" customWidth="1"/>
    <col min="2564" max="2564" width="11.5703125" style="501" customWidth="1"/>
    <col min="2565" max="2565" width="2.42578125" style="501" customWidth="1"/>
    <col min="2566" max="2566" width="10.85546875" style="501" customWidth="1"/>
    <col min="2567" max="2567" width="2.42578125" style="501" customWidth="1"/>
    <col min="2568" max="2568" width="11.140625" style="501" customWidth="1"/>
    <col min="2569" max="2569" width="1.85546875" style="501" customWidth="1"/>
    <col min="2570" max="2570" width="11" style="501" customWidth="1"/>
    <col min="2571" max="2571" width="0.7109375" style="501" customWidth="1"/>
    <col min="2572" max="2572" width="1.85546875" style="501" customWidth="1"/>
    <col min="2573" max="2573" width="11.85546875" style="501" bestFit="1" customWidth="1"/>
    <col min="2574" max="2574" width="15.28515625" style="501" bestFit="1" customWidth="1"/>
    <col min="2575" max="2575" width="5" style="501" customWidth="1"/>
    <col min="2576" max="2576" width="10.42578125" style="501" bestFit="1" customWidth="1"/>
    <col min="2577" max="2577" width="5" style="501" customWidth="1"/>
    <col min="2578" max="2578" width="10.42578125" style="501" bestFit="1" customWidth="1"/>
    <col min="2579" max="2581" width="9.140625" style="501"/>
    <col min="2582" max="2582" width="10.42578125" style="501" bestFit="1" customWidth="1"/>
    <col min="2583" max="2811" width="9.140625" style="501"/>
    <col min="2812" max="2812" width="3.5703125" style="501" customWidth="1"/>
    <col min="2813" max="2813" width="4.85546875" style="501" customWidth="1"/>
    <col min="2814" max="2814" width="5.42578125" style="501" customWidth="1"/>
    <col min="2815" max="2815" width="31.28515625" style="501" customWidth="1"/>
    <col min="2816" max="2816" width="7.5703125" style="501" customWidth="1"/>
    <col min="2817" max="2817" width="2.42578125" style="501" customWidth="1"/>
    <col min="2818" max="2818" width="11.5703125" style="501" customWidth="1"/>
    <col min="2819" max="2819" width="2.42578125" style="501" customWidth="1"/>
    <col min="2820" max="2820" width="11.5703125" style="501" customWidth="1"/>
    <col min="2821" max="2821" width="2.42578125" style="501" customWidth="1"/>
    <col min="2822" max="2822" width="10.85546875" style="501" customWidth="1"/>
    <col min="2823" max="2823" width="2.42578125" style="501" customWidth="1"/>
    <col min="2824" max="2824" width="11.140625" style="501" customWidth="1"/>
    <col min="2825" max="2825" width="1.85546875" style="501" customWidth="1"/>
    <col min="2826" max="2826" width="11" style="501" customWidth="1"/>
    <col min="2827" max="2827" width="0.7109375" style="501" customWidth="1"/>
    <col min="2828" max="2828" width="1.85546875" style="501" customWidth="1"/>
    <col min="2829" max="2829" width="11.85546875" style="501" bestFit="1" customWidth="1"/>
    <col min="2830" max="2830" width="15.28515625" style="501" bestFit="1" customWidth="1"/>
    <col min="2831" max="2831" width="5" style="501" customWidth="1"/>
    <col min="2832" max="2832" width="10.42578125" style="501" bestFit="1" customWidth="1"/>
    <col min="2833" max="2833" width="5" style="501" customWidth="1"/>
    <col min="2834" max="2834" width="10.42578125" style="501" bestFit="1" customWidth="1"/>
    <col min="2835" max="2837" width="9.140625" style="501"/>
    <col min="2838" max="2838" width="10.42578125" style="501" bestFit="1" customWidth="1"/>
    <col min="2839" max="3067" width="9.140625" style="501"/>
    <col min="3068" max="3068" width="3.5703125" style="501" customWidth="1"/>
    <col min="3069" max="3069" width="4.85546875" style="501" customWidth="1"/>
    <col min="3070" max="3070" width="5.42578125" style="501" customWidth="1"/>
    <col min="3071" max="3071" width="31.28515625" style="501" customWidth="1"/>
    <col min="3072" max="3072" width="7.5703125" style="501" customWidth="1"/>
    <col min="3073" max="3073" width="2.42578125" style="501" customWidth="1"/>
    <col min="3074" max="3074" width="11.5703125" style="501" customWidth="1"/>
    <col min="3075" max="3075" width="2.42578125" style="501" customWidth="1"/>
    <col min="3076" max="3076" width="11.5703125" style="501" customWidth="1"/>
    <col min="3077" max="3077" width="2.42578125" style="501" customWidth="1"/>
    <col min="3078" max="3078" width="10.85546875" style="501" customWidth="1"/>
    <col min="3079" max="3079" width="2.42578125" style="501" customWidth="1"/>
    <col min="3080" max="3080" width="11.140625" style="501" customWidth="1"/>
    <col min="3081" max="3081" width="1.85546875" style="501" customWidth="1"/>
    <col min="3082" max="3082" width="11" style="501" customWidth="1"/>
    <col min="3083" max="3083" width="0.7109375" style="501" customWidth="1"/>
    <col min="3084" max="3084" width="1.85546875" style="501" customWidth="1"/>
    <col min="3085" max="3085" width="11.85546875" style="501" bestFit="1" customWidth="1"/>
    <col min="3086" max="3086" width="15.28515625" style="501" bestFit="1" customWidth="1"/>
    <col min="3087" max="3087" width="5" style="501" customWidth="1"/>
    <col min="3088" max="3088" width="10.42578125" style="501" bestFit="1" customWidth="1"/>
    <col min="3089" max="3089" width="5" style="501" customWidth="1"/>
    <col min="3090" max="3090" width="10.42578125" style="501" bestFit="1" customWidth="1"/>
    <col min="3091" max="3093" width="9.140625" style="501"/>
    <col min="3094" max="3094" width="10.42578125" style="501" bestFit="1" customWidth="1"/>
    <col min="3095" max="3323" width="9.140625" style="501"/>
    <col min="3324" max="3324" width="3.5703125" style="501" customWidth="1"/>
    <col min="3325" max="3325" width="4.85546875" style="501" customWidth="1"/>
    <col min="3326" max="3326" width="5.42578125" style="501" customWidth="1"/>
    <col min="3327" max="3327" width="31.28515625" style="501" customWidth="1"/>
    <col min="3328" max="3328" width="7.5703125" style="501" customWidth="1"/>
    <col min="3329" max="3329" width="2.42578125" style="501" customWidth="1"/>
    <col min="3330" max="3330" width="11.5703125" style="501" customWidth="1"/>
    <col min="3331" max="3331" width="2.42578125" style="501" customWidth="1"/>
    <col min="3332" max="3332" width="11.5703125" style="501" customWidth="1"/>
    <col min="3333" max="3333" width="2.42578125" style="501" customWidth="1"/>
    <col min="3334" max="3334" width="10.85546875" style="501" customWidth="1"/>
    <col min="3335" max="3335" width="2.42578125" style="501" customWidth="1"/>
    <col min="3336" max="3336" width="11.140625" style="501" customWidth="1"/>
    <col min="3337" max="3337" width="1.85546875" style="501" customWidth="1"/>
    <col min="3338" max="3338" width="11" style="501" customWidth="1"/>
    <col min="3339" max="3339" width="0.7109375" style="501" customWidth="1"/>
    <col min="3340" max="3340" width="1.85546875" style="501" customWidth="1"/>
    <col min="3341" max="3341" width="11.85546875" style="501" bestFit="1" customWidth="1"/>
    <col min="3342" max="3342" width="15.28515625" style="501" bestFit="1" customWidth="1"/>
    <col min="3343" max="3343" width="5" style="501" customWidth="1"/>
    <col min="3344" max="3344" width="10.42578125" style="501" bestFit="1" customWidth="1"/>
    <col min="3345" max="3345" width="5" style="501" customWidth="1"/>
    <col min="3346" max="3346" width="10.42578125" style="501" bestFit="1" customWidth="1"/>
    <col min="3347" max="3349" width="9.140625" style="501"/>
    <col min="3350" max="3350" width="10.42578125" style="501" bestFit="1" customWidth="1"/>
    <col min="3351" max="3579" width="9.140625" style="501"/>
    <col min="3580" max="3580" width="3.5703125" style="501" customWidth="1"/>
    <col min="3581" max="3581" width="4.85546875" style="501" customWidth="1"/>
    <col min="3582" max="3582" width="5.42578125" style="501" customWidth="1"/>
    <col min="3583" max="3583" width="31.28515625" style="501" customWidth="1"/>
    <col min="3584" max="3584" width="7.5703125" style="501" customWidth="1"/>
    <col min="3585" max="3585" width="2.42578125" style="501" customWidth="1"/>
    <col min="3586" max="3586" width="11.5703125" style="501" customWidth="1"/>
    <col min="3587" max="3587" width="2.42578125" style="501" customWidth="1"/>
    <col min="3588" max="3588" width="11.5703125" style="501" customWidth="1"/>
    <col min="3589" max="3589" width="2.42578125" style="501" customWidth="1"/>
    <col min="3590" max="3590" width="10.85546875" style="501" customWidth="1"/>
    <col min="3591" max="3591" width="2.42578125" style="501" customWidth="1"/>
    <col min="3592" max="3592" width="11.140625" style="501" customWidth="1"/>
    <col min="3593" max="3593" width="1.85546875" style="501" customWidth="1"/>
    <col min="3594" max="3594" width="11" style="501" customWidth="1"/>
    <col min="3595" max="3595" width="0.7109375" style="501" customWidth="1"/>
    <col min="3596" max="3596" width="1.85546875" style="501" customWidth="1"/>
    <col min="3597" max="3597" width="11.85546875" style="501" bestFit="1" customWidth="1"/>
    <col min="3598" max="3598" width="15.28515625" style="501" bestFit="1" customWidth="1"/>
    <col min="3599" max="3599" width="5" style="501" customWidth="1"/>
    <col min="3600" max="3600" width="10.42578125" style="501" bestFit="1" customWidth="1"/>
    <col min="3601" max="3601" width="5" style="501" customWidth="1"/>
    <col min="3602" max="3602" width="10.42578125" style="501" bestFit="1" customWidth="1"/>
    <col min="3603" max="3605" width="9.140625" style="501"/>
    <col min="3606" max="3606" width="10.42578125" style="501" bestFit="1" customWidth="1"/>
    <col min="3607" max="3835" width="9.140625" style="501"/>
    <col min="3836" max="3836" width="3.5703125" style="501" customWidth="1"/>
    <col min="3837" max="3837" width="4.85546875" style="501" customWidth="1"/>
    <col min="3838" max="3838" width="5.42578125" style="501" customWidth="1"/>
    <col min="3839" max="3839" width="31.28515625" style="501" customWidth="1"/>
    <col min="3840" max="3840" width="7.5703125" style="501" customWidth="1"/>
    <col min="3841" max="3841" width="2.42578125" style="501" customWidth="1"/>
    <col min="3842" max="3842" width="11.5703125" style="501" customWidth="1"/>
    <col min="3843" max="3843" width="2.42578125" style="501" customWidth="1"/>
    <col min="3844" max="3844" width="11.5703125" style="501" customWidth="1"/>
    <col min="3845" max="3845" width="2.42578125" style="501" customWidth="1"/>
    <col min="3846" max="3846" width="10.85546875" style="501" customWidth="1"/>
    <col min="3847" max="3847" width="2.42578125" style="501" customWidth="1"/>
    <col min="3848" max="3848" width="11.140625" style="501" customWidth="1"/>
    <col min="3849" max="3849" width="1.85546875" style="501" customWidth="1"/>
    <col min="3850" max="3850" width="11" style="501" customWidth="1"/>
    <col min="3851" max="3851" width="0.7109375" style="501" customWidth="1"/>
    <col min="3852" max="3852" width="1.85546875" style="501" customWidth="1"/>
    <col min="3853" max="3853" width="11.85546875" style="501" bestFit="1" customWidth="1"/>
    <col min="3854" max="3854" width="15.28515625" style="501" bestFit="1" customWidth="1"/>
    <col min="3855" max="3855" width="5" style="501" customWidth="1"/>
    <col min="3856" max="3856" width="10.42578125" style="501" bestFit="1" customWidth="1"/>
    <col min="3857" max="3857" width="5" style="501" customWidth="1"/>
    <col min="3858" max="3858" width="10.42578125" style="501" bestFit="1" customWidth="1"/>
    <col min="3859" max="3861" width="9.140625" style="501"/>
    <col min="3862" max="3862" width="10.42578125" style="501" bestFit="1" customWidth="1"/>
    <col min="3863" max="4091" width="9.140625" style="501"/>
    <col min="4092" max="4092" width="3.5703125" style="501" customWidth="1"/>
    <col min="4093" max="4093" width="4.85546875" style="501" customWidth="1"/>
    <col min="4094" max="4094" width="5.42578125" style="501" customWidth="1"/>
    <col min="4095" max="4095" width="31.28515625" style="501" customWidth="1"/>
    <col min="4096" max="4096" width="7.5703125" style="501" customWidth="1"/>
    <col min="4097" max="4097" width="2.42578125" style="501" customWidth="1"/>
    <col min="4098" max="4098" width="11.5703125" style="501" customWidth="1"/>
    <col min="4099" max="4099" width="2.42578125" style="501" customWidth="1"/>
    <col min="4100" max="4100" width="11.5703125" style="501" customWidth="1"/>
    <col min="4101" max="4101" width="2.42578125" style="501" customWidth="1"/>
    <col min="4102" max="4102" width="10.85546875" style="501" customWidth="1"/>
    <col min="4103" max="4103" width="2.42578125" style="501" customWidth="1"/>
    <col min="4104" max="4104" width="11.140625" style="501" customWidth="1"/>
    <col min="4105" max="4105" width="1.85546875" style="501" customWidth="1"/>
    <col min="4106" max="4106" width="11" style="501" customWidth="1"/>
    <col min="4107" max="4107" width="0.7109375" style="501" customWidth="1"/>
    <col min="4108" max="4108" width="1.85546875" style="501" customWidth="1"/>
    <col min="4109" max="4109" width="11.85546875" style="501" bestFit="1" customWidth="1"/>
    <col min="4110" max="4110" width="15.28515625" style="501" bestFit="1" customWidth="1"/>
    <col min="4111" max="4111" width="5" style="501" customWidth="1"/>
    <col min="4112" max="4112" width="10.42578125" style="501" bestFit="1" customWidth="1"/>
    <col min="4113" max="4113" width="5" style="501" customWidth="1"/>
    <col min="4114" max="4114" width="10.42578125" style="501" bestFit="1" customWidth="1"/>
    <col min="4115" max="4117" width="9.140625" style="501"/>
    <col min="4118" max="4118" width="10.42578125" style="501" bestFit="1" customWidth="1"/>
    <col min="4119" max="4347" width="9.140625" style="501"/>
    <col min="4348" max="4348" width="3.5703125" style="501" customWidth="1"/>
    <col min="4349" max="4349" width="4.85546875" style="501" customWidth="1"/>
    <col min="4350" max="4350" width="5.42578125" style="501" customWidth="1"/>
    <col min="4351" max="4351" width="31.28515625" style="501" customWidth="1"/>
    <col min="4352" max="4352" width="7.5703125" style="501" customWidth="1"/>
    <col min="4353" max="4353" width="2.42578125" style="501" customWidth="1"/>
    <col min="4354" max="4354" width="11.5703125" style="501" customWidth="1"/>
    <col min="4355" max="4355" width="2.42578125" style="501" customWidth="1"/>
    <col min="4356" max="4356" width="11.5703125" style="501" customWidth="1"/>
    <col min="4357" max="4357" width="2.42578125" style="501" customWidth="1"/>
    <col min="4358" max="4358" width="10.85546875" style="501" customWidth="1"/>
    <col min="4359" max="4359" width="2.42578125" style="501" customWidth="1"/>
    <col min="4360" max="4360" width="11.140625" style="501" customWidth="1"/>
    <col min="4361" max="4361" width="1.85546875" style="501" customWidth="1"/>
    <col min="4362" max="4362" width="11" style="501" customWidth="1"/>
    <col min="4363" max="4363" width="0.7109375" style="501" customWidth="1"/>
    <col min="4364" max="4364" width="1.85546875" style="501" customWidth="1"/>
    <col min="4365" max="4365" width="11.85546875" style="501" bestFit="1" customWidth="1"/>
    <col min="4366" max="4366" width="15.28515625" style="501" bestFit="1" customWidth="1"/>
    <col min="4367" max="4367" width="5" style="501" customWidth="1"/>
    <col min="4368" max="4368" width="10.42578125" style="501" bestFit="1" customWidth="1"/>
    <col min="4369" max="4369" width="5" style="501" customWidth="1"/>
    <col min="4370" max="4370" width="10.42578125" style="501" bestFit="1" customWidth="1"/>
    <col min="4371" max="4373" width="9.140625" style="501"/>
    <col min="4374" max="4374" width="10.42578125" style="501" bestFit="1" customWidth="1"/>
    <col min="4375" max="4603" width="9.140625" style="501"/>
    <col min="4604" max="4604" width="3.5703125" style="501" customWidth="1"/>
    <col min="4605" max="4605" width="4.85546875" style="501" customWidth="1"/>
    <col min="4606" max="4606" width="5.42578125" style="501" customWidth="1"/>
    <col min="4607" max="4607" width="31.28515625" style="501" customWidth="1"/>
    <col min="4608" max="4608" width="7.5703125" style="501" customWidth="1"/>
    <col min="4609" max="4609" width="2.42578125" style="501" customWidth="1"/>
    <col min="4610" max="4610" width="11.5703125" style="501" customWidth="1"/>
    <col min="4611" max="4611" width="2.42578125" style="501" customWidth="1"/>
    <col min="4612" max="4612" width="11.5703125" style="501" customWidth="1"/>
    <col min="4613" max="4613" width="2.42578125" style="501" customWidth="1"/>
    <col min="4614" max="4614" width="10.85546875" style="501" customWidth="1"/>
    <col min="4615" max="4615" width="2.42578125" style="501" customWidth="1"/>
    <col min="4616" max="4616" width="11.140625" style="501" customWidth="1"/>
    <col min="4617" max="4617" width="1.85546875" style="501" customWidth="1"/>
    <col min="4618" max="4618" width="11" style="501" customWidth="1"/>
    <col min="4619" max="4619" width="0.7109375" style="501" customWidth="1"/>
    <col min="4620" max="4620" width="1.85546875" style="501" customWidth="1"/>
    <col min="4621" max="4621" width="11.85546875" style="501" bestFit="1" customWidth="1"/>
    <col min="4622" max="4622" width="15.28515625" style="501" bestFit="1" customWidth="1"/>
    <col min="4623" max="4623" width="5" style="501" customWidth="1"/>
    <col min="4624" max="4624" width="10.42578125" style="501" bestFit="1" customWidth="1"/>
    <col min="4625" max="4625" width="5" style="501" customWidth="1"/>
    <col min="4626" max="4626" width="10.42578125" style="501" bestFit="1" customWidth="1"/>
    <col min="4627" max="4629" width="9.140625" style="501"/>
    <col min="4630" max="4630" width="10.42578125" style="501" bestFit="1" customWidth="1"/>
    <col min="4631" max="4859" width="9.140625" style="501"/>
    <col min="4860" max="4860" width="3.5703125" style="501" customWidth="1"/>
    <col min="4861" max="4861" width="4.85546875" style="501" customWidth="1"/>
    <col min="4862" max="4862" width="5.42578125" style="501" customWidth="1"/>
    <col min="4863" max="4863" width="31.28515625" style="501" customWidth="1"/>
    <col min="4864" max="4864" width="7.5703125" style="501" customWidth="1"/>
    <col min="4865" max="4865" width="2.42578125" style="501" customWidth="1"/>
    <col min="4866" max="4866" width="11.5703125" style="501" customWidth="1"/>
    <col min="4867" max="4867" width="2.42578125" style="501" customWidth="1"/>
    <col min="4868" max="4868" width="11.5703125" style="501" customWidth="1"/>
    <col min="4869" max="4869" width="2.42578125" style="501" customWidth="1"/>
    <col min="4870" max="4870" width="10.85546875" style="501" customWidth="1"/>
    <col min="4871" max="4871" width="2.42578125" style="501" customWidth="1"/>
    <col min="4872" max="4872" width="11.140625" style="501" customWidth="1"/>
    <col min="4873" max="4873" width="1.85546875" style="501" customWidth="1"/>
    <col min="4874" max="4874" width="11" style="501" customWidth="1"/>
    <col min="4875" max="4875" width="0.7109375" style="501" customWidth="1"/>
    <col min="4876" max="4876" width="1.85546875" style="501" customWidth="1"/>
    <col min="4877" max="4877" width="11.85546875" style="501" bestFit="1" customWidth="1"/>
    <col min="4878" max="4878" width="15.28515625" style="501" bestFit="1" customWidth="1"/>
    <col min="4879" max="4879" width="5" style="501" customWidth="1"/>
    <col min="4880" max="4880" width="10.42578125" style="501" bestFit="1" customWidth="1"/>
    <col min="4881" max="4881" width="5" style="501" customWidth="1"/>
    <col min="4882" max="4882" width="10.42578125" style="501" bestFit="1" customWidth="1"/>
    <col min="4883" max="4885" width="9.140625" style="501"/>
    <col min="4886" max="4886" width="10.42578125" style="501" bestFit="1" customWidth="1"/>
    <col min="4887" max="5115" width="9.140625" style="501"/>
    <col min="5116" max="5116" width="3.5703125" style="501" customWidth="1"/>
    <col min="5117" max="5117" width="4.85546875" style="501" customWidth="1"/>
    <col min="5118" max="5118" width="5.42578125" style="501" customWidth="1"/>
    <col min="5119" max="5119" width="31.28515625" style="501" customWidth="1"/>
    <col min="5120" max="5120" width="7.5703125" style="501" customWidth="1"/>
    <col min="5121" max="5121" width="2.42578125" style="501" customWidth="1"/>
    <col min="5122" max="5122" width="11.5703125" style="501" customWidth="1"/>
    <col min="5123" max="5123" width="2.42578125" style="501" customWidth="1"/>
    <col min="5124" max="5124" width="11.5703125" style="501" customWidth="1"/>
    <col min="5125" max="5125" width="2.42578125" style="501" customWidth="1"/>
    <col min="5126" max="5126" width="10.85546875" style="501" customWidth="1"/>
    <col min="5127" max="5127" width="2.42578125" style="501" customWidth="1"/>
    <col min="5128" max="5128" width="11.140625" style="501" customWidth="1"/>
    <col min="5129" max="5129" width="1.85546875" style="501" customWidth="1"/>
    <col min="5130" max="5130" width="11" style="501" customWidth="1"/>
    <col min="5131" max="5131" width="0.7109375" style="501" customWidth="1"/>
    <col min="5132" max="5132" width="1.85546875" style="501" customWidth="1"/>
    <col min="5133" max="5133" width="11.85546875" style="501" bestFit="1" customWidth="1"/>
    <col min="5134" max="5134" width="15.28515625" style="501" bestFit="1" customWidth="1"/>
    <col min="5135" max="5135" width="5" style="501" customWidth="1"/>
    <col min="5136" max="5136" width="10.42578125" style="501" bestFit="1" customWidth="1"/>
    <col min="5137" max="5137" width="5" style="501" customWidth="1"/>
    <col min="5138" max="5138" width="10.42578125" style="501" bestFit="1" customWidth="1"/>
    <col min="5139" max="5141" width="9.140625" style="501"/>
    <col min="5142" max="5142" width="10.42578125" style="501" bestFit="1" customWidth="1"/>
    <col min="5143" max="5371" width="9.140625" style="501"/>
    <col min="5372" max="5372" width="3.5703125" style="501" customWidth="1"/>
    <col min="5373" max="5373" width="4.85546875" style="501" customWidth="1"/>
    <col min="5374" max="5374" width="5.42578125" style="501" customWidth="1"/>
    <col min="5375" max="5375" width="31.28515625" style="501" customWidth="1"/>
    <col min="5376" max="5376" width="7.5703125" style="501" customWidth="1"/>
    <col min="5377" max="5377" width="2.42578125" style="501" customWidth="1"/>
    <col min="5378" max="5378" width="11.5703125" style="501" customWidth="1"/>
    <col min="5379" max="5379" width="2.42578125" style="501" customWidth="1"/>
    <col min="5380" max="5380" width="11.5703125" style="501" customWidth="1"/>
    <col min="5381" max="5381" width="2.42578125" style="501" customWidth="1"/>
    <col min="5382" max="5382" width="10.85546875" style="501" customWidth="1"/>
    <col min="5383" max="5383" width="2.42578125" style="501" customWidth="1"/>
    <col min="5384" max="5384" width="11.140625" style="501" customWidth="1"/>
    <col min="5385" max="5385" width="1.85546875" style="501" customWidth="1"/>
    <col min="5386" max="5386" width="11" style="501" customWidth="1"/>
    <col min="5387" max="5387" width="0.7109375" style="501" customWidth="1"/>
    <col min="5388" max="5388" width="1.85546875" style="501" customWidth="1"/>
    <col min="5389" max="5389" width="11.85546875" style="501" bestFit="1" customWidth="1"/>
    <col min="5390" max="5390" width="15.28515625" style="501" bestFit="1" customWidth="1"/>
    <col min="5391" max="5391" width="5" style="501" customWidth="1"/>
    <col min="5392" max="5392" width="10.42578125" style="501" bestFit="1" customWidth="1"/>
    <col min="5393" max="5393" width="5" style="501" customWidth="1"/>
    <col min="5394" max="5394" width="10.42578125" style="501" bestFit="1" customWidth="1"/>
    <col min="5395" max="5397" width="9.140625" style="501"/>
    <col min="5398" max="5398" width="10.42578125" style="501" bestFit="1" customWidth="1"/>
    <col min="5399" max="5627" width="9.140625" style="501"/>
    <col min="5628" max="5628" width="3.5703125" style="501" customWidth="1"/>
    <col min="5629" max="5629" width="4.85546875" style="501" customWidth="1"/>
    <col min="5630" max="5630" width="5.42578125" style="501" customWidth="1"/>
    <col min="5631" max="5631" width="31.28515625" style="501" customWidth="1"/>
    <col min="5632" max="5632" width="7.5703125" style="501" customWidth="1"/>
    <col min="5633" max="5633" width="2.42578125" style="501" customWidth="1"/>
    <col min="5634" max="5634" width="11.5703125" style="501" customWidth="1"/>
    <col min="5635" max="5635" width="2.42578125" style="501" customWidth="1"/>
    <col min="5636" max="5636" width="11.5703125" style="501" customWidth="1"/>
    <col min="5637" max="5637" width="2.42578125" style="501" customWidth="1"/>
    <col min="5638" max="5638" width="10.85546875" style="501" customWidth="1"/>
    <col min="5639" max="5639" width="2.42578125" style="501" customWidth="1"/>
    <col min="5640" max="5640" width="11.140625" style="501" customWidth="1"/>
    <col min="5641" max="5641" width="1.85546875" style="501" customWidth="1"/>
    <col min="5642" max="5642" width="11" style="501" customWidth="1"/>
    <col min="5643" max="5643" width="0.7109375" style="501" customWidth="1"/>
    <col min="5644" max="5644" width="1.85546875" style="501" customWidth="1"/>
    <col min="5645" max="5645" width="11.85546875" style="501" bestFit="1" customWidth="1"/>
    <col min="5646" max="5646" width="15.28515625" style="501" bestFit="1" customWidth="1"/>
    <col min="5647" max="5647" width="5" style="501" customWidth="1"/>
    <col min="5648" max="5648" width="10.42578125" style="501" bestFit="1" customWidth="1"/>
    <col min="5649" max="5649" width="5" style="501" customWidth="1"/>
    <col min="5650" max="5650" width="10.42578125" style="501" bestFit="1" customWidth="1"/>
    <col min="5651" max="5653" width="9.140625" style="501"/>
    <col min="5654" max="5654" width="10.42578125" style="501" bestFit="1" customWidth="1"/>
    <col min="5655" max="5883" width="9.140625" style="501"/>
    <col min="5884" max="5884" width="3.5703125" style="501" customWidth="1"/>
    <col min="5885" max="5885" width="4.85546875" style="501" customWidth="1"/>
    <col min="5886" max="5886" width="5.42578125" style="501" customWidth="1"/>
    <col min="5887" max="5887" width="31.28515625" style="501" customWidth="1"/>
    <col min="5888" max="5888" width="7.5703125" style="501" customWidth="1"/>
    <col min="5889" max="5889" width="2.42578125" style="501" customWidth="1"/>
    <col min="5890" max="5890" width="11.5703125" style="501" customWidth="1"/>
    <col min="5891" max="5891" width="2.42578125" style="501" customWidth="1"/>
    <col min="5892" max="5892" width="11.5703125" style="501" customWidth="1"/>
    <col min="5893" max="5893" width="2.42578125" style="501" customWidth="1"/>
    <col min="5894" max="5894" width="10.85546875" style="501" customWidth="1"/>
    <col min="5895" max="5895" width="2.42578125" style="501" customWidth="1"/>
    <col min="5896" max="5896" width="11.140625" style="501" customWidth="1"/>
    <col min="5897" max="5897" width="1.85546875" style="501" customWidth="1"/>
    <col min="5898" max="5898" width="11" style="501" customWidth="1"/>
    <col min="5899" max="5899" width="0.7109375" style="501" customWidth="1"/>
    <col min="5900" max="5900" width="1.85546875" style="501" customWidth="1"/>
    <col min="5901" max="5901" width="11.85546875" style="501" bestFit="1" customWidth="1"/>
    <col min="5902" max="5902" width="15.28515625" style="501" bestFit="1" customWidth="1"/>
    <col min="5903" max="5903" width="5" style="501" customWidth="1"/>
    <col min="5904" max="5904" width="10.42578125" style="501" bestFit="1" customWidth="1"/>
    <col min="5905" max="5905" width="5" style="501" customWidth="1"/>
    <col min="5906" max="5906" width="10.42578125" style="501" bestFit="1" customWidth="1"/>
    <col min="5907" max="5909" width="9.140625" style="501"/>
    <col min="5910" max="5910" width="10.42578125" style="501" bestFit="1" customWidth="1"/>
    <col min="5911" max="6139" width="9.140625" style="501"/>
    <col min="6140" max="6140" width="3.5703125" style="501" customWidth="1"/>
    <col min="6141" max="6141" width="4.85546875" style="501" customWidth="1"/>
    <col min="6142" max="6142" width="5.42578125" style="501" customWidth="1"/>
    <col min="6143" max="6143" width="31.28515625" style="501" customWidth="1"/>
    <col min="6144" max="6144" width="7.5703125" style="501" customWidth="1"/>
    <col min="6145" max="6145" width="2.42578125" style="501" customWidth="1"/>
    <col min="6146" max="6146" width="11.5703125" style="501" customWidth="1"/>
    <col min="6147" max="6147" width="2.42578125" style="501" customWidth="1"/>
    <col min="6148" max="6148" width="11.5703125" style="501" customWidth="1"/>
    <col min="6149" max="6149" width="2.42578125" style="501" customWidth="1"/>
    <col min="6150" max="6150" width="10.85546875" style="501" customWidth="1"/>
    <col min="6151" max="6151" width="2.42578125" style="501" customWidth="1"/>
    <col min="6152" max="6152" width="11.140625" style="501" customWidth="1"/>
    <col min="6153" max="6153" width="1.85546875" style="501" customWidth="1"/>
    <col min="6154" max="6154" width="11" style="501" customWidth="1"/>
    <col min="6155" max="6155" width="0.7109375" style="501" customWidth="1"/>
    <col min="6156" max="6156" width="1.85546875" style="501" customWidth="1"/>
    <col min="6157" max="6157" width="11.85546875" style="501" bestFit="1" customWidth="1"/>
    <col min="6158" max="6158" width="15.28515625" style="501" bestFit="1" customWidth="1"/>
    <col min="6159" max="6159" width="5" style="501" customWidth="1"/>
    <col min="6160" max="6160" width="10.42578125" style="501" bestFit="1" customWidth="1"/>
    <col min="6161" max="6161" width="5" style="501" customWidth="1"/>
    <col min="6162" max="6162" width="10.42578125" style="501" bestFit="1" customWidth="1"/>
    <col min="6163" max="6165" width="9.140625" style="501"/>
    <col min="6166" max="6166" width="10.42578125" style="501" bestFit="1" customWidth="1"/>
    <col min="6167" max="6395" width="9.140625" style="501"/>
    <col min="6396" max="6396" width="3.5703125" style="501" customWidth="1"/>
    <col min="6397" max="6397" width="4.85546875" style="501" customWidth="1"/>
    <col min="6398" max="6398" width="5.42578125" style="501" customWidth="1"/>
    <col min="6399" max="6399" width="31.28515625" style="501" customWidth="1"/>
    <col min="6400" max="6400" width="7.5703125" style="501" customWidth="1"/>
    <col min="6401" max="6401" width="2.42578125" style="501" customWidth="1"/>
    <col min="6402" max="6402" width="11.5703125" style="501" customWidth="1"/>
    <col min="6403" max="6403" width="2.42578125" style="501" customWidth="1"/>
    <col min="6404" max="6404" width="11.5703125" style="501" customWidth="1"/>
    <col min="6405" max="6405" width="2.42578125" style="501" customWidth="1"/>
    <col min="6406" max="6406" width="10.85546875" style="501" customWidth="1"/>
    <col min="6407" max="6407" width="2.42578125" style="501" customWidth="1"/>
    <col min="6408" max="6408" width="11.140625" style="501" customWidth="1"/>
    <col min="6409" max="6409" width="1.85546875" style="501" customWidth="1"/>
    <col min="6410" max="6410" width="11" style="501" customWidth="1"/>
    <col min="6411" max="6411" width="0.7109375" style="501" customWidth="1"/>
    <col min="6412" max="6412" width="1.85546875" style="501" customWidth="1"/>
    <col min="6413" max="6413" width="11.85546875" style="501" bestFit="1" customWidth="1"/>
    <col min="6414" max="6414" width="15.28515625" style="501" bestFit="1" customWidth="1"/>
    <col min="6415" max="6415" width="5" style="501" customWidth="1"/>
    <col min="6416" max="6416" width="10.42578125" style="501" bestFit="1" customWidth="1"/>
    <col min="6417" max="6417" width="5" style="501" customWidth="1"/>
    <col min="6418" max="6418" width="10.42578125" style="501" bestFit="1" customWidth="1"/>
    <col min="6419" max="6421" width="9.140625" style="501"/>
    <col min="6422" max="6422" width="10.42578125" style="501" bestFit="1" customWidth="1"/>
    <col min="6423" max="6651" width="9.140625" style="501"/>
    <col min="6652" max="6652" width="3.5703125" style="501" customWidth="1"/>
    <col min="6653" max="6653" width="4.85546875" style="501" customWidth="1"/>
    <col min="6654" max="6654" width="5.42578125" style="501" customWidth="1"/>
    <col min="6655" max="6655" width="31.28515625" style="501" customWidth="1"/>
    <col min="6656" max="6656" width="7.5703125" style="501" customWidth="1"/>
    <col min="6657" max="6657" width="2.42578125" style="501" customWidth="1"/>
    <col min="6658" max="6658" width="11.5703125" style="501" customWidth="1"/>
    <col min="6659" max="6659" width="2.42578125" style="501" customWidth="1"/>
    <col min="6660" max="6660" width="11.5703125" style="501" customWidth="1"/>
    <col min="6661" max="6661" width="2.42578125" style="501" customWidth="1"/>
    <col min="6662" max="6662" width="10.85546875" style="501" customWidth="1"/>
    <col min="6663" max="6663" width="2.42578125" style="501" customWidth="1"/>
    <col min="6664" max="6664" width="11.140625" style="501" customWidth="1"/>
    <col min="6665" max="6665" width="1.85546875" style="501" customWidth="1"/>
    <col min="6666" max="6666" width="11" style="501" customWidth="1"/>
    <col min="6667" max="6667" width="0.7109375" style="501" customWidth="1"/>
    <col min="6668" max="6668" width="1.85546875" style="501" customWidth="1"/>
    <col min="6669" max="6669" width="11.85546875" style="501" bestFit="1" customWidth="1"/>
    <col min="6670" max="6670" width="15.28515625" style="501" bestFit="1" customWidth="1"/>
    <col min="6671" max="6671" width="5" style="501" customWidth="1"/>
    <col min="6672" max="6672" width="10.42578125" style="501" bestFit="1" customWidth="1"/>
    <col min="6673" max="6673" width="5" style="501" customWidth="1"/>
    <col min="6674" max="6674" width="10.42578125" style="501" bestFit="1" customWidth="1"/>
    <col min="6675" max="6677" width="9.140625" style="501"/>
    <col min="6678" max="6678" width="10.42578125" style="501" bestFit="1" customWidth="1"/>
    <col min="6679" max="6907" width="9.140625" style="501"/>
    <col min="6908" max="6908" width="3.5703125" style="501" customWidth="1"/>
    <col min="6909" max="6909" width="4.85546875" style="501" customWidth="1"/>
    <col min="6910" max="6910" width="5.42578125" style="501" customWidth="1"/>
    <col min="6911" max="6911" width="31.28515625" style="501" customWidth="1"/>
    <col min="6912" max="6912" width="7.5703125" style="501" customWidth="1"/>
    <col min="6913" max="6913" width="2.42578125" style="501" customWidth="1"/>
    <col min="6914" max="6914" width="11.5703125" style="501" customWidth="1"/>
    <col min="6915" max="6915" width="2.42578125" style="501" customWidth="1"/>
    <col min="6916" max="6916" width="11.5703125" style="501" customWidth="1"/>
    <col min="6917" max="6917" width="2.42578125" style="501" customWidth="1"/>
    <col min="6918" max="6918" width="10.85546875" style="501" customWidth="1"/>
    <col min="6919" max="6919" width="2.42578125" style="501" customWidth="1"/>
    <col min="6920" max="6920" width="11.140625" style="501" customWidth="1"/>
    <col min="6921" max="6921" width="1.85546875" style="501" customWidth="1"/>
    <col min="6922" max="6922" width="11" style="501" customWidth="1"/>
    <col min="6923" max="6923" width="0.7109375" style="501" customWidth="1"/>
    <col min="6924" max="6924" width="1.85546875" style="501" customWidth="1"/>
    <col min="6925" max="6925" width="11.85546875" style="501" bestFit="1" customWidth="1"/>
    <col min="6926" max="6926" width="15.28515625" style="501" bestFit="1" customWidth="1"/>
    <col min="6927" max="6927" width="5" style="501" customWidth="1"/>
    <col min="6928" max="6928" width="10.42578125" style="501" bestFit="1" customWidth="1"/>
    <col min="6929" max="6929" width="5" style="501" customWidth="1"/>
    <col min="6930" max="6930" width="10.42578125" style="501" bestFit="1" customWidth="1"/>
    <col min="6931" max="6933" width="9.140625" style="501"/>
    <col min="6934" max="6934" width="10.42578125" style="501" bestFit="1" customWidth="1"/>
    <col min="6935" max="7163" width="9.140625" style="501"/>
    <col min="7164" max="7164" width="3.5703125" style="501" customWidth="1"/>
    <col min="7165" max="7165" width="4.85546875" style="501" customWidth="1"/>
    <col min="7166" max="7166" width="5.42578125" style="501" customWidth="1"/>
    <col min="7167" max="7167" width="31.28515625" style="501" customWidth="1"/>
    <col min="7168" max="7168" width="7.5703125" style="501" customWidth="1"/>
    <col min="7169" max="7169" width="2.42578125" style="501" customWidth="1"/>
    <col min="7170" max="7170" width="11.5703125" style="501" customWidth="1"/>
    <col min="7171" max="7171" width="2.42578125" style="501" customWidth="1"/>
    <col min="7172" max="7172" width="11.5703125" style="501" customWidth="1"/>
    <col min="7173" max="7173" width="2.42578125" style="501" customWidth="1"/>
    <col min="7174" max="7174" width="10.85546875" style="501" customWidth="1"/>
    <col min="7175" max="7175" width="2.42578125" style="501" customWidth="1"/>
    <col min="7176" max="7176" width="11.140625" style="501" customWidth="1"/>
    <col min="7177" max="7177" width="1.85546875" style="501" customWidth="1"/>
    <col min="7178" max="7178" width="11" style="501" customWidth="1"/>
    <col min="7179" max="7179" width="0.7109375" style="501" customWidth="1"/>
    <col min="7180" max="7180" width="1.85546875" style="501" customWidth="1"/>
    <col min="7181" max="7181" width="11.85546875" style="501" bestFit="1" customWidth="1"/>
    <col min="7182" max="7182" width="15.28515625" style="501" bestFit="1" customWidth="1"/>
    <col min="7183" max="7183" width="5" style="501" customWidth="1"/>
    <col min="7184" max="7184" width="10.42578125" style="501" bestFit="1" customWidth="1"/>
    <col min="7185" max="7185" width="5" style="501" customWidth="1"/>
    <col min="7186" max="7186" width="10.42578125" style="501" bestFit="1" customWidth="1"/>
    <col min="7187" max="7189" width="9.140625" style="501"/>
    <col min="7190" max="7190" width="10.42578125" style="501" bestFit="1" customWidth="1"/>
    <col min="7191" max="7419" width="9.140625" style="501"/>
    <col min="7420" max="7420" width="3.5703125" style="501" customWidth="1"/>
    <col min="7421" max="7421" width="4.85546875" style="501" customWidth="1"/>
    <col min="7422" max="7422" width="5.42578125" style="501" customWidth="1"/>
    <col min="7423" max="7423" width="31.28515625" style="501" customWidth="1"/>
    <col min="7424" max="7424" width="7.5703125" style="501" customWidth="1"/>
    <col min="7425" max="7425" width="2.42578125" style="501" customWidth="1"/>
    <col min="7426" max="7426" width="11.5703125" style="501" customWidth="1"/>
    <col min="7427" max="7427" width="2.42578125" style="501" customWidth="1"/>
    <col min="7428" max="7428" width="11.5703125" style="501" customWidth="1"/>
    <col min="7429" max="7429" width="2.42578125" style="501" customWidth="1"/>
    <col min="7430" max="7430" width="10.85546875" style="501" customWidth="1"/>
    <col min="7431" max="7431" width="2.42578125" style="501" customWidth="1"/>
    <col min="7432" max="7432" width="11.140625" style="501" customWidth="1"/>
    <col min="7433" max="7433" width="1.85546875" style="501" customWidth="1"/>
    <col min="7434" max="7434" width="11" style="501" customWidth="1"/>
    <col min="7435" max="7435" width="0.7109375" style="501" customWidth="1"/>
    <col min="7436" max="7436" width="1.85546875" style="501" customWidth="1"/>
    <col min="7437" max="7437" width="11.85546875" style="501" bestFit="1" customWidth="1"/>
    <col min="7438" max="7438" width="15.28515625" style="501" bestFit="1" customWidth="1"/>
    <col min="7439" max="7439" width="5" style="501" customWidth="1"/>
    <col min="7440" max="7440" width="10.42578125" style="501" bestFit="1" customWidth="1"/>
    <col min="7441" max="7441" width="5" style="501" customWidth="1"/>
    <col min="7442" max="7442" width="10.42578125" style="501" bestFit="1" customWidth="1"/>
    <col min="7443" max="7445" width="9.140625" style="501"/>
    <col min="7446" max="7446" width="10.42578125" style="501" bestFit="1" customWidth="1"/>
    <col min="7447" max="7675" width="9.140625" style="501"/>
    <col min="7676" max="7676" width="3.5703125" style="501" customWidth="1"/>
    <col min="7677" max="7677" width="4.85546875" style="501" customWidth="1"/>
    <col min="7678" max="7678" width="5.42578125" style="501" customWidth="1"/>
    <col min="7679" max="7679" width="31.28515625" style="501" customWidth="1"/>
    <col min="7680" max="7680" width="7.5703125" style="501" customWidth="1"/>
    <col min="7681" max="7681" width="2.42578125" style="501" customWidth="1"/>
    <col min="7682" max="7682" width="11.5703125" style="501" customWidth="1"/>
    <col min="7683" max="7683" width="2.42578125" style="501" customWidth="1"/>
    <col min="7684" max="7684" width="11.5703125" style="501" customWidth="1"/>
    <col min="7685" max="7685" width="2.42578125" style="501" customWidth="1"/>
    <col min="7686" max="7686" width="10.85546875" style="501" customWidth="1"/>
    <col min="7687" max="7687" width="2.42578125" style="501" customWidth="1"/>
    <col min="7688" max="7688" width="11.140625" style="501" customWidth="1"/>
    <col min="7689" max="7689" width="1.85546875" style="501" customWidth="1"/>
    <col min="7690" max="7690" width="11" style="501" customWidth="1"/>
    <col min="7691" max="7691" width="0.7109375" style="501" customWidth="1"/>
    <col min="7692" max="7692" width="1.85546875" style="501" customWidth="1"/>
    <col min="7693" max="7693" width="11.85546875" style="501" bestFit="1" customWidth="1"/>
    <col min="7694" max="7694" width="15.28515625" style="501" bestFit="1" customWidth="1"/>
    <col min="7695" max="7695" width="5" style="501" customWidth="1"/>
    <col min="7696" max="7696" width="10.42578125" style="501" bestFit="1" customWidth="1"/>
    <col min="7697" max="7697" width="5" style="501" customWidth="1"/>
    <col min="7698" max="7698" width="10.42578125" style="501" bestFit="1" customWidth="1"/>
    <col min="7699" max="7701" width="9.140625" style="501"/>
    <col min="7702" max="7702" width="10.42578125" style="501" bestFit="1" customWidth="1"/>
    <col min="7703" max="7931" width="9.140625" style="501"/>
    <col min="7932" max="7932" width="3.5703125" style="501" customWidth="1"/>
    <col min="7933" max="7933" width="4.85546875" style="501" customWidth="1"/>
    <col min="7934" max="7934" width="5.42578125" style="501" customWidth="1"/>
    <col min="7935" max="7935" width="31.28515625" style="501" customWidth="1"/>
    <col min="7936" max="7936" width="7.5703125" style="501" customWidth="1"/>
    <col min="7937" max="7937" width="2.42578125" style="501" customWidth="1"/>
    <col min="7938" max="7938" width="11.5703125" style="501" customWidth="1"/>
    <col min="7939" max="7939" width="2.42578125" style="501" customWidth="1"/>
    <col min="7940" max="7940" width="11.5703125" style="501" customWidth="1"/>
    <col min="7941" max="7941" width="2.42578125" style="501" customWidth="1"/>
    <col min="7942" max="7942" width="10.85546875" style="501" customWidth="1"/>
    <col min="7943" max="7943" width="2.42578125" style="501" customWidth="1"/>
    <col min="7944" max="7944" width="11.140625" style="501" customWidth="1"/>
    <col min="7945" max="7945" width="1.85546875" style="501" customWidth="1"/>
    <col min="7946" max="7946" width="11" style="501" customWidth="1"/>
    <col min="7947" max="7947" width="0.7109375" style="501" customWidth="1"/>
    <col min="7948" max="7948" width="1.85546875" style="501" customWidth="1"/>
    <col min="7949" max="7949" width="11.85546875" style="501" bestFit="1" customWidth="1"/>
    <col min="7950" max="7950" width="15.28515625" style="501" bestFit="1" customWidth="1"/>
    <col min="7951" max="7951" width="5" style="501" customWidth="1"/>
    <col min="7952" max="7952" width="10.42578125" style="501" bestFit="1" customWidth="1"/>
    <col min="7953" max="7953" width="5" style="501" customWidth="1"/>
    <col min="7954" max="7954" width="10.42578125" style="501" bestFit="1" customWidth="1"/>
    <col min="7955" max="7957" width="9.140625" style="501"/>
    <col min="7958" max="7958" width="10.42578125" style="501" bestFit="1" customWidth="1"/>
    <col min="7959" max="8187" width="9.140625" style="501"/>
    <col min="8188" max="8188" width="3.5703125" style="501" customWidth="1"/>
    <col min="8189" max="8189" width="4.85546875" style="501" customWidth="1"/>
    <col min="8190" max="8190" width="5.42578125" style="501" customWidth="1"/>
    <col min="8191" max="8191" width="31.28515625" style="501" customWidth="1"/>
    <col min="8192" max="8192" width="7.5703125" style="501" customWidth="1"/>
    <col min="8193" max="8193" width="2.42578125" style="501" customWidth="1"/>
    <col min="8194" max="8194" width="11.5703125" style="501" customWidth="1"/>
    <col min="8195" max="8195" width="2.42578125" style="501" customWidth="1"/>
    <col min="8196" max="8196" width="11.5703125" style="501" customWidth="1"/>
    <col min="8197" max="8197" width="2.42578125" style="501" customWidth="1"/>
    <col min="8198" max="8198" width="10.85546875" style="501" customWidth="1"/>
    <col min="8199" max="8199" width="2.42578125" style="501" customWidth="1"/>
    <col min="8200" max="8200" width="11.140625" style="501" customWidth="1"/>
    <col min="8201" max="8201" width="1.85546875" style="501" customWidth="1"/>
    <col min="8202" max="8202" width="11" style="501" customWidth="1"/>
    <col min="8203" max="8203" width="0.7109375" style="501" customWidth="1"/>
    <col min="8204" max="8204" width="1.85546875" style="501" customWidth="1"/>
    <col min="8205" max="8205" width="11.85546875" style="501" bestFit="1" customWidth="1"/>
    <col min="8206" max="8206" width="15.28515625" style="501" bestFit="1" customWidth="1"/>
    <col min="8207" max="8207" width="5" style="501" customWidth="1"/>
    <col min="8208" max="8208" width="10.42578125" style="501" bestFit="1" customWidth="1"/>
    <col min="8209" max="8209" width="5" style="501" customWidth="1"/>
    <col min="8210" max="8210" width="10.42578125" style="501" bestFit="1" customWidth="1"/>
    <col min="8211" max="8213" width="9.140625" style="501"/>
    <col min="8214" max="8214" width="10.42578125" style="501" bestFit="1" customWidth="1"/>
    <col min="8215" max="8443" width="9.140625" style="501"/>
    <col min="8444" max="8444" width="3.5703125" style="501" customWidth="1"/>
    <col min="8445" max="8445" width="4.85546875" style="501" customWidth="1"/>
    <col min="8446" max="8446" width="5.42578125" style="501" customWidth="1"/>
    <col min="8447" max="8447" width="31.28515625" style="501" customWidth="1"/>
    <col min="8448" max="8448" width="7.5703125" style="501" customWidth="1"/>
    <col min="8449" max="8449" width="2.42578125" style="501" customWidth="1"/>
    <col min="8450" max="8450" width="11.5703125" style="501" customWidth="1"/>
    <col min="8451" max="8451" width="2.42578125" style="501" customWidth="1"/>
    <col min="8452" max="8452" width="11.5703125" style="501" customWidth="1"/>
    <col min="8453" max="8453" width="2.42578125" style="501" customWidth="1"/>
    <col min="8454" max="8454" width="10.85546875" style="501" customWidth="1"/>
    <col min="8455" max="8455" width="2.42578125" style="501" customWidth="1"/>
    <col min="8456" max="8456" width="11.140625" style="501" customWidth="1"/>
    <col min="8457" max="8457" width="1.85546875" style="501" customWidth="1"/>
    <col min="8458" max="8458" width="11" style="501" customWidth="1"/>
    <col min="8459" max="8459" width="0.7109375" style="501" customWidth="1"/>
    <col min="8460" max="8460" width="1.85546875" style="501" customWidth="1"/>
    <col min="8461" max="8461" width="11.85546875" style="501" bestFit="1" customWidth="1"/>
    <col min="8462" max="8462" width="15.28515625" style="501" bestFit="1" customWidth="1"/>
    <col min="8463" max="8463" width="5" style="501" customWidth="1"/>
    <col min="8464" max="8464" width="10.42578125" style="501" bestFit="1" customWidth="1"/>
    <col min="8465" max="8465" width="5" style="501" customWidth="1"/>
    <col min="8466" max="8466" width="10.42578125" style="501" bestFit="1" customWidth="1"/>
    <col min="8467" max="8469" width="9.140625" style="501"/>
    <col min="8470" max="8470" width="10.42578125" style="501" bestFit="1" customWidth="1"/>
    <col min="8471" max="8699" width="9.140625" style="501"/>
    <col min="8700" max="8700" width="3.5703125" style="501" customWidth="1"/>
    <col min="8701" max="8701" width="4.85546875" style="501" customWidth="1"/>
    <col min="8702" max="8702" width="5.42578125" style="501" customWidth="1"/>
    <col min="8703" max="8703" width="31.28515625" style="501" customWidth="1"/>
    <col min="8704" max="8704" width="7.5703125" style="501" customWidth="1"/>
    <col min="8705" max="8705" width="2.42578125" style="501" customWidth="1"/>
    <col min="8706" max="8706" width="11.5703125" style="501" customWidth="1"/>
    <col min="8707" max="8707" width="2.42578125" style="501" customWidth="1"/>
    <col min="8708" max="8708" width="11.5703125" style="501" customWidth="1"/>
    <col min="8709" max="8709" width="2.42578125" style="501" customWidth="1"/>
    <col min="8710" max="8710" width="10.85546875" style="501" customWidth="1"/>
    <col min="8711" max="8711" width="2.42578125" style="501" customWidth="1"/>
    <col min="8712" max="8712" width="11.140625" style="501" customWidth="1"/>
    <col min="8713" max="8713" width="1.85546875" style="501" customWidth="1"/>
    <col min="8714" max="8714" width="11" style="501" customWidth="1"/>
    <col min="8715" max="8715" width="0.7109375" style="501" customWidth="1"/>
    <col min="8716" max="8716" width="1.85546875" style="501" customWidth="1"/>
    <col min="8717" max="8717" width="11.85546875" style="501" bestFit="1" customWidth="1"/>
    <col min="8718" max="8718" width="15.28515625" style="501" bestFit="1" customWidth="1"/>
    <col min="8719" max="8719" width="5" style="501" customWidth="1"/>
    <col min="8720" max="8720" width="10.42578125" style="501" bestFit="1" customWidth="1"/>
    <col min="8721" max="8721" width="5" style="501" customWidth="1"/>
    <col min="8722" max="8722" width="10.42578125" style="501" bestFit="1" customWidth="1"/>
    <col min="8723" max="8725" width="9.140625" style="501"/>
    <col min="8726" max="8726" width="10.42578125" style="501" bestFit="1" customWidth="1"/>
    <col min="8727" max="8955" width="9.140625" style="501"/>
    <col min="8956" max="8956" width="3.5703125" style="501" customWidth="1"/>
    <col min="8957" max="8957" width="4.85546875" style="501" customWidth="1"/>
    <col min="8958" max="8958" width="5.42578125" style="501" customWidth="1"/>
    <col min="8959" max="8959" width="31.28515625" style="501" customWidth="1"/>
    <col min="8960" max="8960" width="7.5703125" style="501" customWidth="1"/>
    <col min="8961" max="8961" width="2.42578125" style="501" customWidth="1"/>
    <col min="8962" max="8962" width="11.5703125" style="501" customWidth="1"/>
    <col min="8963" max="8963" width="2.42578125" style="501" customWidth="1"/>
    <col min="8964" max="8964" width="11.5703125" style="501" customWidth="1"/>
    <col min="8965" max="8965" width="2.42578125" style="501" customWidth="1"/>
    <col min="8966" max="8966" width="10.85546875" style="501" customWidth="1"/>
    <col min="8967" max="8967" width="2.42578125" style="501" customWidth="1"/>
    <col min="8968" max="8968" width="11.140625" style="501" customWidth="1"/>
    <col min="8969" max="8969" width="1.85546875" style="501" customWidth="1"/>
    <col min="8970" max="8970" width="11" style="501" customWidth="1"/>
    <col min="8971" max="8971" width="0.7109375" style="501" customWidth="1"/>
    <col min="8972" max="8972" width="1.85546875" style="501" customWidth="1"/>
    <col min="8973" max="8973" width="11.85546875" style="501" bestFit="1" customWidth="1"/>
    <col min="8974" max="8974" width="15.28515625" style="501" bestFit="1" customWidth="1"/>
    <col min="8975" max="8975" width="5" style="501" customWidth="1"/>
    <col min="8976" max="8976" width="10.42578125" style="501" bestFit="1" customWidth="1"/>
    <col min="8977" max="8977" width="5" style="501" customWidth="1"/>
    <col min="8978" max="8978" width="10.42578125" style="501" bestFit="1" customWidth="1"/>
    <col min="8979" max="8981" width="9.140625" style="501"/>
    <col min="8982" max="8982" width="10.42578125" style="501" bestFit="1" customWidth="1"/>
    <col min="8983" max="9211" width="9.140625" style="501"/>
    <col min="9212" max="9212" width="3.5703125" style="501" customWidth="1"/>
    <col min="9213" max="9213" width="4.85546875" style="501" customWidth="1"/>
    <col min="9214" max="9214" width="5.42578125" style="501" customWidth="1"/>
    <col min="9215" max="9215" width="31.28515625" style="501" customWidth="1"/>
    <col min="9216" max="9216" width="7.5703125" style="501" customWidth="1"/>
    <col min="9217" max="9217" width="2.42578125" style="501" customWidth="1"/>
    <col min="9218" max="9218" width="11.5703125" style="501" customWidth="1"/>
    <col min="9219" max="9219" width="2.42578125" style="501" customWidth="1"/>
    <col min="9220" max="9220" width="11.5703125" style="501" customWidth="1"/>
    <col min="9221" max="9221" width="2.42578125" style="501" customWidth="1"/>
    <col min="9222" max="9222" width="10.85546875" style="501" customWidth="1"/>
    <col min="9223" max="9223" width="2.42578125" style="501" customWidth="1"/>
    <col min="9224" max="9224" width="11.140625" style="501" customWidth="1"/>
    <col min="9225" max="9225" width="1.85546875" style="501" customWidth="1"/>
    <col min="9226" max="9226" width="11" style="501" customWidth="1"/>
    <col min="9227" max="9227" width="0.7109375" style="501" customWidth="1"/>
    <col min="9228" max="9228" width="1.85546875" style="501" customWidth="1"/>
    <col min="9229" max="9229" width="11.85546875" style="501" bestFit="1" customWidth="1"/>
    <col min="9230" max="9230" width="15.28515625" style="501" bestFit="1" customWidth="1"/>
    <col min="9231" max="9231" width="5" style="501" customWidth="1"/>
    <col min="9232" max="9232" width="10.42578125" style="501" bestFit="1" customWidth="1"/>
    <col min="9233" max="9233" width="5" style="501" customWidth="1"/>
    <col min="9234" max="9234" width="10.42578125" style="501" bestFit="1" customWidth="1"/>
    <col min="9235" max="9237" width="9.140625" style="501"/>
    <col min="9238" max="9238" width="10.42578125" style="501" bestFit="1" customWidth="1"/>
    <col min="9239" max="9467" width="9.140625" style="501"/>
    <col min="9468" max="9468" width="3.5703125" style="501" customWidth="1"/>
    <col min="9469" max="9469" width="4.85546875" style="501" customWidth="1"/>
    <col min="9470" max="9470" width="5.42578125" style="501" customWidth="1"/>
    <col min="9471" max="9471" width="31.28515625" style="501" customWidth="1"/>
    <col min="9472" max="9472" width="7.5703125" style="501" customWidth="1"/>
    <col min="9473" max="9473" width="2.42578125" style="501" customWidth="1"/>
    <col min="9474" max="9474" width="11.5703125" style="501" customWidth="1"/>
    <col min="9475" max="9475" width="2.42578125" style="501" customWidth="1"/>
    <col min="9476" max="9476" width="11.5703125" style="501" customWidth="1"/>
    <col min="9477" max="9477" width="2.42578125" style="501" customWidth="1"/>
    <col min="9478" max="9478" width="10.85546875" style="501" customWidth="1"/>
    <col min="9479" max="9479" width="2.42578125" style="501" customWidth="1"/>
    <col min="9480" max="9480" width="11.140625" style="501" customWidth="1"/>
    <col min="9481" max="9481" width="1.85546875" style="501" customWidth="1"/>
    <col min="9482" max="9482" width="11" style="501" customWidth="1"/>
    <col min="9483" max="9483" width="0.7109375" style="501" customWidth="1"/>
    <col min="9484" max="9484" width="1.85546875" style="501" customWidth="1"/>
    <col min="9485" max="9485" width="11.85546875" style="501" bestFit="1" customWidth="1"/>
    <col min="9486" max="9486" width="15.28515625" style="501" bestFit="1" customWidth="1"/>
    <col min="9487" max="9487" width="5" style="501" customWidth="1"/>
    <col min="9488" max="9488" width="10.42578125" style="501" bestFit="1" customWidth="1"/>
    <col min="9489" max="9489" width="5" style="501" customWidth="1"/>
    <col min="9490" max="9490" width="10.42578125" style="501" bestFit="1" customWidth="1"/>
    <col min="9491" max="9493" width="9.140625" style="501"/>
    <col min="9494" max="9494" width="10.42578125" style="501" bestFit="1" customWidth="1"/>
    <col min="9495" max="9723" width="9.140625" style="501"/>
    <col min="9724" max="9724" width="3.5703125" style="501" customWidth="1"/>
    <col min="9725" max="9725" width="4.85546875" style="501" customWidth="1"/>
    <col min="9726" max="9726" width="5.42578125" style="501" customWidth="1"/>
    <col min="9727" max="9727" width="31.28515625" style="501" customWidth="1"/>
    <col min="9728" max="9728" width="7.5703125" style="501" customWidth="1"/>
    <col min="9729" max="9729" width="2.42578125" style="501" customWidth="1"/>
    <col min="9730" max="9730" width="11.5703125" style="501" customWidth="1"/>
    <col min="9731" max="9731" width="2.42578125" style="501" customWidth="1"/>
    <col min="9732" max="9732" width="11.5703125" style="501" customWidth="1"/>
    <col min="9733" max="9733" width="2.42578125" style="501" customWidth="1"/>
    <col min="9734" max="9734" width="10.85546875" style="501" customWidth="1"/>
    <col min="9735" max="9735" width="2.42578125" style="501" customWidth="1"/>
    <col min="9736" max="9736" width="11.140625" style="501" customWidth="1"/>
    <col min="9737" max="9737" width="1.85546875" style="501" customWidth="1"/>
    <col min="9738" max="9738" width="11" style="501" customWidth="1"/>
    <col min="9739" max="9739" width="0.7109375" style="501" customWidth="1"/>
    <col min="9740" max="9740" width="1.85546875" style="501" customWidth="1"/>
    <col min="9741" max="9741" width="11.85546875" style="501" bestFit="1" customWidth="1"/>
    <col min="9742" max="9742" width="15.28515625" style="501" bestFit="1" customWidth="1"/>
    <col min="9743" max="9743" width="5" style="501" customWidth="1"/>
    <col min="9744" max="9744" width="10.42578125" style="501" bestFit="1" customWidth="1"/>
    <col min="9745" max="9745" width="5" style="501" customWidth="1"/>
    <col min="9746" max="9746" width="10.42578125" style="501" bestFit="1" customWidth="1"/>
    <col min="9747" max="9749" width="9.140625" style="501"/>
    <col min="9750" max="9750" width="10.42578125" style="501" bestFit="1" customWidth="1"/>
    <col min="9751" max="9979" width="9.140625" style="501"/>
    <col min="9980" max="9980" width="3.5703125" style="501" customWidth="1"/>
    <col min="9981" max="9981" width="4.85546875" style="501" customWidth="1"/>
    <col min="9982" max="9982" width="5.42578125" style="501" customWidth="1"/>
    <col min="9983" max="9983" width="31.28515625" style="501" customWidth="1"/>
    <col min="9984" max="9984" width="7.5703125" style="501" customWidth="1"/>
    <col min="9985" max="9985" width="2.42578125" style="501" customWidth="1"/>
    <col min="9986" max="9986" width="11.5703125" style="501" customWidth="1"/>
    <col min="9987" max="9987" width="2.42578125" style="501" customWidth="1"/>
    <col min="9988" max="9988" width="11.5703125" style="501" customWidth="1"/>
    <col min="9989" max="9989" width="2.42578125" style="501" customWidth="1"/>
    <col min="9990" max="9990" width="10.85546875" style="501" customWidth="1"/>
    <col min="9991" max="9991" width="2.42578125" style="501" customWidth="1"/>
    <col min="9992" max="9992" width="11.140625" style="501" customWidth="1"/>
    <col min="9993" max="9993" width="1.85546875" style="501" customWidth="1"/>
    <col min="9994" max="9994" width="11" style="501" customWidth="1"/>
    <col min="9995" max="9995" width="0.7109375" style="501" customWidth="1"/>
    <col min="9996" max="9996" width="1.85546875" style="501" customWidth="1"/>
    <col min="9997" max="9997" width="11.85546875" style="501" bestFit="1" customWidth="1"/>
    <col min="9998" max="9998" width="15.28515625" style="501" bestFit="1" customWidth="1"/>
    <col min="9999" max="9999" width="5" style="501" customWidth="1"/>
    <col min="10000" max="10000" width="10.42578125" style="501" bestFit="1" customWidth="1"/>
    <col min="10001" max="10001" width="5" style="501" customWidth="1"/>
    <col min="10002" max="10002" width="10.42578125" style="501" bestFit="1" customWidth="1"/>
    <col min="10003" max="10005" width="9.140625" style="501"/>
    <col min="10006" max="10006" width="10.42578125" style="501" bestFit="1" customWidth="1"/>
    <col min="10007" max="10235" width="9.140625" style="501"/>
    <col min="10236" max="10236" width="3.5703125" style="501" customWidth="1"/>
    <col min="10237" max="10237" width="4.85546875" style="501" customWidth="1"/>
    <col min="10238" max="10238" width="5.42578125" style="501" customWidth="1"/>
    <col min="10239" max="10239" width="31.28515625" style="501" customWidth="1"/>
    <col min="10240" max="10240" width="7.5703125" style="501" customWidth="1"/>
    <col min="10241" max="10241" width="2.42578125" style="501" customWidth="1"/>
    <col min="10242" max="10242" width="11.5703125" style="501" customWidth="1"/>
    <col min="10243" max="10243" width="2.42578125" style="501" customWidth="1"/>
    <col min="10244" max="10244" width="11.5703125" style="501" customWidth="1"/>
    <col min="10245" max="10245" width="2.42578125" style="501" customWidth="1"/>
    <col min="10246" max="10246" width="10.85546875" style="501" customWidth="1"/>
    <col min="10247" max="10247" width="2.42578125" style="501" customWidth="1"/>
    <col min="10248" max="10248" width="11.140625" style="501" customWidth="1"/>
    <col min="10249" max="10249" width="1.85546875" style="501" customWidth="1"/>
    <col min="10250" max="10250" width="11" style="501" customWidth="1"/>
    <col min="10251" max="10251" width="0.7109375" style="501" customWidth="1"/>
    <col min="10252" max="10252" width="1.85546875" style="501" customWidth="1"/>
    <col min="10253" max="10253" width="11.85546875" style="501" bestFit="1" customWidth="1"/>
    <col min="10254" max="10254" width="15.28515625" style="501" bestFit="1" customWidth="1"/>
    <col min="10255" max="10255" width="5" style="501" customWidth="1"/>
    <col min="10256" max="10256" width="10.42578125" style="501" bestFit="1" customWidth="1"/>
    <col min="10257" max="10257" width="5" style="501" customWidth="1"/>
    <col min="10258" max="10258" width="10.42578125" style="501" bestFit="1" customWidth="1"/>
    <col min="10259" max="10261" width="9.140625" style="501"/>
    <col min="10262" max="10262" width="10.42578125" style="501" bestFit="1" customWidth="1"/>
    <col min="10263" max="10491" width="9.140625" style="501"/>
    <col min="10492" max="10492" width="3.5703125" style="501" customWidth="1"/>
    <col min="10493" max="10493" width="4.85546875" style="501" customWidth="1"/>
    <col min="10494" max="10494" width="5.42578125" style="501" customWidth="1"/>
    <col min="10495" max="10495" width="31.28515625" style="501" customWidth="1"/>
    <col min="10496" max="10496" width="7.5703125" style="501" customWidth="1"/>
    <col min="10497" max="10497" width="2.42578125" style="501" customWidth="1"/>
    <col min="10498" max="10498" width="11.5703125" style="501" customWidth="1"/>
    <col min="10499" max="10499" width="2.42578125" style="501" customWidth="1"/>
    <col min="10500" max="10500" width="11.5703125" style="501" customWidth="1"/>
    <col min="10501" max="10501" width="2.42578125" style="501" customWidth="1"/>
    <col min="10502" max="10502" width="10.85546875" style="501" customWidth="1"/>
    <col min="10503" max="10503" width="2.42578125" style="501" customWidth="1"/>
    <col min="10504" max="10504" width="11.140625" style="501" customWidth="1"/>
    <col min="10505" max="10505" width="1.85546875" style="501" customWidth="1"/>
    <col min="10506" max="10506" width="11" style="501" customWidth="1"/>
    <col min="10507" max="10507" width="0.7109375" style="501" customWidth="1"/>
    <col min="10508" max="10508" width="1.85546875" style="501" customWidth="1"/>
    <col min="10509" max="10509" width="11.85546875" style="501" bestFit="1" customWidth="1"/>
    <col min="10510" max="10510" width="15.28515625" style="501" bestFit="1" customWidth="1"/>
    <col min="10511" max="10511" width="5" style="501" customWidth="1"/>
    <col min="10512" max="10512" width="10.42578125" style="501" bestFit="1" customWidth="1"/>
    <col min="10513" max="10513" width="5" style="501" customWidth="1"/>
    <col min="10514" max="10514" width="10.42578125" style="501" bestFit="1" customWidth="1"/>
    <col min="10515" max="10517" width="9.140625" style="501"/>
    <col min="10518" max="10518" width="10.42578125" style="501" bestFit="1" customWidth="1"/>
    <col min="10519" max="10747" width="9.140625" style="501"/>
    <col min="10748" max="10748" width="3.5703125" style="501" customWidth="1"/>
    <col min="10749" max="10749" width="4.85546875" style="501" customWidth="1"/>
    <col min="10750" max="10750" width="5.42578125" style="501" customWidth="1"/>
    <col min="10751" max="10751" width="31.28515625" style="501" customWidth="1"/>
    <col min="10752" max="10752" width="7.5703125" style="501" customWidth="1"/>
    <col min="10753" max="10753" width="2.42578125" style="501" customWidth="1"/>
    <col min="10754" max="10754" width="11.5703125" style="501" customWidth="1"/>
    <col min="10755" max="10755" width="2.42578125" style="501" customWidth="1"/>
    <col min="10756" max="10756" width="11.5703125" style="501" customWidth="1"/>
    <col min="10757" max="10757" width="2.42578125" style="501" customWidth="1"/>
    <col min="10758" max="10758" width="10.85546875" style="501" customWidth="1"/>
    <col min="10759" max="10759" width="2.42578125" style="501" customWidth="1"/>
    <col min="10760" max="10760" width="11.140625" style="501" customWidth="1"/>
    <col min="10761" max="10761" width="1.85546875" style="501" customWidth="1"/>
    <col min="10762" max="10762" width="11" style="501" customWidth="1"/>
    <col min="10763" max="10763" width="0.7109375" style="501" customWidth="1"/>
    <col min="10764" max="10764" width="1.85546875" style="501" customWidth="1"/>
    <col min="10765" max="10765" width="11.85546875" style="501" bestFit="1" customWidth="1"/>
    <col min="10766" max="10766" width="15.28515625" style="501" bestFit="1" customWidth="1"/>
    <col min="10767" max="10767" width="5" style="501" customWidth="1"/>
    <col min="10768" max="10768" width="10.42578125" style="501" bestFit="1" customWidth="1"/>
    <col min="10769" max="10769" width="5" style="501" customWidth="1"/>
    <col min="10770" max="10770" width="10.42578125" style="501" bestFit="1" customWidth="1"/>
    <col min="10771" max="10773" width="9.140625" style="501"/>
    <col min="10774" max="10774" width="10.42578125" style="501" bestFit="1" customWidth="1"/>
    <col min="10775" max="11003" width="9.140625" style="501"/>
    <col min="11004" max="11004" width="3.5703125" style="501" customWidth="1"/>
    <col min="11005" max="11005" width="4.85546875" style="501" customWidth="1"/>
    <col min="11006" max="11006" width="5.42578125" style="501" customWidth="1"/>
    <col min="11007" max="11007" width="31.28515625" style="501" customWidth="1"/>
    <col min="11008" max="11008" width="7.5703125" style="501" customWidth="1"/>
    <col min="11009" max="11009" width="2.42578125" style="501" customWidth="1"/>
    <col min="11010" max="11010" width="11.5703125" style="501" customWidth="1"/>
    <col min="11011" max="11011" width="2.42578125" style="501" customWidth="1"/>
    <col min="11012" max="11012" width="11.5703125" style="501" customWidth="1"/>
    <col min="11013" max="11013" width="2.42578125" style="501" customWidth="1"/>
    <col min="11014" max="11014" width="10.85546875" style="501" customWidth="1"/>
    <col min="11015" max="11015" width="2.42578125" style="501" customWidth="1"/>
    <col min="11016" max="11016" width="11.140625" style="501" customWidth="1"/>
    <col min="11017" max="11017" width="1.85546875" style="501" customWidth="1"/>
    <col min="11018" max="11018" width="11" style="501" customWidth="1"/>
    <col min="11019" max="11019" width="0.7109375" style="501" customWidth="1"/>
    <col min="11020" max="11020" width="1.85546875" style="501" customWidth="1"/>
    <col min="11021" max="11021" width="11.85546875" style="501" bestFit="1" customWidth="1"/>
    <col min="11022" max="11022" width="15.28515625" style="501" bestFit="1" customWidth="1"/>
    <col min="11023" max="11023" width="5" style="501" customWidth="1"/>
    <col min="11024" max="11024" width="10.42578125" style="501" bestFit="1" customWidth="1"/>
    <col min="11025" max="11025" width="5" style="501" customWidth="1"/>
    <col min="11026" max="11026" width="10.42578125" style="501" bestFit="1" customWidth="1"/>
    <col min="11027" max="11029" width="9.140625" style="501"/>
    <col min="11030" max="11030" width="10.42578125" style="501" bestFit="1" customWidth="1"/>
    <col min="11031" max="11259" width="9.140625" style="501"/>
    <col min="11260" max="11260" width="3.5703125" style="501" customWidth="1"/>
    <col min="11261" max="11261" width="4.85546875" style="501" customWidth="1"/>
    <col min="11262" max="11262" width="5.42578125" style="501" customWidth="1"/>
    <col min="11263" max="11263" width="31.28515625" style="501" customWidth="1"/>
    <col min="11264" max="11264" width="7.5703125" style="501" customWidth="1"/>
    <col min="11265" max="11265" width="2.42578125" style="501" customWidth="1"/>
    <col min="11266" max="11266" width="11.5703125" style="501" customWidth="1"/>
    <col min="11267" max="11267" width="2.42578125" style="501" customWidth="1"/>
    <col min="11268" max="11268" width="11.5703125" style="501" customWidth="1"/>
    <col min="11269" max="11269" width="2.42578125" style="501" customWidth="1"/>
    <col min="11270" max="11270" width="10.85546875" style="501" customWidth="1"/>
    <col min="11271" max="11271" width="2.42578125" style="501" customWidth="1"/>
    <col min="11272" max="11272" width="11.140625" style="501" customWidth="1"/>
    <col min="11273" max="11273" width="1.85546875" style="501" customWidth="1"/>
    <col min="11274" max="11274" width="11" style="501" customWidth="1"/>
    <col min="11275" max="11275" width="0.7109375" style="501" customWidth="1"/>
    <col min="11276" max="11276" width="1.85546875" style="501" customWidth="1"/>
    <col min="11277" max="11277" width="11.85546875" style="501" bestFit="1" customWidth="1"/>
    <col min="11278" max="11278" width="15.28515625" style="501" bestFit="1" customWidth="1"/>
    <col min="11279" max="11279" width="5" style="501" customWidth="1"/>
    <col min="11280" max="11280" width="10.42578125" style="501" bestFit="1" customWidth="1"/>
    <col min="11281" max="11281" width="5" style="501" customWidth="1"/>
    <col min="11282" max="11282" width="10.42578125" style="501" bestFit="1" customWidth="1"/>
    <col min="11283" max="11285" width="9.140625" style="501"/>
    <col min="11286" max="11286" width="10.42578125" style="501" bestFit="1" customWidth="1"/>
    <col min="11287" max="11515" width="9.140625" style="501"/>
    <col min="11516" max="11516" width="3.5703125" style="501" customWidth="1"/>
    <col min="11517" max="11517" width="4.85546875" style="501" customWidth="1"/>
    <col min="11518" max="11518" width="5.42578125" style="501" customWidth="1"/>
    <col min="11519" max="11519" width="31.28515625" style="501" customWidth="1"/>
    <col min="11520" max="11520" width="7.5703125" style="501" customWidth="1"/>
    <col min="11521" max="11521" width="2.42578125" style="501" customWidth="1"/>
    <col min="11522" max="11522" width="11.5703125" style="501" customWidth="1"/>
    <col min="11523" max="11523" width="2.42578125" style="501" customWidth="1"/>
    <col min="11524" max="11524" width="11.5703125" style="501" customWidth="1"/>
    <col min="11525" max="11525" width="2.42578125" style="501" customWidth="1"/>
    <col min="11526" max="11526" width="10.85546875" style="501" customWidth="1"/>
    <col min="11527" max="11527" width="2.42578125" style="501" customWidth="1"/>
    <col min="11528" max="11528" width="11.140625" style="501" customWidth="1"/>
    <col min="11529" max="11529" width="1.85546875" style="501" customWidth="1"/>
    <col min="11530" max="11530" width="11" style="501" customWidth="1"/>
    <col min="11531" max="11531" width="0.7109375" style="501" customWidth="1"/>
    <col min="11532" max="11532" width="1.85546875" style="501" customWidth="1"/>
    <col min="11533" max="11533" width="11.85546875" style="501" bestFit="1" customWidth="1"/>
    <col min="11534" max="11534" width="15.28515625" style="501" bestFit="1" customWidth="1"/>
    <col min="11535" max="11535" width="5" style="501" customWidth="1"/>
    <col min="11536" max="11536" width="10.42578125" style="501" bestFit="1" customWidth="1"/>
    <col min="11537" max="11537" width="5" style="501" customWidth="1"/>
    <col min="11538" max="11538" width="10.42578125" style="501" bestFit="1" customWidth="1"/>
    <col min="11539" max="11541" width="9.140625" style="501"/>
    <col min="11542" max="11542" width="10.42578125" style="501" bestFit="1" customWidth="1"/>
    <col min="11543" max="11771" width="9.140625" style="501"/>
    <col min="11772" max="11772" width="3.5703125" style="501" customWidth="1"/>
    <col min="11773" max="11773" width="4.85546875" style="501" customWidth="1"/>
    <col min="11774" max="11774" width="5.42578125" style="501" customWidth="1"/>
    <col min="11775" max="11775" width="31.28515625" style="501" customWidth="1"/>
    <col min="11776" max="11776" width="7.5703125" style="501" customWidth="1"/>
    <col min="11777" max="11777" width="2.42578125" style="501" customWidth="1"/>
    <col min="11778" max="11778" width="11.5703125" style="501" customWidth="1"/>
    <col min="11779" max="11779" width="2.42578125" style="501" customWidth="1"/>
    <col min="11780" max="11780" width="11.5703125" style="501" customWidth="1"/>
    <col min="11781" max="11781" width="2.42578125" style="501" customWidth="1"/>
    <col min="11782" max="11782" width="10.85546875" style="501" customWidth="1"/>
    <col min="11783" max="11783" width="2.42578125" style="501" customWidth="1"/>
    <col min="11784" max="11784" width="11.140625" style="501" customWidth="1"/>
    <col min="11785" max="11785" width="1.85546875" style="501" customWidth="1"/>
    <col min="11786" max="11786" width="11" style="501" customWidth="1"/>
    <col min="11787" max="11787" width="0.7109375" style="501" customWidth="1"/>
    <col min="11788" max="11788" width="1.85546875" style="501" customWidth="1"/>
    <col min="11789" max="11789" width="11.85546875" style="501" bestFit="1" customWidth="1"/>
    <col min="11790" max="11790" width="15.28515625" style="501" bestFit="1" customWidth="1"/>
    <col min="11791" max="11791" width="5" style="501" customWidth="1"/>
    <col min="11792" max="11792" width="10.42578125" style="501" bestFit="1" customWidth="1"/>
    <col min="11793" max="11793" width="5" style="501" customWidth="1"/>
    <col min="11794" max="11794" width="10.42578125" style="501" bestFit="1" customWidth="1"/>
    <col min="11795" max="11797" width="9.140625" style="501"/>
    <col min="11798" max="11798" width="10.42578125" style="501" bestFit="1" customWidth="1"/>
    <col min="11799" max="12027" width="9.140625" style="501"/>
    <col min="12028" max="12028" width="3.5703125" style="501" customWidth="1"/>
    <col min="12029" max="12029" width="4.85546875" style="501" customWidth="1"/>
    <col min="12030" max="12030" width="5.42578125" style="501" customWidth="1"/>
    <col min="12031" max="12031" width="31.28515625" style="501" customWidth="1"/>
    <col min="12032" max="12032" width="7.5703125" style="501" customWidth="1"/>
    <col min="12033" max="12033" width="2.42578125" style="501" customWidth="1"/>
    <col min="12034" max="12034" width="11.5703125" style="501" customWidth="1"/>
    <col min="12035" max="12035" width="2.42578125" style="501" customWidth="1"/>
    <col min="12036" max="12036" width="11.5703125" style="501" customWidth="1"/>
    <col min="12037" max="12037" width="2.42578125" style="501" customWidth="1"/>
    <col min="12038" max="12038" width="10.85546875" style="501" customWidth="1"/>
    <col min="12039" max="12039" width="2.42578125" style="501" customWidth="1"/>
    <col min="12040" max="12040" width="11.140625" style="501" customWidth="1"/>
    <col min="12041" max="12041" width="1.85546875" style="501" customWidth="1"/>
    <col min="12042" max="12042" width="11" style="501" customWidth="1"/>
    <col min="12043" max="12043" width="0.7109375" style="501" customWidth="1"/>
    <col min="12044" max="12044" width="1.85546875" style="501" customWidth="1"/>
    <col min="12045" max="12045" width="11.85546875" style="501" bestFit="1" customWidth="1"/>
    <col min="12046" max="12046" width="15.28515625" style="501" bestFit="1" customWidth="1"/>
    <col min="12047" max="12047" width="5" style="501" customWidth="1"/>
    <col min="12048" max="12048" width="10.42578125" style="501" bestFit="1" customWidth="1"/>
    <col min="12049" max="12049" width="5" style="501" customWidth="1"/>
    <col min="12050" max="12050" width="10.42578125" style="501" bestFit="1" customWidth="1"/>
    <col min="12051" max="12053" width="9.140625" style="501"/>
    <col min="12054" max="12054" width="10.42578125" style="501" bestFit="1" customWidth="1"/>
    <col min="12055" max="12283" width="9.140625" style="501"/>
    <col min="12284" max="12284" width="3.5703125" style="501" customWidth="1"/>
    <col min="12285" max="12285" width="4.85546875" style="501" customWidth="1"/>
    <col min="12286" max="12286" width="5.42578125" style="501" customWidth="1"/>
    <col min="12287" max="12287" width="31.28515625" style="501" customWidth="1"/>
    <col min="12288" max="12288" width="7.5703125" style="501" customWidth="1"/>
    <col min="12289" max="12289" width="2.42578125" style="501" customWidth="1"/>
    <col min="12290" max="12290" width="11.5703125" style="501" customWidth="1"/>
    <col min="12291" max="12291" width="2.42578125" style="501" customWidth="1"/>
    <col min="12292" max="12292" width="11.5703125" style="501" customWidth="1"/>
    <col min="12293" max="12293" width="2.42578125" style="501" customWidth="1"/>
    <col min="12294" max="12294" width="10.85546875" style="501" customWidth="1"/>
    <col min="12295" max="12295" width="2.42578125" style="501" customWidth="1"/>
    <col min="12296" max="12296" width="11.140625" style="501" customWidth="1"/>
    <col min="12297" max="12297" width="1.85546875" style="501" customWidth="1"/>
    <col min="12298" max="12298" width="11" style="501" customWidth="1"/>
    <col min="12299" max="12299" width="0.7109375" style="501" customWidth="1"/>
    <col min="12300" max="12300" width="1.85546875" style="501" customWidth="1"/>
    <col min="12301" max="12301" width="11.85546875" style="501" bestFit="1" customWidth="1"/>
    <col min="12302" max="12302" width="15.28515625" style="501" bestFit="1" customWidth="1"/>
    <col min="12303" max="12303" width="5" style="501" customWidth="1"/>
    <col min="12304" max="12304" width="10.42578125" style="501" bestFit="1" customWidth="1"/>
    <col min="12305" max="12305" width="5" style="501" customWidth="1"/>
    <col min="12306" max="12306" width="10.42578125" style="501" bestFit="1" customWidth="1"/>
    <col min="12307" max="12309" width="9.140625" style="501"/>
    <col min="12310" max="12310" width="10.42578125" style="501" bestFit="1" customWidth="1"/>
    <col min="12311" max="12539" width="9.140625" style="501"/>
    <col min="12540" max="12540" width="3.5703125" style="501" customWidth="1"/>
    <col min="12541" max="12541" width="4.85546875" style="501" customWidth="1"/>
    <col min="12542" max="12542" width="5.42578125" style="501" customWidth="1"/>
    <col min="12543" max="12543" width="31.28515625" style="501" customWidth="1"/>
    <col min="12544" max="12544" width="7.5703125" style="501" customWidth="1"/>
    <col min="12545" max="12545" width="2.42578125" style="501" customWidth="1"/>
    <col min="12546" max="12546" width="11.5703125" style="501" customWidth="1"/>
    <col min="12547" max="12547" width="2.42578125" style="501" customWidth="1"/>
    <col min="12548" max="12548" width="11.5703125" style="501" customWidth="1"/>
    <col min="12549" max="12549" width="2.42578125" style="501" customWidth="1"/>
    <col min="12550" max="12550" width="10.85546875" style="501" customWidth="1"/>
    <col min="12551" max="12551" width="2.42578125" style="501" customWidth="1"/>
    <col min="12552" max="12552" width="11.140625" style="501" customWidth="1"/>
    <col min="12553" max="12553" width="1.85546875" style="501" customWidth="1"/>
    <col min="12554" max="12554" width="11" style="501" customWidth="1"/>
    <col min="12555" max="12555" width="0.7109375" style="501" customWidth="1"/>
    <col min="12556" max="12556" width="1.85546875" style="501" customWidth="1"/>
    <col min="12557" max="12557" width="11.85546875" style="501" bestFit="1" customWidth="1"/>
    <col min="12558" max="12558" width="15.28515625" style="501" bestFit="1" customWidth="1"/>
    <col min="12559" max="12559" width="5" style="501" customWidth="1"/>
    <col min="12560" max="12560" width="10.42578125" style="501" bestFit="1" customWidth="1"/>
    <col min="12561" max="12561" width="5" style="501" customWidth="1"/>
    <col min="12562" max="12562" width="10.42578125" style="501" bestFit="1" customWidth="1"/>
    <col min="12563" max="12565" width="9.140625" style="501"/>
    <col min="12566" max="12566" width="10.42578125" style="501" bestFit="1" customWidth="1"/>
    <col min="12567" max="12795" width="9.140625" style="501"/>
    <col min="12796" max="12796" width="3.5703125" style="501" customWidth="1"/>
    <col min="12797" max="12797" width="4.85546875" style="501" customWidth="1"/>
    <col min="12798" max="12798" width="5.42578125" style="501" customWidth="1"/>
    <col min="12799" max="12799" width="31.28515625" style="501" customWidth="1"/>
    <col min="12800" max="12800" width="7.5703125" style="501" customWidth="1"/>
    <col min="12801" max="12801" width="2.42578125" style="501" customWidth="1"/>
    <col min="12802" max="12802" width="11.5703125" style="501" customWidth="1"/>
    <col min="12803" max="12803" width="2.42578125" style="501" customWidth="1"/>
    <col min="12804" max="12804" width="11.5703125" style="501" customWidth="1"/>
    <col min="12805" max="12805" width="2.42578125" style="501" customWidth="1"/>
    <col min="12806" max="12806" width="10.85546875" style="501" customWidth="1"/>
    <col min="12807" max="12807" width="2.42578125" style="501" customWidth="1"/>
    <col min="12808" max="12808" width="11.140625" style="501" customWidth="1"/>
    <col min="12809" max="12809" width="1.85546875" style="501" customWidth="1"/>
    <col min="12810" max="12810" width="11" style="501" customWidth="1"/>
    <col min="12811" max="12811" width="0.7109375" style="501" customWidth="1"/>
    <col min="12812" max="12812" width="1.85546875" style="501" customWidth="1"/>
    <col min="12813" max="12813" width="11.85546875" style="501" bestFit="1" customWidth="1"/>
    <col min="12814" max="12814" width="15.28515625" style="501" bestFit="1" customWidth="1"/>
    <col min="12815" max="12815" width="5" style="501" customWidth="1"/>
    <col min="12816" max="12816" width="10.42578125" style="501" bestFit="1" customWidth="1"/>
    <col min="12817" max="12817" width="5" style="501" customWidth="1"/>
    <col min="12818" max="12818" width="10.42578125" style="501" bestFit="1" customWidth="1"/>
    <col min="12819" max="12821" width="9.140625" style="501"/>
    <col min="12822" max="12822" width="10.42578125" style="501" bestFit="1" customWidth="1"/>
    <col min="12823" max="13051" width="9.140625" style="501"/>
    <col min="13052" max="13052" width="3.5703125" style="501" customWidth="1"/>
    <col min="13053" max="13053" width="4.85546875" style="501" customWidth="1"/>
    <col min="13054" max="13054" width="5.42578125" style="501" customWidth="1"/>
    <col min="13055" max="13055" width="31.28515625" style="501" customWidth="1"/>
    <col min="13056" max="13056" width="7.5703125" style="501" customWidth="1"/>
    <col min="13057" max="13057" width="2.42578125" style="501" customWidth="1"/>
    <col min="13058" max="13058" width="11.5703125" style="501" customWidth="1"/>
    <col min="13059" max="13059" width="2.42578125" style="501" customWidth="1"/>
    <col min="13060" max="13060" width="11.5703125" style="501" customWidth="1"/>
    <col min="13061" max="13061" width="2.42578125" style="501" customWidth="1"/>
    <col min="13062" max="13062" width="10.85546875" style="501" customWidth="1"/>
    <col min="13063" max="13063" width="2.42578125" style="501" customWidth="1"/>
    <col min="13064" max="13064" width="11.140625" style="501" customWidth="1"/>
    <col min="13065" max="13065" width="1.85546875" style="501" customWidth="1"/>
    <col min="13066" max="13066" width="11" style="501" customWidth="1"/>
    <col min="13067" max="13067" width="0.7109375" style="501" customWidth="1"/>
    <col min="13068" max="13068" width="1.85546875" style="501" customWidth="1"/>
    <col min="13069" max="13069" width="11.85546875" style="501" bestFit="1" customWidth="1"/>
    <col min="13070" max="13070" width="15.28515625" style="501" bestFit="1" customWidth="1"/>
    <col min="13071" max="13071" width="5" style="501" customWidth="1"/>
    <col min="13072" max="13072" width="10.42578125" style="501" bestFit="1" customWidth="1"/>
    <col min="13073" max="13073" width="5" style="501" customWidth="1"/>
    <col min="13074" max="13074" width="10.42578125" style="501" bestFit="1" customWidth="1"/>
    <col min="13075" max="13077" width="9.140625" style="501"/>
    <col min="13078" max="13078" width="10.42578125" style="501" bestFit="1" customWidth="1"/>
    <col min="13079" max="13307" width="9.140625" style="501"/>
    <col min="13308" max="13308" width="3.5703125" style="501" customWidth="1"/>
    <col min="13309" max="13309" width="4.85546875" style="501" customWidth="1"/>
    <col min="13310" max="13310" width="5.42578125" style="501" customWidth="1"/>
    <col min="13311" max="13311" width="31.28515625" style="501" customWidth="1"/>
    <col min="13312" max="13312" width="7.5703125" style="501" customWidth="1"/>
    <col min="13313" max="13313" width="2.42578125" style="501" customWidth="1"/>
    <col min="13314" max="13314" width="11.5703125" style="501" customWidth="1"/>
    <col min="13315" max="13315" width="2.42578125" style="501" customWidth="1"/>
    <col min="13316" max="13316" width="11.5703125" style="501" customWidth="1"/>
    <col min="13317" max="13317" width="2.42578125" style="501" customWidth="1"/>
    <col min="13318" max="13318" width="10.85546875" style="501" customWidth="1"/>
    <col min="13319" max="13319" width="2.42578125" style="501" customWidth="1"/>
    <col min="13320" max="13320" width="11.140625" style="501" customWidth="1"/>
    <col min="13321" max="13321" width="1.85546875" style="501" customWidth="1"/>
    <col min="13322" max="13322" width="11" style="501" customWidth="1"/>
    <col min="13323" max="13323" width="0.7109375" style="501" customWidth="1"/>
    <col min="13324" max="13324" width="1.85546875" style="501" customWidth="1"/>
    <col min="13325" max="13325" width="11.85546875" style="501" bestFit="1" customWidth="1"/>
    <col min="13326" max="13326" width="15.28515625" style="501" bestFit="1" customWidth="1"/>
    <col min="13327" max="13327" width="5" style="501" customWidth="1"/>
    <col min="13328" max="13328" width="10.42578125" style="501" bestFit="1" customWidth="1"/>
    <col min="13329" max="13329" width="5" style="501" customWidth="1"/>
    <col min="13330" max="13330" width="10.42578125" style="501" bestFit="1" customWidth="1"/>
    <col min="13331" max="13333" width="9.140625" style="501"/>
    <col min="13334" max="13334" width="10.42578125" style="501" bestFit="1" customWidth="1"/>
    <col min="13335" max="13563" width="9.140625" style="501"/>
    <col min="13564" max="13564" width="3.5703125" style="501" customWidth="1"/>
    <col min="13565" max="13565" width="4.85546875" style="501" customWidth="1"/>
    <col min="13566" max="13566" width="5.42578125" style="501" customWidth="1"/>
    <col min="13567" max="13567" width="31.28515625" style="501" customWidth="1"/>
    <col min="13568" max="13568" width="7.5703125" style="501" customWidth="1"/>
    <col min="13569" max="13569" width="2.42578125" style="501" customWidth="1"/>
    <col min="13570" max="13570" width="11.5703125" style="501" customWidth="1"/>
    <col min="13571" max="13571" width="2.42578125" style="501" customWidth="1"/>
    <col min="13572" max="13572" width="11.5703125" style="501" customWidth="1"/>
    <col min="13573" max="13573" width="2.42578125" style="501" customWidth="1"/>
    <col min="13574" max="13574" width="10.85546875" style="501" customWidth="1"/>
    <col min="13575" max="13575" width="2.42578125" style="501" customWidth="1"/>
    <col min="13576" max="13576" width="11.140625" style="501" customWidth="1"/>
    <col min="13577" max="13577" width="1.85546875" style="501" customWidth="1"/>
    <col min="13578" max="13578" width="11" style="501" customWidth="1"/>
    <col min="13579" max="13579" width="0.7109375" style="501" customWidth="1"/>
    <col min="13580" max="13580" width="1.85546875" style="501" customWidth="1"/>
    <col min="13581" max="13581" width="11.85546875" style="501" bestFit="1" customWidth="1"/>
    <col min="13582" max="13582" width="15.28515625" style="501" bestFit="1" customWidth="1"/>
    <col min="13583" max="13583" width="5" style="501" customWidth="1"/>
    <col min="13584" max="13584" width="10.42578125" style="501" bestFit="1" customWidth="1"/>
    <col min="13585" max="13585" width="5" style="501" customWidth="1"/>
    <col min="13586" max="13586" width="10.42578125" style="501" bestFit="1" customWidth="1"/>
    <col min="13587" max="13589" width="9.140625" style="501"/>
    <col min="13590" max="13590" width="10.42578125" style="501" bestFit="1" customWidth="1"/>
    <col min="13591" max="13819" width="9.140625" style="501"/>
    <col min="13820" max="13820" width="3.5703125" style="501" customWidth="1"/>
    <col min="13821" max="13821" width="4.85546875" style="501" customWidth="1"/>
    <col min="13822" max="13822" width="5.42578125" style="501" customWidth="1"/>
    <col min="13823" max="13823" width="31.28515625" style="501" customWidth="1"/>
    <col min="13824" max="13824" width="7.5703125" style="501" customWidth="1"/>
    <col min="13825" max="13825" width="2.42578125" style="501" customWidth="1"/>
    <col min="13826" max="13826" width="11.5703125" style="501" customWidth="1"/>
    <col min="13827" max="13827" width="2.42578125" style="501" customWidth="1"/>
    <col min="13828" max="13828" width="11.5703125" style="501" customWidth="1"/>
    <col min="13829" max="13829" width="2.42578125" style="501" customWidth="1"/>
    <col min="13830" max="13830" width="10.85546875" style="501" customWidth="1"/>
    <col min="13831" max="13831" width="2.42578125" style="501" customWidth="1"/>
    <col min="13832" max="13832" width="11.140625" style="501" customWidth="1"/>
    <col min="13833" max="13833" width="1.85546875" style="501" customWidth="1"/>
    <col min="13834" max="13834" width="11" style="501" customWidth="1"/>
    <col min="13835" max="13835" width="0.7109375" style="501" customWidth="1"/>
    <col min="13836" max="13836" width="1.85546875" style="501" customWidth="1"/>
    <col min="13837" max="13837" width="11.85546875" style="501" bestFit="1" customWidth="1"/>
    <col min="13838" max="13838" width="15.28515625" style="501" bestFit="1" customWidth="1"/>
    <col min="13839" max="13839" width="5" style="501" customWidth="1"/>
    <col min="13840" max="13840" width="10.42578125" style="501" bestFit="1" customWidth="1"/>
    <col min="13841" max="13841" width="5" style="501" customWidth="1"/>
    <col min="13842" max="13842" width="10.42578125" style="501" bestFit="1" customWidth="1"/>
    <col min="13843" max="13845" width="9.140625" style="501"/>
    <col min="13846" max="13846" width="10.42578125" style="501" bestFit="1" customWidth="1"/>
    <col min="13847" max="14075" width="9.140625" style="501"/>
    <col min="14076" max="14076" width="3.5703125" style="501" customWidth="1"/>
    <col min="14077" max="14077" width="4.85546875" style="501" customWidth="1"/>
    <col min="14078" max="14078" width="5.42578125" style="501" customWidth="1"/>
    <col min="14079" max="14079" width="31.28515625" style="501" customWidth="1"/>
    <col min="14080" max="14080" width="7.5703125" style="501" customWidth="1"/>
    <col min="14081" max="14081" width="2.42578125" style="501" customWidth="1"/>
    <col min="14082" max="14082" width="11.5703125" style="501" customWidth="1"/>
    <col min="14083" max="14083" width="2.42578125" style="501" customWidth="1"/>
    <col min="14084" max="14084" width="11.5703125" style="501" customWidth="1"/>
    <col min="14085" max="14085" width="2.42578125" style="501" customWidth="1"/>
    <col min="14086" max="14086" width="10.85546875" style="501" customWidth="1"/>
    <col min="14087" max="14087" width="2.42578125" style="501" customWidth="1"/>
    <col min="14088" max="14088" width="11.140625" style="501" customWidth="1"/>
    <col min="14089" max="14089" width="1.85546875" style="501" customWidth="1"/>
    <col min="14090" max="14090" width="11" style="501" customWidth="1"/>
    <col min="14091" max="14091" width="0.7109375" style="501" customWidth="1"/>
    <col min="14092" max="14092" width="1.85546875" style="501" customWidth="1"/>
    <col min="14093" max="14093" width="11.85546875" style="501" bestFit="1" customWidth="1"/>
    <col min="14094" max="14094" width="15.28515625" style="501" bestFit="1" customWidth="1"/>
    <col min="14095" max="14095" width="5" style="501" customWidth="1"/>
    <col min="14096" max="14096" width="10.42578125" style="501" bestFit="1" customWidth="1"/>
    <col min="14097" max="14097" width="5" style="501" customWidth="1"/>
    <col min="14098" max="14098" width="10.42578125" style="501" bestFit="1" customWidth="1"/>
    <col min="14099" max="14101" width="9.140625" style="501"/>
    <col min="14102" max="14102" width="10.42578125" style="501" bestFit="1" customWidth="1"/>
    <col min="14103" max="14331" width="9.140625" style="501"/>
    <col min="14332" max="14332" width="3.5703125" style="501" customWidth="1"/>
    <col min="14333" max="14333" width="4.85546875" style="501" customWidth="1"/>
    <col min="14334" max="14334" width="5.42578125" style="501" customWidth="1"/>
    <col min="14335" max="14335" width="31.28515625" style="501" customWidth="1"/>
    <col min="14336" max="14336" width="7.5703125" style="501" customWidth="1"/>
    <col min="14337" max="14337" width="2.42578125" style="501" customWidth="1"/>
    <col min="14338" max="14338" width="11.5703125" style="501" customWidth="1"/>
    <col min="14339" max="14339" width="2.42578125" style="501" customWidth="1"/>
    <col min="14340" max="14340" width="11.5703125" style="501" customWidth="1"/>
    <col min="14341" max="14341" width="2.42578125" style="501" customWidth="1"/>
    <col min="14342" max="14342" width="10.85546875" style="501" customWidth="1"/>
    <col min="14343" max="14343" width="2.42578125" style="501" customWidth="1"/>
    <col min="14344" max="14344" width="11.140625" style="501" customWidth="1"/>
    <col min="14345" max="14345" width="1.85546875" style="501" customWidth="1"/>
    <col min="14346" max="14346" width="11" style="501" customWidth="1"/>
    <col min="14347" max="14347" width="0.7109375" style="501" customWidth="1"/>
    <col min="14348" max="14348" width="1.85546875" style="501" customWidth="1"/>
    <col min="14349" max="14349" width="11.85546875" style="501" bestFit="1" customWidth="1"/>
    <col min="14350" max="14350" width="15.28515625" style="501" bestFit="1" customWidth="1"/>
    <col min="14351" max="14351" width="5" style="501" customWidth="1"/>
    <col min="14352" max="14352" width="10.42578125" style="501" bestFit="1" customWidth="1"/>
    <col min="14353" max="14353" width="5" style="501" customWidth="1"/>
    <col min="14354" max="14354" width="10.42578125" style="501" bestFit="1" customWidth="1"/>
    <col min="14355" max="14357" width="9.140625" style="501"/>
    <col min="14358" max="14358" width="10.42578125" style="501" bestFit="1" customWidth="1"/>
    <col min="14359" max="14587" width="9.140625" style="501"/>
    <col min="14588" max="14588" width="3.5703125" style="501" customWidth="1"/>
    <col min="14589" max="14589" width="4.85546875" style="501" customWidth="1"/>
    <col min="14590" max="14590" width="5.42578125" style="501" customWidth="1"/>
    <col min="14591" max="14591" width="31.28515625" style="501" customWidth="1"/>
    <col min="14592" max="14592" width="7.5703125" style="501" customWidth="1"/>
    <col min="14593" max="14593" width="2.42578125" style="501" customWidth="1"/>
    <col min="14594" max="14594" width="11.5703125" style="501" customWidth="1"/>
    <col min="14595" max="14595" width="2.42578125" style="501" customWidth="1"/>
    <col min="14596" max="14596" width="11.5703125" style="501" customWidth="1"/>
    <col min="14597" max="14597" width="2.42578125" style="501" customWidth="1"/>
    <col min="14598" max="14598" width="10.85546875" style="501" customWidth="1"/>
    <col min="14599" max="14599" width="2.42578125" style="501" customWidth="1"/>
    <col min="14600" max="14600" width="11.140625" style="501" customWidth="1"/>
    <col min="14601" max="14601" width="1.85546875" style="501" customWidth="1"/>
    <col min="14602" max="14602" width="11" style="501" customWidth="1"/>
    <col min="14603" max="14603" width="0.7109375" style="501" customWidth="1"/>
    <col min="14604" max="14604" width="1.85546875" style="501" customWidth="1"/>
    <col min="14605" max="14605" width="11.85546875" style="501" bestFit="1" customWidth="1"/>
    <col min="14606" max="14606" width="15.28515625" style="501" bestFit="1" customWidth="1"/>
    <col min="14607" max="14607" width="5" style="501" customWidth="1"/>
    <col min="14608" max="14608" width="10.42578125" style="501" bestFit="1" customWidth="1"/>
    <col min="14609" max="14609" width="5" style="501" customWidth="1"/>
    <col min="14610" max="14610" width="10.42578125" style="501" bestFit="1" customWidth="1"/>
    <col min="14611" max="14613" width="9.140625" style="501"/>
    <col min="14614" max="14614" width="10.42578125" style="501" bestFit="1" customWidth="1"/>
    <col min="14615" max="14843" width="9.140625" style="501"/>
    <col min="14844" max="14844" width="3.5703125" style="501" customWidth="1"/>
    <col min="14845" max="14845" width="4.85546875" style="501" customWidth="1"/>
    <col min="14846" max="14846" width="5.42578125" style="501" customWidth="1"/>
    <col min="14847" max="14847" width="31.28515625" style="501" customWidth="1"/>
    <col min="14848" max="14848" width="7.5703125" style="501" customWidth="1"/>
    <col min="14849" max="14849" width="2.42578125" style="501" customWidth="1"/>
    <col min="14850" max="14850" width="11.5703125" style="501" customWidth="1"/>
    <col min="14851" max="14851" width="2.42578125" style="501" customWidth="1"/>
    <col min="14852" max="14852" width="11.5703125" style="501" customWidth="1"/>
    <col min="14853" max="14853" width="2.42578125" style="501" customWidth="1"/>
    <col min="14854" max="14854" width="10.85546875" style="501" customWidth="1"/>
    <col min="14855" max="14855" width="2.42578125" style="501" customWidth="1"/>
    <col min="14856" max="14856" width="11.140625" style="501" customWidth="1"/>
    <col min="14857" max="14857" width="1.85546875" style="501" customWidth="1"/>
    <col min="14858" max="14858" width="11" style="501" customWidth="1"/>
    <col min="14859" max="14859" width="0.7109375" style="501" customWidth="1"/>
    <col min="14860" max="14860" width="1.85546875" style="501" customWidth="1"/>
    <col min="14861" max="14861" width="11.85546875" style="501" bestFit="1" customWidth="1"/>
    <col min="14862" max="14862" width="15.28515625" style="501" bestFit="1" customWidth="1"/>
    <col min="14863" max="14863" width="5" style="501" customWidth="1"/>
    <col min="14864" max="14864" width="10.42578125" style="501" bestFit="1" customWidth="1"/>
    <col min="14865" max="14865" width="5" style="501" customWidth="1"/>
    <col min="14866" max="14866" width="10.42578125" style="501" bestFit="1" customWidth="1"/>
    <col min="14867" max="14869" width="9.140625" style="501"/>
    <col min="14870" max="14870" width="10.42578125" style="501" bestFit="1" customWidth="1"/>
    <col min="14871" max="15099" width="9.140625" style="501"/>
    <col min="15100" max="15100" width="3.5703125" style="501" customWidth="1"/>
    <col min="15101" max="15101" width="4.85546875" style="501" customWidth="1"/>
    <col min="15102" max="15102" width="5.42578125" style="501" customWidth="1"/>
    <col min="15103" max="15103" width="31.28515625" style="501" customWidth="1"/>
    <col min="15104" max="15104" width="7.5703125" style="501" customWidth="1"/>
    <col min="15105" max="15105" width="2.42578125" style="501" customWidth="1"/>
    <col min="15106" max="15106" width="11.5703125" style="501" customWidth="1"/>
    <col min="15107" max="15107" width="2.42578125" style="501" customWidth="1"/>
    <col min="15108" max="15108" width="11.5703125" style="501" customWidth="1"/>
    <col min="15109" max="15109" width="2.42578125" style="501" customWidth="1"/>
    <col min="15110" max="15110" width="10.85546875" style="501" customWidth="1"/>
    <col min="15111" max="15111" width="2.42578125" style="501" customWidth="1"/>
    <col min="15112" max="15112" width="11.140625" style="501" customWidth="1"/>
    <col min="15113" max="15113" width="1.85546875" style="501" customWidth="1"/>
    <col min="15114" max="15114" width="11" style="501" customWidth="1"/>
    <col min="15115" max="15115" width="0.7109375" style="501" customWidth="1"/>
    <col min="15116" max="15116" width="1.85546875" style="501" customWidth="1"/>
    <col min="15117" max="15117" width="11.85546875" style="501" bestFit="1" customWidth="1"/>
    <col min="15118" max="15118" width="15.28515625" style="501" bestFit="1" customWidth="1"/>
    <col min="15119" max="15119" width="5" style="501" customWidth="1"/>
    <col min="15120" max="15120" width="10.42578125" style="501" bestFit="1" customWidth="1"/>
    <col min="15121" max="15121" width="5" style="501" customWidth="1"/>
    <col min="15122" max="15122" width="10.42578125" style="501" bestFit="1" customWidth="1"/>
    <col min="15123" max="15125" width="9.140625" style="501"/>
    <col min="15126" max="15126" width="10.42578125" style="501" bestFit="1" customWidth="1"/>
    <col min="15127" max="15355" width="9.140625" style="501"/>
    <col min="15356" max="15356" width="3.5703125" style="501" customWidth="1"/>
    <col min="15357" max="15357" width="4.85546875" style="501" customWidth="1"/>
    <col min="15358" max="15358" width="5.42578125" style="501" customWidth="1"/>
    <col min="15359" max="15359" width="31.28515625" style="501" customWidth="1"/>
    <col min="15360" max="15360" width="7.5703125" style="501" customWidth="1"/>
    <col min="15361" max="15361" width="2.42578125" style="501" customWidth="1"/>
    <col min="15362" max="15362" width="11.5703125" style="501" customWidth="1"/>
    <col min="15363" max="15363" width="2.42578125" style="501" customWidth="1"/>
    <col min="15364" max="15364" width="11.5703125" style="501" customWidth="1"/>
    <col min="15365" max="15365" width="2.42578125" style="501" customWidth="1"/>
    <col min="15366" max="15366" width="10.85546875" style="501" customWidth="1"/>
    <col min="15367" max="15367" width="2.42578125" style="501" customWidth="1"/>
    <col min="15368" max="15368" width="11.140625" style="501" customWidth="1"/>
    <col min="15369" max="15369" width="1.85546875" style="501" customWidth="1"/>
    <col min="15370" max="15370" width="11" style="501" customWidth="1"/>
    <col min="15371" max="15371" width="0.7109375" style="501" customWidth="1"/>
    <col min="15372" max="15372" width="1.85546875" style="501" customWidth="1"/>
    <col min="15373" max="15373" width="11.85546875" style="501" bestFit="1" customWidth="1"/>
    <col min="15374" max="15374" width="15.28515625" style="501" bestFit="1" customWidth="1"/>
    <col min="15375" max="15375" width="5" style="501" customWidth="1"/>
    <col min="15376" max="15376" width="10.42578125" style="501" bestFit="1" customWidth="1"/>
    <col min="15377" max="15377" width="5" style="501" customWidth="1"/>
    <col min="15378" max="15378" width="10.42578125" style="501" bestFit="1" customWidth="1"/>
    <col min="15379" max="15381" width="9.140625" style="501"/>
    <col min="15382" max="15382" width="10.42578125" style="501" bestFit="1" customWidth="1"/>
    <col min="15383" max="15611" width="9.140625" style="501"/>
    <col min="15612" max="15612" width="3.5703125" style="501" customWidth="1"/>
    <col min="15613" max="15613" width="4.85546875" style="501" customWidth="1"/>
    <col min="15614" max="15614" width="5.42578125" style="501" customWidth="1"/>
    <col min="15615" max="15615" width="31.28515625" style="501" customWidth="1"/>
    <col min="15616" max="15616" width="7.5703125" style="501" customWidth="1"/>
    <col min="15617" max="15617" width="2.42578125" style="501" customWidth="1"/>
    <col min="15618" max="15618" width="11.5703125" style="501" customWidth="1"/>
    <col min="15619" max="15619" width="2.42578125" style="501" customWidth="1"/>
    <col min="15620" max="15620" width="11.5703125" style="501" customWidth="1"/>
    <col min="15621" max="15621" width="2.42578125" style="501" customWidth="1"/>
    <col min="15622" max="15622" width="10.85546875" style="501" customWidth="1"/>
    <col min="15623" max="15623" width="2.42578125" style="501" customWidth="1"/>
    <col min="15624" max="15624" width="11.140625" style="501" customWidth="1"/>
    <col min="15625" max="15625" width="1.85546875" style="501" customWidth="1"/>
    <col min="15626" max="15626" width="11" style="501" customWidth="1"/>
    <col min="15627" max="15627" width="0.7109375" style="501" customWidth="1"/>
    <col min="15628" max="15628" width="1.85546875" style="501" customWidth="1"/>
    <col min="15629" max="15629" width="11.85546875" style="501" bestFit="1" customWidth="1"/>
    <col min="15630" max="15630" width="15.28515625" style="501" bestFit="1" customWidth="1"/>
    <col min="15631" max="15631" width="5" style="501" customWidth="1"/>
    <col min="15632" max="15632" width="10.42578125" style="501" bestFit="1" customWidth="1"/>
    <col min="15633" max="15633" width="5" style="501" customWidth="1"/>
    <col min="15634" max="15634" width="10.42578125" style="501" bestFit="1" customWidth="1"/>
    <col min="15635" max="15637" width="9.140625" style="501"/>
    <col min="15638" max="15638" width="10.42578125" style="501" bestFit="1" customWidth="1"/>
    <col min="15639" max="15867" width="9.140625" style="501"/>
    <col min="15868" max="15868" width="3.5703125" style="501" customWidth="1"/>
    <col min="15869" max="15869" width="4.85546875" style="501" customWidth="1"/>
    <col min="15870" max="15870" width="5.42578125" style="501" customWidth="1"/>
    <col min="15871" max="15871" width="31.28515625" style="501" customWidth="1"/>
    <col min="15872" max="15872" width="7.5703125" style="501" customWidth="1"/>
    <col min="15873" max="15873" width="2.42578125" style="501" customWidth="1"/>
    <col min="15874" max="15874" width="11.5703125" style="501" customWidth="1"/>
    <col min="15875" max="15875" width="2.42578125" style="501" customWidth="1"/>
    <col min="15876" max="15876" width="11.5703125" style="501" customWidth="1"/>
    <col min="15877" max="15877" width="2.42578125" style="501" customWidth="1"/>
    <col min="15878" max="15878" width="10.85546875" style="501" customWidth="1"/>
    <col min="15879" max="15879" width="2.42578125" style="501" customWidth="1"/>
    <col min="15880" max="15880" width="11.140625" style="501" customWidth="1"/>
    <col min="15881" max="15881" width="1.85546875" style="501" customWidth="1"/>
    <col min="15882" max="15882" width="11" style="501" customWidth="1"/>
    <col min="15883" max="15883" width="0.7109375" style="501" customWidth="1"/>
    <col min="15884" max="15884" width="1.85546875" style="501" customWidth="1"/>
    <col min="15885" max="15885" width="11.85546875" style="501" bestFit="1" customWidth="1"/>
    <col min="15886" max="15886" width="15.28515625" style="501" bestFit="1" customWidth="1"/>
    <col min="15887" max="15887" width="5" style="501" customWidth="1"/>
    <col min="15888" max="15888" width="10.42578125" style="501" bestFit="1" customWidth="1"/>
    <col min="15889" max="15889" width="5" style="501" customWidth="1"/>
    <col min="15890" max="15890" width="10.42578125" style="501" bestFit="1" customWidth="1"/>
    <col min="15891" max="15893" width="9.140625" style="501"/>
    <col min="15894" max="15894" width="10.42578125" style="501" bestFit="1" customWidth="1"/>
    <col min="15895" max="16123" width="9.140625" style="501"/>
    <col min="16124" max="16124" width="3.5703125" style="501" customWidth="1"/>
    <col min="16125" max="16125" width="4.85546875" style="501" customWidth="1"/>
    <col min="16126" max="16126" width="5.42578125" style="501" customWidth="1"/>
    <col min="16127" max="16127" width="31.28515625" style="501" customWidth="1"/>
    <col min="16128" max="16128" width="7.5703125" style="501" customWidth="1"/>
    <col min="16129" max="16129" width="2.42578125" style="501" customWidth="1"/>
    <col min="16130" max="16130" width="11.5703125" style="501" customWidth="1"/>
    <col min="16131" max="16131" width="2.42578125" style="501" customWidth="1"/>
    <col min="16132" max="16132" width="11.5703125" style="501" customWidth="1"/>
    <col min="16133" max="16133" width="2.42578125" style="501" customWidth="1"/>
    <col min="16134" max="16134" width="10.85546875" style="501" customWidth="1"/>
    <col min="16135" max="16135" width="2.42578125" style="501" customWidth="1"/>
    <col min="16136" max="16136" width="11.140625" style="501" customWidth="1"/>
    <col min="16137" max="16137" width="1.85546875" style="501" customWidth="1"/>
    <col min="16138" max="16138" width="11" style="501" customWidth="1"/>
    <col min="16139" max="16139" width="0.7109375" style="501" customWidth="1"/>
    <col min="16140" max="16140" width="1.85546875" style="501" customWidth="1"/>
    <col min="16141" max="16141" width="11.85546875" style="501" bestFit="1" customWidth="1"/>
    <col min="16142" max="16142" width="15.28515625" style="501" bestFit="1" customWidth="1"/>
    <col min="16143" max="16143" width="5" style="501" customWidth="1"/>
    <col min="16144" max="16144" width="10.42578125" style="501" bestFit="1" customWidth="1"/>
    <col min="16145" max="16145" width="5" style="501" customWidth="1"/>
    <col min="16146" max="16146" width="10.42578125" style="501" bestFit="1" customWidth="1"/>
    <col min="16147" max="16149" width="9.140625" style="501"/>
    <col min="16150" max="16150" width="10.42578125" style="501" bestFit="1" customWidth="1"/>
    <col min="16151" max="16381" width="9.140625" style="501"/>
    <col min="16382" max="16384" width="9.140625" style="501" customWidth="1"/>
  </cols>
  <sheetData>
    <row r="1" spans="1:16" s="348" customFormat="1" ht="21" x14ac:dyDescent="0.45">
      <c r="A1" s="1555" t="s">
        <v>248</v>
      </c>
      <c r="B1" s="1555"/>
      <c r="C1" s="1555"/>
      <c r="D1" s="1555"/>
      <c r="E1" s="1555"/>
      <c r="F1" s="1555"/>
      <c r="G1" s="1555"/>
      <c r="H1" s="1555"/>
      <c r="I1" s="1555"/>
      <c r="J1" s="1555"/>
      <c r="K1" s="347"/>
      <c r="L1" s="347"/>
      <c r="M1" s="347"/>
      <c r="N1" s="347"/>
      <c r="O1" s="347"/>
      <c r="P1" s="347"/>
    </row>
    <row r="2" spans="1:16" s="348" customFormat="1" ht="21" x14ac:dyDescent="0.45">
      <c r="A2" s="1556" t="str">
        <f>'22'!A2:J2</f>
        <v>يادداشتهاي توضيحي صورتهاي مالي</v>
      </c>
      <c r="B2" s="1556"/>
      <c r="C2" s="1556"/>
      <c r="D2" s="1556"/>
      <c r="E2" s="1556"/>
      <c r="F2" s="1556"/>
      <c r="G2" s="1556"/>
      <c r="H2" s="1556"/>
      <c r="I2" s="1556"/>
      <c r="J2" s="1556"/>
      <c r="K2" s="347"/>
      <c r="L2" s="347"/>
      <c r="M2" s="347"/>
      <c r="N2" s="347"/>
      <c r="O2" s="347"/>
      <c r="P2" s="347"/>
    </row>
    <row r="3" spans="1:16" s="348" customFormat="1" ht="21" x14ac:dyDescent="0.45">
      <c r="A3" s="1556" t="str">
        <f>سودوزيان!A3</f>
        <v>سال مالی منتهی به 30 اسفند 1403</v>
      </c>
      <c r="B3" s="1556"/>
      <c r="C3" s="1556"/>
      <c r="D3" s="1556"/>
      <c r="E3" s="1556"/>
      <c r="F3" s="1556"/>
      <c r="G3" s="1556"/>
      <c r="H3" s="1556"/>
      <c r="I3" s="1556"/>
      <c r="J3" s="1556"/>
      <c r="K3" s="347"/>
      <c r="L3" s="347"/>
      <c r="M3" s="347"/>
      <c r="N3" s="347"/>
      <c r="O3" s="347"/>
      <c r="P3" s="347"/>
    </row>
    <row r="4" spans="1:16" s="348" customFormat="1" x14ac:dyDescent="0.45">
      <c r="A4" s="349"/>
      <c r="B4" s="349"/>
      <c r="C4" s="349"/>
      <c r="D4" s="349"/>
      <c r="E4" s="349"/>
      <c r="F4" s="349"/>
      <c r="G4" s="349"/>
      <c r="H4" s="349"/>
      <c r="I4" s="349"/>
      <c r="J4" s="349"/>
      <c r="K4" s="347"/>
      <c r="L4" s="347"/>
      <c r="M4" s="347"/>
      <c r="N4" s="347"/>
      <c r="O4" s="347"/>
      <c r="P4" s="347"/>
    </row>
    <row r="5" spans="1:16" ht="22.5" customHeight="1" x14ac:dyDescent="0.25">
      <c r="B5" s="492"/>
      <c r="C5" s="179"/>
      <c r="D5" s="1554" t="s">
        <v>952</v>
      </c>
      <c r="E5" s="1554"/>
      <c r="F5" s="1554"/>
      <c r="G5" s="1554"/>
      <c r="H5" s="179"/>
      <c r="I5" s="179"/>
    </row>
    <row r="6" spans="1:16" ht="18.75" customHeight="1" x14ac:dyDescent="0.55000000000000004">
      <c r="B6" s="492"/>
      <c r="C6" s="179"/>
      <c r="D6" s="179"/>
      <c r="E6" s="503" t="s">
        <v>811</v>
      </c>
      <c r="F6" s="188"/>
      <c r="G6" s="240">
        <v>1403</v>
      </c>
      <c r="H6" s="490"/>
      <c r="I6" s="240">
        <v>1402</v>
      </c>
    </row>
    <row r="7" spans="1:16" ht="18" customHeight="1" x14ac:dyDescent="0.25">
      <c r="B7" s="492"/>
      <c r="C7" s="179"/>
      <c r="D7" s="504"/>
      <c r="E7" s="179"/>
      <c r="F7" s="179"/>
      <c r="G7" s="505" t="s">
        <v>494</v>
      </c>
      <c r="H7" s="440"/>
      <c r="I7" s="505" t="s">
        <v>494</v>
      </c>
    </row>
    <row r="8" spans="1:16" ht="30" customHeight="1" x14ac:dyDescent="0.55000000000000004">
      <c r="B8" s="492"/>
      <c r="C8" s="179"/>
      <c r="D8" s="504" t="s">
        <v>593</v>
      </c>
      <c r="E8" s="179" t="s">
        <v>807</v>
      </c>
      <c r="F8" s="179"/>
      <c r="G8" s="493">
        <v>460278000200</v>
      </c>
      <c r="H8" s="440"/>
      <c r="I8" s="493">
        <v>44776559788</v>
      </c>
    </row>
    <row r="9" spans="1:16" ht="30" customHeight="1" x14ac:dyDescent="0.55000000000000004">
      <c r="B9" s="492"/>
      <c r="C9" s="179"/>
      <c r="D9" s="504" t="s">
        <v>595</v>
      </c>
      <c r="E9" s="179" t="s">
        <v>806</v>
      </c>
      <c r="F9" s="179"/>
      <c r="G9" s="493">
        <v>83525838000</v>
      </c>
      <c r="H9" s="440"/>
      <c r="I9" s="493">
        <v>16847050577</v>
      </c>
    </row>
    <row r="10" spans="1:16" ht="30" customHeight="1" x14ac:dyDescent="0.55000000000000004">
      <c r="B10" s="492"/>
      <c r="C10" s="179"/>
      <c r="D10" s="504" t="s">
        <v>1156</v>
      </c>
      <c r="E10" s="179" t="s">
        <v>806</v>
      </c>
      <c r="F10" s="179"/>
      <c r="G10" s="493">
        <v>81532956125</v>
      </c>
      <c r="H10" s="440"/>
      <c r="I10" s="493">
        <v>0</v>
      </c>
    </row>
    <row r="11" spans="1:16" ht="30" customHeight="1" x14ac:dyDescent="0.55000000000000004">
      <c r="B11" s="492"/>
      <c r="C11" s="179"/>
      <c r="D11" s="504" t="s">
        <v>883</v>
      </c>
      <c r="E11" s="179"/>
      <c r="F11" s="179"/>
      <c r="G11" s="493">
        <v>56558535660</v>
      </c>
      <c r="H11" s="440"/>
      <c r="I11" s="493">
        <v>23124520476</v>
      </c>
    </row>
    <row r="12" spans="1:16" ht="30" customHeight="1" x14ac:dyDescent="0.55000000000000004">
      <c r="B12" s="492"/>
      <c r="C12" s="179"/>
      <c r="D12" s="504" t="s">
        <v>601</v>
      </c>
      <c r="E12" s="179"/>
      <c r="F12" s="179"/>
      <c r="G12" s="493">
        <v>25628421500</v>
      </c>
      <c r="H12" s="440"/>
      <c r="I12" s="493">
        <v>4175910990</v>
      </c>
    </row>
    <row r="13" spans="1:16" ht="30" customHeight="1" x14ac:dyDescent="0.55000000000000004">
      <c r="B13" s="492"/>
      <c r="C13" s="179"/>
      <c r="D13" s="179" t="s">
        <v>973</v>
      </c>
      <c r="E13" s="179"/>
      <c r="F13" s="179"/>
      <c r="G13" s="493">
        <v>16935325000</v>
      </c>
      <c r="H13" s="222"/>
      <c r="I13" s="493">
        <v>7728590500</v>
      </c>
      <c r="K13" s="510"/>
      <c r="M13" s="508"/>
      <c r="N13" s="511"/>
    </row>
    <row r="14" spans="1:16" ht="30" customHeight="1" x14ac:dyDescent="0.55000000000000004">
      <c r="B14" s="492"/>
      <c r="C14" s="179"/>
      <c r="D14" s="504" t="s">
        <v>1157</v>
      </c>
      <c r="E14" s="179" t="s">
        <v>806</v>
      </c>
      <c r="F14" s="179"/>
      <c r="G14" s="493">
        <v>11825000000</v>
      </c>
      <c r="H14" s="440"/>
      <c r="I14" s="493">
        <v>0</v>
      </c>
    </row>
    <row r="15" spans="1:16" ht="30" customHeight="1" x14ac:dyDescent="0.55000000000000004">
      <c r="B15" s="492"/>
      <c r="C15" s="179"/>
      <c r="D15" s="179" t="s">
        <v>1158</v>
      </c>
      <c r="E15" s="179" t="s">
        <v>807</v>
      </c>
      <c r="F15" s="179"/>
      <c r="G15" s="493">
        <v>10635784500</v>
      </c>
      <c r="H15" s="222"/>
      <c r="I15" s="493">
        <v>0</v>
      </c>
      <c r="M15" s="508"/>
      <c r="N15" s="509"/>
    </row>
    <row r="16" spans="1:16" ht="30" customHeight="1" x14ac:dyDescent="0.55000000000000004">
      <c r="B16" s="492"/>
      <c r="C16" s="179"/>
      <c r="D16" s="504" t="s">
        <v>888</v>
      </c>
      <c r="E16" s="179"/>
      <c r="F16" s="179"/>
      <c r="G16" s="493">
        <v>9730585210</v>
      </c>
      <c r="H16" s="440"/>
      <c r="I16" s="493">
        <v>11914792943</v>
      </c>
    </row>
    <row r="17" spans="2:14" ht="30" customHeight="1" x14ac:dyDescent="0.55000000000000004">
      <c r="B17" s="492"/>
      <c r="C17" s="179"/>
      <c r="D17" s="504" t="s">
        <v>879</v>
      </c>
      <c r="E17" s="179" t="s">
        <v>806</v>
      </c>
      <c r="F17" s="179"/>
      <c r="G17" s="493">
        <v>9163200000</v>
      </c>
      <c r="H17" s="440"/>
      <c r="I17" s="493">
        <v>1414500000</v>
      </c>
    </row>
    <row r="18" spans="2:14" ht="30" customHeight="1" x14ac:dyDescent="0.55000000000000004">
      <c r="B18" s="492"/>
      <c r="C18" s="179"/>
      <c r="D18" s="504" t="s">
        <v>618</v>
      </c>
      <c r="E18" s="179" t="s">
        <v>807</v>
      </c>
      <c r="F18" s="179"/>
      <c r="G18" s="493">
        <v>8000000000</v>
      </c>
      <c r="H18" s="440"/>
      <c r="I18" s="493">
        <v>4372417281</v>
      </c>
    </row>
    <row r="19" spans="2:14" ht="30" customHeight="1" x14ac:dyDescent="0.55000000000000004">
      <c r="B19" s="492"/>
      <c r="C19" s="179"/>
      <c r="D19" s="504" t="s">
        <v>529</v>
      </c>
      <c r="E19" s="179" t="s">
        <v>806</v>
      </c>
      <c r="F19" s="179"/>
      <c r="G19" s="493">
        <v>5060000000</v>
      </c>
      <c r="H19" s="440"/>
      <c r="I19" s="493">
        <v>7865500617</v>
      </c>
    </row>
    <row r="20" spans="2:14" ht="30" customHeight="1" x14ac:dyDescent="0.55000000000000004">
      <c r="B20" s="492"/>
      <c r="C20" s="179"/>
      <c r="D20" s="504" t="s">
        <v>602</v>
      </c>
      <c r="E20" s="179" t="s">
        <v>807</v>
      </c>
      <c r="F20" s="179"/>
      <c r="G20" s="493">
        <v>4816293900</v>
      </c>
      <c r="H20" s="440"/>
      <c r="I20" s="493">
        <v>24879288330</v>
      </c>
    </row>
    <row r="21" spans="2:14" ht="30" customHeight="1" x14ac:dyDescent="0.55000000000000004">
      <c r="B21" s="492"/>
      <c r="C21" s="179"/>
      <c r="D21" s="179" t="s">
        <v>611</v>
      </c>
      <c r="E21" s="179"/>
      <c r="F21" s="179"/>
      <c r="G21" s="493">
        <v>4267106360</v>
      </c>
      <c r="H21" s="222"/>
      <c r="I21" s="493">
        <v>7235185475</v>
      </c>
      <c r="M21" s="506"/>
      <c r="N21" s="507"/>
    </row>
    <row r="22" spans="2:14" ht="30" customHeight="1" x14ac:dyDescent="0.55000000000000004">
      <c r="B22" s="492"/>
      <c r="C22" s="179"/>
      <c r="D22" s="504" t="s">
        <v>599</v>
      </c>
      <c r="E22" s="179" t="s">
        <v>806</v>
      </c>
      <c r="F22" s="179"/>
      <c r="G22" s="493">
        <v>4266780000</v>
      </c>
      <c r="H22" s="440"/>
      <c r="I22" s="493">
        <v>22850215000</v>
      </c>
    </row>
    <row r="23" spans="2:14" ht="30" customHeight="1" x14ac:dyDescent="0.55000000000000004">
      <c r="B23" s="492"/>
      <c r="C23" s="179"/>
      <c r="D23" s="504" t="s">
        <v>972</v>
      </c>
      <c r="E23" s="179"/>
      <c r="F23" s="179"/>
      <c r="G23" s="493">
        <v>3395246800</v>
      </c>
      <c r="H23" s="440"/>
      <c r="I23" s="493">
        <v>8096026012</v>
      </c>
    </row>
    <row r="24" spans="2:14" ht="30" customHeight="1" x14ac:dyDescent="0.55000000000000004">
      <c r="B24" s="492"/>
      <c r="C24" s="179"/>
      <c r="D24" s="504" t="s">
        <v>551</v>
      </c>
      <c r="E24" s="179" t="s">
        <v>807</v>
      </c>
      <c r="F24" s="179"/>
      <c r="G24" s="493">
        <v>4746500000</v>
      </c>
      <c r="H24" s="440"/>
      <c r="I24" s="493">
        <v>0</v>
      </c>
    </row>
    <row r="25" spans="2:14" ht="30" customHeight="1" x14ac:dyDescent="0.55000000000000004">
      <c r="B25" s="492"/>
      <c r="C25" s="179"/>
      <c r="D25" s="504" t="s">
        <v>1159</v>
      </c>
      <c r="E25" s="179" t="s">
        <v>807</v>
      </c>
      <c r="F25" s="179"/>
      <c r="G25" s="493">
        <v>3657000000</v>
      </c>
      <c r="H25" s="440"/>
      <c r="I25" s="493">
        <v>0</v>
      </c>
    </row>
    <row r="26" spans="2:14" ht="30" customHeight="1" x14ac:dyDescent="0.55000000000000004">
      <c r="B26" s="492"/>
      <c r="C26" s="179"/>
      <c r="D26" s="504" t="s">
        <v>1160</v>
      </c>
      <c r="E26" s="179" t="s">
        <v>807</v>
      </c>
      <c r="F26" s="179"/>
      <c r="G26" s="493">
        <v>3262154500</v>
      </c>
      <c r="H26" s="440"/>
      <c r="I26" s="493">
        <v>0</v>
      </c>
    </row>
    <row r="27" spans="2:14" ht="30" customHeight="1" x14ac:dyDescent="0.55000000000000004">
      <c r="B27" s="492"/>
      <c r="C27" s="179"/>
      <c r="D27" s="504" t="s">
        <v>1161</v>
      </c>
      <c r="E27" s="179" t="s">
        <v>807</v>
      </c>
      <c r="F27" s="179"/>
      <c r="G27" s="493">
        <v>2167357500</v>
      </c>
      <c r="H27" s="440"/>
      <c r="I27" s="493">
        <v>0</v>
      </c>
    </row>
    <row r="28" spans="2:14" ht="30" customHeight="1" x14ac:dyDescent="0.55000000000000004">
      <c r="B28" s="492"/>
      <c r="C28" s="179"/>
      <c r="D28" s="504" t="s">
        <v>1162</v>
      </c>
      <c r="E28" s="179" t="s">
        <v>807</v>
      </c>
      <c r="F28" s="179"/>
      <c r="G28" s="493">
        <v>2051500000</v>
      </c>
      <c r="H28" s="440"/>
      <c r="I28" s="493">
        <v>0</v>
      </c>
    </row>
    <row r="29" spans="2:14" ht="30" customHeight="1" x14ac:dyDescent="0.55000000000000004">
      <c r="B29" s="492"/>
      <c r="C29" s="179"/>
      <c r="D29" s="504" t="s">
        <v>1163</v>
      </c>
      <c r="E29" s="179" t="s">
        <v>807</v>
      </c>
      <c r="F29" s="179"/>
      <c r="G29" s="493">
        <v>1521182367</v>
      </c>
      <c r="H29" s="440"/>
      <c r="I29" s="493">
        <v>0</v>
      </c>
    </row>
    <row r="30" spans="2:14" ht="21.75" customHeight="1" x14ac:dyDescent="0.55000000000000004">
      <c r="B30" s="492"/>
      <c r="C30" s="179"/>
      <c r="D30" s="504" t="s">
        <v>598</v>
      </c>
      <c r="E30" s="179" t="s">
        <v>807</v>
      </c>
      <c r="F30" s="179"/>
      <c r="G30" s="493">
        <v>759680300</v>
      </c>
      <c r="H30" s="440"/>
      <c r="I30" s="493">
        <v>0</v>
      </c>
    </row>
    <row r="31" spans="2:14" ht="19.5" hidden="1" customHeight="1" x14ac:dyDescent="0.55000000000000004">
      <c r="B31" s="492"/>
      <c r="C31" s="179"/>
      <c r="D31" s="504" t="s">
        <v>597</v>
      </c>
      <c r="E31" s="179" t="s">
        <v>806</v>
      </c>
      <c r="F31" s="179"/>
      <c r="G31" s="493">
        <v>0</v>
      </c>
      <c r="H31" s="440"/>
      <c r="I31" s="493">
        <v>0</v>
      </c>
    </row>
    <row r="32" spans="2:14" ht="19.5" hidden="1" customHeight="1" x14ac:dyDescent="0.55000000000000004">
      <c r="B32" s="492"/>
      <c r="C32" s="179"/>
      <c r="D32" s="504" t="s">
        <v>882</v>
      </c>
      <c r="E32" s="179" t="s">
        <v>807</v>
      </c>
      <c r="F32" s="179"/>
      <c r="G32" s="493">
        <v>0</v>
      </c>
      <c r="H32" s="440"/>
      <c r="I32" s="493">
        <v>0</v>
      </c>
    </row>
    <row r="33" spans="2:14" ht="19.5" hidden="1" customHeight="1" x14ac:dyDescent="0.55000000000000004">
      <c r="B33" s="492"/>
      <c r="C33" s="179"/>
      <c r="D33" s="504" t="s">
        <v>594</v>
      </c>
      <c r="E33" s="179" t="s">
        <v>806</v>
      </c>
      <c r="F33" s="179"/>
      <c r="G33" s="493">
        <v>0</v>
      </c>
      <c r="H33" s="440"/>
      <c r="I33" s="493">
        <v>0</v>
      </c>
    </row>
    <row r="34" spans="2:14" ht="19.5" hidden="1" customHeight="1" x14ac:dyDescent="0.55000000000000004">
      <c r="B34" s="492"/>
      <c r="C34" s="179"/>
      <c r="D34" s="504" t="s">
        <v>612</v>
      </c>
      <c r="E34" s="179" t="s">
        <v>807</v>
      </c>
      <c r="F34" s="179"/>
      <c r="G34" s="493">
        <v>0</v>
      </c>
      <c r="H34" s="440"/>
      <c r="I34" s="493">
        <v>0</v>
      </c>
    </row>
    <row r="35" spans="2:14" ht="19.5" hidden="1" customHeight="1" x14ac:dyDescent="0.55000000000000004">
      <c r="B35" s="492"/>
      <c r="C35" s="179"/>
      <c r="D35" s="504" t="s">
        <v>614</v>
      </c>
      <c r="E35" s="179"/>
      <c r="F35" s="179"/>
      <c r="G35" s="493">
        <v>0</v>
      </c>
      <c r="H35" s="440"/>
      <c r="I35" s="493">
        <v>0</v>
      </c>
    </row>
    <row r="36" spans="2:14" ht="19.5" hidden="1" customHeight="1" x14ac:dyDescent="0.55000000000000004">
      <c r="B36" s="492"/>
      <c r="C36" s="179"/>
      <c r="D36" s="504" t="s">
        <v>970</v>
      </c>
      <c r="E36" s="179"/>
      <c r="F36" s="179"/>
      <c r="G36" s="493">
        <v>0</v>
      </c>
      <c r="H36" s="440"/>
      <c r="I36" s="493">
        <v>0</v>
      </c>
    </row>
    <row r="37" spans="2:14" ht="19.5" hidden="1" customHeight="1" x14ac:dyDescent="0.55000000000000004">
      <c r="B37" s="492"/>
      <c r="C37" s="179"/>
      <c r="D37" s="504" t="s">
        <v>884</v>
      </c>
      <c r="E37" s="179"/>
      <c r="F37" s="179"/>
      <c r="G37" s="493">
        <v>0</v>
      </c>
      <c r="H37" s="440"/>
      <c r="I37" s="493">
        <v>0</v>
      </c>
    </row>
    <row r="38" spans="2:14" ht="19.5" hidden="1" customHeight="1" x14ac:dyDescent="0.55000000000000004">
      <c r="B38" s="492"/>
      <c r="C38" s="179"/>
      <c r="D38" s="504" t="s">
        <v>598</v>
      </c>
      <c r="E38" s="179" t="s">
        <v>807</v>
      </c>
      <c r="F38" s="179"/>
      <c r="G38" s="493">
        <v>0</v>
      </c>
      <c r="H38" s="440"/>
      <c r="I38" s="493">
        <v>0</v>
      </c>
    </row>
    <row r="39" spans="2:14" ht="19.5" hidden="1" customHeight="1" x14ac:dyDescent="0.55000000000000004">
      <c r="B39" s="492"/>
      <c r="C39" s="179"/>
      <c r="D39" s="179" t="s">
        <v>505</v>
      </c>
      <c r="E39" s="179" t="s">
        <v>807</v>
      </c>
      <c r="F39" s="179"/>
      <c r="G39" s="493">
        <v>0</v>
      </c>
      <c r="H39" s="222"/>
      <c r="I39" s="493">
        <v>0</v>
      </c>
      <c r="M39" s="506"/>
      <c r="N39" s="507"/>
    </row>
    <row r="40" spans="2:14" ht="19.5" hidden="1" customHeight="1" x14ac:dyDescent="0.55000000000000004">
      <c r="B40" s="492"/>
      <c r="C40" s="179"/>
      <c r="D40" s="504" t="s">
        <v>596</v>
      </c>
      <c r="E40" s="179" t="s">
        <v>806</v>
      </c>
      <c r="F40" s="179"/>
      <c r="G40" s="493">
        <v>0</v>
      </c>
      <c r="H40" s="440"/>
      <c r="I40" s="493">
        <v>0</v>
      </c>
    </row>
    <row r="41" spans="2:14" ht="19.5" hidden="1" customHeight="1" x14ac:dyDescent="0.55000000000000004">
      <c r="B41" s="492"/>
      <c r="C41" s="179"/>
      <c r="D41" s="504" t="s">
        <v>971</v>
      </c>
      <c r="E41" s="179"/>
      <c r="F41" s="179"/>
      <c r="G41" s="493">
        <v>0</v>
      </c>
      <c r="H41" s="440"/>
      <c r="I41" s="493">
        <v>0</v>
      </c>
    </row>
    <row r="42" spans="2:14" ht="19.5" hidden="1" customHeight="1" x14ac:dyDescent="0.55000000000000004">
      <c r="B42" s="492"/>
      <c r="C42" s="179"/>
      <c r="D42" s="504" t="s">
        <v>615</v>
      </c>
      <c r="E42" s="179"/>
      <c r="F42" s="179"/>
      <c r="G42" s="493">
        <v>0</v>
      </c>
      <c r="H42" s="440"/>
      <c r="I42" s="493">
        <v>0</v>
      </c>
    </row>
    <row r="43" spans="2:14" ht="19.5" hidden="1" customHeight="1" x14ac:dyDescent="0.55000000000000004">
      <c r="B43" s="492"/>
      <c r="C43" s="179"/>
      <c r="D43" s="504" t="s">
        <v>600</v>
      </c>
      <c r="E43" s="179" t="s">
        <v>807</v>
      </c>
      <c r="F43" s="179"/>
      <c r="G43" s="493">
        <v>0</v>
      </c>
      <c r="H43" s="440"/>
      <c r="I43" s="493">
        <v>0</v>
      </c>
    </row>
    <row r="44" spans="2:14" ht="19.5" hidden="1" customHeight="1" x14ac:dyDescent="0.55000000000000004">
      <c r="B44" s="492"/>
      <c r="C44" s="179"/>
      <c r="D44" s="179" t="s">
        <v>414</v>
      </c>
      <c r="E44" s="179" t="s">
        <v>807</v>
      </c>
      <c r="F44" s="179"/>
      <c r="G44" s="493">
        <v>0</v>
      </c>
      <c r="H44" s="222"/>
      <c r="I44" s="493">
        <v>0</v>
      </c>
      <c r="K44" s="510"/>
      <c r="M44" s="508"/>
      <c r="N44" s="511"/>
    </row>
    <row r="45" spans="2:14" ht="19.5" hidden="1" customHeight="1" x14ac:dyDescent="0.55000000000000004">
      <c r="B45" s="492"/>
      <c r="C45" s="179"/>
      <c r="D45" s="179" t="s">
        <v>619</v>
      </c>
      <c r="E45" s="179"/>
      <c r="F45" s="179"/>
      <c r="G45" s="493">
        <v>0</v>
      </c>
      <c r="H45" s="222"/>
      <c r="I45" s="493">
        <v>0</v>
      </c>
      <c r="K45" s="510"/>
      <c r="M45" s="508"/>
      <c r="N45" s="511"/>
    </row>
    <row r="46" spans="2:14" ht="19.5" hidden="1" customHeight="1" x14ac:dyDescent="0.55000000000000004">
      <c r="B46" s="492"/>
      <c r="C46" s="179"/>
      <c r="D46" s="179" t="s">
        <v>886</v>
      </c>
      <c r="E46" s="179"/>
      <c r="F46" s="179"/>
      <c r="G46" s="493">
        <v>0</v>
      </c>
      <c r="H46" s="222"/>
      <c r="I46" s="493">
        <v>0</v>
      </c>
      <c r="K46" s="510"/>
      <c r="M46" s="508"/>
      <c r="N46" s="511"/>
    </row>
    <row r="47" spans="2:14" ht="19.5" hidden="1" customHeight="1" x14ac:dyDescent="0.55000000000000004">
      <c r="B47" s="492"/>
      <c r="C47" s="179"/>
      <c r="D47" s="179" t="s">
        <v>268</v>
      </c>
      <c r="E47" s="179" t="s">
        <v>807</v>
      </c>
      <c r="F47" s="179"/>
      <c r="G47" s="493">
        <v>0</v>
      </c>
      <c r="H47" s="222"/>
      <c r="I47" s="493">
        <v>0</v>
      </c>
      <c r="M47" s="506"/>
      <c r="N47" s="507"/>
    </row>
    <row r="48" spans="2:14" ht="19.5" hidden="1" customHeight="1" x14ac:dyDescent="0.55000000000000004">
      <c r="B48" s="492"/>
      <c r="C48" s="179"/>
      <c r="D48" s="179" t="s">
        <v>623</v>
      </c>
      <c r="E48" s="179"/>
      <c r="F48" s="179"/>
      <c r="G48" s="493">
        <v>0</v>
      </c>
      <c r="H48" s="222"/>
      <c r="I48" s="493">
        <v>0</v>
      </c>
      <c r="M48" s="506"/>
      <c r="N48" s="507"/>
    </row>
    <row r="49" spans="2:14" ht="19.5" hidden="1" customHeight="1" x14ac:dyDescent="0.55000000000000004">
      <c r="B49" s="492"/>
      <c r="C49" s="179"/>
      <c r="D49" s="504" t="s">
        <v>604</v>
      </c>
      <c r="E49" s="179" t="s">
        <v>806</v>
      </c>
      <c r="F49" s="179"/>
      <c r="G49" s="493">
        <v>0</v>
      </c>
      <c r="H49" s="440"/>
      <c r="I49" s="493">
        <v>0</v>
      </c>
    </row>
    <row r="50" spans="2:14" ht="19.5" hidden="1" customHeight="1" x14ac:dyDescent="0.55000000000000004">
      <c r="B50" s="492"/>
      <c r="C50" s="179"/>
      <c r="D50" s="504" t="s">
        <v>974</v>
      </c>
      <c r="E50" s="179"/>
      <c r="F50" s="179"/>
      <c r="G50" s="493">
        <v>0</v>
      </c>
      <c r="H50" s="440"/>
      <c r="I50" s="493">
        <v>0</v>
      </c>
    </row>
    <row r="51" spans="2:14" ht="19.5" hidden="1" customHeight="1" x14ac:dyDescent="0.55000000000000004">
      <c r="B51" s="492"/>
      <c r="C51" s="179"/>
      <c r="D51" s="504" t="s">
        <v>975</v>
      </c>
      <c r="E51" s="179"/>
      <c r="F51" s="179"/>
      <c r="G51" s="493">
        <v>0</v>
      </c>
      <c r="H51" s="440"/>
      <c r="I51" s="493">
        <v>0</v>
      </c>
    </row>
    <row r="52" spans="2:14" ht="19.5" hidden="1" customHeight="1" x14ac:dyDescent="0.55000000000000004">
      <c r="B52" s="492"/>
      <c r="C52" s="179"/>
      <c r="D52" s="179" t="s">
        <v>889</v>
      </c>
      <c r="E52" s="179"/>
      <c r="F52" s="179"/>
      <c r="G52" s="493">
        <v>0</v>
      </c>
      <c r="H52" s="222"/>
      <c r="I52" s="493">
        <v>0</v>
      </c>
      <c r="M52" s="506"/>
      <c r="N52" s="507"/>
    </row>
    <row r="53" spans="2:14" ht="19.5" hidden="1" customHeight="1" x14ac:dyDescent="0.55000000000000004">
      <c r="B53" s="492"/>
      <c r="C53" s="179"/>
      <c r="D53" s="504" t="s">
        <v>620</v>
      </c>
      <c r="E53" s="179" t="s">
        <v>807</v>
      </c>
      <c r="F53" s="179"/>
      <c r="G53" s="493">
        <v>0</v>
      </c>
      <c r="H53" s="440"/>
      <c r="I53" s="493">
        <v>0</v>
      </c>
    </row>
    <row r="54" spans="2:14" ht="19.5" hidden="1" customHeight="1" x14ac:dyDescent="0.55000000000000004">
      <c r="B54" s="492"/>
      <c r="C54" s="179"/>
      <c r="D54" s="504" t="s">
        <v>976</v>
      </c>
      <c r="E54" s="179"/>
      <c r="F54" s="179"/>
      <c r="G54" s="493">
        <v>0</v>
      </c>
      <c r="H54" s="440"/>
      <c r="I54" s="493">
        <v>0</v>
      </c>
    </row>
    <row r="55" spans="2:14" ht="19.5" hidden="1" customHeight="1" x14ac:dyDescent="0.55000000000000004">
      <c r="B55" s="492"/>
      <c r="C55" s="179"/>
      <c r="D55" s="504" t="s">
        <v>977</v>
      </c>
      <c r="E55" s="179"/>
      <c r="F55" s="179"/>
      <c r="G55" s="493">
        <v>0</v>
      </c>
      <c r="H55" s="440"/>
      <c r="I55" s="493">
        <v>0</v>
      </c>
    </row>
    <row r="56" spans="2:14" ht="19.5" hidden="1" customHeight="1" x14ac:dyDescent="0.55000000000000004">
      <c r="B56" s="492"/>
      <c r="C56" s="179"/>
      <c r="D56" s="504" t="s">
        <v>592</v>
      </c>
      <c r="E56" s="179" t="s">
        <v>806</v>
      </c>
      <c r="F56" s="179"/>
      <c r="G56" s="493">
        <v>0</v>
      </c>
      <c r="H56" s="440"/>
      <c r="I56" s="493">
        <v>0</v>
      </c>
    </row>
    <row r="57" spans="2:14" ht="19.5" hidden="1" customHeight="1" x14ac:dyDescent="0.55000000000000004">
      <c r="B57" s="492"/>
      <c r="C57" s="179"/>
      <c r="D57" s="504" t="s">
        <v>616</v>
      </c>
      <c r="E57" s="179" t="s">
        <v>806</v>
      </c>
      <c r="F57" s="179"/>
      <c r="G57" s="493">
        <v>0</v>
      </c>
      <c r="H57" s="440"/>
      <c r="I57" s="493">
        <v>0</v>
      </c>
    </row>
    <row r="58" spans="2:14" ht="19.5" customHeight="1" x14ac:dyDescent="0.55000000000000004">
      <c r="B58" s="492"/>
      <c r="C58" s="179"/>
      <c r="D58" s="179" t="s">
        <v>130</v>
      </c>
      <c r="E58" s="179"/>
      <c r="F58" s="179"/>
      <c r="G58" s="493">
        <v>0</v>
      </c>
      <c r="H58" s="222"/>
      <c r="I58" s="1158">
        <f>2641581537+348028707086</f>
        <v>350670288623</v>
      </c>
      <c r="M58" s="508"/>
      <c r="N58" s="509"/>
    </row>
    <row r="59" spans="2:14" ht="19.5" customHeight="1" thickBot="1" x14ac:dyDescent="0.5">
      <c r="B59" s="492"/>
      <c r="C59" s="179"/>
      <c r="D59" s="179"/>
      <c r="E59" s="179"/>
      <c r="F59" s="179"/>
      <c r="G59" s="415">
        <f>SUM(G8:G58)</f>
        <v>813784447922</v>
      </c>
      <c r="H59" s="346"/>
      <c r="I59" s="415">
        <f>SUM(I8:I58)</f>
        <v>535950846612</v>
      </c>
      <c r="M59" s="508" t="b">
        <f>G59='22'!G12</f>
        <v>1</v>
      </c>
      <c r="N59" s="509" t="b">
        <f>I59='22'!I12</f>
        <v>1</v>
      </c>
    </row>
    <row r="60" spans="2:14" ht="21" customHeight="1" thickTop="1" x14ac:dyDescent="0.45">
      <c r="B60" s="492"/>
      <c r="C60" s="179"/>
      <c r="D60" s="179"/>
      <c r="E60" s="179"/>
      <c r="F60" s="179"/>
      <c r="G60" s="512"/>
      <c r="H60" s="179"/>
      <c r="I60" s="512"/>
      <c r="M60" s="508"/>
      <c r="N60" s="509"/>
    </row>
    <row r="61" spans="2:14" ht="23.25" customHeight="1" x14ac:dyDescent="0.45">
      <c r="B61" s="492"/>
      <c r="C61" s="179"/>
      <c r="D61" s="179"/>
      <c r="E61" s="179"/>
      <c r="F61" s="179"/>
      <c r="G61" s="512"/>
      <c r="H61" s="179"/>
      <c r="I61" s="512"/>
      <c r="M61" s="508"/>
      <c r="N61" s="509"/>
    </row>
    <row r="62" spans="2:14" ht="23.25" customHeight="1" x14ac:dyDescent="0.45">
      <c r="B62" s="492"/>
      <c r="C62" s="179"/>
      <c r="D62" s="1554" t="s">
        <v>1164</v>
      </c>
      <c r="E62" s="1554"/>
      <c r="F62" s="1554"/>
      <c r="G62" s="1554"/>
      <c r="H62" s="179"/>
      <c r="I62" s="512"/>
      <c r="M62" s="508"/>
      <c r="N62" s="509"/>
    </row>
    <row r="63" spans="2:14" ht="22.5" customHeight="1" x14ac:dyDescent="0.25">
      <c r="B63" s="513"/>
      <c r="G63" s="514"/>
      <c r="I63" s="514"/>
    </row>
    <row r="64" spans="2:14" ht="158.25" customHeight="1" x14ac:dyDescent="0.25"/>
    <row r="65" spans="1:11" ht="147.75" customHeight="1" x14ac:dyDescent="0.25">
      <c r="A65" s="1553" t="s">
        <v>777</v>
      </c>
      <c r="B65" s="1553"/>
      <c r="C65" s="1553"/>
      <c r="D65" s="1553"/>
      <c r="E65" s="1553"/>
      <c r="F65" s="1553"/>
      <c r="G65" s="1553"/>
      <c r="H65" s="1553"/>
      <c r="I65" s="1553"/>
      <c r="J65" s="1553"/>
      <c r="K65" s="1553"/>
    </row>
  </sheetData>
  <customSheetViews>
    <customSheetView guid="{39716EAB-185B-4ADF-90CF-1B1041867F58}" scale="95" showPageBreaks="1" printArea="1" hiddenRows="1" hiddenColumns="1" view="pageBreakPreview" topLeftCell="A7">
      <selection activeCell="E53" sqref="E53:E55"/>
      <pageMargins left="0.39370078740157499" right="0.78740157480314998" top="0.39370078740157499" bottom="0.39370078740157499" header="0.31496062992126" footer="0.31496062992126"/>
      <pageSetup paperSize="9" scale="59" orientation="portrait" r:id="rId1"/>
    </customSheetView>
    <customSheetView guid="{5CB8382F-C212-4512-9396-17792C62978E}" scale="95" showPageBreaks="1" printArea="1" hiddenRows="1" hiddenColumns="1" view="pageBreakPreview" topLeftCell="A7">
      <selection activeCell="E53" sqref="E53:E55"/>
      <pageMargins left="0.39370078740157499" right="0.78740157480314998" top="0.39370078740157499" bottom="0.39370078740157499" header="0.31496062992126" footer="0.31496062992126"/>
      <pageSetup paperSize="9" scale="59" orientation="portrait" r:id="rId2"/>
    </customSheetView>
    <customSheetView guid="{184BCED3-EADB-44CF-BFDA-DA8D3E7206C0}" scale="95" showPageBreaks="1" printArea="1" hiddenRows="1" hiddenColumns="1" view="pageBreakPreview" topLeftCell="A50">
      <selection activeCell="G65" sqref="G65"/>
      <pageMargins left="0.39370078740157499" right="0.78740157480314998" top="0.39370078740157499" bottom="0.39370078740157499" header="0.31496062992126" footer="0.31496062992126"/>
      <pageSetup paperSize="9" scale="66" orientation="portrait" r:id="rId3"/>
    </customSheetView>
  </customSheetViews>
  <mergeCells count="6">
    <mergeCell ref="A65:K65"/>
    <mergeCell ref="D5:G5"/>
    <mergeCell ref="A1:J1"/>
    <mergeCell ref="A2:J2"/>
    <mergeCell ref="A3:J3"/>
    <mergeCell ref="D62:G62"/>
  </mergeCells>
  <conditionalFormatting sqref="G59">
    <cfRule type="cellIs" dxfId="24" priority="1" stopIfTrue="1" operator="lessThan">
      <formula>0</formula>
    </cfRule>
  </conditionalFormatting>
  <conditionalFormatting sqref="I59">
    <cfRule type="cellIs" dxfId="23" priority="2" stopIfTrue="1" operator="lessThan">
      <formula>0</formula>
    </cfRule>
  </conditionalFormatting>
  <hyperlinks>
    <hyperlink ref="A1:XFD3" r:id="rId4" display="http://modiriatmali.com/" xr:uid="{00000000-0004-0000-1E00-000000000000}"/>
  </hyperlinks>
  <printOptions horizontalCentered="1"/>
  <pageMargins left="0" right="0" top="0.143700787" bottom="0.143700787" header="0.31496062992126" footer="0.31496062992126"/>
  <pageSetup paperSize="9" scale="65" orientation="portrait"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P80"/>
  <sheetViews>
    <sheetView rightToLeft="1" view="pageBreakPreview" topLeftCell="C8" zoomScale="95" zoomScaleSheetLayoutView="70" workbookViewId="0">
      <selection activeCell="K64" sqref="K64"/>
    </sheetView>
  </sheetViews>
  <sheetFormatPr defaultRowHeight="24.75" x14ac:dyDescent="0.6"/>
  <cols>
    <col min="1" max="1" width="5.42578125" style="451" hidden="1" customWidth="1"/>
    <col min="2" max="2" width="4.140625" style="447" hidden="1" customWidth="1"/>
    <col min="3" max="3" width="0.7109375" style="447" customWidth="1"/>
    <col min="4" max="4" width="55.85546875" style="447" customWidth="1"/>
    <col min="5" max="5" width="6.42578125" style="447" customWidth="1"/>
    <col min="6" max="6" width="8.42578125" style="447" bestFit="1" customWidth="1"/>
    <col min="7" max="7" width="29.28515625" style="1104" bestFit="1" customWidth="1"/>
    <col min="8" max="8" width="2.28515625" style="1104" customWidth="1"/>
    <col min="9" max="9" width="29.140625" style="1104" bestFit="1" customWidth="1"/>
    <col min="10" max="10" width="0.7109375" style="447" hidden="1" customWidth="1"/>
    <col min="11" max="11" width="32" style="447" bestFit="1" customWidth="1"/>
    <col min="12" max="12" width="18" style="447" customWidth="1"/>
    <col min="13" max="13" width="16.42578125" style="1110" customWidth="1"/>
    <col min="14" max="14" width="19" style="1111" bestFit="1" customWidth="1"/>
    <col min="15" max="15" width="5" style="447" customWidth="1"/>
    <col min="16" max="16" width="10.42578125" style="447" bestFit="1" customWidth="1"/>
    <col min="17" max="17" width="5" style="447" customWidth="1"/>
    <col min="18" max="18" width="10.42578125" style="447" bestFit="1" customWidth="1"/>
    <col min="19" max="21" width="9" style="447"/>
    <col min="22" max="22" width="10.42578125" style="447" bestFit="1" customWidth="1"/>
    <col min="23" max="251" width="9" style="447"/>
    <col min="252" max="252" width="3.5703125" style="447" customWidth="1"/>
    <col min="253" max="253" width="4.85546875" style="447" customWidth="1"/>
    <col min="254" max="254" width="5.42578125" style="447" customWidth="1"/>
    <col min="255" max="255" width="31.28515625" style="447" customWidth="1"/>
    <col min="256" max="256" width="7.5703125" style="447" customWidth="1"/>
    <col min="257" max="257" width="2.42578125" style="447" customWidth="1"/>
    <col min="258" max="258" width="11.5703125" style="447" customWidth="1"/>
    <col min="259" max="259" width="2.42578125" style="447" customWidth="1"/>
    <col min="260" max="260" width="11.5703125" style="447" customWidth="1"/>
    <col min="261" max="261" width="2.42578125" style="447" customWidth="1"/>
    <col min="262" max="262" width="10.85546875" style="447" customWidth="1"/>
    <col min="263" max="263" width="2.42578125" style="447" customWidth="1"/>
    <col min="264" max="264" width="11.140625" style="447" customWidth="1"/>
    <col min="265" max="265" width="1.85546875" style="447" customWidth="1"/>
    <col min="266" max="266" width="11" style="447" customWidth="1"/>
    <col min="267" max="267" width="0.7109375" style="447" customWidth="1"/>
    <col min="268" max="268" width="1.85546875" style="447" customWidth="1"/>
    <col min="269" max="269" width="11.85546875" style="447" bestFit="1" customWidth="1"/>
    <col min="270" max="270" width="15.28515625" style="447" bestFit="1" customWidth="1"/>
    <col min="271" max="271" width="5" style="447" customWidth="1"/>
    <col min="272" max="272" width="10.42578125" style="447" bestFit="1" customWidth="1"/>
    <col min="273" max="273" width="5" style="447" customWidth="1"/>
    <col min="274" max="274" width="10.42578125" style="447" bestFit="1" customWidth="1"/>
    <col min="275" max="277" width="9" style="447"/>
    <col min="278" max="278" width="10.42578125" style="447" bestFit="1" customWidth="1"/>
    <col min="279" max="507" width="9" style="447"/>
    <col min="508" max="508" width="3.5703125" style="447" customWidth="1"/>
    <col min="509" max="509" width="4.85546875" style="447" customWidth="1"/>
    <col min="510" max="510" width="5.42578125" style="447" customWidth="1"/>
    <col min="511" max="511" width="31.28515625" style="447" customWidth="1"/>
    <col min="512" max="512" width="7.5703125" style="447" customWidth="1"/>
    <col min="513" max="513" width="2.42578125" style="447" customWidth="1"/>
    <col min="514" max="514" width="11.5703125" style="447" customWidth="1"/>
    <col min="515" max="515" width="2.42578125" style="447" customWidth="1"/>
    <col min="516" max="516" width="11.5703125" style="447" customWidth="1"/>
    <col min="517" max="517" width="2.42578125" style="447" customWidth="1"/>
    <col min="518" max="518" width="10.85546875" style="447" customWidth="1"/>
    <col min="519" max="519" width="2.42578125" style="447" customWidth="1"/>
    <col min="520" max="520" width="11.140625" style="447" customWidth="1"/>
    <col min="521" max="521" width="1.85546875" style="447" customWidth="1"/>
    <col min="522" max="522" width="11" style="447" customWidth="1"/>
    <col min="523" max="523" width="0.7109375" style="447" customWidth="1"/>
    <col min="524" max="524" width="1.85546875" style="447" customWidth="1"/>
    <col min="525" max="525" width="11.85546875" style="447" bestFit="1" customWidth="1"/>
    <col min="526" max="526" width="15.28515625" style="447" bestFit="1" customWidth="1"/>
    <col min="527" max="527" width="5" style="447" customWidth="1"/>
    <col min="528" max="528" width="10.42578125" style="447" bestFit="1" customWidth="1"/>
    <col min="529" max="529" width="5" style="447" customWidth="1"/>
    <col min="530" max="530" width="10.42578125" style="447" bestFit="1" customWidth="1"/>
    <col min="531" max="533" width="9" style="447"/>
    <col min="534" max="534" width="10.42578125" style="447" bestFit="1" customWidth="1"/>
    <col min="535" max="763" width="9" style="447"/>
    <col min="764" max="764" width="3.5703125" style="447" customWidth="1"/>
    <col min="765" max="765" width="4.85546875" style="447" customWidth="1"/>
    <col min="766" max="766" width="5.42578125" style="447" customWidth="1"/>
    <col min="767" max="767" width="31.28515625" style="447" customWidth="1"/>
    <col min="768" max="768" width="7.5703125" style="447" customWidth="1"/>
    <col min="769" max="769" width="2.42578125" style="447" customWidth="1"/>
    <col min="770" max="770" width="11.5703125" style="447" customWidth="1"/>
    <col min="771" max="771" width="2.42578125" style="447" customWidth="1"/>
    <col min="772" max="772" width="11.5703125" style="447" customWidth="1"/>
    <col min="773" max="773" width="2.42578125" style="447" customWidth="1"/>
    <col min="774" max="774" width="10.85546875" style="447" customWidth="1"/>
    <col min="775" max="775" width="2.42578125" style="447" customWidth="1"/>
    <col min="776" max="776" width="11.140625" style="447" customWidth="1"/>
    <col min="777" max="777" width="1.85546875" style="447" customWidth="1"/>
    <col min="778" max="778" width="11" style="447" customWidth="1"/>
    <col min="779" max="779" width="0.7109375" style="447" customWidth="1"/>
    <col min="780" max="780" width="1.85546875" style="447" customWidth="1"/>
    <col min="781" max="781" width="11.85546875" style="447" bestFit="1" customWidth="1"/>
    <col min="782" max="782" width="15.28515625" style="447" bestFit="1" customWidth="1"/>
    <col min="783" max="783" width="5" style="447" customWidth="1"/>
    <col min="784" max="784" width="10.42578125" style="447" bestFit="1" customWidth="1"/>
    <col min="785" max="785" width="5" style="447" customWidth="1"/>
    <col min="786" max="786" width="10.42578125" style="447" bestFit="1" customWidth="1"/>
    <col min="787" max="789" width="9" style="447"/>
    <col min="790" max="790" width="10.42578125" style="447" bestFit="1" customWidth="1"/>
    <col min="791" max="1019" width="9" style="447"/>
    <col min="1020" max="1020" width="3.5703125" style="447" customWidth="1"/>
    <col min="1021" max="1021" width="4.85546875" style="447" customWidth="1"/>
    <col min="1022" max="1022" width="5.42578125" style="447" customWidth="1"/>
    <col min="1023" max="1023" width="31.28515625" style="447" customWidth="1"/>
    <col min="1024" max="1024" width="7.5703125" style="447" customWidth="1"/>
    <col min="1025" max="1025" width="2.42578125" style="447" customWidth="1"/>
    <col min="1026" max="1026" width="11.5703125" style="447" customWidth="1"/>
    <col min="1027" max="1027" width="2.42578125" style="447" customWidth="1"/>
    <col min="1028" max="1028" width="11.5703125" style="447" customWidth="1"/>
    <col min="1029" max="1029" width="2.42578125" style="447" customWidth="1"/>
    <col min="1030" max="1030" width="10.85546875" style="447" customWidth="1"/>
    <col min="1031" max="1031" width="2.42578125" style="447" customWidth="1"/>
    <col min="1032" max="1032" width="11.140625" style="447" customWidth="1"/>
    <col min="1033" max="1033" width="1.85546875" style="447" customWidth="1"/>
    <col min="1034" max="1034" width="11" style="447" customWidth="1"/>
    <col min="1035" max="1035" width="0.7109375" style="447" customWidth="1"/>
    <col min="1036" max="1036" width="1.85546875" style="447" customWidth="1"/>
    <col min="1037" max="1037" width="11.85546875" style="447" bestFit="1" customWidth="1"/>
    <col min="1038" max="1038" width="15.28515625" style="447" bestFit="1" customWidth="1"/>
    <col min="1039" max="1039" width="5" style="447" customWidth="1"/>
    <col min="1040" max="1040" width="10.42578125" style="447" bestFit="1" customWidth="1"/>
    <col min="1041" max="1041" width="5" style="447" customWidth="1"/>
    <col min="1042" max="1042" width="10.42578125" style="447" bestFit="1" customWidth="1"/>
    <col min="1043" max="1045" width="9" style="447"/>
    <col min="1046" max="1046" width="10.42578125" style="447" bestFit="1" customWidth="1"/>
    <col min="1047" max="1275" width="9" style="447"/>
    <col min="1276" max="1276" width="3.5703125" style="447" customWidth="1"/>
    <col min="1277" max="1277" width="4.85546875" style="447" customWidth="1"/>
    <col min="1278" max="1278" width="5.42578125" style="447" customWidth="1"/>
    <col min="1279" max="1279" width="31.28515625" style="447" customWidth="1"/>
    <col min="1280" max="1280" width="7.5703125" style="447" customWidth="1"/>
    <col min="1281" max="1281" width="2.42578125" style="447" customWidth="1"/>
    <col min="1282" max="1282" width="11.5703125" style="447" customWidth="1"/>
    <col min="1283" max="1283" width="2.42578125" style="447" customWidth="1"/>
    <col min="1284" max="1284" width="11.5703125" style="447" customWidth="1"/>
    <col min="1285" max="1285" width="2.42578125" style="447" customWidth="1"/>
    <col min="1286" max="1286" width="10.85546875" style="447" customWidth="1"/>
    <col min="1287" max="1287" width="2.42578125" style="447" customWidth="1"/>
    <col min="1288" max="1288" width="11.140625" style="447" customWidth="1"/>
    <col min="1289" max="1289" width="1.85546875" style="447" customWidth="1"/>
    <col min="1290" max="1290" width="11" style="447" customWidth="1"/>
    <col min="1291" max="1291" width="0.7109375" style="447" customWidth="1"/>
    <col min="1292" max="1292" width="1.85546875" style="447" customWidth="1"/>
    <col min="1293" max="1293" width="11.85546875" style="447" bestFit="1" customWidth="1"/>
    <col min="1294" max="1294" width="15.28515625" style="447" bestFit="1" customWidth="1"/>
    <col min="1295" max="1295" width="5" style="447" customWidth="1"/>
    <col min="1296" max="1296" width="10.42578125" style="447" bestFit="1" customWidth="1"/>
    <col min="1297" max="1297" width="5" style="447" customWidth="1"/>
    <col min="1298" max="1298" width="10.42578125" style="447" bestFit="1" customWidth="1"/>
    <col min="1299" max="1301" width="9" style="447"/>
    <col min="1302" max="1302" width="10.42578125" style="447" bestFit="1" customWidth="1"/>
    <col min="1303" max="1531" width="9" style="447"/>
    <col min="1532" max="1532" width="3.5703125" style="447" customWidth="1"/>
    <col min="1533" max="1533" width="4.85546875" style="447" customWidth="1"/>
    <col min="1534" max="1534" width="5.42578125" style="447" customWidth="1"/>
    <col min="1535" max="1535" width="31.28515625" style="447" customWidth="1"/>
    <col min="1536" max="1536" width="7.5703125" style="447" customWidth="1"/>
    <col min="1537" max="1537" width="2.42578125" style="447" customWidth="1"/>
    <col min="1538" max="1538" width="11.5703125" style="447" customWidth="1"/>
    <col min="1539" max="1539" width="2.42578125" style="447" customWidth="1"/>
    <col min="1540" max="1540" width="11.5703125" style="447" customWidth="1"/>
    <col min="1541" max="1541" width="2.42578125" style="447" customWidth="1"/>
    <col min="1542" max="1542" width="10.85546875" style="447" customWidth="1"/>
    <col min="1543" max="1543" width="2.42578125" style="447" customWidth="1"/>
    <col min="1544" max="1544" width="11.140625" style="447" customWidth="1"/>
    <col min="1545" max="1545" width="1.85546875" style="447" customWidth="1"/>
    <col min="1546" max="1546" width="11" style="447" customWidth="1"/>
    <col min="1547" max="1547" width="0.7109375" style="447" customWidth="1"/>
    <col min="1548" max="1548" width="1.85546875" style="447" customWidth="1"/>
    <col min="1549" max="1549" width="11.85546875" style="447" bestFit="1" customWidth="1"/>
    <col min="1550" max="1550" width="15.28515625" style="447" bestFit="1" customWidth="1"/>
    <col min="1551" max="1551" width="5" style="447" customWidth="1"/>
    <col min="1552" max="1552" width="10.42578125" style="447" bestFit="1" customWidth="1"/>
    <col min="1553" max="1553" width="5" style="447" customWidth="1"/>
    <col min="1554" max="1554" width="10.42578125" style="447" bestFit="1" customWidth="1"/>
    <col min="1555" max="1557" width="9" style="447"/>
    <col min="1558" max="1558" width="10.42578125" style="447" bestFit="1" customWidth="1"/>
    <col min="1559" max="1787" width="9" style="447"/>
    <col min="1788" max="1788" width="3.5703125" style="447" customWidth="1"/>
    <col min="1789" max="1789" width="4.85546875" style="447" customWidth="1"/>
    <col min="1790" max="1790" width="5.42578125" style="447" customWidth="1"/>
    <col min="1791" max="1791" width="31.28515625" style="447" customWidth="1"/>
    <col min="1792" max="1792" width="7.5703125" style="447" customWidth="1"/>
    <col min="1793" max="1793" width="2.42578125" style="447" customWidth="1"/>
    <col min="1794" max="1794" width="11.5703125" style="447" customWidth="1"/>
    <col min="1795" max="1795" width="2.42578125" style="447" customWidth="1"/>
    <col min="1796" max="1796" width="11.5703125" style="447" customWidth="1"/>
    <col min="1797" max="1797" width="2.42578125" style="447" customWidth="1"/>
    <col min="1798" max="1798" width="10.85546875" style="447" customWidth="1"/>
    <col min="1799" max="1799" width="2.42578125" style="447" customWidth="1"/>
    <col min="1800" max="1800" width="11.140625" style="447" customWidth="1"/>
    <col min="1801" max="1801" width="1.85546875" style="447" customWidth="1"/>
    <col min="1802" max="1802" width="11" style="447" customWidth="1"/>
    <col min="1803" max="1803" width="0.7109375" style="447" customWidth="1"/>
    <col min="1804" max="1804" width="1.85546875" style="447" customWidth="1"/>
    <col min="1805" max="1805" width="11.85546875" style="447" bestFit="1" customWidth="1"/>
    <col min="1806" max="1806" width="15.28515625" style="447" bestFit="1" customWidth="1"/>
    <col min="1807" max="1807" width="5" style="447" customWidth="1"/>
    <col min="1808" max="1808" width="10.42578125" style="447" bestFit="1" customWidth="1"/>
    <col min="1809" max="1809" width="5" style="447" customWidth="1"/>
    <col min="1810" max="1810" width="10.42578125" style="447" bestFit="1" customWidth="1"/>
    <col min="1811" max="1813" width="9" style="447"/>
    <col min="1814" max="1814" width="10.42578125" style="447" bestFit="1" customWidth="1"/>
    <col min="1815" max="2043" width="9" style="447"/>
    <col min="2044" max="2044" width="3.5703125" style="447" customWidth="1"/>
    <col min="2045" max="2045" width="4.85546875" style="447" customWidth="1"/>
    <col min="2046" max="2046" width="5.42578125" style="447" customWidth="1"/>
    <col min="2047" max="2047" width="31.28515625" style="447" customWidth="1"/>
    <col min="2048" max="2048" width="7.5703125" style="447" customWidth="1"/>
    <col min="2049" max="2049" width="2.42578125" style="447" customWidth="1"/>
    <col min="2050" max="2050" width="11.5703125" style="447" customWidth="1"/>
    <col min="2051" max="2051" width="2.42578125" style="447" customWidth="1"/>
    <col min="2052" max="2052" width="11.5703125" style="447" customWidth="1"/>
    <col min="2053" max="2053" width="2.42578125" style="447" customWidth="1"/>
    <col min="2054" max="2054" width="10.85546875" style="447" customWidth="1"/>
    <col min="2055" max="2055" width="2.42578125" style="447" customWidth="1"/>
    <col min="2056" max="2056" width="11.140625" style="447" customWidth="1"/>
    <col min="2057" max="2057" width="1.85546875" style="447" customWidth="1"/>
    <col min="2058" max="2058" width="11" style="447" customWidth="1"/>
    <col min="2059" max="2059" width="0.7109375" style="447" customWidth="1"/>
    <col min="2060" max="2060" width="1.85546875" style="447" customWidth="1"/>
    <col min="2061" max="2061" width="11.85546875" style="447" bestFit="1" customWidth="1"/>
    <col min="2062" max="2062" width="15.28515625" style="447" bestFit="1" customWidth="1"/>
    <col min="2063" max="2063" width="5" style="447" customWidth="1"/>
    <col min="2064" max="2064" width="10.42578125" style="447" bestFit="1" customWidth="1"/>
    <col min="2065" max="2065" width="5" style="447" customWidth="1"/>
    <col min="2066" max="2066" width="10.42578125" style="447" bestFit="1" customWidth="1"/>
    <col min="2067" max="2069" width="9" style="447"/>
    <col min="2070" max="2070" width="10.42578125" style="447" bestFit="1" customWidth="1"/>
    <col min="2071" max="2299" width="9" style="447"/>
    <col min="2300" max="2300" width="3.5703125" style="447" customWidth="1"/>
    <col min="2301" max="2301" width="4.85546875" style="447" customWidth="1"/>
    <col min="2302" max="2302" width="5.42578125" style="447" customWidth="1"/>
    <col min="2303" max="2303" width="31.28515625" style="447" customWidth="1"/>
    <col min="2304" max="2304" width="7.5703125" style="447" customWidth="1"/>
    <col min="2305" max="2305" width="2.42578125" style="447" customWidth="1"/>
    <col min="2306" max="2306" width="11.5703125" style="447" customWidth="1"/>
    <col min="2307" max="2307" width="2.42578125" style="447" customWidth="1"/>
    <col min="2308" max="2308" width="11.5703125" style="447" customWidth="1"/>
    <col min="2309" max="2309" width="2.42578125" style="447" customWidth="1"/>
    <col min="2310" max="2310" width="10.85546875" style="447" customWidth="1"/>
    <col min="2311" max="2311" width="2.42578125" style="447" customWidth="1"/>
    <col min="2312" max="2312" width="11.140625" style="447" customWidth="1"/>
    <col min="2313" max="2313" width="1.85546875" style="447" customWidth="1"/>
    <col min="2314" max="2314" width="11" style="447" customWidth="1"/>
    <col min="2315" max="2315" width="0.7109375" style="447" customWidth="1"/>
    <col min="2316" max="2316" width="1.85546875" style="447" customWidth="1"/>
    <col min="2317" max="2317" width="11.85546875" style="447" bestFit="1" customWidth="1"/>
    <col min="2318" max="2318" width="15.28515625" style="447" bestFit="1" customWidth="1"/>
    <col min="2319" max="2319" width="5" style="447" customWidth="1"/>
    <col min="2320" max="2320" width="10.42578125" style="447" bestFit="1" customWidth="1"/>
    <col min="2321" max="2321" width="5" style="447" customWidth="1"/>
    <col min="2322" max="2322" width="10.42578125" style="447" bestFit="1" customWidth="1"/>
    <col min="2323" max="2325" width="9" style="447"/>
    <col min="2326" max="2326" width="10.42578125" style="447" bestFit="1" customWidth="1"/>
    <col min="2327" max="2555" width="9" style="447"/>
    <col min="2556" max="2556" width="3.5703125" style="447" customWidth="1"/>
    <col min="2557" max="2557" width="4.85546875" style="447" customWidth="1"/>
    <col min="2558" max="2558" width="5.42578125" style="447" customWidth="1"/>
    <col min="2559" max="2559" width="31.28515625" style="447" customWidth="1"/>
    <col min="2560" max="2560" width="7.5703125" style="447" customWidth="1"/>
    <col min="2561" max="2561" width="2.42578125" style="447" customWidth="1"/>
    <col min="2562" max="2562" width="11.5703125" style="447" customWidth="1"/>
    <col min="2563" max="2563" width="2.42578125" style="447" customWidth="1"/>
    <col min="2564" max="2564" width="11.5703125" style="447" customWidth="1"/>
    <col min="2565" max="2565" width="2.42578125" style="447" customWidth="1"/>
    <col min="2566" max="2566" width="10.85546875" style="447" customWidth="1"/>
    <col min="2567" max="2567" width="2.42578125" style="447" customWidth="1"/>
    <col min="2568" max="2568" width="11.140625" style="447" customWidth="1"/>
    <col min="2569" max="2569" width="1.85546875" style="447" customWidth="1"/>
    <col min="2570" max="2570" width="11" style="447" customWidth="1"/>
    <col min="2571" max="2571" width="0.7109375" style="447" customWidth="1"/>
    <col min="2572" max="2572" width="1.85546875" style="447" customWidth="1"/>
    <col min="2573" max="2573" width="11.85546875" style="447" bestFit="1" customWidth="1"/>
    <col min="2574" max="2574" width="15.28515625" style="447" bestFit="1" customWidth="1"/>
    <col min="2575" max="2575" width="5" style="447" customWidth="1"/>
    <col min="2576" max="2576" width="10.42578125" style="447" bestFit="1" customWidth="1"/>
    <col min="2577" max="2577" width="5" style="447" customWidth="1"/>
    <col min="2578" max="2578" width="10.42578125" style="447" bestFit="1" customWidth="1"/>
    <col min="2579" max="2581" width="9" style="447"/>
    <col min="2582" max="2582" width="10.42578125" style="447" bestFit="1" customWidth="1"/>
    <col min="2583" max="2811" width="9" style="447"/>
    <col min="2812" max="2812" width="3.5703125" style="447" customWidth="1"/>
    <col min="2813" max="2813" width="4.85546875" style="447" customWidth="1"/>
    <col min="2814" max="2814" width="5.42578125" style="447" customWidth="1"/>
    <col min="2815" max="2815" width="31.28515625" style="447" customWidth="1"/>
    <col min="2816" max="2816" width="7.5703125" style="447" customWidth="1"/>
    <col min="2817" max="2817" width="2.42578125" style="447" customWidth="1"/>
    <col min="2818" max="2818" width="11.5703125" style="447" customWidth="1"/>
    <col min="2819" max="2819" width="2.42578125" style="447" customWidth="1"/>
    <col min="2820" max="2820" width="11.5703125" style="447" customWidth="1"/>
    <col min="2821" max="2821" width="2.42578125" style="447" customWidth="1"/>
    <col min="2822" max="2822" width="10.85546875" style="447" customWidth="1"/>
    <col min="2823" max="2823" width="2.42578125" style="447" customWidth="1"/>
    <col min="2824" max="2824" width="11.140625" style="447" customWidth="1"/>
    <col min="2825" max="2825" width="1.85546875" style="447" customWidth="1"/>
    <col min="2826" max="2826" width="11" style="447" customWidth="1"/>
    <col min="2827" max="2827" width="0.7109375" style="447" customWidth="1"/>
    <col min="2828" max="2828" width="1.85546875" style="447" customWidth="1"/>
    <col min="2829" max="2829" width="11.85546875" style="447" bestFit="1" customWidth="1"/>
    <col min="2830" max="2830" width="15.28515625" style="447" bestFit="1" customWidth="1"/>
    <col min="2831" max="2831" width="5" style="447" customWidth="1"/>
    <col min="2832" max="2832" width="10.42578125" style="447" bestFit="1" customWidth="1"/>
    <col min="2833" max="2833" width="5" style="447" customWidth="1"/>
    <col min="2834" max="2834" width="10.42578125" style="447" bestFit="1" customWidth="1"/>
    <col min="2835" max="2837" width="9" style="447"/>
    <col min="2838" max="2838" width="10.42578125" style="447" bestFit="1" customWidth="1"/>
    <col min="2839" max="3067" width="9" style="447"/>
    <col min="3068" max="3068" width="3.5703125" style="447" customWidth="1"/>
    <col min="3069" max="3069" width="4.85546875" style="447" customWidth="1"/>
    <col min="3070" max="3070" width="5.42578125" style="447" customWidth="1"/>
    <col min="3071" max="3071" width="31.28515625" style="447" customWidth="1"/>
    <col min="3072" max="3072" width="7.5703125" style="447" customWidth="1"/>
    <col min="3073" max="3073" width="2.42578125" style="447" customWidth="1"/>
    <col min="3074" max="3074" width="11.5703125" style="447" customWidth="1"/>
    <col min="3075" max="3075" width="2.42578125" style="447" customWidth="1"/>
    <col min="3076" max="3076" width="11.5703125" style="447" customWidth="1"/>
    <col min="3077" max="3077" width="2.42578125" style="447" customWidth="1"/>
    <col min="3078" max="3078" width="10.85546875" style="447" customWidth="1"/>
    <col min="3079" max="3079" width="2.42578125" style="447" customWidth="1"/>
    <col min="3080" max="3080" width="11.140625" style="447" customWidth="1"/>
    <col min="3081" max="3081" width="1.85546875" style="447" customWidth="1"/>
    <col min="3082" max="3082" width="11" style="447" customWidth="1"/>
    <col min="3083" max="3083" width="0.7109375" style="447" customWidth="1"/>
    <col min="3084" max="3084" width="1.85546875" style="447" customWidth="1"/>
    <col min="3085" max="3085" width="11.85546875" style="447" bestFit="1" customWidth="1"/>
    <col min="3086" max="3086" width="15.28515625" style="447" bestFit="1" customWidth="1"/>
    <col min="3087" max="3087" width="5" style="447" customWidth="1"/>
    <col min="3088" max="3088" width="10.42578125" style="447" bestFit="1" customWidth="1"/>
    <col min="3089" max="3089" width="5" style="447" customWidth="1"/>
    <col min="3090" max="3090" width="10.42578125" style="447" bestFit="1" customWidth="1"/>
    <col min="3091" max="3093" width="9" style="447"/>
    <col min="3094" max="3094" width="10.42578125" style="447" bestFit="1" customWidth="1"/>
    <col min="3095" max="3323" width="9" style="447"/>
    <col min="3324" max="3324" width="3.5703125" style="447" customWidth="1"/>
    <col min="3325" max="3325" width="4.85546875" style="447" customWidth="1"/>
    <col min="3326" max="3326" width="5.42578125" style="447" customWidth="1"/>
    <col min="3327" max="3327" width="31.28515625" style="447" customWidth="1"/>
    <col min="3328" max="3328" width="7.5703125" style="447" customWidth="1"/>
    <col min="3329" max="3329" width="2.42578125" style="447" customWidth="1"/>
    <col min="3330" max="3330" width="11.5703125" style="447" customWidth="1"/>
    <col min="3331" max="3331" width="2.42578125" style="447" customWidth="1"/>
    <col min="3332" max="3332" width="11.5703125" style="447" customWidth="1"/>
    <col min="3333" max="3333" width="2.42578125" style="447" customWidth="1"/>
    <col min="3334" max="3334" width="10.85546875" style="447" customWidth="1"/>
    <col min="3335" max="3335" width="2.42578125" style="447" customWidth="1"/>
    <col min="3336" max="3336" width="11.140625" style="447" customWidth="1"/>
    <col min="3337" max="3337" width="1.85546875" style="447" customWidth="1"/>
    <col min="3338" max="3338" width="11" style="447" customWidth="1"/>
    <col min="3339" max="3339" width="0.7109375" style="447" customWidth="1"/>
    <col min="3340" max="3340" width="1.85546875" style="447" customWidth="1"/>
    <col min="3341" max="3341" width="11.85546875" style="447" bestFit="1" customWidth="1"/>
    <col min="3342" max="3342" width="15.28515625" style="447" bestFit="1" customWidth="1"/>
    <col min="3343" max="3343" width="5" style="447" customWidth="1"/>
    <col min="3344" max="3344" width="10.42578125" style="447" bestFit="1" customWidth="1"/>
    <col min="3345" max="3345" width="5" style="447" customWidth="1"/>
    <col min="3346" max="3346" width="10.42578125" style="447" bestFit="1" customWidth="1"/>
    <col min="3347" max="3349" width="9" style="447"/>
    <col min="3350" max="3350" width="10.42578125" style="447" bestFit="1" customWidth="1"/>
    <col min="3351" max="3579" width="9" style="447"/>
    <col min="3580" max="3580" width="3.5703125" style="447" customWidth="1"/>
    <col min="3581" max="3581" width="4.85546875" style="447" customWidth="1"/>
    <col min="3582" max="3582" width="5.42578125" style="447" customWidth="1"/>
    <col min="3583" max="3583" width="31.28515625" style="447" customWidth="1"/>
    <col min="3584" max="3584" width="7.5703125" style="447" customWidth="1"/>
    <col min="3585" max="3585" width="2.42578125" style="447" customWidth="1"/>
    <col min="3586" max="3586" width="11.5703125" style="447" customWidth="1"/>
    <col min="3587" max="3587" width="2.42578125" style="447" customWidth="1"/>
    <col min="3588" max="3588" width="11.5703125" style="447" customWidth="1"/>
    <col min="3589" max="3589" width="2.42578125" style="447" customWidth="1"/>
    <col min="3590" max="3590" width="10.85546875" style="447" customWidth="1"/>
    <col min="3591" max="3591" width="2.42578125" style="447" customWidth="1"/>
    <col min="3592" max="3592" width="11.140625" style="447" customWidth="1"/>
    <col min="3593" max="3593" width="1.85546875" style="447" customWidth="1"/>
    <col min="3594" max="3594" width="11" style="447" customWidth="1"/>
    <col min="3595" max="3595" width="0.7109375" style="447" customWidth="1"/>
    <col min="3596" max="3596" width="1.85546875" style="447" customWidth="1"/>
    <col min="3597" max="3597" width="11.85546875" style="447" bestFit="1" customWidth="1"/>
    <col min="3598" max="3598" width="15.28515625" style="447" bestFit="1" customWidth="1"/>
    <col min="3599" max="3599" width="5" style="447" customWidth="1"/>
    <col min="3600" max="3600" width="10.42578125" style="447" bestFit="1" customWidth="1"/>
    <col min="3601" max="3601" width="5" style="447" customWidth="1"/>
    <col min="3602" max="3602" width="10.42578125" style="447" bestFit="1" customWidth="1"/>
    <col min="3603" max="3605" width="9" style="447"/>
    <col min="3606" max="3606" width="10.42578125" style="447" bestFit="1" customWidth="1"/>
    <col min="3607" max="3835" width="9" style="447"/>
    <col min="3836" max="3836" width="3.5703125" style="447" customWidth="1"/>
    <col min="3837" max="3837" width="4.85546875" style="447" customWidth="1"/>
    <col min="3838" max="3838" width="5.42578125" style="447" customWidth="1"/>
    <col min="3839" max="3839" width="31.28515625" style="447" customWidth="1"/>
    <col min="3840" max="3840" width="7.5703125" style="447" customWidth="1"/>
    <col min="3841" max="3841" width="2.42578125" style="447" customWidth="1"/>
    <col min="3842" max="3842" width="11.5703125" style="447" customWidth="1"/>
    <col min="3843" max="3843" width="2.42578125" style="447" customWidth="1"/>
    <col min="3844" max="3844" width="11.5703125" style="447" customWidth="1"/>
    <col min="3845" max="3845" width="2.42578125" style="447" customWidth="1"/>
    <col min="3846" max="3846" width="10.85546875" style="447" customWidth="1"/>
    <col min="3847" max="3847" width="2.42578125" style="447" customWidth="1"/>
    <col min="3848" max="3848" width="11.140625" style="447" customWidth="1"/>
    <col min="3849" max="3849" width="1.85546875" style="447" customWidth="1"/>
    <col min="3850" max="3850" width="11" style="447" customWidth="1"/>
    <col min="3851" max="3851" width="0.7109375" style="447" customWidth="1"/>
    <col min="3852" max="3852" width="1.85546875" style="447" customWidth="1"/>
    <col min="3853" max="3853" width="11.85546875" style="447" bestFit="1" customWidth="1"/>
    <col min="3854" max="3854" width="15.28515625" style="447" bestFit="1" customWidth="1"/>
    <col min="3855" max="3855" width="5" style="447" customWidth="1"/>
    <col min="3856" max="3856" width="10.42578125" style="447" bestFit="1" customWidth="1"/>
    <col min="3857" max="3857" width="5" style="447" customWidth="1"/>
    <col min="3858" max="3858" width="10.42578125" style="447" bestFit="1" customWidth="1"/>
    <col min="3859" max="3861" width="9" style="447"/>
    <col min="3862" max="3862" width="10.42578125" style="447" bestFit="1" customWidth="1"/>
    <col min="3863" max="4091" width="9" style="447"/>
    <col min="4092" max="4092" width="3.5703125" style="447" customWidth="1"/>
    <col min="4093" max="4093" width="4.85546875" style="447" customWidth="1"/>
    <col min="4094" max="4094" width="5.42578125" style="447" customWidth="1"/>
    <col min="4095" max="4095" width="31.28515625" style="447" customWidth="1"/>
    <col min="4096" max="4096" width="7.5703125" style="447" customWidth="1"/>
    <col min="4097" max="4097" width="2.42578125" style="447" customWidth="1"/>
    <col min="4098" max="4098" width="11.5703125" style="447" customWidth="1"/>
    <col min="4099" max="4099" width="2.42578125" style="447" customWidth="1"/>
    <col min="4100" max="4100" width="11.5703125" style="447" customWidth="1"/>
    <col min="4101" max="4101" width="2.42578125" style="447" customWidth="1"/>
    <col min="4102" max="4102" width="10.85546875" style="447" customWidth="1"/>
    <col min="4103" max="4103" width="2.42578125" style="447" customWidth="1"/>
    <col min="4104" max="4104" width="11.140625" style="447" customWidth="1"/>
    <col min="4105" max="4105" width="1.85546875" style="447" customWidth="1"/>
    <col min="4106" max="4106" width="11" style="447" customWidth="1"/>
    <col min="4107" max="4107" width="0.7109375" style="447" customWidth="1"/>
    <col min="4108" max="4108" width="1.85546875" style="447" customWidth="1"/>
    <col min="4109" max="4109" width="11.85546875" style="447" bestFit="1" customWidth="1"/>
    <col min="4110" max="4110" width="15.28515625" style="447" bestFit="1" customWidth="1"/>
    <col min="4111" max="4111" width="5" style="447" customWidth="1"/>
    <col min="4112" max="4112" width="10.42578125" style="447" bestFit="1" customWidth="1"/>
    <col min="4113" max="4113" width="5" style="447" customWidth="1"/>
    <col min="4114" max="4114" width="10.42578125" style="447" bestFit="1" customWidth="1"/>
    <col min="4115" max="4117" width="9" style="447"/>
    <col min="4118" max="4118" width="10.42578125" style="447" bestFit="1" customWidth="1"/>
    <col min="4119" max="4347" width="9" style="447"/>
    <col min="4348" max="4348" width="3.5703125" style="447" customWidth="1"/>
    <col min="4349" max="4349" width="4.85546875" style="447" customWidth="1"/>
    <col min="4350" max="4350" width="5.42578125" style="447" customWidth="1"/>
    <col min="4351" max="4351" width="31.28515625" style="447" customWidth="1"/>
    <col min="4352" max="4352" width="7.5703125" style="447" customWidth="1"/>
    <col min="4353" max="4353" width="2.42578125" style="447" customWidth="1"/>
    <col min="4354" max="4354" width="11.5703125" style="447" customWidth="1"/>
    <col min="4355" max="4355" width="2.42578125" style="447" customWidth="1"/>
    <col min="4356" max="4356" width="11.5703125" style="447" customWidth="1"/>
    <col min="4357" max="4357" width="2.42578125" style="447" customWidth="1"/>
    <col min="4358" max="4358" width="10.85546875" style="447" customWidth="1"/>
    <col min="4359" max="4359" width="2.42578125" style="447" customWidth="1"/>
    <col min="4360" max="4360" width="11.140625" style="447" customWidth="1"/>
    <col min="4361" max="4361" width="1.85546875" style="447" customWidth="1"/>
    <col min="4362" max="4362" width="11" style="447" customWidth="1"/>
    <col min="4363" max="4363" width="0.7109375" style="447" customWidth="1"/>
    <col min="4364" max="4364" width="1.85546875" style="447" customWidth="1"/>
    <col min="4365" max="4365" width="11.85546875" style="447" bestFit="1" customWidth="1"/>
    <col min="4366" max="4366" width="15.28515625" style="447" bestFit="1" customWidth="1"/>
    <col min="4367" max="4367" width="5" style="447" customWidth="1"/>
    <col min="4368" max="4368" width="10.42578125" style="447" bestFit="1" customWidth="1"/>
    <col min="4369" max="4369" width="5" style="447" customWidth="1"/>
    <col min="4370" max="4370" width="10.42578125" style="447" bestFit="1" customWidth="1"/>
    <col min="4371" max="4373" width="9" style="447"/>
    <col min="4374" max="4374" width="10.42578125" style="447" bestFit="1" customWidth="1"/>
    <col min="4375" max="4603" width="9" style="447"/>
    <col min="4604" max="4604" width="3.5703125" style="447" customWidth="1"/>
    <col min="4605" max="4605" width="4.85546875" style="447" customWidth="1"/>
    <col min="4606" max="4606" width="5.42578125" style="447" customWidth="1"/>
    <col min="4607" max="4607" width="31.28515625" style="447" customWidth="1"/>
    <col min="4608" max="4608" width="7.5703125" style="447" customWidth="1"/>
    <col min="4609" max="4609" width="2.42578125" style="447" customWidth="1"/>
    <col min="4610" max="4610" width="11.5703125" style="447" customWidth="1"/>
    <col min="4611" max="4611" width="2.42578125" style="447" customWidth="1"/>
    <col min="4612" max="4612" width="11.5703125" style="447" customWidth="1"/>
    <col min="4613" max="4613" width="2.42578125" style="447" customWidth="1"/>
    <col min="4614" max="4614" width="10.85546875" style="447" customWidth="1"/>
    <col min="4615" max="4615" width="2.42578125" style="447" customWidth="1"/>
    <col min="4616" max="4616" width="11.140625" style="447" customWidth="1"/>
    <col min="4617" max="4617" width="1.85546875" style="447" customWidth="1"/>
    <col min="4618" max="4618" width="11" style="447" customWidth="1"/>
    <col min="4619" max="4619" width="0.7109375" style="447" customWidth="1"/>
    <col min="4620" max="4620" width="1.85546875" style="447" customWidth="1"/>
    <col min="4621" max="4621" width="11.85546875" style="447" bestFit="1" customWidth="1"/>
    <col min="4622" max="4622" width="15.28515625" style="447" bestFit="1" customWidth="1"/>
    <col min="4623" max="4623" width="5" style="447" customWidth="1"/>
    <col min="4624" max="4624" width="10.42578125" style="447" bestFit="1" customWidth="1"/>
    <col min="4625" max="4625" width="5" style="447" customWidth="1"/>
    <col min="4626" max="4626" width="10.42578125" style="447" bestFit="1" customWidth="1"/>
    <col min="4627" max="4629" width="9" style="447"/>
    <col min="4630" max="4630" width="10.42578125" style="447" bestFit="1" customWidth="1"/>
    <col min="4631" max="4859" width="9" style="447"/>
    <col min="4860" max="4860" width="3.5703125" style="447" customWidth="1"/>
    <col min="4861" max="4861" width="4.85546875" style="447" customWidth="1"/>
    <col min="4862" max="4862" width="5.42578125" style="447" customWidth="1"/>
    <col min="4863" max="4863" width="31.28515625" style="447" customWidth="1"/>
    <col min="4864" max="4864" width="7.5703125" style="447" customWidth="1"/>
    <col min="4865" max="4865" width="2.42578125" style="447" customWidth="1"/>
    <col min="4866" max="4866" width="11.5703125" style="447" customWidth="1"/>
    <col min="4867" max="4867" width="2.42578125" style="447" customWidth="1"/>
    <col min="4868" max="4868" width="11.5703125" style="447" customWidth="1"/>
    <col min="4869" max="4869" width="2.42578125" style="447" customWidth="1"/>
    <col min="4870" max="4870" width="10.85546875" style="447" customWidth="1"/>
    <col min="4871" max="4871" width="2.42578125" style="447" customWidth="1"/>
    <col min="4872" max="4872" width="11.140625" style="447" customWidth="1"/>
    <col min="4873" max="4873" width="1.85546875" style="447" customWidth="1"/>
    <col min="4874" max="4874" width="11" style="447" customWidth="1"/>
    <col min="4875" max="4875" width="0.7109375" style="447" customWidth="1"/>
    <col min="4876" max="4876" width="1.85546875" style="447" customWidth="1"/>
    <col min="4877" max="4877" width="11.85546875" style="447" bestFit="1" customWidth="1"/>
    <col min="4878" max="4878" width="15.28515625" style="447" bestFit="1" customWidth="1"/>
    <col min="4879" max="4879" width="5" style="447" customWidth="1"/>
    <col min="4880" max="4880" width="10.42578125" style="447" bestFit="1" customWidth="1"/>
    <col min="4881" max="4881" width="5" style="447" customWidth="1"/>
    <col min="4882" max="4882" width="10.42578125" style="447" bestFit="1" customWidth="1"/>
    <col min="4883" max="4885" width="9" style="447"/>
    <col min="4886" max="4886" width="10.42578125" style="447" bestFit="1" customWidth="1"/>
    <col min="4887" max="5115" width="9" style="447"/>
    <col min="5116" max="5116" width="3.5703125" style="447" customWidth="1"/>
    <col min="5117" max="5117" width="4.85546875" style="447" customWidth="1"/>
    <col min="5118" max="5118" width="5.42578125" style="447" customWidth="1"/>
    <col min="5119" max="5119" width="31.28515625" style="447" customWidth="1"/>
    <col min="5120" max="5120" width="7.5703125" style="447" customWidth="1"/>
    <col min="5121" max="5121" width="2.42578125" style="447" customWidth="1"/>
    <col min="5122" max="5122" width="11.5703125" style="447" customWidth="1"/>
    <col min="5123" max="5123" width="2.42578125" style="447" customWidth="1"/>
    <col min="5124" max="5124" width="11.5703125" style="447" customWidth="1"/>
    <col min="5125" max="5125" width="2.42578125" style="447" customWidth="1"/>
    <col min="5126" max="5126" width="10.85546875" style="447" customWidth="1"/>
    <col min="5127" max="5127" width="2.42578125" style="447" customWidth="1"/>
    <col min="5128" max="5128" width="11.140625" style="447" customWidth="1"/>
    <col min="5129" max="5129" width="1.85546875" style="447" customWidth="1"/>
    <col min="5130" max="5130" width="11" style="447" customWidth="1"/>
    <col min="5131" max="5131" width="0.7109375" style="447" customWidth="1"/>
    <col min="5132" max="5132" width="1.85546875" style="447" customWidth="1"/>
    <col min="5133" max="5133" width="11.85546875" style="447" bestFit="1" customWidth="1"/>
    <col min="5134" max="5134" width="15.28515625" style="447" bestFit="1" customWidth="1"/>
    <col min="5135" max="5135" width="5" style="447" customWidth="1"/>
    <col min="5136" max="5136" width="10.42578125" style="447" bestFit="1" customWidth="1"/>
    <col min="5137" max="5137" width="5" style="447" customWidth="1"/>
    <col min="5138" max="5138" width="10.42578125" style="447" bestFit="1" customWidth="1"/>
    <col min="5139" max="5141" width="9" style="447"/>
    <col min="5142" max="5142" width="10.42578125" style="447" bestFit="1" customWidth="1"/>
    <col min="5143" max="5371" width="9" style="447"/>
    <col min="5372" max="5372" width="3.5703125" style="447" customWidth="1"/>
    <col min="5373" max="5373" width="4.85546875" style="447" customWidth="1"/>
    <col min="5374" max="5374" width="5.42578125" style="447" customWidth="1"/>
    <col min="5375" max="5375" width="31.28515625" style="447" customWidth="1"/>
    <col min="5376" max="5376" width="7.5703125" style="447" customWidth="1"/>
    <col min="5377" max="5377" width="2.42578125" style="447" customWidth="1"/>
    <col min="5378" max="5378" width="11.5703125" style="447" customWidth="1"/>
    <col min="5379" max="5379" width="2.42578125" style="447" customWidth="1"/>
    <col min="5380" max="5380" width="11.5703125" style="447" customWidth="1"/>
    <col min="5381" max="5381" width="2.42578125" style="447" customWidth="1"/>
    <col min="5382" max="5382" width="10.85546875" style="447" customWidth="1"/>
    <col min="5383" max="5383" width="2.42578125" style="447" customWidth="1"/>
    <col min="5384" max="5384" width="11.140625" style="447" customWidth="1"/>
    <col min="5385" max="5385" width="1.85546875" style="447" customWidth="1"/>
    <col min="5386" max="5386" width="11" style="447" customWidth="1"/>
    <col min="5387" max="5387" width="0.7109375" style="447" customWidth="1"/>
    <col min="5388" max="5388" width="1.85546875" style="447" customWidth="1"/>
    <col min="5389" max="5389" width="11.85546875" style="447" bestFit="1" customWidth="1"/>
    <col min="5390" max="5390" width="15.28515625" style="447" bestFit="1" customWidth="1"/>
    <col min="5391" max="5391" width="5" style="447" customWidth="1"/>
    <col min="5392" max="5392" width="10.42578125" style="447" bestFit="1" customWidth="1"/>
    <col min="5393" max="5393" width="5" style="447" customWidth="1"/>
    <col min="5394" max="5394" width="10.42578125" style="447" bestFit="1" customWidth="1"/>
    <col min="5395" max="5397" width="9" style="447"/>
    <col min="5398" max="5398" width="10.42578125" style="447" bestFit="1" customWidth="1"/>
    <col min="5399" max="5627" width="9" style="447"/>
    <col min="5628" max="5628" width="3.5703125" style="447" customWidth="1"/>
    <col min="5629" max="5629" width="4.85546875" style="447" customWidth="1"/>
    <col min="5630" max="5630" width="5.42578125" style="447" customWidth="1"/>
    <col min="5631" max="5631" width="31.28515625" style="447" customWidth="1"/>
    <col min="5632" max="5632" width="7.5703125" style="447" customWidth="1"/>
    <col min="5633" max="5633" width="2.42578125" style="447" customWidth="1"/>
    <col min="5634" max="5634" width="11.5703125" style="447" customWidth="1"/>
    <col min="5635" max="5635" width="2.42578125" style="447" customWidth="1"/>
    <col min="5636" max="5636" width="11.5703125" style="447" customWidth="1"/>
    <col min="5637" max="5637" width="2.42578125" style="447" customWidth="1"/>
    <col min="5638" max="5638" width="10.85546875" style="447" customWidth="1"/>
    <col min="5639" max="5639" width="2.42578125" style="447" customWidth="1"/>
    <col min="5640" max="5640" width="11.140625" style="447" customWidth="1"/>
    <col min="5641" max="5641" width="1.85546875" style="447" customWidth="1"/>
    <col min="5642" max="5642" width="11" style="447" customWidth="1"/>
    <col min="5643" max="5643" width="0.7109375" style="447" customWidth="1"/>
    <col min="5644" max="5644" width="1.85546875" style="447" customWidth="1"/>
    <col min="5645" max="5645" width="11.85546875" style="447" bestFit="1" customWidth="1"/>
    <col min="5646" max="5646" width="15.28515625" style="447" bestFit="1" customWidth="1"/>
    <col min="5647" max="5647" width="5" style="447" customWidth="1"/>
    <col min="5648" max="5648" width="10.42578125" style="447" bestFit="1" customWidth="1"/>
    <col min="5649" max="5649" width="5" style="447" customWidth="1"/>
    <col min="5650" max="5650" width="10.42578125" style="447" bestFit="1" customWidth="1"/>
    <col min="5651" max="5653" width="9" style="447"/>
    <col min="5654" max="5654" width="10.42578125" style="447" bestFit="1" customWidth="1"/>
    <col min="5655" max="5883" width="9" style="447"/>
    <col min="5884" max="5884" width="3.5703125" style="447" customWidth="1"/>
    <col min="5885" max="5885" width="4.85546875" style="447" customWidth="1"/>
    <col min="5886" max="5886" width="5.42578125" style="447" customWidth="1"/>
    <col min="5887" max="5887" width="31.28515625" style="447" customWidth="1"/>
    <col min="5888" max="5888" width="7.5703125" style="447" customWidth="1"/>
    <col min="5889" max="5889" width="2.42578125" style="447" customWidth="1"/>
    <col min="5890" max="5890" width="11.5703125" style="447" customWidth="1"/>
    <col min="5891" max="5891" width="2.42578125" style="447" customWidth="1"/>
    <col min="5892" max="5892" width="11.5703125" style="447" customWidth="1"/>
    <col min="5893" max="5893" width="2.42578125" style="447" customWidth="1"/>
    <col min="5894" max="5894" width="10.85546875" style="447" customWidth="1"/>
    <col min="5895" max="5895" width="2.42578125" style="447" customWidth="1"/>
    <col min="5896" max="5896" width="11.140625" style="447" customWidth="1"/>
    <col min="5897" max="5897" width="1.85546875" style="447" customWidth="1"/>
    <col min="5898" max="5898" width="11" style="447" customWidth="1"/>
    <col min="5899" max="5899" width="0.7109375" style="447" customWidth="1"/>
    <col min="5900" max="5900" width="1.85546875" style="447" customWidth="1"/>
    <col min="5901" max="5901" width="11.85546875" style="447" bestFit="1" customWidth="1"/>
    <col min="5902" max="5902" width="15.28515625" style="447" bestFit="1" customWidth="1"/>
    <col min="5903" max="5903" width="5" style="447" customWidth="1"/>
    <col min="5904" max="5904" width="10.42578125" style="447" bestFit="1" customWidth="1"/>
    <col min="5905" max="5905" width="5" style="447" customWidth="1"/>
    <col min="5906" max="5906" width="10.42578125" style="447" bestFit="1" customWidth="1"/>
    <col min="5907" max="5909" width="9" style="447"/>
    <col min="5910" max="5910" width="10.42578125" style="447" bestFit="1" customWidth="1"/>
    <col min="5911" max="6139" width="9" style="447"/>
    <col min="6140" max="6140" width="3.5703125" style="447" customWidth="1"/>
    <col min="6141" max="6141" width="4.85546875" style="447" customWidth="1"/>
    <col min="6142" max="6142" width="5.42578125" style="447" customWidth="1"/>
    <col min="6143" max="6143" width="31.28515625" style="447" customWidth="1"/>
    <col min="6144" max="6144" width="7.5703125" style="447" customWidth="1"/>
    <col min="6145" max="6145" width="2.42578125" style="447" customWidth="1"/>
    <col min="6146" max="6146" width="11.5703125" style="447" customWidth="1"/>
    <col min="6147" max="6147" width="2.42578125" style="447" customWidth="1"/>
    <col min="6148" max="6148" width="11.5703125" style="447" customWidth="1"/>
    <col min="6149" max="6149" width="2.42578125" style="447" customWidth="1"/>
    <col min="6150" max="6150" width="10.85546875" style="447" customWidth="1"/>
    <col min="6151" max="6151" width="2.42578125" style="447" customWidth="1"/>
    <col min="6152" max="6152" width="11.140625" style="447" customWidth="1"/>
    <col min="6153" max="6153" width="1.85546875" style="447" customWidth="1"/>
    <col min="6154" max="6154" width="11" style="447" customWidth="1"/>
    <col min="6155" max="6155" width="0.7109375" style="447" customWidth="1"/>
    <col min="6156" max="6156" width="1.85546875" style="447" customWidth="1"/>
    <col min="6157" max="6157" width="11.85546875" style="447" bestFit="1" customWidth="1"/>
    <col min="6158" max="6158" width="15.28515625" style="447" bestFit="1" customWidth="1"/>
    <col min="6159" max="6159" width="5" style="447" customWidth="1"/>
    <col min="6160" max="6160" width="10.42578125" style="447" bestFit="1" customWidth="1"/>
    <col min="6161" max="6161" width="5" style="447" customWidth="1"/>
    <col min="6162" max="6162" width="10.42578125" style="447" bestFit="1" customWidth="1"/>
    <col min="6163" max="6165" width="9" style="447"/>
    <col min="6166" max="6166" width="10.42578125" style="447" bestFit="1" customWidth="1"/>
    <col min="6167" max="6395" width="9" style="447"/>
    <col min="6396" max="6396" width="3.5703125" style="447" customWidth="1"/>
    <col min="6397" max="6397" width="4.85546875" style="447" customWidth="1"/>
    <col min="6398" max="6398" width="5.42578125" style="447" customWidth="1"/>
    <col min="6399" max="6399" width="31.28515625" style="447" customWidth="1"/>
    <col min="6400" max="6400" width="7.5703125" style="447" customWidth="1"/>
    <col min="6401" max="6401" width="2.42578125" style="447" customWidth="1"/>
    <col min="6402" max="6402" width="11.5703125" style="447" customWidth="1"/>
    <col min="6403" max="6403" width="2.42578125" style="447" customWidth="1"/>
    <col min="6404" max="6404" width="11.5703125" style="447" customWidth="1"/>
    <col min="6405" max="6405" width="2.42578125" style="447" customWidth="1"/>
    <col min="6406" max="6406" width="10.85546875" style="447" customWidth="1"/>
    <col min="6407" max="6407" width="2.42578125" style="447" customWidth="1"/>
    <col min="6408" max="6408" width="11.140625" style="447" customWidth="1"/>
    <col min="6409" max="6409" width="1.85546875" style="447" customWidth="1"/>
    <col min="6410" max="6410" width="11" style="447" customWidth="1"/>
    <col min="6411" max="6411" width="0.7109375" style="447" customWidth="1"/>
    <col min="6412" max="6412" width="1.85546875" style="447" customWidth="1"/>
    <col min="6413" max="6413" width="11.85546875" style="447" bestFit="1" customWidth="1"/>
    <col min="6414" max="6414" width="15.28515625" style="447" bestFit="1" customWidth="1"/>
    <col min="6415" max="6415" width="5" style="447" customWidth="1"/>
    <col min="6416" max="6416" width="10.42578125" style="447" bestFit="1" customWidth="1"/>
    <col min="6417" max="6417" width="5" style="447" customWidth="1"/>
    <col min="6418" max="6418" width="10.42578125" style="447" bestFit="1" customWidth="1"/>
    <col min="6419" max="6421" width="9" style="447"/>
    <col min="6422" max="6422" width="10.42578125" style="447" bestFit="1" customWidth="1"/>
    <col min="6423" max="6651" width="9" style="447"/>
    <col min="6652" max="6652" width="3.5703125" style="447" customWidth="1"/>
    <col min="6653" max="6653" width="4.85546875" style="447" customWidth="1"/>
    <col min="6654" max="6654" width="5.42578125" style="447" customWidth="1"/>
    <col min="6655" max="6655" width="31.28515625" style="447" customWidth="1"/>
    <col min="6656" max="6656" width="7.5703125" style="447" customWidth="1"/>
    <col min="6657" max="6657" width="2.42578125" style="447" customWidth="1"/>
    <col min="6658" max="6658" width="11.5703125" style="447" customWidth="1"/>
    <col min="6659" max="6659" width="2.42578125" style="447" customWidth="1"/>
    <col min="6660" max="6660" width="11.5703125" style="447" customWidth="1"/>
    <col min="6661" max="6661" width="2.42578125" style="447" customWidth="1"/>
    <col min="6662" max="6662" width="10.85546875" style="447" customWidth="1"/>
    <col min="6663" max="6663" width="2.42578125" style="447" customWidth="1"/>
    <col min="6664" max="6664" width="11.140625" style="447" customWidth="1"/>
    <col min="6665" max="6665" width="1.85546875" style="447" customWidth="1"/>
    <col min="6666" max="6666" width="11" style="447" customWidth="1"/>
    <col min="6667" max="6667" width="0.7109375" style="447" customWidth="1"/>
    <col min="6668" max="6668" width="1.85546875" style="447" customWidth="1"/>
    <col min="6669" max="6669" width="11.85546875" style="447" bestFit="1" customWidth="1"/>
    <col min="6670" max="6670" width="15.28515625" style="447" bestFit="1" customWidth="1"/>
    <col min="6671" max="6671" width="5" style="447" customWidth="1"/>
    <col min="6672" max="6672" width="10.42578125" style="447" bestFit="1" customWidth="1"/>
    <col min="6673" max="6673" width="5" style="447" customWidth="1"/>
    <col min="6674" max="6674" width="10.42578125" style="447" bestFit="1" customWidth="1"/>
    <col min="6675" max="6677" width="9" style="447"/>
    <col min="6678" max="6678" width="10.42578125" style="447" bestFit="1" customWidth="1"/>
    <col min="6679" max="6907" width="9" style="447"/>
    <col min="6908" max="6908" width="3.5703125" style="447" customWidth="1"/>
    <col min="6909" max="6909" width="4.85546875" style="447" customWidth="1"/>
    <col min="6910" max="6910" width="5.42578125" style="447" customWidth="1"/>
    <col min="6911" max="6911" width="31.28515625" style="447" customWidth="1"/>
    <col min="6912" max="6912" width="7.5703125" style="447" customWidth="1"/>
    <col min="6913" max="6913" width="2.42578125" style="447" customWidth="1"/>
    <col min="6914" max="6914" width="11.5703125" style="447" customWidth="1"/>
    <col min="6915" max="6915" width="2.42578125" style="447" customWidth="1"/>
    <col min="6916" max="6916" width="11.5703125" style="447" customWidth="1"/>
    <col min="6917" max="6917" width="2.42578125" style="447" customWidth="1"/>
    <col min="6918" max="6918" width="10.85546875" style="447" customWidth="1"/>
    <col min="6919" max="6919" width="2.42578125" style="447" customWidth="1"/>
    <col min="6920" max="6920" width="11.140625" style="447" customWidth="1"/>
    <col min="6921" max="6921" width="1.85546875" style="447" customWidth="1"/>
    <col min="6922" max="6922" width="11" style="447" customWidth="1"/>
    <col min="6923" max="6923" width="0.7109375" style="447" customWidth="1"/>
    <col min="6924" max="6924" width="1.85546875" style="447" customWidth="1"/>
    <col min="6925" max="6925" width="11.85546875" style="447" bestFit="1" customWidth="1"/>
    <col min="6926" max="6926" width="15.28515625" style="447" bestFit="1" customWidth="1"/>
    <col min="6927" max="6927" width="5" style="447" customWidth="1"/>
    <col min="6928" max="6928" width="10.42578125" style="447" bestFit="1" customWidth="1"/>
    <col min="6929" max="6929" width="5" style="447" customWidth="1"/>
    <col min="6930" max="6930" width="10.42578125" style="447" bestFit="1" customWidth="1"/>
    <col min="6931" max="6933" width="9" style="447"/>
    <col min="6934" max="6934" width="10.42578125" style="447" bestFit="1" customWidth="1"/>
    <col min="6935" max="7163" width="9" style="447"/>
    <col min="7164" max="7164" width="3.5703125" style="447" customWidth="1"/>
    <col min="7165" max="7165" width="4.85546875" style="447" customWidth="1"/>
    <col min="7166" max="7166" width="5.42578125" style="447" customWidth="1"/>
    <col min="7167" max="7167" width="31.28515625" style="447" customWidth="1"/>
    <col min="7168" max="7168" width="7.5703125" style="447" customWidth="1"/>
    <col min="7169" max="7169" width="2.42578125" style="447" customWidth="1"/>
    <col min="7170" max="7170" width="11.5703125" style="447" customWidth="1"/>
    <col min="7171" max="7171" width="2.42578125" style="447" customWidth="1"/>
    <col min="7172" max="7172" width="11.5703125" style="447" customWidth="1"/>
    <col min="7173" max="7173" width="2.42578125" style="447" customWidth="1"/>
    <col min="7174" max="7174" width="10.85546875" style="447" customWidth="1"/>
    <col min="7175" max="7175" width="2.42578125" style="447" customWidth="1"/>
    <col min="7176" max="7176" width="11.140625" style="447" customWidth="1"/>
    <col min="7177" max="7177" width="1.85546875" style="447" customWidth="1"/>
    <col min="7178" max="7178" width="11" style="447" customWidth="1"/>
    <col min="7179" max="7179" width="0.7109375" style="447" customWidth="1"/>
    <col min="7180" max="7180" width="1.85546875" style="447" customWidth="1"/>
    <col min="7181" max="7181" width="11.85546875" style="447" bestFit="1" customWidth="1"/>
    <col min="7182" max="7182" width="15.28515625" style="447" bestFit="1" customWidth="1"/>
    <col min="7183" max="7183" width="5" style="447" customWidth="1"/>
    <col min="7184" max="7184" width="10.42578125" style="447" bestFit="1" customWidth="1"/>
    <col min="7185" max="7185" width="5" style="447" customWidth="1"/>
    <col min="7186" max="7186" width="10.42578125" style="447" bestFit="1" customWidth="1"/>
    <col min="7187" max="7189" width="9" style="447"/>
    <col min="7190" max="7190" width="10.42578125" style="447" bestFit="1" customWidth="1"/>
    <col min="7191" max="7419" width="9" style="447"/>
    <col min="7420" max="7420" width="3.5703125" style="447" customWidth="1"/>
    <col min="7421" max="7421" width="4.85546875" style="447" customWidth="1"/>
    <col min="7422" max="7422" width="5.42578125" style="447" customWidth="1"/>
    <col min="7423" max="7423" width="31.28515625" style="447" customWidth="1"/>
    <col min="7424" max="7424" width="7.5703125" style="447" customWidth="1"/>
    <col min="7425" max="7425" width="2.42578125" style="447" customWidth="1"/>
    <col min="7426" max="7426" width="11.5703125" style="447" customWidth="1"/>
    <col min="7427" max="7427" width="2.42578125" style="447" customWidth="1"/>
    <col min="7428" max="7428" width="11.5703125" style="447" customWidth="1"/>
    <col min="7429" max="7429" width="2.42578125" style="447" customWidth="1"/>
    <col min="7430" max="7430" width="10.85546875" style="447" customWidth="1"/>
    <col min="7431" max="7431" width="2.42578125" style="447" customWidth="1"/>
    <col min="7432" max="7432" width="11.140625" style="447" customWidth="1"/>
    <col min="7433" max="7433" width="1.85546875" style="447" customWidth="1"/>
    <col min="7434" max="7434" width="11" style="447" customWidth="1"/>
    <col min="7435" max="7435" width="0.7109375" style="447" customWidth="1"/>
    <col min="7436" max="7436" width="1.85546875" style="447" customWidth="1"/>
    <col min="7437" max="7437" width="11.85546875" style="447" bestFit="1" customWidth="1"/>
    <col min="7438" max="7438" width="15.28515625" style="447" bestFit="1" customWidth="1"/>
    <col min="7439" max="7439" width="5" style="447" customWidth="1"/>
    <col min="7440" max="7440" width="10.42578125" style="447" bestFit="1" customWidth="1"/>
    <col min="7441" max="7441" width="5" style="447" customWidth="1"/>
    <col min="7442" max="7442" width="10.42578125" style="447" bestFit="1" customWidth="1"/>
    <col min="7443" max="7445" width="9" style="447"/>
    <col min="7446" max="7446" width="10.42578125" style="447" bestFit="1" customWidth="1"/>
    <col min="7447" max="7675" width="9" style="447"/>
    <col min="7676" max="7676" width="3.5703125" style="447" customWidth="1"/>
    <col min="7677" max="7677" width="4.85546875" style="447" customWidth="1"/>
    <col min="7678" max="7678" width="5.42578125" style="447" customWidth="1"/>
    <col min="7679" max="7679" width="31.28515625" style="447" customWidth="1"/>
    <col min="7680" max="7680" width="7.5703125" style="447" customWidth="1"/>
    <col min="7681" max="7681" width="2.42578125" style="447" customWidth="1"/>
    <col min="7682" max="7682" width="11.5703125" style="447" customWidth="1"/>
    <col min="7683" max="7683" width="2.42578125" style="447" customWidth="1"/>
    <col min="7684" max="7684" width="11.5703125" style="447" customWidth="1"/>
    <col min="7685" max="7685" width="2.42578125" style="447" customWidth="1"/>
    <col min="7686" max="7686" width="10.85546875" style="447" customWidth="1"/>
    <col min="7687" max="7687" width="2.42578125" style="447" customWidth="1"/>
    <col min="7688" max="7688" width="11.140625" style="447" customWidth="1"/>
    <col min="7689" max="7689" width="1.85546875" style="447" customWidth="1"/>
    <col min="7690" max="7690" width="11" style="447" customWidth="1"/>
    <col min="7691" max="7691" width="0.7109375" style="447" customWidth="1"/>
    <col min="7692" max="7692" width="1.85546875" style="447" customWidth="1"/>
    <col min="7693" max="7693" width="11.85546875" style="447" bestFit="1" customWidth="1"/>
    <col min="7694" max="7694" width="15.28515625" style="447" bestFit="1" customWidth="1"/>
    <col min="7695" max="7695" width="5" style="447" customWidth="1"/>
    <col min="7696" max="7696" width="10.42578125" style="447" bestFit="1" customWidth="1"/>
    <col min="7697" max="7697" width="5" style="447" customWidth="1"/>
    <col min="7698" max="7698" width="10.42578125" style="447" bestFit="1" customWidth="1"/>
    <col min="7699" max="7701" width="9" style="447"/>
    <col min="7702" max="7702" width="10.42578125" style="447" bestFit="1" customWidth="1"/>
    <col min="7703" max="7931" width="9" style="447"/>
    <col min="7932" max="7932" width="3.5703125" style="447" customWidth="1"/>
    <col min="7933" max="7933" width="4.85546875" style="447" customWidth="1"/>
    <col min="7934" max="7934" width="5.42578125" style="447" customWidth="1"/>
    <col min="7935" max="7935" width="31.28515625" style="447" customWidth="1"/>
    <col min="7936" max="7936" width="7.5703125" style="447" customWidth="1"/>
    <col min="7937" max="7937" width="2.42578125" style="447" customWidth="1"/>
    <col min="7938" max="7938" width="11.5703125" style="447" customWidth="1"/>
    <col min="7939" max="7939" width="2.42578125" style="447" customWidth="1"/>
    <col min="7940" max="7940" width="11.5703125" style="447" customWidth="1"/>
    <col min="7941" max="7941" width="2.42578125" style="447" customWidth="1"/>
    <col min="7942" max="7942" width="10.85546875" style="447" customWidth="1"/>
    <col min="7943" max="7943" width="2.42578125" style="447" customWidth="1"/>
    <col min="7944" max="7944" width="11.140625" style="447" customWidth="1"/>
    <col min="7945" max="7945" width="1.85546875" style="447" customWidth="1"/>
    <col min="7946" max="7946" width="11" style="447" customWidth="1"/>
    <col min="7947" max="7947" width="0.7109375" style="447" customWidth="1"/>
    <col min="7948" max="7948" width="1.85546875" style="447" customWidth="1"/>
    <col min="7949" max="7949" width="11.85546875" style="447" bestFit="1" customWidth="1"/>
    <col min="7950" max="7950" width="15.28515625" style="447" bestFit="1" customWidth="1"/>
    <col min="7951" max="7951" width="5" style="447" customWidth="1"/>
    <col min="7952" max="7952" width="10.42578125" style="447" bestFit="1" customWidth="1"/>
    <col min="7953" max="7953" width="5" style="447" customWidth="1"/>
    <col min="7954" max="7954" width="10.42578125" style="447" bestFit="1" customWidth="1"/>
    <col min="7955" max="7957" width="9" style="447"/>
    <col min="7958" max="7958" width="10.42578125" style="447" bestFit="1" customWidth="1"/>
    <col min="7959" max="8187" width="9" style="447"/>
    <col min="8188" max="8188" width="3.5703125" style="447" customWidth="1"/>
    <col min="8189" max="8189" width="4.85546875" style="447" customWidth="1"/>
    <col min="8190" max="8190" width="5.42578125" style="447" customWidth="1"/>
    <col min="8191" max="8191" width="31.28515625" style="447" customWidth="1"/>
    <col min="8192" max="8192" width="7.5703125" style="447" customWidth="1"/>
    <col min="8193" max="8193" width="2.42578125" style="447" customWidth="1"/>
    <col min="8194" max="8194" width="11.5703125" style="447" customWidth="1"/>
    <col min="8195" max="8195" width="2.42578125" style="447" customWidth="1"/>
    <col min="8196" max="8196" width="11.5703125" style="447" customWidth="1"/>
    <col min="8197" max="8197" width="2.42578125" style="447" customWidth="1"/>
    <col min="8198" max="8198" width="10.85546875" style="447" customWidth="1"/>
    <col min="8199" max="8199" width="2.42578125" style="447" customWidth="1"/>
    <col min="8200" max="8200" width="11.140625" style="447" customWidth="1"/>
    <col min="8201" max="8201" width="1.85546875" style="447" customWidth="1"/>
    <col min="8202" max="8202" width="11" style="447" customWidth="1"/>
    <col min="8203" max="8203" width="0.7109375" style="447" customWidth="1"/>
    <col min="8204" max="8204" width="1.85546875" style="447" customWidth="1"/>
    <col min="8205" max="8205" width="11.85546875" style="447" bestFit="1" customWidth="1"/>
    <col min="8206" max="8206" width="15.28515625" style="447" bestFit="1" customWidth="1"/>
    <col min="8207" max="8207" width="5" style="447" customWidth="1"/>
    <col min="8208" max="8208" width="10.42578125" style="447" bestFit="1" customWidth="1"/>
    <col min="8209" max="8209" width="5" style="447" customWidth="1"/>
    <col min="8210" max="8210" width="10.42578125" style="447" bestFit="1" customWidth="1"/>
    <col min="8211" max="8213" width="9" style="447"/>
    <col min="8214" max="8214" width="10.42578125" style="447" bestFit="1" customWidth="1"/>
    <col min="8215" max="8443" width="9" style="447"/>
    <col min="8444" max="8444" width="3.5703125" style="447" customWidth="1"/>
    <col min="8445" max="8445" width="4.85546875" style="447" customWidth="1"/>
    <col min="8446" max="8446" width="5.42578125" style="447" customWidth="1"/>
    <col min="8447" max="8447" width="31.28515625" style="447" customWidth="1"/>
    <col min="8448" max="8448" width="7.5703125" style="447" customWidth="1"/>
    <col min="8449" max="8449" width="2.42578125" style="447" customWidth="1"/>
    <col min="8450" max="8450" width="11.5703125" style="447" customWidth="1"/>
    <col min="8451" max="8451" width="2.42578125" style="447" customWidth="1"/>
    <col min="8452" max="8452" width="11.5703125" style="447" customWidth="1"/>
    <col min="8453" max="8453" width="2.42578125" style="447" customWidth="1"/>
    <col min="8454" max="8454" width="10.85546875" style="447" customWidth="1"/>
    <col min="8455" max="8455" width="2.42578125" style="447" customWidth="1"/>
    <col min="8456" max="8456" width="11.140625" style="447" customWidth="1"/>
    <col min="8457" max="8457" width="1.85546875" style="447" customWidth="1"/>
    <col min="8458" max="8458" width="11" style="447" customWidth="1"/>
    <col min="8459" max="8459" width="0.7109375" style="447" customWidth="1"/>
    <col min="8460" max="8460" width="1.85546875" style="447" customWidth="1"/>
    <col min="8461" max="8461" width="11.85546875" style="447" bestFit="1" customWidth="1"/>
    <col min="8462" max="8462" width="15.28515625" style="447" bestFit="1" customWidth="1"/>
    <col min="8463" max="8463" width="5" style="447" customWidth="1"/>
    <col min="8464" max="8464" width="10.42578125" style="447" bestFit="1" customWidth="1"/>
    <col min="8465" max="8465" width="5" style="447" customWidth="1"/>
    <col min="8466" max="8466" width="10.42578125" style="447" bestFit="1" customWidth="1"/>
    <col min="8467" max="8469" width="9" style="447"/>
    <col min="8470" max="8470" width="10.42578125" style="447" bestFit="1" customWidth="1"/>
    <col min="8471" max="8699" width="9" style="447"/>
    <col min="8700" max="8700" width="3.5703125" style="447" customWidth="1"/>
    <col min="8701" max="8701" width="4.85546875" style="447" customWidth="1"/>
    <col min="8702" max="8702" width="5.42578125" style="447" customWidth="1"/>
    <col min="8703" max="8703" width="31.28515625" style="447" customWidth="1"/>
    <col min="8704" max="8704" width="7.5703125" style="447" customWidth="1"/>
    <col min="8705" max="8705" width="2.42578125" style="447" customWidth="1"/>
    <col min="8706" max="8706" width="11.5703125" style="447" customWidth="1"/>
    <col min="8707" max="8707" width="2.42578125" style="447" customWidth="1"/>
    <col min="8708" max="8708" width="11.5703125" style="447" customWidth="1"/>
    <col min="8709" max="8709" width="2.42578125" style="447" customWidth="1"/>
    <col min="8710" max="8710" width="10.85546875" style="447" customWidth="1"/>
    <col min="8711" max="8711" width="2.42578125" style="447" customWidth="1"/>
    <col min="8712" max="8712" width="11.140625" style="447" customWidth="1"/>
    <col min="8713" max="8713" width="1.85546875" style="447" customWidth="1"/>
    <col min="8714" max="8714" width="11" style="447" customWidth="1"/>
    <col min="8715" max="8715" width="0.7109375" style="447" customWidth="1"/>
    <col min="8716" max="8716" width="1.85546875" style="447" customWidth="1"/>
    <col min="8717" max="8717" width="11.85546875" style="447" bestFit="1" customWidth="1"/>
    <col min="8718" max="8718" width="15.28515625" style="447" bestFit="1" customWidth="1"/>
    <col min="8719" max="8719" width="5" style="447" customWidth="1"/>
    <col min="8720" max="8720" width="10.42578125" style="447" bestFit="1" customWidth="1"/>
    <col min="8721" max="8721" width="5" style="447" customWidth="1"/>
    <col min="8722" max="8722" width="10.42578125" style="447" bestFit="1" customWidth="1"/>
    <col min="8723" max="8725" width="9" style="447"/>
    <col min="8726" max="8726" width="10.42578125" style="447" bestFit="1" customWidth="1"/>
    <col min="8727" max="8955" width="9" style="447"/>
    <col min="8956" max="8956" width="3.5703125" style="447" customWidth="1"/>
    <col min="8957" max="8957" width="4.85546875" style="447" customWidth="1"/>
    <col min="8958" max="8958" width="5.42578125" style="447" customWidth="1"/>
    <col min="8959" max="8959" width="31.28515625" style="447" customWidth="1"/>
    <col min="8960" max="8960" width="7.5703125" style="447" customWidth="1"/>
    <col min="8961" max="8961" width="2.42578125" style="447" customWidth="1"/>
    <col min="8962" max="8962" width="11.5703125" style="447" customWidth="1"/>
    <col min="8963" max="8963" width="2.42578125" style="447" customWidth="1"/>
    <col min="8964" max="8964" width="11.5703125" style="447" customWidth="1"/>
    <col min="8965" max="8965" width="2.42578125" style="447" customWidth="1"/>
    <col min="8966" max="8966" width="10.85546875" style="447" customWidth="1"/>
    <col min="8967" max="8967" width="2.42578125" style="447" customWidth="1"/>
    <col min="8968" max="8968" width="11.140625" style="447" customWidth="1"/>
    <col min="8969" max="8969" width="1.85546875" style="447" customWidth="1"/>
    <col min="8970" max="8970" width="11" style="447" customWidth="1"/>
    <col min="8971" max="8971" width="0.7109375" style="447" customWidth="1"/>
    <col min="8972" max="8972" width="1.85546875" style="447" customWidth="1"/>
    <col min="8973" max="8973" width="11.85546875" style="447" bestFit="1" customWidth="1"/>
    <col min="8974" max="8974" width="15.28515625" style="447" bestFit="1" customWidth="1"/>
    <col min="8975" max="8975" width="5" style="447" customWidth="1"/>
    <col min="8976" max="8976" width="10.42578125" style="447" bestFit="1" customWidth="1"/>
    <col min="8977" max="8977" width="5" style="447" customWidth="1"/>
    <col min="8978" max="8978" width="10.42578125" style="447" bestFit="1" customWidth="1"/>
    <col min="8979" max="8981" width="9" style="447"/>
    <col min="8982" max="8982" width="10.42578125" style="447" bestFit="1" customWidth="1"/>
    <col min="8983" max="9211" width="9" style="447"/>
    <col min="9212" max="9212" width="3.5703125" style="447" customWidth="1"/>
    <col min="9213" max="9213" width="4.85546875" style="447" customWidth="1"/>
    <col min="9214" max="9214" width="5.42578125" style="447" customWidth="1"/>
    <col min="9215" max="9215" width="31.28515625" style="447" customWidth="1"/>
    <col min="9216" max="9216" width="7.5703125" style="447" customWidth="1"/>
    <col min="9217" max="9217" width="2.42578125" style="447" customWidth="1"/>
    <col min="9218" max="9218" width="11.5703125" style="447" customWidth="1"/>
    <col min="9219" max="9219" width="2.42578125" style="447" customWidth="1"/>
    <col min="9220" max="9220" width="11.5703125" style="447" customWidth="1"/>
    <col min="9221" max="9221" width="2.42578125" style="447" customWidth="1"/>
    <col min="9222" max="9222" width="10.85546875" style="447" customWidth="1"/>
    <col min="9223" max="9223" width="2.42578125" style="447" customWidth="1"/>
    <col min="9224" max="9224" width="11.140625" style="447" customWidth="1"/>
    <col min="9225" max="9225" width="1.85546875" style="447" customWidth="1"/>
    <col min="9226" max="9226" width="11" style="447" customWidth="1"/>
    <col min="9227" max="9227" width="0.7109375" style="447" customWidth="1"/>
    <col min="9228" max="9228" width="1.85546875" style="447" customWidth="1"/>
    <col min="9229" max="9229" width="11.85546875" style="447" bestFit="1" customWidth="1"/>
    <col min="9230" max="9230" width="15.28515625" style="447" bestFit="1" customWidth="1"/>
    <col min="9231" max="9231" width="5" style="447" customWidth="1"/>
    <col min="9232" max="9232" width="10.42578125" style="447" bestFit="1" customWidth="1"/>
    <col min="9233" max="9233" width="5" style="447" customWidth="1"/>
    <col min="9234" max="9234" width="10.42578125" style="447" bestFit="1" customWidth="1"/>
    <col min="9235" max="9237" width="9" style="447"/>
    <col min="9238" max="9238" width="10.42578125" style="447" bestFit="1" customWidth="1"/>
    <col min="9239" max="9467" width="9" style="447"/>
    <col min="9468" max="9468" width="3.5703125" style="447" customWidth="1"/>
    <col min="9469" max="9469" width="4.85546875" style="447" customWidth="1"/>
    <col min="9470" max="9470" width="5.42578125" style="447" customWidth="1"/>
    <col min="9471" max="9471" width="31.28515625" style="447" customWidth="1"/>
    <col min="9472" max="9472" width="7.5703125" style="447" customWidth="1"/>
    <col min="9473" max="9473" width="2.42578125" style="447" customWidth="1"/>
    <col min="9474" max="9474" width="11.5703125" style="447" customWidth="1"/>
    <col min="9475" max="9475" width="2.42578125" style="447" customWidth="1"/>
    <col min="9476" max="9476" width="11.5703125" style="447" customWidth="1"/>
    <col min="9477" max="9477" width="2.42578125" style="447" customWidth="1"/>
    <col min="9478" max="9478" width="10.85546875" style="447" customWidth="1"/>
    <col min="9479" max="9479" width="2.42578125" style="447" customWidth="1"/>
    <col min="9480" max="9480" width="11.140625" style="447" customWidth="1"/>
    <col min="9481" max="9481" width="1.85546875" style="447" customWidth="1"/>
    <col min="9482" max="9482" width="11" style="447" customWidth="1"/>
    <col min="9483" max="9483" width="0.7109375" style="447" customWidth="1"/>
    <col min="9484" max="9484" width="1.85546875" style="447" customWidth="1"/>
    <col min="9485" max="9485" width="11.85546875" style="447" bestFit="1" customWidth="1"/>
    <col min="9486" max="9486" width="15.28515625" style="447" bestFit="1" customWidth="1"/>
    <col min="9487" max="9487" width="5" style="447" customWidth="1"/>
    <col min="9488" max="9488" width="10.42578125" style="447" bestFit="1" customWidth="1"/>
    <col min="9489" max="9489" width="5" style="447" customWidth="1"/>
    <col min="9490" max="9490" width="10.42578125" style="447" bestFit="1" customWidth="1"/>
    <col min="9491" max="9493" width="9" style="447"/>
    <col min="9494" max="9494" width="10.42578125" style="447" bestFit="1" customWidth="1"/>
    <col min="9495" max="9723" width="9" style="447"/>
    <col min="9724" max="9724" width="3.5703125" style="447" customWidth="1"/>
    <col min="9725" max="9725" width="4.85546875" style="447" customWidth="1"/>
    <col min="9726" max="9726" width="5.42578125" style="447" customWidth="1"/>
    <col min="9727" max="9727" width="31.28515625" style="447" customWidth="1"/>
    <col min="9728" max="9728" width="7.5703125" style="447" customWidth="1"/>
    <col min="9729" max="9729" width="2.42578125" style="447" customWidth="1"/>
    <col min="9730" max="9730" width="11.5703125" style="447" customWidth="1"/>
    <col min="9731" max="9731" width="2.42578125" style="447" customWidth="1"/>
    <col min="9732" max="9732" width="11.5703125" style="447" customWidth="1"/>
    <col min="9733" max="9733" width="2.42578125" style="447" customWidth="1"/>
    <col min="9734" max="9734" width="10.85546875" style="447" customWidth="1"/>
    <col min="9735" max="9735" width="2.42578125" style="447" customWidth="1"/>
    <col min="9736" max="9736" width="11.140625" style="447" customWidth="1"/>
    <col min="9737" max="9737" width="1.85546875" style="447" customWidth="1"/>
    <col min="9738" max="9738" width="11" style="447" customWidth="1"/>
    <col min="9739" max="9739" width="0.7109375" style="447" customWidth="1"/>
    <col min="9740" max="9740" width="1.85546875" style="447" customWidth="1"/>
    <col min="9741" max="9741" width="11.85546875" style="447" bestFit="1" customWidth="1"/>
    <col min="9742" max="9742" width="15.28515625" style="447" bestFit="1" customWidth="1"/>
    <col min="9743" max="9743" width="5" style="447" customWidth="1"/>
    <col min="9744" max="9744" width="10.42578125" style="447" bestFit="1" customWidth="1"/>
    <col min="9745" max="9745" width="5" style="447" customWidth="1"/>
    <col min="9746" max="9746" width="10.42578125" style="447" bestFit="1" customWidth="1"/>
    <col min="9747" max="9749" width="9" style="447"/>
    <col min="9750" max="9750" width="10.42578125" style="447" bestFit="1" customWidth="1"/>
    <col min="9751" max="9979" width="9" style="447"/>
    <col min="9980" max="9980" width="3.5703125" style="447" customWidth="1"/>
    <col min="9981" max="9981" width="4.85546875" style="447" customWidth="1"/>
    <col min="9982" max="9982" width="5.42578125" style="447" customWidth="1"/>
    <col min="9983" max="9983" width="31.28515625" style="447" customWidth="1"/>
    <col min="9984" max="9984" width="7.5703125" style="447" customWidth="1"/>
    <col min="9985" max="9985" width="2.42578125" style="447" customWidth="1"/>
    <col min="9986" max="9986" width="11.5703125" style="447" customWidth="1"/>
    <col min="9987" max="9987" width="2.42578125" style="447" customWidth="1"/>
    <col min="9988" max="9988" width="11.5703125" style="447" customWidth="1"/>
    <col min="9989" max="9989" width="2.42578125" style="447" customWidth="1"/>
    <col min="9990" max="9990" width="10.85546875" style="447" customWidth="1"/>
    <col min="9991" max="9991" width="2.42578125" style="447" customWidth="1"/>
    <col min="9992" max="9992" width="11.140625" style="447" customWidth="1"/>
    <col min="9993" max="9993" width="1.85546875" style="447" customWidth="1"/>
    <col min="9994" max="9994" width="11" style="447" customWidth="1"/>
    <col min="9995" max="9995" width="0.7109375" style="447" customWidth="1"/>
    <col min="9996" max="9996" width="1.85546875" style="447" customWidth="1"/>
    <col min="9997" max="9997" width="11.85546875" style="447" bestFit="1" customWidth="1"/>
    <col min="9998" max="9998" width="15.28515625" style="447" bestFit="1" customWidth="1"/>
    <col min="9999" max="9999" width="5" style="447" customWidth="1"/>
    <col min="10000" max="10000" width="10.42578125" style="447" bestFit="1" customWidth="1"/>
    <col min="10001" max="10001" width="5" style="447" customWidth="1"/>
    <col min="10002" max="10002" width="10.42578125" style="447" bestFit="1" customWidth="1"/>
    <col min="10003" max="10005" width="9" style="447"/>
    <col min="10006" max="10006" width="10.42578125" style="447" bestFit="1" customWidth="1"/>
    <col min="10007" max="10235" width="9" style="447"/>
    <col min="10236" max="10236" width="3.5703125" style="447" customWidth="1"/>
    <col min="10237" max="10237" width="4.85546875" style="447" customWidth="1"/>
    <col min="10238" max="10238" width="5.42578125" style="447" customWidth="1"/>
    <col min="10239" max="10239" width="31.28515625" style="447" customWidth="1"/>
    <col min="10240" max="10240" width="7.5703125" style="447" customWidth="1"/>
    <col min="10241" max="10241" width="2.42578125" style="447" customWidth="1"/>
    <col min="10242" max="10242" width="11.5703125" style="447" customWidth="1"/>
    <col min="10243" max="10243" width="2.42578125" style="447" customWidth="1"/>
    <col min="10244" max="10244" width="11.5703125" style="447" customWidth="1"/>
    <col min="10245" max="10245" width="2.42578125" style="447" customWidth="1"/>
    <col min="10246" max="10246" width="10.85546875" style="447" customWidth="1"/>
    <col min="10247" max="10247" width="2.42578125" style="447" customWidth="1"/>
    <col min="10248" max="10248" width="11.140625" style="447" customWidth="1"/>
    <col min="10249" max="10249" width="1.85546875" style="447" customWidth="1"/>
    <col min="10250" max="10250" width="11" style="447" customWidth="1"/>
    <col min="10251" max="10251" width="0.7109375" style="447" customWidth="1"/>
    <col min="10252" max="10252" width="1.85546875" style="447" customWidth="1"/>
    <col min="10253" max="10253" width="11.85546875" style="447" bestFit="1" customWidth="1"/>
    <col min="10254" max="10254" width="15.28515625" style="447" bestFit="1" customWidth="1"/>
    <col min="10255" max="10255" width="5" style="447" customWidth="1"/>
    <col min="10256" max="10256" width="10.42578125" style="447" bestFit="1" customWidth="1"/>
    <col min="10257" max="10257" width="5" style="447" customWidth="1"/>
    <col min="10258" max="10258" width="10.42578125" style="447" bestFit="1" customWidth="1"/>
    <col min="10259" max="10261" width="9" style="447"/>
    <col min="10262" max="10262" width="10.42578125" style="447" bestFit="1" customWidth="1"/>
    <col min="10263" max="10491" width="9" style="447"/>
    <col min="10492" max="10492" width="3.5703125" style="447" customWidth="1"/>
    <col min="10493" max="10493" width="4.85546875" style="447" customWidth="1"/>
    <col min="10494" max="10494" width="5.42578125" style="447" customWidth="1"/>
    <col min="10495" max="10495" width="31.28515625" style="447" customWidth="1"/>
    <col min="10496" max="10496" width="7.5703125" style="447" customWidth="1"/>
    <col min="10497" max="10497" width="2.42578125" style="447" customWidth="1"/>
    <col min="10498" max="10498" width="11.5703125" style="447" customWidth="1"/>
    <col min="10499" max="10499" width="2.42578125" style="447" customWidth="1"/>
    <col min="10500" max="10500" width="11.5703125" style="447" customWidth="1"/>
    <col min="10501" max="10501" width="2.42578125" style="447" customWidth="1"/>
    <col min="10502" max="10502" width="10.85546875" style="447" customWidth="1"/>
    <col min="10503" max="10503" width="2.42578125" style="447" customWidth="1"/>
    <col min="10504" max="10504" width="11.140625" style="447" customWidth="1"/>
    <col min="10505" max="10505" width="1.85546875" style="447" customWidth="1"/>
    <col min="10506" max="10506" width="11" style="447" customWidth="1"/>
    <col min="10507" max="10507" width="0.7109375" style="447" customWidth="1"/>
    <col min="10508" max="10508" width="1.85546875" style="447" customWidth="1"/>
    <col min="10509" max="10509" width="11.85546875" style="447" bestFit="1" customWidth="1"/>
    <col min="10510" max="10510" width="15.28515625" style="447" bestFit="1" customWidth="1"/>
    <col min="10511" max="10511" width="5" style="447" customWidth="1"/>
    <col min="10512" max="10512" width="10.42578125" style="447" bestFit="1" customWidth="1"/>
    <col min="10513" max="10513" width="5" style="447" customWidth="1"/>
    <col min="10514" max="10514" width="10.42578125" style="447" bestFit="1" customWidth="1"/>
    <col min="10515" max="10517" width="9" style="447"/>
    <col min="10518" max="10518" width="10.42578125" style="447" bestFit="1" customWidth="1"/>
    <col min="10519" max="10747" width="9" style="447"/>
    <col min="10748" max="10748" width="3.5703125" style="447" customWidth="1"/>
    <col min="10749" max="10749" width="4.85546875" style="447" customWidth="1"/>
    <col min="10750" max="10750" width="5.42578125" style="447" customWidth="1"/>
    <col min="10751" max="10751" width="31.28515625" style="447" customWidth="1"/>
    <col min="10752" max="10752" width="7.5703125" style="447" customWidth="1"/>
    <col min="10753" max="10753" width="2.42578125" style="447" customWidth="1"/>
    <col min="10754" max="10754" width="11.5703125" style="447" customWidth="1"/>
    <col min="10755" max="10755" width="2.42578125" style="447" customWidth="1"/>
    <col min="10756" max="10756" width="11.5703125" style="447" customWidth="1"/>
    <col min="10757" max="10757" width="2.42578125" style="447" customWidth="1"/>
    <col min="10758" max="10758" width="10.85546875" style="447" customWidth="1"/>
    <col min="10759" max="10759" width="2.42578125" style="447" customWidth="1"/>
    <col min="10760" max="10760" width="11.140625" style="447" customWidth="1"/>
    <col min="10761" max="10761" width="1.85546875" style="447" customWidth="1"/>
    <col min="10762" max="10762" width="11" style="447" customWidth="1"/>
    <col min="10763" max="10763" width="0.7109375" style="447" customWidth="1"/>
    <col min="10764" max="10764" width="1.85546875" style="447" customWidth="1"/>
    <col min="10765" max="10765" width="11.85546875" style="447" bestFit="1" customWidth="1"/>
    <col min="10766" max="10766" width="15.28515625" style="447" bestFit="1" customWidth="1"/>
    <col min="10767" max="10767" width="5" style="447" customWidth="1"/>
    <col min="10768" max="10768" width="10.42578125" style="447" bestFit="1" customWidth="1"/>
    <col min="10769" max="10769" width="5" style="447" customWidth="1"/>
    <col min="10770" max="10770" width="10.42578125" style="447" bestFit="1" customWidth="1"/>
    <col min="10771" max="10773" width="9" style="447"/>
    <col min="10774" max="10774" width="10.42578125" style="447" bestFit="1" customWidth="1"/>
    <col min="10775" max="11003" width="9" style="447"/>
    <col min="11004" max="11004" width="3.5703125" style="447" customWidth="1"/>
    <col min="11005" max="11005" width="4.85546875" style="447" customWidth="1"/>
    <col min="11006" max="11006" width="5.42578125" style="447" customWidth="1"/>
    <col min="11007" max="11007" width="31.28515625" style="447" customWidth="1"/>
    <col min="11008" max="11008" width="7.5703125" style="447" customWidth="1"/>
    <col min="11009" max="11009" width="2.42578125" style="447" customWidth="1"/>
    <col min="11010" max="11010" width="11.5703125" style="447" customWidth="1"/>
    <col min="11011" max="11011" width="2.42578125" style="447" customWidth="1"/>
    <col min="11012" max="11012" width="11.5703125" style="447" customWidth="1"/>
    <col min="11013" max="11013" width="2.42578125" style="447" customWidth="1"/>
    <col min="11014" max="11014" width="10.85546875" style="447" customWidth="1"/>
    <col min="11015" max="11015" width="2.42578125" style="447" customWidth="1"/>
    <col min="11016" max="11016" width="11.140625" style="447" customWidth="1"/>
    <col min="11017" max="11017" width="1.85546875" style="447" customWidth="1"/>
    <col min="11018" max="11018" width="11" style="447" customWidth="1"/>
    <col min="11019" max="11019" width="0.7109375" style="447" customWidth="1"/>
    <col min="11020" max="11020" width="1.85546875" style="447" customWidth="1"/>
    <col min="11021" max="11021" width="11.85546875" style="447" bestFit="1" customWidth="1"/>
    <col min="11022" max="11022" width="15.28515625" style="447" bestFit="1" customWidth="1"/>
    <col min="11023" max="11023" width="5" style="447" customWidth="1"/>
    <col min="11024" max="11024" width="10.42578125" style="447" bestFit="1" customWidth="1"/>
    <col min="11025" max="11025" width="5" style="447" customWidth="1"/>
    <col min="11026" max="11026" width="10.42578125" style="447" bestFit="1" customWidth="1"/>
    <col min="11027" max="11029" width="9" style="447"/>
    <col min="11030" max="11030" width="10.42578125" style="447" bestFit="1" customWidth="1"/>
    <col min="11031" max="11259" width="9" style="447"/>
    <col min="11260" max="11260" width="3.5703125" style="447" customWidth="1"/>
    <col min="11261" max="11261" width="4.85546875" style="447" customWidth="1"/>
    <col min="11262" max="11262" width="5.42578125" style="447" customWidth="1"/>
    <col min="11263" max="11263" width="31.28515625" style="447" customWidth="1"/>
    <col min="11264" max="11264" width="7.5703125" style="447" customWidth="1"/>
    <col min="11265" max="11265" width="2.42578125" style="447" customWidth="1"/>
    <col min="11266" max="11266" width="11.5703125" style="447" customWidth="1"/>
    <col min="11267" max="11267" width="2.42578125" style="447" customWidth="1"/>
    <col min="11268" max="11268" width="11.5703125" style="447" customWidth="1"/>
    <col min="11269" max="11269" width="2.42578125" style="447" customWidth="1"/>
    <col min="11270" max="11270" width="10.85546875" style="447" customWidth="1"/>
    <col min="11271" max="11271" width="2.42578125" style="447" customWidth="1"/>
    <col min="11272" max="11272" width="11.140625" style="447" customWidth="1"/>
    <col min="11273" max="11273" width="1.85546875" style="447" customWidth="1"/>
    <col min="11274" max="11274" width="11" style="447" customWidth="1"/>
    <col min="11275" max="11275" width="0.7109375" style="447" customWidth="1"/>
    <col min="11276" max="11276" width="1.85546875" style="447" customWidth="1"/>
    <col min="11277" max="11277" width="11.85546875" style="447" bestFit="1" customWidth="1"/>
    <col min="11278" max="11278" width="15.28515625" style="447" bestFit="1" customWidth="1"/>
    <col min="11279" max="11279" width="5" style="447" customWidth="1"/>
    <col min="11280" max="11280" width="10.42578125" style="447" bestFit="1" customWidth="1"/>
    <col min="11281" max="11281" width="5" style="447" customWidth="1"/>
    <col min="11282" max="11282" width="10.42578125" style="447" bestFit="1" customWidth="1"/>
    <col min="11283" max="11285" width="9" style="447"/>
    <col min="11286" max="11286" width="10.42578125" style="447" bestFit="1" customWidth="1"/>
    <col min="11287" max="11515" width="9" style="447"/>
    <col min="11516" max="11516" width="3.5703125" style="447" customWidth="1"/>
    <col min="11517" max="11517" width="4.85546875" style="447" customWidth="1"/>
    <col min="11518" max="11518" width="5.42578125" style="447" customWidth="1"/>
    <col min="11519" max="11519" width="31.28515625" style="447" customWidth="1"/>
    <col min="11520" max="11520" width="7.5703125" style="447" customWidth="1"/>
    <col min="11521" max="11521" width="2.42578125" style="447" customWidth="1"/>
    <col min="11522" max="11522" width="11.5703125" style="447" customWidth="1"/>
    <col min="11523" max="11523" width="2.42578125" style="447" customWidth="1"/>
    <col min="11524" max="11524" width="11.5703125" style="447" customWidth="1"/>
    <col min="11525" max="11525" width="2.42578125" style="447" customWidth="1"/>
    <col min="11526" max="11526" width="10.85546875" style="447" customWidth="1"/>
    <col min="11527" max="11527" width="2.42578125" style="447" customWidth="1"/>
    <col min="11528" max="11528" width="11.140625" style="447" customWidth="1"/>
    <col min="11529" max="11529" width="1.85546875" style="447" customWidth="1"/>
    <col min="11530" max="11530" width="11" style="447" customWidth="1"/>
    <col min="11531" max="11531" width="0.7109375" style="447" customWidth="1"/>
    <col min="11532" max="11532" width="1.85546875" style="447" customWidth="1"/>
    <col min="11533" max="11533" width="11.85546875" style="447" bestFit="1" customWidth="1"/>
    <col min="11534" max="11534" width="15.28515625" style="447" bestFit="1" customWidth="1"/>
    <col min="11535" max="11535" width="5" style="447" customWidth="1"/>
    <col min="11536" max="11536" width="10.42578125" style="447" bestFit="1" customWidth="1"/>
    <col min="11537" max="11537" width="5" style="447" customWidth="1"/>
    <col min="11538" max="11538" width="10.42578125" style="447" bestFit="1" customWidth="1"/>
    <col min="11539" max="11541" width="9" style="447"/>
    <col min="11542" max="11542" width="10.42578125" style="447" bestFit="1" customWidth="1"/>
    <col min="11543" max="11771" width="9" style="447"/>
    <col min="11772" max="11772" width="3.5703125" style="447" customWidth="1"/>
    <col min="11773" max="11773" width="4.85546875" style="447" customWidth="1"/>
    <col min="11774" max="11774" width="5.42578125" style="447" customWidth="1"/>
    <col min="11775" max="11775" width="31.28515625" style="447" customWidth="1"/>
    <col min="11776" max="11776" width="7.5703125" style="447" customWidth="1"/>
    <col min="11777" max="11777" width="2.42578125" style="447" customWidth="1"/>
    <col min="11778" max="11778" width="11.5703125" style="447" customWidth="1"/>
    <col min="11779" max="11779" width="2.42578125" style="447" customWidth="1"/>
    <col min="11780" max="11780" width="11.5703125" style="447" customWidth="1"/>
    <col min="11781" max="11781" width="2.42578125" style="447" customWidth="1"/>
    <col min="11782" max="11782" width="10.85546875" style="447" customWidth="1"/>
    <col min="11783" max="11783" width="2.42578125" style="447" customWidth="1"/>
    <col min="11784" max="11784" width="11.140625" style="447" customWidth="1"/>
    <col min="11785" max="11785" width="1.85546875" style="447" customWidth="1"/>
    <col min="11786" max="11786" width="11" style="447" customWidth="1"/>
    <col min="11787" max="11787" width="0.7109375" style="447" customWidth="1"/>
    <col min="11788" max="11788" width="1.85546875" style="447" customWidth="1"/>
    <col min="11789" max="11789" width="11.85546875" style="447" bestFit="1" customWidth="1"/>
    <col min="11790" max="11790" width="15.28515625" style="447" bestFit="1" customWidth="1"/>
    <col min="11791" max="11791" width="5" style="447" customWidth="1"/>
    <col min="11792" max="11792" width="10.42578125" style="447" bestFit="1" customWidth="1"/>
    <col min="11793" max="11793" width="5" style="447" customWidth="1"/>
    <col min="11794" max="11794" width="10.42578125" style="447" bestFit="1" customWidth="1"/>
    <col min="11795" max="11797" width="9" style="447"/>
    <col min="11798" max="11798" width="10.42578125" style="447" bestFit="1" customWidth="1"/>
    <col min="11799" max="12027" width="9" style="447"/>
    <col min="12028" max="12028" width="3.5703125" style="447" customWidth="1"/>
    <col min="12029" max="12029" width="4.85546875" style="447" customWidth="1"/>
    <col min="12030" max="12030" width="5.42578125" style="447" customWidth="1"/>
    <col min="12031" max="12031" width="31.28515625" style="447" customWidth="1"/>
    <col min="12032" max="12032" width="7.5703125" style="447" customWidth="1"/>
    <col min="12033" max="12033" width="2.42578125" style="447" customWidth="1"/>
    <col min="12034" max="12034" width="11.5703125" style="447" customWidth="1"/>
    <col min="12035" max="12035" width="2.42578125" style="447" customWidth="1"/>
    <col min="12036" max="12036" width="11.5703125" style="447" customWidth="1"/>
    <col min="12037" max="12037" width="2.42578125" style="447" customWidth="1"/>
    <col min="12038" max="12038" width="10.85546875" style="447" customWidth="1"/>
    <col min="12039" max="12039" width="2.42578125" style="447" customWidth="1"/>
    <col min="12040" max="12040" width="11.140625" style="447" customWidth="1"/>
    <col min="12041" max="12041" width="1.85546875" style="447" customWidth="1"/>
    <col min="12042" max="12042" width="11" style="447" customWidth="1"/>
    <col min="12043" max="12043" width="0.7109375" style="447" customWidth="1"/>
    <col min="12044" max="12044" width="1.85546875" style="447" customWidth="1"/>
    <col min="12045" max="12045" width="11.85546875" style="447" bestFit="1" customWidth="1"/>
    <col min="12046" max="12046" width="15.28515625" style="447" bestFit="1" customWidth="1"/>
    <col min="12047" max="12047" width="5" style="447" customWidth="1"/>
    <col min="12048" max="12048" width="10.42578125" style="447" bestFit="1" customWidth="1"/>
    <col min="12049" max="12049" width="5" style="447" customWidth="1"/>
    <col min="12050" max="12050" width="10.42578125" style="447" bestFit="1" customWidth="1"/>
    <col min="12051" max="12053" width="9" style="447"/>
    <col min="12054" max="12054" width="10.42578125" style="447" bestFit="1" customWidth="1"/>
    <col min="12055" max="12283" width="9" style="447"/>
    <col min="12284" max="12284" width="3.5703125" style="447" customWidth="1"/>
    <col min="12285" max="12285" width="4.85546875" style="447" customWidth="1"/>
    <col min="12286" max="12286" width="5.42578125" style="447" customWidth="1"/>
    <col min="12287" max="12287" width="31.28515625" style="447" customWidth="1"/>
    <col min="12288" max="12288" width="7.5703125" style="447" customWidth="1"/>
    <col min="12289" max="12289" width="2.42578125" style="447" customWidth="1"/>
    <col min="12290" max="12290" width="11.5703125" style="447" customWidth="1"/>
    <col min="12291" max="12291" width="2.42578125" style="447" customWidth="1"/>
    <col min="12292" max="12292" width="11.5703125" style="447" customWidth="1"/>
    <col min="12293" max="12293" width="2.42578125" style="447" customWidth="1"/>
    <col min="12294" max="12294" width="10.85546875" style="447" customWidth="1"/>
    <col min="12295" max="12295" width="2.42578125" style="447" customWidth="1"/>
    <col min="12296" max="12296" width="11.140625" style="447" customWidth="1"/>
    <col min="12297" max="12297" width="1.85546875" style="447" customWidth="1"/>
    <col min="12298" max="12298" width="11" style="447" customWidth="1"/>
    <col min="12299" max="12299" width="0.7109375" style="447" customWidth="1"/>
    <col min="12300" max="12300" width="1.85546875" style="447" customWidth="1"/>
    <col min="12301" max="12301" width="11.85546875" style="447" bestFit="1" customWidth="1"/>
    <col min="12302" max="12302" width="15.28515625" style="447" bestFit="1" customWidth="1"/>
    <col min="12303" max="12303" width="5" style="447" customWidth="1"/>
    <col min="12304" max="12304" width="10.42578125" style="447" bestFit="1" customWidth="1"/>
    <col min="12305" max="12305" width="5" style="447" customWidth="1"/>
    <col min="12306" max="12306" width="10.42578125" style="447" bestFit="1" customWidth="1"/>
    <col min="12307" max="12309" width="9" style="447"/>
    <col min="12310" max="12310" width="10.42578125" style="447" bestFit="1" customWidth="1"/>
    <col min="12311" max="12539" width="9" style="447"/>
    <col min="12540" max="12540" width="3.5703125" style="447" customWidth="1"/>
    <col min="12541" max="12541" width="4.85546875" style="447" customWidth="1"/>
    <col min="12542" max="12542" width="5.42578125" style="447" customWidth="1"/>
    <col min="12543" max="12543" width="31.28515625" style="447" customWidth="1"/>
    <col min="12544" max="12544" width="7.5703125" style="447" customWidth="1"/>
    <col min="12545" max="12545" width="2.42578125" style="447" customWidth="1"/>
    <col min="12546" max="12546" width="11.5703125" style="447" customWidth="1"/>
    <col min="12547" max="12547" width="2.42578125" style="447" customWidth="1"/>
    <col min="12548" max="12548" width="11.5703125" style="447" customWidth="1"/>
    <col min="12549" max="12549" width="2.42578125" style="447" customWidth="1"/>
    <col min="12550" max="12550" width="10.85546875" style="447" customWidth="1"/>
    <col min="12551" max="12551" width="2.42578125" style="447" customWidth="1"/>
    <col min="12552" max="12552" width="11.140625" style="447" customWidth="1"/>
    <col min="12553" max="12553" width="1.85546875" style="447" customWidth="1"/>
    <col min="12554" max="12554" width="11" style="447" customWidth="1"/>
    <col min="12555" max="12555" width="0.7109375" style="447" customWidth="1"/>
    <col min="12556" max="12556" width="1.85546875" style="447" customWidth="1"/>
    <col min="12557" max="12557" width="11.85546875" style="447" bestFit="1" customWidth="1"/>
    <col min="12558" max="12558" width="15.28515625" style="447" bestFit="1" customWidth="1"/>
    <col min="12559" max="12559" width="5" style="447" customWidth="1"/>
    <col min="12560" max="12560" width="10.42578125" style="447" bestFit="1" customWidth="1"/>
    <col min="12561" max="12561" width="5" style="447" customWidth="1"/>
    <col min="12562" max="12562" width="10.42578125" style="447" bestFit="1" customWidth="1"/>
    <col min="12563" max="12565" width="9" style="447"/>
    <col min="12566" max="12566" width="10.42578125" style="447" bestFit="1" customWidth="1"/>
    <col min="12567" max="12795" width="9" style="447"/>
    <col min="12796" max="12796" width="3.5703125" style="447" customWidth="1"/>
    <col min="12797" max="12797" width="4.85546875" style="447" customWidth="1"/>
    <col min="12798" max="12798" width="5.42578125" style="447" customWidth="1"/>
    <col min="12799" max="12799" width="31.28515625" style="447" customWidth="1"/>
    <col min="12800" max="12800" width="7.5703125" style="447" customWidth="1"/>
    <col min="12801" max="12801" width="2.42578125" style="447" customWidth="1"/>
    <col min="12802" max="12802" width="11.5703125" style="447" customWidth="1"/>
    <col min="12803" max="12803" width="2.42578125" style="447" customWidth="1"/>
    <col min="12804" max="12804" width="11.5703125" style="447" customWidth="1"/>
    <col min="12805" max="12805" width="2.42578125" style="447" customWidth="1"/>
    <col min="12806" max="12806" width="10.85546875" style="447" customWidth="1"/>
    <col min="12807" max="12807" width="2.42578125" style="447" customWidth="1"/>
    <col min="12808" max="12808" width="11.140625" style="447" customWidth="1"/>
    <col min="12809" max="12809" width="1.85546875" style="447" customWidth="1"/>
    <col min="12810" max="12810" width="11" style="447" customWidth="1"/>
    <col min="12811" max="12811" width="0.7109375" style="447" customWidth="1"/>
    <col min="12812" max="12812" width="1.85546875" style="447" customWidth="1"/>
    <col min="12813" max="12813" width="11.85546875" style="447" bestFit="1" customWidth="1"/>
    <col min="12814" max="12814" width="15.28515625" style="447" bestFit="1" customWidth="1"/>
    <col min="12815" max="12815" width="5" style="447" customWidth="1"/>
    <col min="12816" max="12816" width="10.42578125" style="447" bestFit="1" customWidth="1"/>
    <col min="12817" max="12817" width="5" style="447" customWidth="1"/>
    <col min="12818" max="12818" width="10.42578125" style="447" bestFit="1" customWidth="1"/>
    <col min="12819" max="12821" width="9" style="447"/>
    <col min="12822" max="12822" width="10.42578125" style="447" bestFit="1" customWidth="1"/>
    <col min="12823" max="13051" width="9" style="447"/>
    <col min="13052" max="13052" width="3.5703125" style="447" customWidth="1"/>
    <col min="13053" max="13053" width="4.85546875" style="447" customWidth="1"/>
    <col min="13054" max="13054" width="5.42578125" style="447" customWidth="1"/>
    <col min="13055" max="13055" width="31.28515625" style="447" customWidth="1"/>
    <col min="13056" max="13056" width="7.5703125" style="447" customWidth="1"/>
    <col min="13057" max="13057" width="2.42578125" style="447" customWidth="1"/>
    <col min="13058" max="13058" width="11.5703125" style="447" customWidth="1"/>
    <col min="13059" max="13059" width="2.42578125" style="447" customWidth="1"/>
    <col min="13060" max="13060" width="11.5703125" style="447" customWidth="1"/>
    <col min="13061" max="13061" width="2.42578125" style="447" customWidth="1"/>
    <col min="13062" max="13062" width="10.85546875" style="447" customWidth="1"/>
    <col min="13063" max="13063" width="2.42578125" style="447" customWidth="1"/>
    <col min="13064" max="13064" width="11.140625" style="447" customWidth="1"/>
    <col min="13065" max="13065" width="1.85546875" style="447" customWidth="1"/>
    <col min="13066" max="13066" width="11" style="447" customWidth="1"/>
    <col min="13067" max="13067" width="0.7109375" style="447" customWidth="1"/>
    <col min="13068" max="13068" width="1.85546875" style="447" customWidth="1"/>
    <col min="13069" max="13069" width="11.85546875" style="447" bestFit="1" customWidth="1"/>
    <col min="13070" max="13070" width="15.28515625" style="447" bestFit="1" customWidth="1"/>
    <col min="13071" max="13071" width="5" style="447" customWidth="1"/>
    <col min="13072" max="13072" width="10.42578125" style="447" bestFit="1" customWidth="1"/>
    <col min="13073" max="13073" width="5" style="447" customWidth="1"/>
    <col min="13074" max="13074" width="10.42578125" style="447" bestFit="1" customWidth="1"/>
    <col min="13075" max="13077" width="9" style="447"/>
    <col min="13078" max="13078" width="10.42578125" style="447" bestFit="1" customWidth="1"/>
    <col min="13079" max="13307" width="9" style="447"/>
    <col min="13308" max="13308" width="3.5703125" style="447" customWidth="1"/>
    <col min="13309" max="13309" width="4.85546875" style="447" customWidth="1"/>
    <col min="13310" max="13310" width="5.42578125" style="447" customWidth="1"/>
    <col min="13311" max="13311" width="31.28515625" style="447" customWidth="1"/>
    <col min="13312" max="13312" width="7.5703125" style="447" customWidth="1"/>
    <col min="13313" max="13313" width="2.42578125" style="447" customWidth="1"/>
    <col min="13314" max="13314" width="11.5703125" style="447" customWidth="1"/>
    <col min="13315" max="13315" width="2.42578125" style="447" customWidth="1"/>
    <col min="13316" max="13316" width="11.5703125" style="447" customWidth="1"/>
    <col min="13317" max="13317" width="2.42578125" style="447" customWidth="1"/>
    <col min="13318" max="13318" width="10.85546875" style="447" customWidth="1"/>
    <col min="13319" max="13319" width="2.42578125" style="447" customWidth="1"/>
    <col min="13320" max="13320" width="11.140625" style="447" customWidth="1"/>
    <col min="13321" max="13321" width="1.85546875" style="447" customWidth="1"/>
    <col min="13322" max="13322" width="11" style="447" customWidth="1"/>
    <col min="13323" max="13323" width="0.7109375" style="447" customWidth="1"/>
    <col min="13324" max="13324" width="1.85546875" style="447" customWidth="1"/>
    <col min="13325" max="13325" width="11.85546875" style="447" bestFit="1" customWidth="1"/>
    <col min="13326" max="13326" width="15.28515625" style="447" bestFit="1" customWidth="1"/>
    <col min="13327" max="13327" width="5" style="447" customWidth="1"/>
    <col min="13328" max="13328" width="10.42578125" style="447" bestFit="1" customWidth="1"/>
    <col min="13329" max="13329" width="5" style="447" customWidth="1"/>
    <col min="13330" max="13330" width="10.42578125" style="447" bestFit="1" customWidth="1"/>
    <col min="13331" max="13333" width="9" style="447"/>
    <col min="13334" max="13334" width="10.42578125" style="447" bestFit="1" customWidth="1"/>
    <col min="13335" max="13563" width="9" style="447"/>
    <col min="13564" max="13564" width="3.5703125" style="447" customWidth="1"/>
    <col min="13565" max="13565" width="4.85546875" style="447" customWidth="1"/>
    <col min="13566" max="13566" width="5.42578125" style="447" customWidth="1"/>
    <col min="13567" max="13567" width="31.28515625" style="447" customWidth="1"/>
    <col min="13568" max="13568" width="7.5703125" style="447" customWidth="1"/>
    <col min="13569" max="13569" width="2.42578125" style="447" customWidth="1"/>
    <col min="13570" max="13570" width="11.5703125" style="447" customWidth="1"/>
    <col min="13571" max="13571" width="2.42578125" style="447" customWidth="1"/>
    <col min="13572" max="13572" width="11.5703125" style="447" customWidth="1"/>
    <col min="13573" max="13573" width="2.42578125" style="447" customWidth="1"/>
    <col min="13574" max="13574" width="10.85546875" style="447" customWidth="1"/>
    <col min="13575" max="13575" width="2.42578125" style="447" customWidth="1"/>
    <col min="13576" max="13576" width="11.140625" style="447" customWidth="1"/>
    <col min="13577" max="13577" width="1.85546875" style="447" customWidth="1"/>
    <col min="13578" max="13578" width="11" style="447" customWidth="1"/>
    <col min="13579" max="13579" width="0.7109375" style="447" customWidth="1"/>
    <col min="13580" max="13580" width="1.85546875" style="447" customWidth="1"/>
    <col min="13581" max="13581" width="11.85546875" style="447" bestFit="1" customWidth="1"/>
    <col min="13582" max="13582" width="15.28515625" style="447" bestFit="1" customWidth="1"/>
    <col min="13583" max="13583" width="5" style="447" customWidth="1"/>
    <col min="13584" max="13584" width="10.42578125" style="447" bestFit="1" customWidth="1"/>
    <col min="13585" max="13585" width="5" style="447" customWidth="1"/>
    <col min="13586" max="13586" width="10.42578125" style="447" bestFit="1" customWidth="1"/>
    <col min="13587" max="13589" width="9" style="447"/>
    <col min="13590" max="13590" width="10.42578125" style="447" bestFit="1" customWidth="1"/>
    <col min="13591" max="13819" width="9" style="447"/>
    <col min="13820" max="13820" width="3.5703125" style="447" customWidth="1"/>
    <col min="13821" max="13821" width="4.85546875" style="447" customWidth="1"/>
    <col min="13822" max="13822" width="5.42578125" style="447" customWidth="1"/>
    <col min="13823" max="13823" width="31.28515625" style="447" customWidth="1"/>
    <col min="13824" max="13824" width="7.5703125" style="447" customWidth="1"/>
    <col min="13825" max="13825" width="2.42578125" style="447" customWidth="1"/>
    <col min="13826" max="13826" width="11.5703125" style="447" customWidth="1"/>
    <col min="13827" max="13827" width="2.42578125" style="447" customWidth="1"/>
    <col min="13828" max="13828" width="11.5703125" style="447" customWidth="1"/>
    <col min="13829" max="13829" width="2.42578125" style="447" customWidth="1"/>
    <col min="13830" max="13830" width="10.85546875" style="447" customWidth="1"/>
    <col min="13831" max="13831" width="2.42578125" style="447" customWidth="1"/>
    <col min="13832" max="13832" width="11.140625" style="447" customWidth="1"/>
    <col min="13833" max="13833" width="1.85546875" style="447" customWidth="1"/>
    <col min="13834" max="13834" width="11" style="447" customWidth="1"/>
    <col min="13835" max="13835" width="0.7109375" style="447" customWidth="1"/>
    <col min="13836" max="13836" width="1.85546875" style="447" customWidth="1"/>
    <col min="13837" max="13837" width="11.85546875" style="447" bestFit="1" customWidth="1"/>
    <col min="13838" max="13838" width="15.28515625" style="447" bestFit="1" customWidth="1"/>
    <col min="13839" max="13839" width="5" style="447" customWidth="1"/>
    <col min="13840" max="13840" width="10.42578125" style="447" bestFit="1" customWidth="1"/>
    <col min="13841" max="13841" width="5" style="447" customWidth="1"/>
    <col min="13842" max="13842" width="10.42578125" style="447" bestFit="1" customWidth="1"/>
    <col min="13843" max="13845" width="9" style="447"/>
    <col min="13846" max="13846" width="10.42578125" style="447" bestFit="1" customWidth="1"/>
    <col min="13847" max="14075" width="9" style="447"/>
    <col min="14076" max="14076" width="3.5703125" style="447" customWidth="1"/>
    <col min="14077" max="14077" width="4.85546875" style="447" customWidth="1"/>
    <col min="14078" max="14078" width="5.42578125" style="447" customWidth="1"/>
    <col min="14079" max="14079" width="31.28515625" style="447" customWidth="1"/>
    <col min="14080" max="14080" width="7.5703125" style="447" customWidth="1"/>
    <col min="14081" max="14081" width="2.42578125" style="447" customWidth="1"/>
    <col min="14082" max="14082" width="11.5703125" style="447" customWidth="1"/>
    <col min="14083" max="14083" width="2.42578125" style="447" customWidth="1"/>
    <col min="14084" max="14084" width="11.5703125" style="447" customWidth="1"/>
    <col min="14085" max="14085" width="2.42578125" style="447" customWidth="1"/>
    <col min="14086" max="14086" width="10.85546875" style="447" customWidth="1"/>
    <col min="14087" max="14087" width="2.42578125" style="447" customWidth="1"/>
    <col min="14088" max="14088" width="11.140625" style="447" customWidth="1"/>
    <col min="14089" max="14089" width="1.85546875" style="447" customWidth="1"/>
    <col min="14090" max="14090" width="11" style="447" customWidth="1"/>
    <col min="14091" max="14091" width="0.7109375" style="447" customWidth="1"/>
    <col min="14092" max="14092" width="1.85546875" style="447" customWidth="1"/>
    <col min="14093" max="14093" width="11.85546875" style="447" bestFit="1" customWidth="1"/>
    <col min="14094" max="14094" width="15.28515625" style="447" bestFit="1" customWidth="1"/>
    <col min="14095" max="14095" width="5" style="447" customWidth="1"/>
    <col min="14096" max="14096" width="10.42578125" style="447" bestFit="1" customWidth="1"/>
    <col min="14097" max="14097" width="5" style="447" customWidth="1"/>
    <col min="14098" max="14098" width="10.42578125" style="447" bestFit="1" customWidth="1"/>
    <col min="14099" max="14101" width="9" style="447"/>
    <col min="14102" max="14102" width="10.42578125" style="447" bestFit="1" customWidth="1"/>
    <col min="14103" max="14331" width="9" style="447"/>
    <col min="14332" max="14332" width="3.5703125" style="447" customWidth="1"/>
    <col min="14333" max="14333" width="4.85546875" style="447" customWidth="1"/>
    <col min="14334" max="14334" width="5.42578125" style="447" customWidth="1"/>
    <col min="14335" max="14335" width="31.28515625" style="447" customWidth="1"/>
    <col min="14336" max="14336" width="7.5703125" style="447" customWidth="1"/>
    <col min="14337" max="14337" width="2.42578125" style="447" customWidth="1"/>
    <col min="14338" max="14338" width="11.5703125" style="447" customWidth="1"/>
    <col min="14339" max="14339" width="2.42578125" style="447" customWidth="1"/>
    <col min="14340" max="14340" width="11.5703125" style="447" customWidth="1"/>
    <col min="14341" max="14341" width="2.42578125" style="447" customWidth="1"/>
    <col min="14342" max="14342" width="10.85546875" style="447" customWidth="1"/>
    <col min="14343" max="14343" width="2.42578125" style="447" customWidth="1"/>
    <col min="14344" max="14344" width="11.140625" style="447" customWidth="1"/>
    <col min="14345" max="14345" width="1.85546875" style="447" customWidth="1"/>
    <col min="14346" max="14346" width="11" style="447" customWidth="1"/>
    <col min="14347" max="14347" width="0.7109375" style="447" customWidth="1"/>
    <col min="14348" max="14348" width="1.85546875" style="447" customWidth="1"/>
    <col min="14349" max="14349" width="11.85546875" style="447" bestFit="1" customWidth="1"/>
    <col min="14350" max="14350" width="15.28515625" style="447" bestFit="1" customWidth="1"/>
    <col min="14351" max="14351" width="5" style="447" customWidth="1"/>
    <col min="14352" max="14352" width="10.42578125" style="447" bestFit="1" customWidth="1"/>
    <col min="14353" max="14353" width="5" style="447" customWidth="1"/>
    <col min="14354" max="14354" width="10.42578125" style="447" bestFit="1" customWidth="1"/>
    <col min="14355" max="14357" width="9" style="447"/>
    <col min="14358" max="14358" width="10.42578125" style="447" bestFit="1" customWidth="1"/>
    <col min="14359" max="14587" width="9" style="447"/>
    <col min="14588" max="14588" width="3.5703125" style="447" customWidth="1"/>
    <col min="14589" max="14589" width="4.85546875" style="447" customWidth="1"/>
    <col min="14590" max="14590" width="5.42578125" style="447" customWidth="1"/>
    <col min="14591" max="14591" width="31.28515625" style="447" customWidth="1"/>
    <col min="14592" max="14592" width="7.5703125" style="447" customWidth="1"/>
    <col min="14593" max="14593" width="2.42578125" style="447" customWidth="1"/>
    <col min="14594" max="14594" width="11.5703125" style="447" customWidth="1"/>
    <col min="14595" max="14595" width="2.42578125" style="447" customWidth="1"/>
    <col min="14596" max="14596" width="11.5703125" style="447" customWidth="1"/>
    <col min="14597" max="14597" width="2.42578125" style="447" customWidth="1"/>
    <col min="14598" max="14598" width="10.85546875" style="447" customWidth="1"/>
    <col min="14599" max="14599" width="2.42578125" style="447" customWidth="1"/>
    <col min="14600" max="14600" width="11.140625" style="447" customWidth="1"/>
    <col min="14601" max="14601" width="1.85546875" style="447" customWidth="1"/>
    <col min="14602" max="14602" width="11" style="447" customWidth="1"/>
    <col min="14603" max="14603" width="0.7109375" style="447" customWidth="1"/>
    <col min="14604" max="14604" width="1.85546875" style="447" customWidth="1"/>
    <col min="14605" max="14605" width="11.85546875" style="447" bestFit="1" customWidth="1"/>
    <col min="14606" max="14606" width="15.28515625" style="447" bestFit="1" customWidth="1"/>
    <col min="14607" max="14607" width="5" style="447" customWidth="1"/>
    <col min="14608" max="14608" width="10.42578125" style="447" bestFit="1" customWidth="1"/>
    <col min="14609" max="14609" width="5" style="447" customWidth="1"/>
    <col min="14610" max="14610" width="10.42578125" style="447" bestFit="1" customWidth="1"/>
    <col min="14611" max="14613" width="9" style="447"/>
    <col min="14614" max="14614" width="10.42578125" style="447" bestFit="1" customWidth="1"/>
    <col min="14615" max="14843" width="9" style="447"/>
    <col min="14844" max="14844" width="3.5703125" style="447" customWidth="1"/>
    <col min="14845" max="14845" width="4.85546875" style="447" customWidth="1"/>
    <col min="14846" max="14846" width="5.42578125" style="447" customWidth="1"/>
    <col min="14847" max="14847" width="31.28515625" style="447" customWidth="1"/>
    <col min="14848" max="14848" width="7.5703125" style="447" customWidth="1"/>
    <col min="14849" max="14849" width="2.42578125" style="447" customWidth="1"/>
    <col min="14850" max="14850" width="11.5703125" style="447" customWidth="1"/>
    <col min="14851" max="14851" width="2.42578125" style="447" customWidth="1"/>
    <col min="14852" max="14852" width="11.5703125" style="447" customWidth="1"/>
    <col min="14853" max="14853" width="2.42578125" style="447" customWidth="1"/>
    <col min="14854" max="14854" width="10.85546875" style="447" customWidth="1"/>
    <col min="14855" max="14855" width="2.42578125" style="447" customWidth="1"/>
    <col min="14856" max="14856" width="11.140625" style="447" customWidth="1"/>
    <col min="14857" max="14857" width="1.85546875" style="447" customWidth="1"/>
    <col min="14858" max="14858" width="11" style="447" customWidth="1"/>
    <col min="14859" max="14859" width="0.7109375" style="447" customWidth="1"/>
    <col min="14860" max="14860" width="1.85546875" style="447" customWidth="1"/>
    <col min="14861" max="14861" width="11.85546875" style="447" bestFit="1" customWidth="1"/>
    <col min="14862" max="14862" width="15.28515625" style="447" bestFit="1" customWidth="1"/>
    <col min="14863" max="14863" width="5" style="447" customWidth="1"/>
    <col min="14864" max="14864" width="10.42578125" style="447" bestFit="1" customWidth="1"/>
    <col min="14865" max="14865" width="5" style="447" customWidth="1"/>
    <col min="14866" max="14866" width="10.42578125" style="447" bestFit="1" customWidth="1"/>
    <col min="14867" max="14869" width="9" style="447"/>
    <col min="14870" max="14870" width="10.42578125" style="447" bestFit="1" customWidth="1"/>
    <col min="14871" max="15099" width="9" style="447"/>
    <col min="15100" max="15100" width="3.5703125" style="447" customWidth="1"/>
    <col min="15101" max="15101" width="4.85546875" style="447" customWidth="1"/>
    <col min="15102" max="15102" width="5.42578125" style="447" customWidth="1"/>
    <col min="15103" max="15103" width="31.28515625" style="447" customWidth="1"/>
    <col min="15104" max="15104" width="7.5703125" style="447" customWidth="1"/>
    <col min="15105" max="15105" width="2.42578125" style="447" customWidth="1"/>
    <col min="15106" max="15106" width="11.5703125" style="447" customWidth="1"/>
    <col min="15107" max="15107" width="2.42578125" style="447" customWidth="1"/>
    <col min="15108" max="15108" width="11.5703125" style="447" customWidth="1"/>
    <col min="15109" max="15109" width="2.42578125" style="447" customWidth="1"/>
    <col min="15110" max="15110" width="10.85546875" style="447" customWidth="1"/>
    <col min="15111" max="15111" width="2.42578125" style="447" customWidth="1"/>
    <col min="15112" max="15112" width="11.140625" style="447" customWidth="1"/>
    <col min="15113" max="15113" width="1.85546875" style="447" customWidth="1"/>
    <col min="15114" max="15114" width="11" style="447" customWidth="1"/>
    <col min="15115" max="15115" width="0.7109375" style="447" customWidth="1"/>
    <col min="15116" max="15116" width="1.85546875" style="447" customWidth="1"/>
    <col min="15117" max="15117" width="11.85546875" style="447" bestFit="1" customWidth="1"/>
    <col min="15118" max="15118" width="15.28515625" style="447" bestFit="1" customWidth="1"/>
    <col min="15119" max="15119" width="5" style="447" customWidth="1"/>
    <col min="15120" max="15120" width="10.42578125" style="447" bestFit="1" customWidth="1"/>
    <col min="15121" max="15121" width="5" style="447" customWidth="1"/>
    <col min="15122" max="15122" width="10.42578125" style="447" bestFit="1" customWidth="1"/>
    <col min="15123" max="15125" width="9" style="447"/>
    <col min="15126" max="15126" width="10.42578125" style="447" bestFit="1" customWidth="1"/>
    <col min="15127" max="15355" width="9" style="447"/>
    <col min="15356" max="15356" width="3.5703125" style="447" customWidth="1"/>
    <col min="15357" max="15357" width="4.85546875" style="447" customWidth="1"/>
    <col min="15358" max="15358" width="5.42578125" style="447" customWidth="1"/>
    <col min="15359" max="15359" width="31.28515625" style="447" customWidth="1"/>
    <col min="15360" max="15360" width="7.5703125" style="447" customWidth="1"/>
    <col min="15361" max="15361" width="2.42578125" style="447" customWidth="1"/>
    <col min="15362" max="15362" width="11.5703125" style="447" customWidth="1"/>
    <col min="15363" max="15363" width="2.42578125" style="447" customWidth="1"/>
    <col min="15364" max="15364" width="11.5703125" style="447" customWidth="1"/>
    <col min="15365" max="15365" width="2.42578125" style="447" customWidth="1"/>
    <col min="15366" max="15366" width="10.85546875" style="447" customWidth="1"/>
    <col min="15367" max="15367" width="2.42578125" style="447" customWidth="1"/>
    <col min="15368" max="15368" width="11.140625" style="447" customWidth="1"/>
    <col min="15369" max="15369" width="1.85546875" style="447" customWidth="1"/>
    <col min="15370" max="15370" width="11" style="447" customWidth="1"/>
    <col min="15371" max="15371" width="0.7109375" style="447" customWidth="1"/>
    <col min="15372" max="15372" width="1.85546875" style="447" customWidth="1"/>
    <col min="15373" max="15373" width="11.85546875" style="447" bestFit="1" customWidth="1"/>
    <col min="15374" max="15374" width="15.28515625" style="447" bestFit="1" customWidth="1"/>
    <col min="15375" max="15375" width="5" style="447" customWidth="1"/>
    <col min="15376" max="15376" width="10.42578125" style="447" bestFit="1" customWidth="1"/>
    <col min="15377" max="15377" width="5" style="447" customWidth="1"/>
    <col min="15378" max="15378" width="10.42578125" style="447" bestFit="1" customWidth="1"/>
    <col min="15379" max="15381" width="9" style="447"/>
    <col min="15382" max="15382" width="10.42578125" style="447" bestFit="1" customWidth="1"/>
    <col min="15383" max="15611" width="9" style="447"/>
    <col min="15612" max="15612" width="3.5703125" style="447" customWidth="1"/>
    <col min="15613" max="15613" width="4.85546875" style="447" customWidth="1"/>
    <col min="15614" max="15614" width="5.42578125" style="447" customWidth="1"/>
    <col min="15615" max="15615" width="31.28515625" style="447" customWidth="1"/>
    <col min="15616" max="15616" width="7.5703125" style="447" customWidth="1"/>
    <col min="15617" max="15617" width="2.42578125" style="447" customWidth="1"/>
    <col min="15618" max="15618" width="11.5703125" style="447" customWidth="1"/>
    <col min="15619" max="15619" width="2.42578125" style="447" customWidth="1"/>
    <col min="15620" max="15620" width="11.5703125" style="447" customWidth="1"/>
    <col min="15621" max="15621" width="2.42578125" style="447" customWidth="1"/>
    <col min="15622" max="15622" width="10.85546875" style="447" customWidth="1"/>
    <col min="15623" max="15623" width="2.42578125" style="447" customWidth="1"/>
    <col min="15624" max="15624" width="11.140625" style="447" customWidth="1"/>
    <col min="15625" max="15625" width="1.85546875" style="447" customWidth="1"/>
    <col min="15626" max="15626" width="11" style="447" customWidth="1"/>
    <col min="15627" max="15627" width="0.7109375" style="447" customWidth="1"/>
    <col min="15628" max="15628" width="1.85546875" style="447" customWidth="1"/>
    <col min="15629" max="15629" width="11.85546875" style="447" bestFit="1" customWidth="1"/>
    <col min="15630" max="15630" width="15.28515625" style="447" bestFit="1" customWidth="1"/>
    <col min="15631" max="15631" width="5" style="447" customWidth="1"/>
    <col min="15632" max="15632" width="10.42578125" style="447" bestFit="1" customWidth="1"/>
    <col min="15633" max="15633" width="5" style="447" customWidth="1"/>
    <col min="15634" max="15634" width="10.42578125" style="447" bestFit="1" customWidth="1"/>
    <col min="15635" max="15637" width="9" style="447"/>
    <col min="15638" max="15638" width="10.42578125" style="447" bestFit="1" customWidth="1"/>
    <col min="15639" max="15867" width="9" style="447"/>
    <col min="15868" max="15868" width="3.5703125" style="447" customWidth="1"/>
    <col min="15869" max="15869" width="4.85546875" style="447" customWidth="1"/>
    <col min="15870" max="15870" width="5.42578125" style="447" customWidth="1"/>
    <col min="15871" max="15871" width="31.28515625" style="447" customWidth="1"/>
    <col min="15872" max="15872" width="7.5703125" style="447" customWidth="1"/>
    <col min="15873" max="15873" width="2.42578125" style="447" customWidth="1"/>
    <col min="15874" max="15874" width="11.5703125" style="447" customWidth="1"/>
    <col min="15875" max="15875" width="2.42578125" style="447" customWidth="1"/>
    <col min="15876" max="15876" width="11.5703125" style="447" customWidth="1"/>
    <col min="15877" max="15877" width="2.42578125" style="447" customWidth="1"/>
    <col min="15878" max="15878" width="10.85546875" style="447" customWidth="1"/>
    <col min="15879" max="15879" width="2.42578125" style="447" customWidth="1"/>
    <col min="15880" max="15880" width="11.140625" style="447" customWidth="1"/>
    <col min="15881" max="15881" width="1.85546875" style="447" customWidth="1"/>
    <col min="15882" max="15882" width="11" style="447" customWidth="1"/>
    <col min="15883" max="15883" width="0.7109375" style="447" customWidth="1"/>
    <col min="15884" max="15884" width="1.85546875" style="447" customWidth="1"/>
    <col min="15885" max="15885" width="11.85546875" style="447" bestFit="1" customWidth="1"/>
    <col min="15886" max="15886" width="15.28515625" style="447" bestFit="1" customWidth="1"/>
    <col min="15887" max="15887" width="5" style="447" customWidth="1"/>
    <col min="15888" max="15888" width="10.42578125" style="447" bestFit="1" customWidth="1"/>
    <col min="15889" max="15889" width="5" style="447" customWidth="1"/>
    <col min="15890" max="15890" width="10.42578125" style="447" bestFit="1" customWidth="1"/>
    <col min="15891" max="15893" width="9" style="447"/>
    <col min="15894" max="15894" width="10.42578125" style="447" bestFit="1" customWidth="1"/>
    <col min="15895" max="16123" width="9" style="447"/>
    <col min="16124" max="16124" width="3.5703125" style="447" customWidth="1"/>
    <col min="16125" max="16125" width="4.85546875" style="447" customWidth="1"/>
    <col min="16126" max="16126" width="5.42578125" style="447" customWidth="1"/>
    <col min="16127" max="16127" width="31.28515625" style="447" customWidth="1"/>
    <col min="16128" max="16128" width="7.5703125" style="447" customWidth="1"/>
    <col min="16129" max="16129" width="2.42578125" style="447" customWidth="1"/>
    <col min="16130" max="16130" width="11.5703125" style="447" customWidth="1"/>
    <col min="16131" max="16131" width="2.42578125" style="447" customWidth="1"/>
    <col min="16132" max="16132" width="11.5703125" style="447" customWidth="1"/>
    <col min="16133" max="16133" width="2.42578125" style="447" customWidth="1"/>
    <col min="16134" max="16134" width="10.85546875" style="447" customWidth="1"/>
    <col min="16135" max="16135" width="2.42578125" style="447" customWidth="1"/>
    <col min="16136" max="16136" width="11.140625" style="447" customWidth="1"/>
    <col min="16137" max="16137" width="1.85546875" style="447" customWidth="1"/>
    <col min="16138" max="16138" width="11" style="447" customWidth="1"/>
    <col min="16139" max="16139" width="0.7109375" style="447" customWidth="1"/>
    <col min="16140" max="16140" width="1.85546875" style="447" customWidth="1"/>
    <col min="16141" max="16141" width="11.85546875" style="447" bestFit="1" customWidth="1"/>
    <col min="16142" max="16142" width="15.28515625" style="447" bestFit="1" customWidth="1"/>
    <col min="16143" max="16143" width="5" style="447" customWidth="1"/>
    <col min="16144" max="16144" width="10.42578125" style="447" bestFit="1" customWidth="1"/>
    <col min="16145" max="16145" width="5" style="447" customWidth="1"/>
    <col min="16146" max="16146" width="10.42578125" style="447" bestFit="1" customWidth="1"/>
    <col min="16147" max="16149" width="9" style="447"/>
    <col min="16150" max="16150" width="10.42578125" style="447" bestFit="1" customWidth="1"/>
    <col min="16151" max="16384" width="9" style="447"/>
  </cols>
  <sheetData>
    <row r="1" spans="1:16" s="443" customFormat="1" ht="24.75" customHeight="1" x14ac:dyDescent="0.6">
      <c r="A1" s="1528" t="s">
        <v>248</v>
      </c>
      <c r="B1" s="1528"/>
      <c r="C1" s="1528"/>
      <c r="D1" s="1528"/>
      <c r="E1" s="1528"/>
      <c r="F1" s="1528"/>
      <c r="G1" s="1528"/>
      <c r="H1" s="1528"/>
      <c r="I1" s="1528"/>
      <c r="J1" s="1528"/>
      <c r="K1" s="442"/>
      <c r="L1" s="442"/>
      <c r="M1" s="1110"/>
      <c r="N1" s="1111"/>
      <c r="O1" s="442"/>
      <c r="P1" s="442"/>
    </row>
    <row r="2" spans="1:16" s="443" customFormat="1" x14ac:dyDescent="0.6">
      <c r="A2" s="1529" t="str">
        <f>'22-1'!A2:J2</f>
        <v>يادداشتهاي توضيحي صورتهاي مالي</v>
      </c>
      <c r="B2" s="1529"/>
      <c r="C2" s="1529"/>
      <c r="D2" s="1529"/>
      <c r="E2" s="1529"/>
      <c r="F2" s="1529"/>
      <c r="G2" s="1529"/>
      <c r="H2" s="1529"/>
      <c r="I2" s="1529"/>
      <c r="J2" s="1529"/>
      <c r="K2" s="442"/>
      <c r="L2" s="442"/>
      <c r="M2" s="1110"/>
      <c r="N2" s="1111"/>
      <c r="O2" s="442"/>
      <c r="P2" s="442"/>
    </row>
    <row r="3" spans="1:16" s="443" customFormat="1" x14ac:dyDescent="0.6">
      <c r="A3" s="1529" t="str">
        <f>سودوزيان!A3</f>
        <v>سال مالی منتهی به 30 اسفند 1403</v>
      </c>
      <c r="B3" s="1529"/>
      <c r="C3" s="1529"/>
      <c r="D3" s="1529"/>
      <c r="E3" s="1529"/>
      <c r="F3" s="1529"/>
      <c r="G3" s="1529"/>
      <c r="H3" s="1529"/>
      <c r="I3" s="1529"/>
      <c r="J3" s="1529"/>
      <c r="K3" s="442"/>
      <c r="L3" s="442"/>
      <c r="M3" s="1110"/>
      <c r="O3" s="442"/>
      <c r="P3" s="442"/>
    </row>
    <row r="4" spans="1:16" s="443" customFormat="1" x14ac:dyDescent="0.6">
      <c r="A4" s="420"/>
      <c r="B4" s="420"/>
      <c r="C4" s="420"/>
      <c r="D4" s="420"/>
      <c r="E4" s="420"/>
      <c r="F4" s="420"/>
      <c r="G4" s="1112"/>
      <c r="H4" s="420"/>
      <c r="I4" s="420"/>
      <c r="J4" s="420"/>
      <c r="K4" s="442"/>
      <c r="L4" s="442"/>
      <c r="M4" s="1110"/>
      <c r="N4" s="1111"/>
      <c r="O4" s="442"/>
      <c r="P4" s="442"/>
    </row>
    <row r="5" spans="1:16" ht="26.25" hidden="1" x14ac:dyDescent="0.6">
      <c r="B5" s="1113"/>
    </row>
    <row r="6" spans="1:16" ht="26.25" customHeight="1" x14ac:dyDescent="0.6">
      <c r="B6" s="1113"/>
      <c r="D6" s="1558" t="s">
        <v>1085</v>
      </c>
      <c r="E6" s="1558"/>
      <c r="F6" s="1558"/>
      <c r="G6" s="1558"/>
      <c r="H6" s="1558"/>
    </row>
    <row r="7" spans="1:16" ht="24" customHeight="1" x14ac:dyDescent="0.6">
      <c r="B7" s="1113"/>
      <c r="E7" s="1054"/>
      <c r="G7" s="1559">
        <v>1403</v>
      </c>
      <c r="H7" s="1560"/>
      <c r="I7" s="1559">
        <v>1402</v>
      </c>
      <c r="J7" s="1560"/>
    </row>
    <row r="8" spans="1:16" ht="24.75" customHeight="1" x14ac:dyDescent="0.6">
      <c r="B8" s="1113"/>
      <c r="E8" s="1054"/>
      <c r="G8" s="425" t="s">
        <v>494</v>
      </c>
      <c r="H8" s="1114"/>
      <c r="I8" s="423" t="s">
        <v>591</v>
      </c>
    </row>
    <row r="9" spans="1:16" ht="21" customHeight="1" x14ac:dyDescent="0.6">
      <c r="B9" s="1113"/>
      <c r="D9" s="447" t="s">
        <v>605</v>
      </c>
      <c r="G9" s="1115">
        <v>98496827338</v>
      </c>
      <c r="I9" s="1115">
        <v>100780340800</v>
      </c>
      <c r="K9" s="447">
        <v>3199</v>
      </c>
    </row>
    <row r="10" spans="1:16" ht="21" customHeight="1" x14ac:dyDescent="0.6">
      <c r="B10" s="1113"/>
      <c r="D10" s="447" t="s">
        <v>885</v>
      </c>
      <c r="G10" s="1115">
        <v>64261118840</v>
      </c>
      <c r="I10" s="1115">
        <v>4185600000</v>
      </c>
      <c r="K10" s="1110">
        <v>3114</v>
      </c>
      <c r="L10" s="1110"/>
    </row>
    <row r="11" spans="1:16" ht="21" customHeight="1" x14ac:dyDescent="0.6">
      <c r="B11" s="1113"/>
      <c r="D11" s="447" t="s">
        <v>612</v>
      </c>
      <c r="G11" s="1115">
        <v>25735288066</v>
      </c>
      <c r="H11" s="1116"/>
      <c r="I11" s="1115">
        <v>1043736016</v>
      </c>
      <c r="K11" s="447">
        <v>3115</v>
      </c>
    </row>
    <row r="12" spans="1:16" ht="21" customHeight="1" x14ac:dyDescent="0.6">
      <c r="B12" s="1113"/>
      <c r="D12" s="447" t="s">
        <v>525</v>
      </c>
      <c r="G12" s="1115">
        <v>23512348875</v>
      </c>
      <c r="I12" s="1115">
        <v>23512348875</v>
      </c>
      <c r="K12" s="447">
        <v>3115</v>
      </c>
    </row>
    <row r="13" spans="1:16" ht="21" customHeight="1" x14ac:dyDescent="0.6">
      <c r="B13" s="1113"/>
      <c r="D13" s="447" t="s">
        <v>888</v>
      </c>
      <c r="G13" s="1115">
        <v>18525119412</v>
      </c>
      <c r="I13" s="1115">
        <v>7734082131</v>
      </c>
      <c r="K13" s="1110">
        <v>3115</v>
      </c>
      <c r="L13" s="1110"/>
    </row>
    <row r="14" spans="1:16" ht="21" customHeight="1" x14ac:dyDescent="0.6">
      <c r="B14" s="1113"/>
      <c r="D14" s="447" t="s">
        <v>608</v>
      </c>
      <c r="G14" s="1115">
        <v>17297817968</v>
      </c>
      <c r="H14" s="1116"/>
      <c r="I14" s="1115">
        <v>12282203025</v>
      </c>
      <c r="K14" s="447">
        <v>3115</v>
      </c>
    </row>
    <row r="15" spans="1:16" ht="21" customHeight="1" x14ac:dyDescent="0.6">
      <c r="B15" s="1113"/>
      <c r="D15" s="447" t="s">
        <v>600</v>
      </c>
      <c r="G15" s="1115">
        <v>10537711250</v>
      </c>
      <c r="I15" s="1115">
        <v>9532237207</v>
      </c>
      <c r="K15" s="447">
        <v>3115</v>
      </c>
    </row>
    <row r="16" spans="1:16" ht="21" customHeight="1" x14ac:dyDescent="0.6">
      <c r="B16" s="1113"/>
      <c r="D16" s="447" t="s">
        <v>1169</v>
      </c>
      <c r="G16" s="1115">
        <v>10378436200</v>
      </c>
      <c r="H16" s="1116"/>
      <c r="I16" s="1115">
        <v>0</v>
      </c>
      <c r="K16" s="447">
        <v>3115</v>
      </c>
    </row>
    <row r="17" spans="2:12" ht="21" customHeight="1" x14ac:dyDescent="0.6">
      <c r="B17" s="1113"/>
      <c r="D17" s="447" t="s">
        <v>880</v>
      </c>
      <c r="G17" s="1115">
        <v>8324250000</v>
      </c>
      <c r="I17" s="1115">
        <v>0</v>
      </c>
      <c r="K17" s="447">
        <v>3114</v>
      </c>
    </row>
    <row r="18" spans="2:12" ht="21" customHeight="1" x14ac:dyDescent="0.6">
      <c r="B18" s="1113"/>
      <c r="D18" s="447" t="s">
        <v>607</v>
      </c>
      <c r="G18" s="1115">
        <v>7705945500</v>
      </c>
      <c r="H18" s="1116"/>
      <c r="I18" s="1115">
        <v>14600920600</v>
      </c>
      <c r="K18" s="447">
        <v>3115</v>
      </c>
    </row>
    <row r="19" spans="2:12" ht="21" customHeight="1" x14ac:dyDescent="0.6">
      <c r="B19" s="1113"/>
      <c r="D19" s="447" t="s">
        <v>972</v>
      </c>
      <c r="G19" s="1115">
        <v>7214487500</v>
      </c>
      <c r="I19" s="1115">
        <v>8172449727</v>
      </c>
      <c r="K19" s="447">
        <v>3115</v>
      </c>
    </row>
    <row r="20" spans="2:12" ht="21" customHeight="1" x14ac:dyDescent="0.6">
      <c r="B20" s="1113"/>
      <c r="D20" s="447" t="s">
        <v>598</v>
      </c>
      <c r="G20" s="1115">
        <v>5017647800</v>
      </c>
      <c r="H20" s="1116"/>
      <c r="I20" s="1115">
        <v>6012484655</v>
      </c>
      <c r="K20" s="447">
        <v>3115</v>
      </c>
    </row>
    <row r="21" spans="2:12" ht="21" customHeight="1" x14ac:dyDescent="0.6">
      <c r="B21" s="1113"/>
      <c r="D21" s="447" t="s">
        <v>414</v>
      </c>
      <c r="G21" s="1115">
        <v>4379649999</v>
      </c>
      <c r="I21" s="1115">
        <v>0</v>
      </c>
      <c r="K21" s="447">
        <v>3115</v>
      </c>
    </row>
    <row r="22" spans="2:12" ht="21" customHeight="1" x14ac:dyDescent="0.6">
      <c r="B22" s="1113"/>
      <c r="D22" s="447" t="s">
        <v>592</v>
      </c>
      <c r="G22" s="1115">
        <v>3998369690</v>
      </c>
      <c r="H22" s="1116"/>
      <c r="I22" s="1115">
        <v>0</v>
      </c>
      <c r="K22" s="447" t="s">
        <v>1325</v>
      </c>
    </row>
    <row r="23" spans="2:12" ht="21" customHeight="1" x14ac:dyDescent="0.6">
      <c r="B23" s="1113"/>
      <c r="D23" s="447" t="s">
        <v>1170</v>
      </c>
      <c r="G23" s="1115">
        <v>2517513460</v>
      </c>
      <c r="H23" s="1116"/>
      <c r="I23" s="1115">
        <v>0</v>
      </c>
      <c r="K23" s="447">
        <v>3115</v>
      </c>
    </row>
    <row r="24" spans="2:12" ht="21" customHeight="1" x14ac:dyDescent="0.6">
      <c r="B24" s="1113"/>
      <c r="D24" s="447" t="s">
        <v>883</v>
      </c>
      <c r="G24" s="1115">
        <v>2490671095</v>
      </c>
      <c r="H24" s="1116"/>
      <c r="I24" s="1115">
        <v>26954554955</v>
      </c>
      <c r="K24" s="447">
        <v>3115</v>
      </c>
    </row>
    <row r="25" spans="2:12" ht="21" customHeight="1" x14ac:dyDescent="0.6">
      <c r="B25" s="1113"/>
      <c r="D25" s="447" t="s">
        <v>1168</v>
      </c>
      <c r="G25" s="1115">
        <v>1917573600</v>
      </c>
      <c r="H25" s="1116"/>
      <c r="I25" s="1115">
        <v>0</v>
      </c>
      <c r="K25" s="447">
        <v>3115</v>
      </c>
    </row>
    <row r="26" spans="2:12" ht="21" customHeight="1" x14ac:dyDescent="0.6">
      <c r="B26" s="1113"/>
      <c r="D26" s="447" t="s">
        <v>1166</v>
      </c>
      <c r="G26" s="1115">
        <v>1887810000</v>
      </c>
      <c r="I26" s="1115">
        <v>0</v>
      </c>
      <c r="K26" s="447">
        <v>3114</v>
      </c>
    </row>
    <row r="27" spans="2:12" ht="21" customHeight="1" x14ac:dyDescent="0.6">
      <c r="B27" s="1113"/>
      <c r="D27" s="421" t="s">
        <v>982</v>
      </c>
      <c r="G27" s="1115">
        <v>1537782000</v>
      </c>
      <c r="I27" s="1115">
        <v>1537782000</v>
      </c>
      <c r="K27" s="447">
        <v>3119</v>
      </c>
    </row>
    <row r="28" spans="2:12" ht="21" customHeight="1" x14ac:dyDescent="0.6">
      <c r="B28" s="1113"/>
      <c r="D28" s="447" t="s">
        <v>889</v>
      </c>
      <c r="G28" s="1115">
        <v>1486387445</v>
      </c>
      <c r="I28" s="1115">
        <v>720419368</v>
      </c>
      <c r="K28" s="1110">
        <v>3115</v>
      </c>
      <c r="L28" s="1110"/>
    </row>
    <row r="29" spans="2:12" ht="21" customHeight="1" x14ac:dyDescent="0.6">
      <c r="B29" s="1113"/>
      <c r="D29" s="447" t="s">
        <v>1165</v>
      </c>
      <c r="G29" s="1115">
        <v>1210000000</v>
      </c>
      <c r="I29" s="1115">
        <v>0</v>
      </c>
      <c r="K29" s="447">
        <v>3114</v>
      </c>
    </row>
    <row r="30" spans="2:12" ht="21" customHeight="1" x14ac:dyDescent="0.6">
      <c r="B30" s="1113"/>
      <c r="D30" s="447" t="s">
        <v>609</v>
      </c>
      <c r="G30" s="1115">
        <v>1171643378</v>
      </c>
      <c r="I30" s="1115">
        <v>13652258378</v>
      </c>
      <c r="K30" s="447">
        <v>3114</v>
      </c>
    </row>
    <row r="31" spans="2:12" ht="21" customHeight="1" x14ac:dyDescent="0.6">
      <c r="B31" s="1113"/>
      <c r="D31" s="447" t="s">
        <v>1167</v>
      </c>
      <c r="G31" s="1115">
        <v>849391765</v>
      </c>
      <c r="I31" s="1115">
        <v>0</v>
      </c>
      <c r="K31" s="447">
        <v>3114</v>
      </c>
    </row>
    <row r="32" spans="2:12" ht="21" customHeight="1" x14ac:dyDescent="0.6">
      <c r="B32" s="1113"/>
      <c r="D32" s="447" t="s">
        <v>679</v>
      </c>
      <c r="G32" s="1115">
        <v>783750000</v>
      </c>
      <c r="I32" s="1115">
        <v>0</v>
      </c>
      <c r="K32" s="447">
        <v>3114</v>
      </c>
    </row>
    <row r="33" spans="2:12" ht="21" customHeight="1" x14ac:dyDescent="0.6">
      <c r="B33" s="1113"/>
      <c r="D33" s="447" t="s">
        <v>1173</v>
      </c>
      <c r="G33" s="1115">
        <v>780280000</v>
      </c>
      <c r="H33" s="1116"/>
      <c r="I33" s="1115">
        <v>0</v>
      </c>
      <c r="K33" s="447">
        <v>3114</v>
      </c>
    </row>
    <row r="34" spans="2:12" ht="21" customHeight="1" x14ac:dyDescent="0.6">
      <c r="B34" s="1113"/>
      <c r="D34" s="447" t="s">
        <v>1172</v>
      </c>
      <c r="G34" s="1115">
        <v>751080000</v>
      </c>
      <c r="H34" s="1116"/>
      <c r="I34" s="1115">
        <v>0</v>
      </c>
      <c r="K34" s="447">
        <v>3115</v>
      </c>
    </row>
    <row r="35" spans="2:12" ht="21" customHeight="1" x14ac:dyDescent="0.6">
      <c r="B35" s="1113"/>
      <c r="D35" s="447" t="s">
        <v>530</v>
      </c>
      <c r="G35" s="1115">
        <v>743109581</v>
      </c>
      <c r="I35" s="1115">
        <v>16892829850</v>
      </c>
      <c r="K35" s="447">
        <v>3114</v>
      </c>
    </row>
    <row r="36" spans="2:12" ht="21" customHeight="1" x14ac:dyDescent="0.6">
      <c r="B36" s="1113"/>
      <c r="D36" s="447" t="s">
        <v>1174</v>
      </c>
      <c r="G36" s="1115">
        <v>626578000</v>
      </c>
      <c r="H36" s="1116"/>
      <c r="I36" s="1115">
        <v>0</v>
      </c>
      <c r="K36" s="447" t="s">
        <v>1325</v>
      </c>
    </row>
    <row r="37" spans="2:12" ht="21" customHeight="1" x14ac:dyDescent="0.6">
      <c r="B37" s="1113"/>
      <c r="D37" s="447" t="s">
        <v>1175</v>
      </c>
      <c r="G37" s="1115">
        <v>590065980</v>
      </c>
      <c r="I37" s="1115">
        <v>0</v>
      </c>
      <c r="K37" s="1110" t="s">
        <v>1326</v>
      </c>
      <c r="L37" s="1110"/>
    </row>
    <row r="38" spans="2:12" ht="21" customHeight="1" x14ac:dyDescent="0.6">
      <c r="B38" s="1113"/>
      <c r="D38" s="447" t="s">
        <v>1171</v>
      </c>
      <c r="G38" s="1115">
        <v>557612821</v>
      </c>
      <c r="H38" s="1116"/>
      <c r="I38" s="1115">
        <v>0</v>
      </c>
      <c r="K38" s="447">
        <v>3115</v>
      </c>
    </row>
    <row r="39" spans="2:12" ht="21" customHeight="1" x14ac:dyDescent="0.6">
      <c r="B39" s="1113"/>
      <c r="D39" s="447" t="s">
        <v>606</v>
      </c>
      <c r="G39" s="1115">
        <v>535100503</v>
      </c>
      <c r="I39" s="1115">
        <v>3473202708</v>
      </c>
      <c r="K39" s="447">
        <v>3115</v>
      </c>
    </row>
    <row r="40" spans="2:12" ht="21" customHeight="1" x14ac:dyDescent="0.6">
      <c r="B40" s="1113"/>
      <c r="D40" s="447" t="s">
        <v>551</v>
      </c>
      <c r="G40" s="1115">
        <v>439594960</v>
      </c>
      <c r="I40" s="1115">
        <v>439644960</v>
      </c>
      <c r="K40" s="447" t="s">
        <v>1327</v>
      </c>
    </row>
    <row r="41" spans="2:12" ht="21" customHeight="1" x14ac:dyDescent="0.6">
      <c r="B41" s="1113"/>
      <c r="D41" s="447" t="s">
        <v>984</v>
      </c>
      <c r="G41" s="1115">
        <v>409969528</v>
      </c>
      <c r="I41" s="1115">
        <v>1215708428</v>
      </c>
      <c r="K41" s="447">
        <v>3115</v>
      </c>
    </row>
    <row r="42" spans="2:12" ht="21" customHeight="1" x14ac:dyDescent="0.6">
      <c r="B42" s="1113"/>
      <c r="D42" s="447" t="s">
        <v>621</v>
      </c>
      <c r="G42" s="1115">
        <v>149424826</v>
      </c>
      <c r="H42" s="1116"/>
      <c r="I42" s="1115">
        <v>167229976</v>
      </c>
      <c r="K42" s="447">
        <v>3115</v>
      </c>
    </row>
    <row r="43" spans="2:12" ht="21" customHeight="1" x14ac:dyDescent="0.6">
      <c r="B43" s="1113"/>
      <c r="D43" s="447" t="s">
        <v>452</v>
      </c>
      <c r="G43" s="1115">
        <v>144175942</v>
      </c>
      <c r="H43" s="1116"/>
      <c r="I43" s="1115">
        <v>0</v>
      </c>
      <c r="K43" s="447" t="s">
        <v>1326</v>
      </c>
    </row>
    <row r="44" spans="2:12" ht="21" customHeight="1" x14ac:dyDescent="0.6">
      <c r="B44" s="1113"/>
      <c r="D44" s="447" t="s">
        <v>681</v>
      </c>
      <c r="G44" s="1115">
        <v>113469000</v>
      </c>
      <c r="I44" s="1115">
        <v>113469000</v>
      </c>
      <c r="K44" s="1110">
        <v>3114</v>
      </c>
      <c r="L44" s="1110"/>
    </row>
    <row r="45" spans="2:12" ht="21" customHeight="1" x14ac:dyDescent="0.6">
      <c r="B45" s="1113"/>
      <c r="D45" s="447" t="s">
        <v>528</v>
      </c>
      <c r="G45" s="1115">
        <v>6111359</v>
      </c>
      <c r="H45" s="1116"/>
      <c r="I45" s="1115">
        <v>2549453049</v>
      </c>
      <c r="K45" s="447">
        <v>3115</v>
      </c>
    </row>
    <row r="46" spans="2:12" ht="21" customHeight="1" x14ac:dyDescent="0.6">
      <c r="B46" s="1113"/>
      <c r="D46" s="447" t="s">
        <v>601</v>
      </c>
      <c r="G46" s="1115">
        <v>0</v>
      </c>
      <c r="H46" s="1116"/>
      <c r="I46" s="1115">
        <v>0</v>
      </c>
    </row>
    <row r="47" spans="2:12" ht="21" customHeight="1" x14ac:dyDescent="0.6">
      <c r="B47" s="1113"/>
      <c r="D47" s="447" t="s">
        <v>610</v>
      </c>
      <c r="G47" s="1115">
        <v>0</v>
      </c>
      <c r="H47" s="1116"/>
      <c r="I47" s="1115">
        <v>0</v>
      </c>
    </row>
    <row r="48" spans="2:12" ht="21" customHeight="1" x14ac:dyDescent="0.6">
      <c r="B48" s="1113"/>
      <c r="D48" s="447" t="s">
        <v>593</v>
      </c>
      <c r="G48" s="1115">
        <v>0</v>
      </c>
      <c r="H48" s="1116"/>
      <c r="I48" s="1115">
        <v>0</v>
      </c>
    </row>
    <row r="49" spans="2:12" ht="21" customHeight="1" x14ac:dyDescent="0.6">
      <c r="B49" s="1113"/>
      <c r="D49" s="447" t="s">
        <v>599</v>
      </c>
      <c r="G49" s="1115">
        <v>0</v>
      </c>
      <c r="H49" s="1116"/>
      <c r="I49" s="1115">
        <v>0</v>
      </c>
    </row>
    <row r="50" spans="2:12" ht="21" customHeight="1" x14ac:dyDescent="0.6">
      <c r="B50" s="1113"/>
      <c r="D50" s="447" t="s">
        <v>979</v>
      </c>
      <c r="G50" s="1115">
        <v>0</v>
      </c>
      <c r="I50" s="1115">
        <v>0</v>
      </c>
    </row>
    <row r="51" spans="2:12" ht="21" customHeight="1" x14ac:dyDescent="0.6">
      <c r="B51" s="1113"/>
      <c r="D51" s="447" t="s">
        <v>980</v>
      </c>
      <c r="G51" s="1115">
        <v>0</v>
      </c>
      <c r="I51" s="1115">
        <v>0</v>
      </c>
    </row>
    <row r="52" spans="2:12" ht="21" customHeight="1" x14ac:dyDescent="0.6">
      <c r="B52" s="1113"/>
      <c r="D52" s="447" t="s">
        <v>613</v>
      </c>
      <c r="G52" s="1115">
        <v>0</v>
      </c>
      <c r="H52" s="1116"/>
      <c r="I52" s="1115">
        <v>0</v>
      </c>
    </row>
    <row r="53" spans="2:12" ht="21" customHeight="1" x14ac:dyDescent="0.6">
      <c r="B53" s="1113"/>
      <c r="D53" s="447" t="s">
        <v>617</v>
      </c>
      <c r="G53" s="1115">
        <v>0</v>
      </c>
      <c r="I53" s="1115">
        <v>0</v>
      </c>
    </row>
    <row r="54" spans="2:12" ht="21" customHeight="1" x14ac:dyDescent="0.6">
      <c r="B54" s="1113"/>
      <c r="D54" s="447" t="s">
        <v>981</v>
      </c>
      <c r="G54" s="1115">
        <v>0</v>
      </c>
      <c r="I54" s="1115">
        <v>0</v>
      </c>
    </row>
    <row r="55" spans="2:12" ht="21" customHeight="1" x14ac:dyDescent="0.6">
      <c r="B55" s="1113"/>
      <c r="D55" s="447" t="s">
        <v>965</v>
      </c>
      <c r="G55" s="1115">
        <v>0</v>
      </c>
      <c r="I55" s="1115">
        <v>0</v>
      </c>
    </row>
    <row r="56" spans="2:12" ht="21" customHeight="1" x14ac:dyDescent="0.6">
      <c r="B56" s="1113"/>
      <c r="D56" s="447" t="s">
        <v>603</v>
      </c>
      <c r="G56" s="1115">
        <v>0</v>
      </c>
      <c r="I56" s="1115">
        <v>0</v>
      </c>
    </row>
    <row r="57" spans="2:12" ht="21" customHeight="1" x14ac:dyDescent="0.6">
      <c r="B57" s="1113"/>
      <c r="D57" s="447" t="s">
        <v>461</v>
      </c>
      <c r="G57" s="1115">
        <v>0</v>
      </c>
      <c r="I57" s="1115">
        <v>0</v>
      </c>
    </row>
    <row r="58" spans="2:12" ht="21" customHeight="1" x14ac:dyDescent="0.6">
      <c r="B58" s="1113"/>
      <c r="D58" s="447" t="s">
        <v>415</v>
      </c>
      <c r="G58" s="1115">
        <v>0</v>
      </c>
      <c r="I58" s="1115">
        <v>0</v>
      </c>
    </row>
    <row r="59" spans="2:12" ht="21" customHeight="1" x14ac:dyDescent="0.6">
      <c r="B59" s="1113"/>
      <c r="D59" s="447" t="s">
        <v>983</v>
      </c>
      <c r="G59" s="1115">
        <v>0</v>
      </c>
      <c r="I59" s="1115">
        <v>0</v>
      </c>
    </row>
    <row r="60" spans="2:12" ht="21" customHeight="1" x14ac:dyDescent="0.6">
      <c r="B60" s="1113"/>
      <c r="D60" s="447" t="s">
        <v>615</v>
      </c>
      <c r="G60" s="1115">
        <v>0</v>
      </c>
      <c r="I60" s="1115">
        <v>0</v>
      </c>
    </row>
    <row r="61" spans="2:12" ht="21" customHeight="1" x14ac:dyDescent="0.6">
      <c r="B61" s="1113"/>
      <c r="D61" s="447" t="s">
        <v>614</v>
      </c>
      <c r="G61" s="1115">
        <v>0</v>
      </c>
      <c r="I61" s="1115">
        <v>0</v>
      </c>
    </row>
    <row r="62" spans="2:12" ht="21" customHeight="1" x14ac:dyDescent="0.6">
      <c r="B62" s="1113"/>
      <c r="D62" s="447" t="s">
        <v>616</v>
      </c>
      <c r="G62" s="1115">
        <v>0</v>
      </c>
      <c r="I62" s="1115">
        <v>0</v>
      </c>
    </row>
    <row r="63" spans="2:12" ht="21" customHeight="1" x14ac:dyDescent="0.6">
      <c r="B63" s="1113"/>
      <c r="D63" s="447" t="s">
        <v>619</v>
      </c>
      <c r="G63" s="1115">
        <v>0</v>
      </c>
      <c r="I63" s="1115">
        <v>0</v>
      </c>
    </row>
    <row r="64" spans="2:12" ht="21" customHeight="1" x14ac:dyDescent="0.6">
      <c r="B64" s="1113"/>
      <c r="D64" s="447" t="s">
        <v>267</v>
      </c>
      <c r="G64" s="1115">
        <v>0</v>
      </c>
      <c r="I64" s="1115">
        <v>0</v>
      </c>
      <c r="K64" s="1110"/>
      <c r="L64" s="1110"/>
    </row>
    <row r="65" spans="1:12" ht="21" customHeight="1" x14ac:dyDescent="0.6">
      <c r="B65" s="1113"/>
      <c r="D65" s="447" t="s">
        <v>882</v>
      </c>
      <c r="G65" s="1115">
        <v>0</v>
      </c>
      <c r="I65" s="1115">
        <v>0</v>
      </c>
      <c r="K65" s="1110"/>
      <c r="L65" s="1110"/>
    </row>
    <row r="66" spans="1:12" ht="21" customHeight="1" x14ac:dyDescent="0.6">
      <c r="B66" s="1113"/>
      <c r="D66" s="447" t="s">
        <v>870</v>
      </c>
      <c r="G66" s="1115">
        <v>0</v>
      </c>
      <c r="I66" s="1115">
        <v>0</v>
      </c>
      <c r="K66" s="1110"/>
      <c r="L66" s="1110"/>
    </row>
    <row r="67" spans="1:12" ht="21" customHeight="1" x14ac:dyDescent="0.6">
      <c r="B67" s="1113"/>
      <c r="D67" s="447" t="s">
        <v>886</v>
      </c>
      <c r="G67" s="1115">
        <v>0</v>
      </c>
      <c r="I67" s="1115">
        <v>0</v>
      </c>
      <c r="K67" s="1110"/>
      <c r="L67" s="1110"/>
    </row>
    <row r="68" spans="1:12" ht="21" customHeight="1" x14ac:dyDescent="0.6">
      <c r="B68" s="1113"/>
      <c r="D68" s="447" t="s">
        <v>887</v>
      </c>
      <c r="G68" s="1115">
        <v>0</v>
      </c>
      <c r="I68" s="1115">
        <v>0</v>
      </c>
      <c r="K68" s="1110"/>
      <c r="L68" s="1110"/>
    </row>
    <row r="69" spans="1:12" ht="21" customHeight="1" x14ac:dyDescent="0.6">
      <c r="B69" s="1113"/>
      <c r="D69" s="447" t="s">
        <v>881</v>
      </c>
      <c r="G69" s="1115">
        <v>0</v>
      </c>
      <c r="I69" s="1115">
        <v>0</v>
      </c>
      <c r="K69" s="1117">
        <f>I69+I68+I67+I66+I70</f>
        <v>83984992418</v>
      </c>
      <c r="L69" s="1110"/>
    </row>
    <row r="70" spans="1:12" ht="21" customHeight="1" x14ac:dyDescent="0.6">
      <c r="B70" s="1113"/>
      <c r="D70" s="447" t="s">
        <v>312</v>
      </c>
      <c r="G70" s="1118">
        <f>1718078249+5718766375-144175942</f>
        <v>7292668682</v>
      </c>
      <c r="I70" s="1159">
        <f>32655549712+51329442706</f>
        <v>83984992418</v>
      </c>
    </row>
    <row r="71" spans="1:12" ht="24.75" customHeight="1" thickBot="1" x14ac:dyDescent="0.65">
      <c r="B71" s="1113"/>
      <c r="D71" s="1119"/>
      <c r="E71" s="1119"/>
      <c r="G71" s="1120">
        <f>SUM(G9:G70)</f>
        <v>334376782363</v>
      </c>
      <c r="H71" s="1121"/>
      <c r="I71" s="1120">
        <f>SUM(I9:I70)</f>
        <v>339557948126</v>
      </c>
      <c r="K71" s="447" t="b">
        <f>G71='22'!G17</f>
        <v>1</v>
      </c>
      <c r="L71" s="447" t="b">
        <f>I71='22'!I17</f>
        <v>1</v>
      </c>
    </row>
    <row r="72" spans="1:12" ht="15.75" customHeight="1" thickTop="1" x14ac:dyDescent="0.6">
      <c r="B72" s="1113"/>
      <c r="D72" s="1119"/>
      <c r="E72" s="1119"/>
      <c r="G72" s="1122"/>
      <c r="H72" s="1122"/>
      <c r="I72" s="1122"/>
    </row>
    <row r="73" spans="1:12" ht="24.75" customHeight="1" x14ac:dyDescent="0.6">
      <c r="B73" s="1113"/>
      <c r="D73" s="1558"/>
      <c r="E73" s="1558"/>
      <c r="F73" s="1558"/>
      <c r="G73" s="1558"/>
      <c r="H73" s="1558"/>
      <c r="I73" s="1558"/>
    </row>
    <row r="74" spans="1:12" ht="231" customHeight="1" x14ac:dyDescent="0.6">
      <c r="B74" s="1113"/>
      <c r="D74" s="1119"/>
      <c r="E74" s="1119"/>
      <c r="F74" s="1119"/>
      <c r="G74" s="1119"/>
      <c r="H74" s="1119"/>
      <c r="I74" s="1119"/>
    </row>
    <row r="75" spans="1:12" ht="198.75" customHeight="1" x14ac:dyDescent="0.6">
      <c r="A75" s="1557">
        <v>30</v>
      </c>
      <c r="B75" s="1557"/>
      <c r="C75" s="1557"/>
      <c r="D75" s="1557"/>
      <c r="E75" s="1557"/>
      <c r="F75" s="1557"/>
      <c r="G75" s="1557"/>
      <c r="H75" s="1557"/>
      <c r="I75" s="1557"/>
    </row>
    <row r="76" spans="1:12" ht="26.25" x14ac:dyDescent="0.6">
      <c r="B76" s="1113"/>
      <c r="D76" s="1119"/>
      <c r="E76" s="1119"/>
      <c r="F76" s="1119"/>
      <c r="G76" s="1119"/>
      <c r="H76" s="1119"/>
      <c r="I76" s="1119"/>
    </row>
    <row r="77" spans="1:12" ht="26.25" x14ac:dyDescent="0.6">
      <c r="B77" s="1113"/>
      <c r="D77" s="1119"/>
      <c r="E77" s="1119"/>
      <c r="F77" s="1119"/>
      <c r="G77" s="1119"/>
      <c r="H77" s="1119"/>
      <c r="I77" s="1119"/>
    </row>
    <row r="78" spans="1:12" ht="26.25" x14ac:dyDescent="0.6">
      <c r="B78" s="1113"/>
      <c r="D78" s="1119"/>
      <c r="E78" s="1119"/>
      <c r="F78" s="1119"/>
      <c r="G78" s="1119"/>
      <c r="H78" s="1119"/>
      <c r="I78" s="1119"/>
    </row>
    <row r="79" spans="1:12" ht="26.25" x14ac:dyDescent="0.6">
      <c r="B79" s="1113"/>
      <c r="D79" s="1119"/>
      <c r="E79" s="1119"/>
      <c r="F79" s="1119"/>
      <c r="G79" s="1119"/>
      <c r="H79" s="1119"/>
      <c r="I79" s="1119"/>
    </row>
    <row r="80" spans="1:12" ht="26.25" x14ac:dyDescent="0.6">
      <c r="B80" s="1113"/>
    </row>
  </sheetData>
  <autoFilter ref="D6:L71" xr:uid="{00000000-0001-0000-1F00-000000000000}">
    <filterColumn colId="0" showButton="0"/>
    <filterColumn colId="1" showButton="0"/>
    <filterColumn colId="2" showButton="0"/>
    <filterColumn colId="3" showButton="0"/>
  </autoFilter>
  <customSheetViews>
    <customSheetView guid="{39716EAB-185B-4ADF-90CF-1B1041867F58}" scale="70" showPageBreaks="1" printArea="1" hiddenColumns="1" view="pageBreakPreview" topLeftCell="A34">
      <selection activeCell="A53" sqref="A53:XFD53"/>
      <rowBreaks count="1" manualBreakCount="1">
        <brk id="63" max="8" man="1"/>
      </rowBreaks>
      <pageMargins left="0.39370078740157483" right="0.39370078740157483" top="0.39370078740157483" bottom="0.39370078740157483" header="0.31496062992125984" footer="0.31496062992125984"/>
      <printOptions horizontalCentered="1"/>
      <pageSetup paperSize="9" scale="44" orientation="portrait" r:id="rId1"/>
    </customSheetView>
    <customSheetView guid="{5CB8382F-C212-4512-9396-17792C62978E}" scale="70" showPageBreaks="1" printArea="1" hiddenColumns="1" view="pageBreakPreview" topLeftCell="A34">
      <selection activeCell="A53" sqref="A53:XFD53"/>
      <rowBreaks count="1" manualBreakCount="1">
        <brk id="63" max="8" man="1"/>
      </rowBreaks>
      <pageMargins left="0.39370078740157483" right="0.39370078740157483" top="0.39370078740157483" bottom="0.39370078740157483" header="0.31496062992125984" footer="0.31496062992125984"/>
      <printOptions horizontalCentered="1"/>
      <pageSetup paperSize="9" scale="44" orientation="portrait" r:id="rId2"/>
    </customSheetView>
    <customSheetView guid="{184BCED3-EADB-44CF-BFDA-DA8D3E7206C0}" scale="95" showPageBreaks="1" printArea="1" hiddenColumns="1" view="pageBreakPreview" topLeftCell="A7">
      <selection activeCell="G64" sqref="G64"/>
      <rowBreaks count="1" manualBreakCount="1">
        <brk id="63" max="8" man="1"/>
      </rowBreaks>
      <pageMargins left="0.39370078740157483" right="0.39370078740157483" top="0.39370078740157483" bottom="0.39370078740157483" header="0.31496062992125984" footer="0.31496062992125984"/>
      <printOptions horizontalCentered="1"/>
      <pageSetup paperSize="9" scale="44" orientation="portrait" r:id="rId3"/>
    </customSheetView>
  </customSheetViews>
  <mergeCells count="8">
    <mergeCell ref="A75:I75"/>
    <mergeCell ref="D73:I73"/>
    <mergeCell ref="I7:J7"/>
    <mergeCell ref="G7:H7"/>
    <mergeCell ref="A1:J1"/>
    <mergeCell ref="A2:J2"/>
    <mergeCell ref="A3:J3"/>
    <mergeCell ref="D6:H6"/>
  </mergeCells>
  <conditionalFormatting sqref="D57:D59 D27 D41">
    <cfRule type="duplicateValues" dxfId="22" priority="2"/>
  </conditionalFormatting>
  <conditionalFormatting sqref="D70 D9 D12 D53:D56 D60:D63 D26 D21 D17 D50:D51 D29:D32 D35 D39:D40 D19 D15">
    <cfRule type="duplicateValues" dxfId="21" priority="404"/>
  </conditionalFormatting>
  <conditionalFormatting sqref="D71:D74 D28 D1:D8 D10:D11 D52 D42:D49 D13:D14 D16 D18 D22:D25 D20 D76:D1048576 D64:D69 D33:D34 D36:D38">
    <cfRule type="duplicateValues" dxfId="20" priority="487"/>
  </conditionalFormatting>
  <conditionalFormatting sqref="D76:D1048576 D60:D74 D42:D56 D28:D40 D1:D26">
    <cfRule type="duplicateValues" dxfId="19" priority="12"/>
  </conditionalFormatting>
  <conditionalFormatting sqref="G71">
    <cfRule type="cellIs" dxfId="18" priority="4" stopIfTrue="1" operator="lessThan">
      <formula>0</formula>
    </cfRule>
  </conditionalFormatting>
  <conditionalFormatting sqref="I71">
    <cfRule type="cellIs" dxfId="17" priority="5" stopIfTrue="1" operator="lessThan">
      <formula>0</formula>
    </cfRule>
  </conditionalFormatting>
  <hyperlinks>
    <hyperlink ref="A1:XFD3" r:id="rId4" display="http://modiriatmali.com/" xr:uid="{00000000-0004-0000-1F00-000000000000}"/>
  </hyperlinks>
  <printOptions horizontalCentered="1"/>
  <pageMargins left="0.143700787" right="0.143700787" top="0.143700787" bottom="0.143700787" header="0.31496062992126" footer="0.31496062992126"/>
  <pageSetup paperSize="9" scale="52" orientation="portrait"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Q133"/>
  <sheetViews>
    <sheetView rightToLeft="1" view="pageBreakPreview" topLeftCell="B100" zoomScale="90" zoomScaleSheetLayoutView="90" workbookViewId="0">
      <selection activeCell="F95" activeCellId="1" sqref="F98:F117 F95:F96"/>
    </sheetView>
  </sheetViews>
  <sheetFormatPr defaultRowHeight="19.5" x14ac:dyDescent="0.5"/>
  <cols>
    <col min="1" max="1" width="2.7109375" style="530" hidden="1" customWidth="1"/>
    <col min="2" max="2" width="7.85546875" style="374" customWidth="1"/>
    <col min="3" max="3" width="0.7109375" style="374" customWidth="1"/>
    <col min="4" max="4" width="57" style="374" customWidth="1"/>
    <col min="5" max="5" width="15.5703125" style="374" customWidth="1"/>
    <col min="6" max="6" width="24.85546875" style="525" bestFit="1" customWidth="1"/>
    <col min="7" max="7" width="3.7109375" style="525" customWidth="1"/>
    <col min="8" max="8" width="25.140625" style="525" bestFit="1" customWidth="1"/>
    <col min="9" max="9" width="0.7109375" style="374" customWidth="1"/>
    <col min="10" max="10" width="14.85546875" style="374" bestFit="1" customWidth="1"/>
    <col min="11" max="11" width="20" style="374" bestFit="1" customWidth="1"/>
    <col min="12" max="12" width="21.7109375" style="374" bestFit="1" customWidth="1"/>
    <col min="13" max="13" width="20.85546875" style="374" bestFit="1" customWidth="1"/>
    <col min="14" max="16" width="9.140625" style="374"/>
    <col min="17" max="17" width="13.7109375" style="374" bestFit="1" customWidth="1"/>
    <col min="18" max="227" width="9.140625" style="374"/>
    <col min="228" max="228" width="3.5703125" style="374" customWidth="1"/>
    <col min="229" max="229" width="4.85546875" style="374" customWidth="1"/>
    <col min="230" max="230" width="5.42578125" style="374" customWidth="1"/>
    <col min="231" max="231" width="31.28515625" style="374" customWidth="1"/>
    <col min="232" max="232" width="7.5703125" style="374" customWidth="1"/>
    <col min="233" max="233" width="2.42578125" style="374" customWidth="1"/>
    <col min="234" max="234" width="11.5703125" style="374" customWidth="1"/>
    <col min="235" max="235" width="2.42578125" style="374" customWidth="1"/>
    <col min="236" max="236" width="11.5703125" style="374" customWidth="1"/>
    <col min="237" max="237" width="2.42578125" style="374" customWidth="1"/>
    <col min="238" max="238" width="10.85546875" style="374" customWidth="1"/>
    <col min="239" max="239" width="2.42578125" style="374" customWidth="1"/>
    <col min="240" max="240" width="11.140625" style="374" customWidth="1"/>
    <col min="241" max="241" width="1.85546875" style="374" customWidth="1"/>
    <col min="242" max="242" width="11" style="374" customWidth="1"/>
    <col min="243" max="243" width="0.7109375" style="374" customWidth="1"/>
    <col min="244" max="244" width="1.85546875" style="374" customWidth="1"/>
    <col min="245" max="245" width="11.85546875" style="374" bestFit="1" customWidth="1"/>
    <col min="246" max="246" width="15.28515625" style="374" bestFit="1" customWidth="1"/>
    <col min="247" max="247" width="5" style="374" customWidth="1"/>
    <col min="248" max="248" width="10.42578125" style="374" bestFit="1" customWidth="1"/>
    <col min="249" max="249" width="5" style="374" customWidth="1"/>
    <col min="250" max="250" width="10.42578125" style="374" bestFit="1" customWidth="1"/>
    <col min="251" max="253" width="9.140625" style="374"/>
    <col min="254" max="254" width="10.42578125" style="374" bestFit="1" customWidth="1"/>
    <col min="255" max="483" width="9.140625" style="374"/>
    <col min="484" max="484" width="3.5703125" style="374" customWidth="1"/>
    <col min="485" max="485" width="4.85546875" style="374" customWidth="1"/>
    <col min="486" max="486" width="5.42578125" style="374" customWidth="1"/>
    <col min="487" max="487" width="31.28515625" style="374" customWidth="1"/>
    <col min="488" max="488" width="7.5703125" style="374" customWidth="1"/>
    <col min="489" max="489" width="2.42578125" style="374" customWidth="1"/>
    <col min="490" max="490" width="11.5703125" style="374" customWidth="1"/>
    <col min="491" max="491" width="2.42578125" style="374" customWidth="1"/>
    <col min="492" max="492" width="11.5703125" style="374" customWidth="1"/>
    <col min="493" max="493" width="2.42578125" style="374" customWidth="1"/>
    <col min="494" max="494" width="10.85546875" style="374" customWidth="1"/>
    <col min="495" max="495" width="2.42578125" style="374" customWidth="1"/>
    <col min="496" max="496" width="11.140625" style="374" customWidth="1"/>
    <col min="497" max="497" width="1.85546875" style="374" customWidth="1"/>
    <col min="498" max="498" width="11" style="374" customWidth="1"/>
    <col min="499" max="499" width="0.7109375" style="374" customWidth="1"/>
    <col min="500" max="500" width="1.85546875" style="374" customWidth="1"/>
    <col min="501" max="501" width="11.85546875" style="374" bestFit="1" customWidth="1"/>
    <col min="502" max="502" width="15.28515625" style="374" bestFit="1" customWidth="1"/>
    <col min="503" max="503" width="5" style="374" customWidth="1"/>
    <col min="504" max="504" width="10.42578125" style="374" bestFit="1" customWidth="1"/>
    <col min="505" max="505" width="5" style="374" customWidth="1"/>
    <col min="506" max="506" width="10.42578125" style="374" bestFit="1" customWidth="1"/>
    <col min="507" max="509" width="9.140625" style="374"/>
    <col min="510" max="510" width="10.42578125" style="374" bestFit="1" customWidth="1"/>
    <col min="511" max="739" width="9.140625" style="374"/>
    <col min="740" max="740" width="3.5703125" style="374" customWidth="1"/>
    <col min="741" max="741" width="4.85546875" style="374" customWidth="1"/>
    <col min="742" max="742" width="5.42578125" style="374" customWidth="1"/>
    <col min="743" max="743" width="31.28515625" style="374" customWidth="1"/>
    <col min="744" max="744" width="7.5703125" style="374" customWidth="1"/>
    <col min="745" max="745" width="2.42578125" style="374" customWidth="1"/>
    <col min="746" max="746" width="11.5703125" style="374" customWidth="1"/>
    <col min="747" max="747" width="2.42578125" style="374" customWidth="1"/>
    <col min="748" max="748" width="11.5703125" style="374" customWidth="1"/>
    <col min="749" max="749" width="2.42578125" style="374" customWidth="1"/>
    <col min="750" max="750" width="10.85546875" style="374" customWidth="1"/>
    <col min="751" max="751" width="2.42578125" style="374" customWidth="1"/>
    <col min="752" max="752" width="11.140625" style="374" customWidth="1"/>
    <col min="753" max="753" width="1.85546875" style="374" customWidth="1"/>
    <col min="754" max="754" width="11" style="374" customWidth="1"/>
    <col min="755" max="755" width="0.7109375" style="374" customWidth="1"/>
    <col min="756" max="756" width="1.85546875" style="374" customWidth="1"/>
    <col min="757" max="757" width="11.85546875" style="374" bestFit="1" customWidth="1"/>
    <col min="758" max="758" width="15.28515625" style="374" bestFit="1" customWidth="1"/>
    <col min="759" max="759" width="5" style="374" customWidth="1"/>
    <col min="760" max="760" width="10.42578125" style="374" bestFit="1" customWidth="1"/>
    <col min="761" max="761" width="5" style="374" customWidth="1"/>
    <col min="762" max="762" width="10.42578125" style="374" bestFit="1" customWidth="1"/>
    <col min="763" max="765" width="9.140625" style="374"/>
    <col min="766" max="766" width="10.42578125" style="374" bestFit="1" customWidth="1"/>
    <col min="767" max="995" width="9.140625" style="374"/>
    <col min="996" max="996" width="3.5703125" style="374" customWidth="1"/>
    <col min="997" max="997" width="4.85546875" style="374" customWidth="1"/>
    <col min="998" max="998" width="5.42578125" style="374" customWidth="1"/>
    <col min="999" max="999" width="31.28515625" style="374" customWidth="1"/>
    <col min="1000" max="1000" width="7.5703125" style="374" customWidth="1"/>
    <col min="1001" max="1001" width="2.42578125" style="374" customWidth="1"/>
    <col min="1002" max="1002" width="11.5703125" style="374" customWidth="1"/>
    <col min="1003" max="1003" width="2.42578125" style="374" customWidth="1"/>
    <col min="1004" max="1004" width="11.5703125" style="374" customWidth="1"/>
    <col min="1005" max="1005" width="2.42578125" style="374" customWidth="1"/>
    <col min="1006" max="1006" width="10.85546875" style="374" customWidth="1"/>
    <col min="1007" max="1007" width="2.42578125" style="374" customWidth="1"/>
    <col min="1008" max="1008" width="11.140625" style="374" customWidth="1"/>
    <col min="1009" max="1009" width="1.85546875" style="374" customWidth="1"/>
    <col min="1010" max="1010" width="11" style="374" customWidth="1"/>
    <col min="1011" max="1011" width="0.7109375" style="374" customWidth="1"/>
    <col min="1012" max="1012" width="1.85546875" style="374" customWidth="1"/>
    <col min="1013" max="1013" width="11.85546875" style="374" bestFit="1" customWidth="1"/>
    <col min="1014" max="1014" width="15.28515625" style="374" bestFit="1" customWidth="1"/>
    <col min="1015" max="1015" width="5" style="374" customWidth="1"/>
    <col min="1016" max="1016" width="10.42578125" style="374" bestFit="1" customWidth="1"/>
    <col min="1017" max="1017" width="5" style="374" customWidth="1"/>
    <col min="1018" max="1018" width="10.42578125" style="374" bestFit="1" customWidth="1"/>
    <col min="1019" max="1021" width="9.140625" style="374"/>
    <col min="1022" max="1022" width="10.42578125" style="374" bestFit="1" customWidth="1"/>
    <col min="1023" max="1251" width="9.140625" style="374"/>
    <col min="1252" max="1252" width="3.5703125" style="374" customWidth="1"/>
    <col min="1253" max="1253" width="4.85546875" style="374" customWidth="1"/>
    <col min="1254" max="1254" width="5.42578125" style="374" customWidth="1"/>
    <col min="1255" max="1255" width="31.28515625" style="374" customWidth="1"/>
    <col min="1256" max="1256" width="7.5703125" style="374" customWidth="1"/>
    <col min="1257" max="1257" width="2.42578125" style="374" customWidth="1"/>
    <col min="1258" max="1258" width="11.5703125" style="374" customWidth="1"/>
    <col min="1259" max="1259" width="2.42578125" style="374" customWidth="1"/>
    <col min="1260" max="1260" width="11.5703125" style="374" customWidth="1"/>
    <col min="1261" max="1261" width="2.42578125" style="374" customWidth="1"/>
    <col min="1262" max="1262" width="10.85546875" style="374" customWidth="1"/>
    <col min="1263" max="1263" width="2.42578125" style="374" customWidth="1"/>
    <col min="1264" max="1264" width="11.140625" style="374" customWidth="1"/>
    <col min="1265" max="1265" width="1.85546875" style="374" customWidth="1"/>
    <col min="1266" max="1266" width="11" style="374" customWidth="1"/>
    <col min="1267" max="1267" width="0.7109375" style="374" customWidth="1"/>
    <col min="1268" max="1268" width="1.85546875" style="374" customWidth="1"/>
    <col min="1269" max="1269" width="11.85546875" style="374" bestFit="1" customWidth="1"/>
    <col min="1270" max="1270" width="15.28515625" style="374" bestFit="1" customWidth="1"/>
    <col min="1271" max="1271" width="5" style="374" customWidth="1"/>
    <col min="1272" max="1272" width="10.42578125" style="374" bestFit="1" customWidth="1"/>
    <col min="1273" max="1273" width="5" style="374" customWidth="1"/>
    <col min="1274" max="1274" width="10.42578125" style="374" bestFit="1" customWidth="1"/>
    <col min="1275" max="1277" width="9.140625" style="374"/>
    <col min="1278" max="1278" width="10.42578125" style="374" bestFit="1" customWidth="1"/>
    <col min="1279" max="1507" width="9.140625" style="374"/>
    <col min="1508" max="1508" width="3.5703125" style="374" customWidth="1"/>
    <col min="1509" max="1509" width="4.85546875" style="374" customWidth="1"/>
    <col min="1510" max="1510" width="5.42578125" style="374" customWidth="1"/>
    <col min="1511" max="1511" width="31.28515625" style="374" customWidth="1"/>
    <col min="1512" max="1512" width="7.5703125" style="374" customWidth="1"/>
    <col min="1513" max="1513" width="2.42578125" style="374" customWidth="1"/>
    <col min="1514" max="1514" width="11.5703125" style="374" customWidth="1"/>
    <col min="1515" max="1515" width="2.42578125" style="374" customWidth="1"/>
    <col min="1516" max="1516" width="11.5703125" style="374" customWidth="1"/>
    <col min="1517" max="1517" width="2.42578125" style="374" customWidth="1"/>
    <col min="1518" max="1518" width="10.85546875" style="374" customWidth="1"/>
    <col min="1519" max="1519" width="2.42578125" style="374" customWidth="1"/>
    <col min="1520" max="1520" width="11.140625" style="374" customWidth="1"/>
    <col min="1521" max="1521" width="1.85546875" style="374" customWidth="1"/>
    <col min="1522" max="1522" width="11" style="374" customWidth="1"/>
    <col min="1523" max="1523" width="0.7109375" style="374" customWidth="1"/>
    <col min="1524" max="1524" width="1.85546875" style="374" customWidth="1"/>
    <col min="1525" max="1525" width="11.85546875" style="374" bestFit="1" customWidth="1"/>
    <col min="1526" max="1526" width="15.28515625" style="374" bestFit="1" customWidth="1"/>
    <col min="1527" max="1527" width="5" style="374" customWidth="1"/>
    <col min="1528" max="1528" width="10.42578125" style="374" bestFit="1" customWidth="1"/>
    <col min="1529" max="1529" width="5" style="374" customWidth="1"/>
    <col min="1530" max="1530" width="10.42578125" style="374" bestFit="1" customWidth="1"/>
    <col min="1531" max="1533" width="9.140625" style="374"/>
    <col min="1534" max="1534" width="10.42578125" style="374" bestFit="1" customWidth="1"/>
    <col min="1535" max="1763" width="9.140625" style="374"/>
    <col min="1764" max="1764" width="3.5703125" style="374" customWidth="1"/>
    <col min="1765" max="1765" width="4.85546875" style="374" customWidth="1"/>
    <col min="1766" max="1766" width="5.42578125" style="374" customWidth="1"/>
    <col min="1767" max="1767" width="31.28515625" style="374" customWidth="1"/>
    <col min="1768" max="1768" width="7.5703125" style="374" customWidth="1"/>
    <col min="1769" max="1769" width="2.42578125" style="374" customWidth="1"/>
    <col min="1770" max="1770" width="11.5703125" style="374" customWidth="1"/>
    <col min="1771" max="1771" width="2.42578125" style="374" customWidth="1"/>
    <col min="1772" max="1772" width="11.5703125" style="374" customWidth="1"/>
    <col min="1773" max="1773" width="2.42578125" style="374" customWidth="1"/>
    <col min="1774" max="1774" width="10.85546875" style="374" customWidth="1"/>
    <col min="1775" max="1775" width="2.42578125" style="374" customWidth="1"/>
    <col min="1776" max="1776" width="11.140625" style="374" customWidth="1"/>
    <col min="1777" max="1777" width="1.85546875" style="374" customWidth="1"/>
    <col min="1778" max="1778" width="11" style="374" customWidth="1"/>
    <col min="1779" max="1779" width="0.7109375" style="374" customWidth="1"/>
    <col min="1780" max="1780" width="1.85546875" style="374" customWidth="1"/>
    <col min="1781" max="1781" width="11.85546875" style="374" bestFit="1" customWidth="1"/>
    <col min="1782" max="1782" width="15.28515625" style="374" bestFit="1" customWidth="1"/>
    <col min="1783" max="1783" width="5" style="374" customWidth="1"/>
    <col min="1784" max="1784" width="10.42578125" style="374" bestFit="1" customWidth="1"/>
    <col min="1785" max="1785" width="5" style="374" customWidth="1"/>
    <col min="1786" max="1786" width="10.42578125" style="374" bestFit="1" customWidth="1"/>
    <col min="1787" max="1789" width="9.140625" style="374"/>
    <col min="1790" max="1790" width="10.42578125" style="374" bestFit="1" customWidth="1"/>
    <col min="1791" max="2019" width="9.140625" style="374"/>
    <col min="2020" max="2020" width="3.5703125" style="374" customWidth="1"/>
    <col min="2021" max="2021" width="4.85546875" style="374" customWidth="1"/>
    <col min="2022" max="2022" width="5.42578125" style="374" customWidth="1"/>
    <col min="2023" max="2023" width="31.28515625" style="374" customWidth="1"/>
    <col min="2024" max="2024" width="7.5703125" style="374" customWidth="1"/>
    <col min="2025" max="2025" width="2.42578125" style="374" customWidth="1"/>
    <col min="2026" max="2026" width="11.5703125" style="374" customWidth="1"/>
    <col min="2027" max="2027" width="2.42578125" style="374" customWidth="1"/>
    <col min="2028" max="2028" width="11.5703125" style="374" customWidth="1"/>
    <col min="2029" max="2029" width="2.42578125" style="374" customWidth="1"/>
    <col min="2030" max="2030" width="10.85546875" style="374" customWidth="1"/>
    <col min="2031" max="2031" width="2.42578125" style="374" customWidth="1"/>
    <col min="2032" max="2032" width="11.140625" style="374" customWidth="1"/>
    <col min="2033" max="2033" width="1.85546875" style="374" customWidth="1"/>
    <col min="2034" max="2034" width="11" style="374" customWidth="1"/>
    <col min="2035" max="2035" width="0.7109375" style="374" customWidth="1"/>
    <col min="2036" max="2036" width="1.85546875" style="374" customWidth="1"/>
    <col min="2037" max="2037" width="11.85546875" style="374" bestFit="1" customWidth="1"/>
    <col min="2038" max="2038" width="15.28515625" style="374" bestFit="1" customWidth="1"/>
    <col min="2039" max="2039" width="5" style="374" customWidth="1"/>
    <col min="2040" max="2040" width="10.42578125" style="374" bestFit="1" customWidth="1"/>
    <col min="2041" max="2041" width="5" style="374" customWidth="1"/>
    <col min="2042" max="2042" width="10.42578125" style="374" bestFit="1" customWidth="1"/>
    <col min="2043" max="2045" width="9.140625" style="374"/>
    <col min="2046" max="2046" width="10.42578125" style="374" bestFit="1" customWidth="1"/>
    <col min="2047" max="2275" width="9.140625" style="374"/>
    <col min="2276" max="2276" width="3.5703125" style="374" customWidth="1"/>
    <col min="2277" max="2277" width="4.85546875" style="374" customWidth="1"/>
    <col min="2278" max="2278" width="5.42578125" style="374" customWidth="1"/>
    <col min="2279" max="2279" width="31.28515625" style="374" customWidth="1"/>
    <col min="2280" max="2280" width="7.5703125" style="374" customWidth="1"/>
    <col min="2281" max="2281" width="2.42578125" style="374" customWidth="1"/>
    <col min="2282" max="2282" width="11.5703125" style="374" customWidth="1"/>
    <col min="2283" max="2283" width="2.42578125" style="374" customWidth="1"/>
    <col min="2284" max="2284" width="11.5703125" style="374" customWidth="1"/>
    <col min="2285" max="2285" width="2.42578125" style="374" customWidth="1"/>
    <col min="2286" max="2286" width="10.85546875" style="374" customWidth="1"/>
    <col min="2287" max="2287" width="2.42578125" style="374" customWidth="1"/>
    <col min="2288" max="2288" width="11.140625" style="374" customWidth="1"/>
    <col min="2289" max="2289" width="1.85546875" style="374" customWidth="1"/>
    <col min="2290" max="2290" width="11" style="374" customWidth="1"/>
    <col min="2291" max="2291" width="0.7109375" style="374" customWidth="1"/>
    <col min="2292" max="2292" width="1.85546875" style="374" customWidth="1"/>
    <col min="2293" max="2293" width="11.85546875" style="374" bestFit="1" customWidth="1"/>
    <col min="2294" max="2294" width="15.28515625" style="374" bestFit="1" customWidth="1"/>
    <col min="2295" max="2295" width="5" style="374" customWidth="1"/>
    <col min="2296" max="2296" width="10.42578125" style="374" bestFit="1" customWidth="1"/>
    <col min="2297" max="2297" width="5" style="374" customWidth="1"/>
    <col min="2298" max="2298" width="10.42578125" style="374" bestFit="1" customWidth="1"/>
    <col min="2299" max="2301" width="9.140625" style="374"/>
    <col min="2302" max="2302" width="10.42578125" style="374" bestFit="1" customWidth="1"/>
    <col min="2303" max="2531" width="9.140625" style="374"/>
    <col min="2532" max="2532" width="3.5703125" style="374" customWidth="1"/>
    <col min="2533" max="2533" width="4.85546875" style="374" customWidth="1"/>
    <col min="2534" max="2534" width="5.42578125" style="374" customWidth="1"/>
    <col min="2535" max="2535" width="31.28515625" style="374" customWidth="1"/>
    <col min="2536" max="2536" width="7.5703125" style="374" customWidth="1"/>
    <col min="2537" max="2537" width="2.42578125" style="374" customWidth="1"/>
    <col min="2538" max="2538" width="11.5703125" style="374" customWidth="1"/>
    <col min="2539" max="2539" width="2.42578125" style="374" customWidth="1"/>
    <col min="2540" max="2540" width="11.5703125" style="374" customWidth="1"/>
    <col min="2541" max="2541" width="2.42578125" style="374" customWidth="1"/>
    <col min="2542" max="2542" width="10.85546875" style="374" customWidth="1"/>
    <col min="2543" max="2543" width="2.42578125" style="374" customWidth="1"/>
    <col min="2544" max="2544" width="11.140625" style="374" customWidth="1"/>
    <col min="2545" max="2545" width="1.85546875" style="374" customWidth="1"/>
    <col min="2546" max="2546" width="11" style="374" customWidth="1"/>
    <col min="2547" max="2547" width="0.7109375" style="374" customWidth="1"/>
    <col min="2548" max="2548" width="1.85546875" style="374" customWidth="1"/>
    <col min="2549" max="2549" width="11.85546875" style="374" bestFit="1" customWidth="1"/>
    <col min="2550" max="2550" width="15.28515625" style="374" bestFit="1" customWidth="1"/>
    <col min="2551" max="2551" width="5" style="374" customWidth="1"/>
    <col min="2552" max="2552" width="10.42578125" style="374" bestFit="1" customWidth="1"/>
    <col min="2553" max="2553" width="5" style="374" customWidth="1"/>
    <col min="2554" max="2554" width="10.42578125" style="374" bestFit="1" customWidth="1"/>
    <col min="2555" max="2557" width="9.140625" style="374"/>
    <col min="2558" max="2558" width="10.42578125" style="374" bestFit="1" customWidth="1"/>
    <col min="2559" max="2787" width="9.140625" style="374"/>
    <col min="2788" max="2788" width="3.5703125" style="374" customWidth="1"/>
    <col min="2789" max="2789" width="4.85546875" style="374" customWidth="1"/>
    <col min="2790" max="2790" width="5.42578125" style="374" customWidth="1"/>
    <col min="2791" max="2791" width="31.28515625" style="374" customWidth="1"/>
    <col min="2792" max="2792" width="7.5703125" style="374" customWidth="1"/>
    <col min="2793" max="2793" width="2.42578125" style="374" customWidth="1"/>
    <col min="2794" max="2794" width="11.5703125" style="374" customWidth="1"/>
    <col min="2795" max="2795" width="2.42578125" style="374" customWidth="1"/>
    <col min="2796" max="2796" width="11.5703125" style="374" customWidth="1"/>
    <col min="2797" max="2797" width="2.42578125" style="374" customWidth="1"/>
    <col min="2798" max="2798" width="10.85546875" style="374" customWidth="1"/>
    <col min="2799" max="2799" width="2.42578125" style="374" customWidth="1"/>
    <col min="2800" max="2800" width="11.140625" style="374" customWidth="1"/>
    <col min="2801" max="2801" width="1.85546875" style="374" customWidth="1"/>
    <col min="2802" max="2802" width="11" style="374" customWidth="1"/>
    <col min="2803" max="2803" width="0.7109375" style="374" customWidth="1"/>
    <col min="2804" max="2804" width="1.85546875" style="374" customWidth="1"/>
    <col min="2805" max="2805" width="11.85546875" style="374" bestFit="1" customWidth="1"/>
    <col min="2806" max="2806" width="15.28515625" style="374" bestFit="1" customWidth="1"/>
    <col min="2807" max="2807" width="5" style="374" customWidth="1"/>
    <col min="2808" max="2808" width="10.42578125" style="374" bestFit="1" customWidth="1"/>
    <col min="2809" max="2809" width="5" style="374" customWidth="1"/>
    <col min="2810" max="2810" width="10.42578125" style="374" bestFit="1" customWidth="1"/>
    <col min="2811" max="2813" width="9.140625" style="374"/>
    <col min="2814" max="2814" width="10.42578125" style="374" bestFit="1" customWidth="1"/>
    <col min="2815" max="3043" width="9.140625" style="374"/>
    <col min="3044" max="3044" width="3.5703125" style="374" customWidth="1"/>
    <col min="3045" max="3045" width="4.85546875" style="374" customWidth="1"/>
    <col min="3046" max="3046" width="5.42578125" style="374" customWidth="1"/>
    <col min="3047" max="3047" width="31.28515625" style="374" customWidth="1"/>
    <col min="3048" max="3048" width="7.5703125" style="374" customWidth="1"/>
    <col min="3049" max="3049" width="2.42578125" style="374" customWidth="1"/>
    <col min="3050" max="3050" width="11.5703125" style="374" customWidth="1"/>
    <col min="3051" max="3051" width="2.42578125" style="374" customWidth="1"/>
    <col min="3052" max="3052" width="11.5703125" style="374" customWidth="1"/>
    <col min="3053" max="3053" width="2.42578125" style="374" customWidth="1"/>
    <col min="3054" max="3054" width="10.85546875" style="374" customWidth="1"/>
    <col min="3055" max="3055" width="2.42578125" style="374" customWidth="1"/>
    <col min="3056" max="3056" width="11.140625" style="374" customWidth="1"/>
    <col min="3057" max="3057" width="1.85546875" style="374" customWidth="1"/>
    <col min="3058" max="3058" width="11" style="374" customWidth="1"/>
    <col min="3059" max="3059" width="0.7109375" style="374" customWidth="1"/>
    <col min="3060" max="3060" width="1.85546875" style="374" customWidth="1"/>
    <col min="3061" max="3061" width="11.85546875" style="374" bestFit="1" customWidth="1"/>
    <col min="3062" max="3062" width="15.28515625" style="374" bestFit="1" customWidth="1"/>
    <col min="3063" max="3063" width="5" style="374" customWidth="1"/>
    <col min="3064" max="3064" width="10.42578125" style="374" bestFit="1" customWidth="1"/>
    <col min="3065" max="3065" width="5" style="374" customWidth="1"/>
    <col min="3066" max="3066" width="10.42578125" style="374" bestFit="1" customWidth="1"/>
    <col min="3067" max="3069" width="9.140625" style="374"/>
    <col min="3070" max="3070" width="10.42578125" style="374" bestFit="1" customWidth="1"/>
    <col min="3071" max="3299" width="9.140625" style="374"/>
    <col min="3300" max="3300" width="3.5703125" style="374" customWidth="1"/>
    <col min="3301" max="3301" width="4.85546875" style="374" customWidth="1"/>
    <col min="3302" max="3302" width="5.42578125" style="374" customWidth="1"/>
    <col min="3303" max="3303" width="31.28515625" style="374" customWidth="1"/>
    <col min="3304" max="3304" width="7.5703125" style="374" customWidth="1"/>
    <col min="3305" max="3305" width="2.42578125" style="374" customWidth="1"/>
    <col min="3306" max="3306" width="11.5703125" style="374" customWidth="1"/>
    <col min="3307" max="3307" width="2.42578125" style="374" customWidth="1"/>
    <col min="3308" max="3308" width="11.5703125" style="374" customWidth="1"/>
    <col min="3309" max="3309" width="2.42578125" style="374" customWidth="1"/>
    <col min="3310" max="3310" width="10.85546875" style="374" customWidth="1"/>
    <col min="3311" max="3311" width="2.42578125" style="374" customWidth="1"/>
    <col min="3312" max="3312" width="11.140625" style="374" customWidth="1"/>
    <col min="3313" max="3313" width="1.85546875" style="374" customWidth="1"/>
    <col min="3314" max="3314" width="11" style="374" customWidth="1"/>
    <col min="3315" max="3315" width="0.7109375" style="374" customWidth="1"/>
    <col min="3316" max="3316" width="1.85546875" style="374" customWidth="1"/>
    <col min="3317" max="3317" width="11.85546875" style="374" bestFit="1" customWidth="1"/>
    <col min="3318" max="3318" width="15.28515625" style="374" bestFit="1" customWidth="1"/>
    <col min="3319" max="3319" width="5" style="374" customWidth="1"/>
    <col min="3320" max="3320" width="10.42578125" style="374" bestFit="1" customWidth="1"/>
    <col min="3321" max="3321" width="5" style="374" customWidth="1"/>
    <col min="3322" max="3322" width="10.42578125" style="374" bestFit="1" customWidth="1"/>
    <col min="3323" max="3325" width="9.140625" style="374"/>
    <col min="3326" max="3326" width="10.42578125" style="374" bestFit="1" customWidth="1"/>
    <col min="3327" max="3555" width="9.140625" style="374"/>
    <col min="3556" max="3556" width="3.5703125" style="374" customWidth="1"/>
    <col min="3557" max="3557" width="4.85546875" style="374" customWidth="1"/>
    <col min="3558" max="3558" width="5.42578125" style="374" customWidth="1"/>
    <col min="3559" max="3559" width="31.28515625" style="374" customWidth="1"/>
    <col min="3560" max="3560" width="7.5703125" style="374" customWidth="1"/>
    <col min="3561" max="3561" width="2.42578125" style="374" customWidth="1"/>
    <col min="3562" max="3562" width="11.5703125" style="374" customWidth="1"/>
    <col min="3563" max="3563" width="2.42578125" style="374" customWidth="1"/>
    <col min="3564" max="3564" width="11.5703125" style="374" customWidth="1"/>
    <col min="3565" max="3565" width="2.42578125" style="374" customWidth="1"/>
    <col min="3566" max="3566" width="10.85546875" style="374" customWidth="1"/>
    <col min="3567" max="3567" width="2.42578125" style="374" customWidth="1"/>
    <col min="3568" max="3568" width="11.140625" style="374" customWidth="1"/>
    <col min="3569" max="3569" width="1.85546875" style="374" customWidth="1"/>
    <col min="3570" max="3570" width="11" style="374" customWidth="1"/>
    <col min="3571" max="3571" width="0.7109375" style="374" customWidth="1"/>
    <col min="3572" max="3572" width="1.85546875" style="374" customWidth="1"/>
    <col min="3573" max="3573" width="11.85546875" style="374" bestFit="1" customWidth="1"/>
    <col min="3574" max="3574" width="15.28515625" style="374" bestFit="1" customWidth="1"/>
    <col min="3575" max="3575" width="5" style="374" customWidth="1"/>
    <col min="3576" max="3576" width="10.42578125" style="374" bestFit="1" customWidth="1"/>
    <col min="3577" max="3577" width="5" style="374" customWidth="1"/>
    <col min="3578" max="3578" width="10.42578125" style="374" bestFit="1" customWidth="1"/>
    <col min="3579" max="3581" width="9.140625" style="374"/>
    <col min="3582" max="3582" width="10.42578125" style="374" bestFit="1" customWidth="1"/>
    <col min="3583" max="3811" width="9.140625" style="374"/>
    <col min="3812" max="3812" width="3.5703125" style="374" customWidth="1"/>
    <col min="3813" max="3813" width="4.85546875" style="374" customWidth="1"/>
    <col min="3814" max="3814" width="5.42578125" style="374" customWidth="1"/>
    <col min="3815" max="3815" width="31.28515625" style="374" customWidth="1"/>
    <col min="3816" max="3816" width="7.5703125" style="374" customWidth="1"/>
    <col min="3817" max="3817" width="2.42578125" style="374" customWidth="1"/>
    <col min="3818" max="3818" width="11.5703125" style="374" customWidth="1"/>
    <col min="3819" max="3819" width="2.42578125" style="374" customWidth="1"/>
    <col min="3820" max="3820" width="11.5703125" style="374" customWidth="1"/>
    <col min="3821" max="3821" width="2.42578125" style="374" customWidth="1"/>
    <col min="3822" max="3822" width="10.85546875" style="374" customWidth="1"/>
    <col min="3823" max="3823" width="2.42578125" style="374" customWidth="1"/>
    <col min="3824" max="3824" width="11.140625" style="374" customWidth="1"/>
    <col min="3825" max="3825" width="1.85546875" style="374" customWidth="1"/>
    <col min="3826" max="3826" width="11" style="374" customWidth="1"/>
    <col min="3827" max="3827" width="0.7109375" style="374" customWidth="1"/>
    <col min="3828" max="3828" width="1.85546875" style="374" customWidth="1"/>
    <col min="3829" max="3829" width="11.85546875" style="374" bestFit="1" customWidth="1"/>
    <col min="3830" max="3830" width="15.28515625" style="374" bestFit="1" customWidth="1"/>
    <col min="3831" max="3831" width="5" style="374" customWidth="1"/>
    <col min="3832" max="3832" width="10.42578125" style="374" bestFit="1" customWidth="1"/>
    <col min="3833" max="3833" width="5" style="374" customWidth="1"/>
    <col min="3834" max="3834" width="10.42578125" style="374" bestFit="1" customWidth="1"/>
    <col min="3835" max="3837" width="9.140625" style="374"/>
    <col min="3838" max="3838" width="10.42578125" style="374" bestFit="1" customWidth="1"/>
    <col min="3839" max="4067" width="9.140625" style="374"/>
    <col min="4068" max="4068" width="3.5703125" style="374" customWidth="1"/>
    <col min="4069" max="4069" width="4.85546875" style="374" customWidth="1"/>
    <col min="4070" max="4070" width="5.42578125" style="374" customWidth="1"/>
    <col min="4071" max="4071" width="31.28515625" style="374" customWidth="1"/>
    <col min="4072" max="4072" width="7.5703125" style="374" customWidth="1"/>
    <col min="4073" max="4073" width="2.42578125" style="374" customWidth="1"/>
    <col min="4074" max="4074" width="11.5703125" style="374" customWidth="1"/>
    <col min="4075" max="4075" width="2.42578125" style="374" customWidth="1"/>
    <col min="4076" max="4076" width="11.5703125" style="374" customWidth="1"/>
    <col min="4077" max="4077" width="2.42578125" style="374" customWidth="1"/>
    <col min="4078" max="4078" width="10.85546875" style="374" customWidth="1"/>
    <col min="4079" max="4079" width="2.42578125" style="374" customWidth="1"/>
    <col min="4080" max="4080" width="11.140625" style="374" customWidth="1"/>
    <col min="4081" max="4081" width="1.85546875" style="374" customWidth="1"/>
    <col min="4082" max="4082" width="11" style="374" customWidth="1"/>
    <col min="4083" max="4083" width="0.7109375" style="374" customWidth="1"/>
    <col min="4084" max="4084" width="1.85546875" style="374" customWidth="1"/>
    <col min="4085" max="4085" width="11.85546875" style="374" bestFit="1" customWidth="1"/>
    <col min="4086" max="4086" width="15.28515625" style="374" bestFit="1" customWidth="1"/>
    <col min="4087" max="4087" width="5" style="374" customWidth="1"/>
    <col min="4088" max="4088" width="10.42578125" style="374" bestFit="1" customWidth="1"/>
    <col min="4089" max="4089" width="5" style="374" customWidth="1"/>
    <col min="4090" max="4090" width="10.42578125" style="374" bestFit="1" customWidth="1"/>
    <col min="4091" max="4093" width="9.140625" style="374"/>
    <col min="4094" max="4094" width="10.42578125" style="374" bestFit="1" customWidth="1"/>
    <col min="4095" max="4323" width="9.140625" style="374"/>
    <col min="4324" max="4324" width="3.5703125" style="374" customWidth="1"/>
    <col min="4325" max="4325" width="4.85546875" style="374" customWidth="1"/>
    <col min="4326" max="4326" width="5.42578125" style="374" customWidth="1"/>
    <col min="4327" max="4327" width="31.28515625" style="374" customWidth="1"/>
    <col min="4328" max="4328" width="7.5703125" style="374" customWidth="1"/>
    <col min="4329" max="4329" width="2.42578125" style="374" customWidth="1"/>
    <col min="4330" max="4330" width="11.5703125" style="374" customWidth="1"/>
    <col min="4331" max="4331" width="2.42578125" style="374" customWidth="1"/>
    <col min="4332" max="4332" width="11.5703125" style="374" customWidth="1"/>
    <col min="4333" max="4333" width="2.42578125" style="374" customWidth="1"/>
    <col min="4334" max="4334" width="10.85546875" style="374" customWidth="1"/>
    <col min="4335" max="4335" width="2.42578125" style="374" customWidth="1"/>
    <col min="4336" max="4336" width="11.140625" style="374" customWidth="1"/>
    <col min="4337" max="4337" width="1.85546875" style="374" customWidth="1"/>
    <col min="4338" max="4338" width="11" style="374" customWidth="1"/>
    <col min="4339" max="4339" width="0.7109375" style="374" customWidth="1"/>
    <col min="4340" max="4340" width="1.85546875" style="374" customWidth="1"/>
    <col min="4341" max="4341" width="11.85546875" style="374" bestFit="1" customWidth="1"/>
    <col min="4342" max="4342" width="15.28515625" style="374" bestFit="1" customWidth="1"/>
    <col min="4343" max="4343" width="5" style="374" customWidth="1"/>
    <col min="4344" max="4344" width="10.42578125" style="374" bestFit="1" customWidth="1"/>
    <col min="4345" max="4345" width="5" style="374" customWidth="1"/>
    <col min="4346" max="4346" width="10.42578125" style="374" bestFit="1" customWidth="1"/>
    <col min="4347" max="4349" width="9.140625" style="374"/>
    <col min="4350" max="4350" width="10.42578125" style="374" bestFit="1" customWidth="1"/>
    <col min="4351" max="4579" width="9.140625" style="374"/>
    <col min="4580" max="4580" width="3.5703125" style="374" customWidth="1"/>
    <col min="4581" max="4581" width="4.85546875" style="374" customWidth="1"/>
    <col min="4582" max="4582" width="5.42578125" style="374" customWidth="1"/>
    <col min="4583" max="4583" width="31.28515625" style="374" customWidth="1"/>
    <col min="4584" max="4584" width="7.5703125" style="374" customWidth="1"/>
    <col min="4585" max="4585" width="2.42578125" style="374" customWidth="1"/>
    <col min="4586" max="4586" width="11.5703125" style="374" customWidth="1"/>
    <col min="4587" max="4587" width="2.42578125" style="374" customWidth="1"/>
    <col min="4588" max="4588" width="11.5703125" style="374" customWidth="1"/>
    <col min="4589" max="4589" width="2.42578125" style="374" customWidth="1"/>
    <col min="4590" max="4590" width="10.85546875" style="374" customWidth="1"/>
    <col min="4591" max="4591" width="2.42578125" style="374" customWidth="1"/>
    <col min="4592" max="4592" width="11.140625" style="374" customWidth="1"/>
    <col min="4593" max="4593" width="1.85546875" style="374" customWidth="1"/>
    <col min="4594" max="4594" width="11" style="374" customWidth="1"/>
    <col min="4595" max="4595" width="0.7109375" style="374" customWidth="1"/>
    <col min="4596" max="4596" width="1.85546875" style="374" customWidth="1"/>
    <col min="4597" max="4597" width="11.85546875" style="374" bestFit="1" customWidth="1"/>
    <col min="4598" max="4598" width="15.28515625" style="374" bestFit="1" customWidth="1"/>
    <col min="4599" max="4599" width="5" style="374" customWidth="1"/>
    <col min="4600" max="4600" width="10.42578125" style="374" bestFit="1" customWidth="1"/>
    <col min="4601" max="4601" width="5" style="374" customWidth="1"/>
    <col min="4602" max="4602" width="10.42578125" style="374" bestFit="1" customWidth="1"/>
    <col min="4603" max="4605" width="9.140625" style="374"/>
    <col min="4606" max="4606" width="10.42578125" style="374" bestFit="1" customWidth="1"/>
    <col min="4607" max="4835" width="9.140625" style="374"/>
    <col min="4836" max="4836" width="3.5703125" style="374" customWidth="1"/>
    <col min="4837" max="4837" width="4.85546875" style="374" customWidth="1"/>
    <col min="4838" max="4838" width="5.42578125" style="374" customWidth="1"/>
    <col min="4839" max="4839" width="31.28515625" style="374" customWidth="1"/>
    <col min="4840" max="4840" width="7.5703125" style="374" customWidth="1"/>
    <col min="4841" max="4841" width="2.42578125" style="374" customWidth="1"/>
    <col min="4842" max="4842" width="11.5703125" style="374" customWidth="1"/>
    <col min="4843" max="4843" width="2.42578125" style="374" customWidth="1"/>
    <col min="4844" max="4844" width="11.5703125" style="374" customWidth="1"/>
    <col min="4845" max="4845" width="2.42578125" style="374" customWidth="1"/>
    <col min="4846" max="4846" width="10.85546875" style="374" customWidth="1"/>
    <col min="4847" max="4847" width="2.42578125" style="374" customWidth="1"/>
    <col min="4848" max="4848" width="11.140625" style="374" customWidth="1"/>
    <col min="4849" max="4849" width="1.85546875" style="374" customWidth="1"/>
    <col min="4850" max="4850" width="11" style="374" customWidth="1"/>
    <col min="4851" max="4851" width="0.7109375" style="374" customWidth="1"/>
    <col min="4852" max="4852" width="1.85546875" style="374" customWidth="1"/>
    <col min="4853" max="4853" width="11.85546875" style="374" bestFit="1" customWidth="1"/>
    <col min="4854" max="4854" width="15.28515625" style="374" bestFit="1" customWidth="1"/>
    <col min="4855" max="4855" width="5" style="374" customWidth="1"/>
    <col min="4856" max="4856" width="10.42578125" style="374" bestFit="1" customWidth="1"/>
    <col min="4857" max="4857" width="5" style="374" customWidth="1"/>
    <col min="4858" max="4858" width="10.42578125" style="374" bestFit="1" customWidth="1"/>
    <col min="4859" max="4861" width="9.140625" style="374"/>
    <col min="4862" max="4862" width="10.42578125" style="374" bestFit="1" customWidth="1"/>
    <col min="4863" max="5091" width="9.140625" style="374"/>
    <col min="5092" max="5092" width="3.5703125" style="374" customWidth="1"/>
    <col min="5093" max="5093" width="4.85546875" style="374" customWidth="1"/>
    <col min="5094" max="5094" width="5.42578125" style="374" customWidth="1"/>
    <col min="5095" max="5095" width="31.28515625" style="374" customWidth="1"/>
    <col min="5096" max="5096" width="7.5703125" style="374" customWidth="1"/>
    <col min="5097" max="5097" width="2.42578125" style="374" customWidth="1"/>
    <col min="5098" max="5098" width="11.5703125" style="374" customWidth="1"/>
    <col min="5099" max="5099" width="2.42578125" style="374" customWidth="1"/>
    <col min="5100" max="5100" width="11.5703125" style="374" customWidth="1"/>
    <col min="5101" max="5101" width="2.42578125" style="374" customWidth="1"/>
    <col min="5102" max="5102" width="10.85546875" style="374" customWidth="1"/>
    <col min="5103" max="5103" width="2.42578125" style="374" customWidth="1"/>
    <col min="5104" max="5104" width="11.140625" style="374" customWidth="1"/>
    <col min="5105" max="5105" width="1.85546875" style="374" customWidth="1"/>
    <col min="5106" max="5106" width="11" style="374" customWidth="1"/>
    <col min="5107" max="5107" width="0.7109375" style="374" customWidth="1"/>
    <col min="5108" max="5108" width="1.85546875" style="374" customWidth="1"/>
    <col min="5109" max="5109" width="11.85546875" style="374" bestFit="1" customWidth="1"/>
    <col min="5110" max="5110" width="15.28515625" style="374" bestFit="1" customWidth="1"/>
    <col min="5111" max="5111" width="5" style="374" customWidth="1"/>
    <col min="5112" max="5112" width="10.42578125" style="374" bestFit="1" customWidth="1"/>
    <col min="5113" max="5113" width="5" style="374" customWidth="1"/>
    <col min="5114" max="5114" width="10.42578125" style="374" bestFit="1" customWidth="1"/>
    <col min="5115" max="5117" width="9.140625" style="374"/>
    <col min="5118" max="5118" width="10.42578125" style="374" bestFit="1" customWidth="1"/>
    <col min="5119" max="5347" width="9.140625" style="374"/>
    <col min="5348" max="5348" width="3.5703125" style="374" customWidth="1"/>
    <col min="5349" max="5349" width="4.85546875" style="374" customWidth="1"/>
    <col min="5350" max="5350" width="5.42578125" style="374" customWidth="1"/>
    <col min="5351" max="5351" width="31.28515625" style="374" customWidth="1"/>
    <col min="5352" max="5352" width="7.5703125" style="374" customWidth="1"/>
    <col min="5353" max="5353" width="2.42578125" style="374" customWidth="1"/>
    <col min="5354" max="5354" width="11.5703125" style="374" customWidth="1"/>
    <col min="5355" max="5355" width="2.42578125" style="374" customWidth="1"/>
    <col min="5356" max="5356" width="11.5703125" style="374" customWidth="1"/>
    <col min="5357" max="5357" width="2.42578125" style="374" customWidth="1"/>
    <col min="5358" max="5358" width="10.85546875" style="374" customWidth="1"/>
    <col min="5359" max="5359" width="2.42578125" style="374" customWidth="1"/>
    <col min="5360" max="5360" width="11.140625" style="374" customWidth="1"/>
    <col min="5361" max="5361" width="1.85546875" style="374" customWidth="1"/>
    <col min="5362" max="5362" width="11" style="374" customWidth="1"/>
    <col min="5363" max="5363" width="0.7109375" style="374" customWidth="1"/>
    <col min="5364" max="5364" width="1.85546875" style="374" customWidth="1"/>
    <col min="5365" max="5365" width="11.85546875" style="374" bestFit="1" customWidth="1"/>
    <col min="5366" max="5366" width="15.28515625" style="374" bestFit="1" customWidth="1"/>
    <col min="5367" max="5367" width="5" style="374" customWidth="1"/>
    <col min="5368" max="5368" width="10.42578125" style="374" bestFit="1" customWidth="1"/>
    <col min="5369" max="5369" width="5" style="374" customWidth="1"/>
    <col min="5370" max="5370" width="10.42578125" style="374" bestFit="1" customWidth="1"/>
    <col min="5371" max="5373" width="9.140625" style="374"/>
    <col min="5374" max="5374" width="10.42578125" style="374" bestFit="1" customWidth="1"/>
    <col min="5375" max="5603" width="9.140625" style="374"/>
    <col min="5604" max="5604" width="3.5703125" style="374" customWidth="1"/>
    <col min="5605" max="5605" width="4.85546875" style="374" customWidth="1"/>
    <col min="5606" max="5606" width="5.42578125" style="374" customWidth="1"/>
    <col min="5607" max="5607" width="31.28515625" style="374" customWidth="1"/>
    <col min="5608" max="5608" width="7.5703125" style="374" customWidth="1"/>
    <col min="5609" max="5609" width="2.42578125" style="374" customWidth="1"/>
    <col min="5610" max="5610" width="11.5703125" style="374" customWidth="1"/>
    <col min="5611" max="5611" width="2.42578125" style="374" customWidth="1"/>
    <col min="5612" max="5612" width="11.5703125" style="374" customWidth="1"/>
    <col min="5613" max="5613" width="2.42578125" style="374" customWidth="1"/>
    <col min="5614" max="5614" width="10.85546875" style="374" customWidth="1"/>
    <col min="5615" max="5615" width="2.42578125" style="374" customWidth="1"/>
    <col min="5616" max="5616" width="11.140625" style="374" customWidth="1"/>
    <col min="5617" max="5617" width="1.85546875" style="374" customWidth="1"/>
    <col min="5618" max="5618" width="11" style="374" customWidth="1"/>
    <col min="5619" max="5619" width="0.7109375" style="374" customWidth="1"/>
    <col min="5620" max="5620" width="1.85546875" style="374" customWidth="1"/>
    <col min="5621" max="5621" width="11.85546875" style="374" bestFit="1" customWidth="1"/>
    <col min="5622" max="5622" width="15.28515625" style="374" bestFit="1" customWidth="1"/>
    <col min="5623" max="5623" width="5" style="374" customWidth="1"/>
    <col min="5624" max="5624" width="10.42578125" style="374" bestFit="1" customWidth="1"/>
    <col min="5625" max="5625" width="5" style="374" customWidth="1"/>
    <col min="5626" max="5626" width="10.42578125" style="374" bestFit="1" customWidth="1"/>
    <col min="5627" max="5629" width="9.140625" style="374"/>
    <col min="5630" max="5630" width="10.42578125" style="374" bestFit="1" customWidth="1"/>
    <col min="5631" max="5859" width="9.140625" style="374"/>
    <col min="5860" max="5860" width="3.5703125" style="374" customWidth="1"/>
    <col min="5861" max="5861" width="4.85546875" style="374" customWidth="1"/>
    <col min="5862" max="5862" width="5.42578125" style="374" customWidth="1"/>
    <col min="5863" max="5863" width="31.28515625" style="374" customWidth="1"/>
    <col min="5864" max="5864" width="7.5703125" style="374" customWidth="1"/>
    <col min="5865" max="5865" width="2.42578125" style="374" customWidth="1"/>
    <col min="5866" max="5866" width="11.5703125" style="374" customWidth="1"/>
    <col min="5867" max="5867" width="2.42578125" style="374" customWidth="1"/>
    <col min="5868" max="5868" width="11.5703125" style="374" customWidth="1"/>
    <col min="5869" max="5869" width="2.42578125" style="374" customWidth="1"/>
    <col min="5870" max="5870" width="10.85546875" style="374" customWidth="1"/>
    <col min="5871" max="5871" width="2.42578125" style="374" customWidth="1"/>
    <col min="5872" max="5872" width="11.140625" style="374" customWidth="1"/>
    <col min="5873" max="5873" width="1.85546875" style="374" customWidth="1"/>
    <col min="5874" max="5874" width="11" style="374" customWidth="1"/>
    <col min="5875" max="5875" width="0.7109375" style="374" customWidth="1"/>
    <col min="5876" max="5876" width="1.85546875" style="374" customWidth="1"/>
    <col min="5877" max="5877" width="11.85546875" style="374" bestFit="1" customWidth="1"/>
    <col min="5878" max="5878" width="15.28515625" style="374" bestFit="1" customWidth="1"/>
    <col min="5879" max="5879" width="5" style="374" customWidth="1"/>
    <col min="5880" max="5880" width="10.42578125" style="374" bestFit="1" customWidth="1"/>
    <col min="5881" max="5881" width="5" style="374" customWidth="1"/>
    <col min="5882" max="5882" width="10.42578125" style="374" bestFit="1" customWidth="1"/>
    <col min="5883" max="5885" width="9.140625" style="374"/>
    <col min="5886" max="5886" width="10.42578125" style="374" bestFit="1" customWidth="1"/>
    <col min="5887" max="6115" width="9.140625" style="374"/>
    <col min="6116" max="6116" width="3.5703125" style="374" customWidth="1"/>
    <col min="6117" max="6117" width="4.85546875" style="374" customWidth="1"/>
    <col min="6118" max="6118" width="5.42578125" style="374" customWidth="1"/>
    <col min="6119" max="6119" width="31.28515625" style="374" customWidth="1"/>
    <col min="6120" max="6120" width="7.5703125" style="374" customWidth="1"/>
    <col min="6121" max="6121" width="2.42578125" style="374" customWidth="1"/>
    <col min="6122" max="6122" width="11.5703125" style="374" customWidth="1"/>
    <col min="6123" max="6123" width="2.42578125" style="374" customWidth="1"/>
    <col min="6124" max="6124" width="11.5703125" style="374" customWidth="1"/>
    <col min="6125" max="6125" width="2.42578125" style="374" customWidth="1"/>
    <col min="6126" max="6126" width="10.85546875" style="374" customWidth="1"/>
    <col min="6127" max="6127" width="2.42578125" style="374" customWidth="1"/>
    <col min="6128" max="6128" width="11.140625" style="374" customWidth="1"/>
    <col min="6129" max="6129" width="1.85546875" style="374" customWidth="1"/>
    <col min="6130" max="6130" width="11" style="374" customWidth="1"/>
    <col min="6131" max="6131" width="0.7109375" style="374" customWidth="1"/>
    <col min="6132" max="6132" width="1.85546875" style="374" customWidth="1"/>
    <col min="6133" max="6133" width="11.85546875" style="374" bestFit="1" customWidth="1"/>
    <col min="6134" max="6134" width="15.28515625" style="374" bestFit="1" customWidth="1"/>
    <col min="6135" max="6135" width="5" style="374" customWidth="1"/>
    <col min="6136" max="6136" width="10.42578125" style="374" bestFit="1" customWidth="1"/>
    <col min="6137" max="6137" width="5" style="374" customWidth="1"/>
    <col min="6138" max="6138" width="10.42578125" style="374" bestFit="1" customWidth="1"/>
    <col min="6139" max="6141" width="9.140625" style="374"/>
    <col min="6142" max="6142" width="10.42578125" style="374" bestFit="1" customWidth="1"/>
    <col min="6143" max="6371" width="9.140625" style="374"/>
    <col min="6372" max="6372" width="3.5703125" style="374" customWidth="1"/>
    <col min="6373" max="6373" width="4.85546875" style="374" customWidth="1"/>
    <col min="6374" max="6374" width="5.42578125" style="374" customWidth="1"/>
    <col min="6375" max="6375" width="31.28515625" style="374" customWidth="1"/>
    <col min="6376" max="6376" width="7.5703125" style="374" customWidth="1"/>
    <col min="6377" max="6377" width="2.42578125" style="374" customWidth="1"/>
    <col min="6378" max="6378" width="11.5703125" style="374" customWidth="1"/>
    <col min="6379" max="6379" width="2.42578125" style="374" customWidth="1"/>
    <col min="6380" max="6380" width="11.5703125" style="374" customWidth="1"/>
    <col min="6381" max="6381" width="2.42578125" style="374" customWidth="1"/>
    <col min="6382" max="6382" width="10.85546875" style="374" customWidth="1"/>
    <col min="6383" max="6383" width="2.42578125" style="374" customWidth="1"/>
    <col min="6384" max="6384" width="11.140625" style="374" customWidth="1"/>
    <col min="6385" max="6385" width="1.85546875" style="374" customWidth="1"/>
    <col min="6386" max="6386" width="11" style="374" customWidth="1"/>
    <col min="6387" max="6387" width="0.7109375" style="374" customWidth="1"/>
    <col min="6388" max="6388" width="1.85546875" style="374" customWidth="1"/>
    <col min="6389" max="6389" width="11.85546875" style="374" bestFit="1" customWidth="1"/>
    <col min="6390" max="6390" width="15.28515625" style="374" bestFit="1" customWidth="1"/>
    <col min="6391" max="6391" width="5" style="374" customWidth="1"/>
    <col min="6392" max="6392" width="10.42578125" style="374" bestFit="1" customWidth="1"/>
    <col min="6393" max="6393" width="5" style="374" customWidth="1"/>
    <col min="6394" max="6394" width="10.42578125" style="374" bestFit="1" customWidth="1"/>
    <col min="6395" max="6397" width="9.140625" style="374"/>
    <col min="6398" max="6398" width="10.42578125" style="374" bestFit="1" customWidth="1"/>
    <col min="6399" max="6627" width="9.140625" style="374"/>
    <col min="6628" max="6628" width="3.5703125" style="374" customWidth="1"/>
    <col min="6629" max="6629" width="4.85546875" style="374" customWidth="1"/>
    <col min="6630" max="6630" width="5.42578125" style="374" customWidth="1"/>
    <col min="6631" max="6631" width="31.28515625" style="374" customWidth="1"/>
    <col min="6632" max="6632" width="7.5703125" style="374" customWidth="1"/>
    <col min="6633" max="6633" width="2.42578125" style="374" customWidth="1"/>
    <col min="6634" max="6634" width="11.5703125" style="374" customWidth="1"/>
    <col min="6635" max="6635" width="2.42578125" style="374" customWidth="1"/>
    <col min="6636" max="6636" width="11.5703125" style="374" customWidth="1"/>
    <col min="6637" max="6637" width="2.42578125" style="374" customWidth="1"/>
    <col min="6638" max="6638" width="10.85546875" style="374" customWidth="1"/>
    <col min="6639" max="6639" width="2.42578125" style="374" customWidth="1"/>
    <col min="6640" max="6640" width="11.140625" style="374" customWidth="1"/>
    <col min="6641" max="6641" width="1.85546875" style="374" customWidth="1"/>
    <col min="6642" max="6642" width="11" style="374" customWidth="1"/>
    <col min="6643" max="6643" width="0.7109375" style="374" customWidth="1"/>
    <col min="6644" max="6644" width="1.85546875" style="374" customWidth="1"/>
    <col min="6645" max="6645" width="11.85546875" style="374" bestFit="1" customWidth="1"/>
    <col min="6646" max="6646" width="15.28515625" style="374" bestFit="1" customWidth="1"/>
    <col min="6647" max="6647" width="5" style="374" customWidth="1"/>
    <col min="6648" max="6648" width="10.42578125" style="374" bestFit="1" customWidth="1"/>
    <col min="6649" max="6649" width="5" style="374" customWidth="1"/>
    <col min="6650" max="6650" width="10.42578125" style="374" bestFit="1" customWidth="1"/>
    <col min="6651" max="6653" width="9.140625" style="374"/>
    <col min="6654" max="6654" width="10.42578125" style="374" bestFit="1" customWidth="1"/>
    <col min="6655" max="6883" width="9.140625" style="374"/>
    <col min="6884" max="6884" width="3.5703125" style="374" customWidth="1"/>
    <col min="6885" max="6885" width="4.85546875" style="374" customWidth="1"/>
    <col min="6886" max="6886" width="5.42578125" style="374" customWidth="1"/>
    <col min="6887" max="6887" width="31.28515625" style="374" customWidth="1"/>
    <col min="6888" max="6888" width="7.5703125" style="374" customWidth="1"/>
    <col min="6889" max="6889" width="2.42578125" style="374" customWidth="1"/>
    <col min="6890" max="6890" width="11.5703125" style="374" customWidth="1"/>
    <col min="6891" max="6891" width="2.42578125" style="374" customWidth="1"/>
    <col min="6892" max="6892" width="11.5703125" style="374" customWidth="1"/>
    <col min="6893" max="6893" width="2.42578125" style="374" customWidth="1"/>
    <col min="6894" max="6894" width="10.85546875" style="374" customWidth="1"/>
    <col min="6895" max="6895" width="2.42578125" style="374" customWidth="1"/>
    <col min="6896" max="6896" width="11.140625" style="374" customWidth="1"/>
    <col min="6897" max="6897" width="1.85546875" style="374" customWidth="1"/>
    <col min="6898" max="6898" width="11" style="374" customWidth="1"/>
    <col min="6899" max="6899" width="0.7109375" style="374" customWidth="1"/>
    <col min="6900" max="6900" width="1.85546875" style="374" customWidth="1"/>
    <col min="6901" max="6901" width="11.85546875" style="374" bestFit="1" customWidth="1"/>
    <col min="6902" max="6902" width="15.28515625" style="374" bestFit="1" customWidth="1"/>
    <col min="6903" max="6903" width="5" style="374" customWidth="1"/>
    <col min="6904" max="6904" width="10.42578125" style="374" bestFit="1" customWidth="1"/>
    <col min="6905" max="6905" width="5" style="374" customWidth="1"/>
    <col min="6906" max="6906" width="10.42578125" style="374" bestFit="1" customWidth="1"/>
    <col min="6907" max="6909" width="9.140625" style="374"/>
    <col min="6910" max="6910" width="10.42578125" style="374" bestFit="1" customWidth="1"/>
    <col min="6911" max="7139" width="9.140625" style="374"/>
    <col min="7140" max="7140" width="3.5703125" style="374" customWidth="1"/>
    <col min="7141" max="7141" width="4.85546875" style="374" customWidth="1"/>
    <col min="7142" max="7142" width="5.42578125" style="374" customWidth="1"/>
    <col min="7143" max="7143" width="31.28515625" style="374" customWidth="1"/>
    <col min="7144" max="7144" width="7.5703125" style="374" customWidth="1"/>
    <col min="7145" max="7145" width="2.42578125" style="374" customWidth="1"/>
    <col min="7146" max="7146" width="11.5703125" style="374" customWidth="1"/>
    <col min="7147" max="7147" width="2.42578125" style="374" customWidth="1"/>
    <col min="7148" max="7148" width="11.5703125" style="374" customWidth="1"/>
    <col min="7149" max="7149" width="2.42578125" style="374" customWidth="1"/>
    <col min="7150" max="7150" width="10.85546875" style="374" customWidth="1"/>
    <col min="7151" max="7151" width="2.42578125" style="374" customWidth="1"/>
    <col min="7152" max="7152" width="11.140625" style="374" customWidth="1"/>
    <col min="7153" max="7153" width="1.85546875" style="374" customWidth="1"/>
    <col min="7154" max="7154" width="11" style="374" customWidth="1"/>
    <col min="7155" max="7155" width="0.7109375" style="374" customWidth="1"/>
    <col min="7156" max="7156" width="1.85546875" style="374" customWidth="1"/>
    <col min="7157" max="7157" width="11.85546875" style="374" bestFit="1" customWidth="1"/>
    <col min="7158" max="7158" width="15.28515625" style="374" bestFit="1" customWidth="1"/>
    <col min="7159" max="7159" width="5" style="374" customWidth="1"/>
    <col min="7160" max="7160" width="10.42578125" style="374" bestFit="1" customWidth="1"/>
    <col min="7161" max="7161" width="5" style="374" customWidth="1"/>
    <col min="7162" max="7162" width="10.42578125" style="374" bestFit="1" customWidth="1"/>
    <col min="7163" max="7165" width="9.140625" style="374"/>
    <col min="7166" max="7166" width="10.42578125" style="374" bestFit="1" customWidth="1"/>
    <col min="7167" max="7395" width="9.140625" style="374"/>
    <col min="7396" max="7396" width="3.5703125" style="374" customWidth="1"/>
    <col min="7397" max="7397" width="4.85546875" style="374" customWidth="1"/>
    <col min="7398" max="7398" width="5.42578125" style="374" customWidth="1"/>
    <col min="7399" max="7399" width="31.28515625" style="374" customWidth="1"/>
    <col min="7400" max="7400" width="7.5703125" style="374" customWidth="1"/>
    <col min="7401" max="7401" width="2.42578125" style="374" customWidth="1"/>
    <col min="7402" max="7402" width="11.5703125" style="374" customWidth="1"/>
    <col min="7403" max="7403" width="2.42578125" style="374" customWidth="1"/>
    <col min="7404" max="7404" width="11.5703125" style="374" customWidth="1"/>
    <col min="7405" max="7405" width="2.42578125" style="374" customWidth="1"/>
    <col min="7406" max="7406" width="10.85546875" style="374" customWidth="1"/>
    <col min="7407" max="7407" width="2.42578125" style="374" customWidth="1"/>
    <col min="7408" max="7408" width="11.140625" style="374" customWidth="1"/>
    <col min="7409" max="7409" width="1.85546875" style="374" customWidth="1"/>
    <col min="7410" max="7410" width="11" style="374" customWidth="1"/>
    <col min="7411" max="7411" width="0.7109375" style="374" customWidth="1"/>
    <col min="7412" max="7412" width="1.85546875" style="374" customWidth="1"/>
    <col min="7413" max="7413" width="11.85546875" style="374" bestFit="1" customWidth="1"/>
    <col min="7414" max="7414" width="15.28515625" style="374" bestFit="1" customWidth="1"/>
    <col min="7415" max="7415" width="5" style="374" customWidth="1"/>
    <col min="7416" max="7416" width="10.42578125" style="374" bestFit="1" customWidth="1"/>
    <col min="7417" max="7417" width="5" style="374" customWidth="1"/>
    <col min="7418" max="7418" width="10.42578125" style="374" bestFit="1" customWidth="1"/>
    <col min="7419" max="7421" width="9.140625" style="374"/>
    <col min="7422" max="7422" width="10.42578125" style="374" bestFit="1" customWidth="1"/>
    <col min="7423" max="7651" width="9.140625" style="374"/>
    <col min="7652" max="7652" width="3.5703125" style="374" customWidth="1"/>
    <col min="7653" max="7653" width="4.85546875" style="374" customWidth="1"/>
    <col min="7654" max="7654" width="5.42578125" style="374" customWidth="1"/>
    <col min="7655" max="7655" width="31.28515625" style="374" customWidth="1"/>
    <col min="7656" max="7656" width="7.5703125" style="374" customWidth="1"/>
    <col min="7657" max="7657" width="2.42578125" style="374" customWidth="1"/>
    <col min="7658" max="7658" width="11.5703125" style="374" customWidth="1"/>
    <col min="7659" max="7659" width="2.42578125" style="374" customWidth="1"/>
    <col min="7660" max="7660" width="11.5703125" style="374" customWidth="1"/>
    <col min="7661" max="7661" width="2.42578125" style="374" customWidth="1"/>
    <col min="7662" max="7662" width="10.85546875" style="374" customWidth="1"/>
    <col min="7663" max="7663" width="2.42578125" style="374" customWidth="1"/>
    <col min="7664" max="7664" width="11.140625" style="374" customWidth="1"/>
    <col min="7665" max="7665" width="1.85546875" style="374" customWidth="1"/>
    <col min="7666" max="7666" width="11" style="374" customWidth="1"/>
    <col min="7667" max="7667" width="0.7109375" style="374" customWidth="1"/>
    <col min="7668" max="7668" width="1.85546875" style="374" customWidth="1"/>
    <col min="7669" max="7669" width="11.85546875" style="374" bestFit="1" customWidth="1"/>
    <col min="7670" max="7670" width="15.28515625" style="374" bestFit="1" customWidth="1"/>
    <col min="7671" max="7671" width="5" style="374" customWidth="1"/>
    <col min="7672" max="7672" width="10.42578125" style="374" bestFit="1" customWidth="1"/>
    <col min="7673" max="7673" width="5" style="374" customWidth="1"/>
    <col min="7674" max="7674" width="10.42578125" style="374" bestFit="1" customWidth="1"/>
    <col min="7675" max="7677" width="9.140625" style="374"/>
    <col min="7678" max="7678" width="10.42578125" style="374" bestFit="1" customWidth="1"/>
    <col min="7679" max="7907" width="9.140625" style="374"/>
    <col min="7908" max="7908" width="3.5703125" style="374" customWidth="1"/>
    <col min="7909" max="7909" width="4.85546875" style="374" customWidth="1"/>
    <col min="7910" max="7910" width="5.42578125" style="374" customWidth="1"/>
    <col min="7911" max="7911" width="31.28515625" style="374" customWidth="1"/>
    <col min="7912" max="7912" width="7.5703125" style="374" customWidth="1"/>
    <col min="7913" max="7913" width="2.42578125" style="374" customWidth="1"/>
    <col min="7914" max="7914" width="11.5703125" style="374" customWidth="1"/>
    <col min="7915" max="7915" width="2.42578125" style="374" customWidth="1"/>
    <col min="7916" max="7916" width="11.5703125" style="374" customWidth="1"/>
    <col min="7917" max="7917" width="2.42578125" style="374" customWidth="1"/>
    <col min="7918" max="7918" width="10.85546875" style="374" customWidth="1"/>
    <col min="7919" max="7919" width="2.42578125" style="374" customWidth="1"/>
    <col min="7920" max="7920" width="11.140625" style="374" customWidth="1"/>
    <col min="7921" max="7921" width="1.85546875" style="374" customWidth="1"/>
    <col min="7922" max="7922" width="11" style="374" customWidth="1"/>
    <col min="7923" max="7923" width="0.7109375" style="374" customWidth="1"/>
    <col min="7924" max="7924" width="1.85546875" style="374" customWidth="1"/>
    <col min="7925" max="7925" width="11.85546875" style="374" bestFit="1" customWidth="1"/>
    <col min="7926" max="7926" width="15.28515625" style="374" bestFit="1" customWidth="1"/>
    <col min="7927" max="7927" width="5" style="374" customWidth="1"/>
    <col min="7928" max="7928" width="10.42578125" style="374" bestFit="1" customWidth="1"/>
    <col min="7929" max="7929" width="5" style="374" customWidth="1"/>
    <col min="7930" max="7930" width="10.42578125" style="374" bestFit="1" customWidth="1"/>
    <col min="7931" max="7933" width="9.140625" style="374"/>
    <col min="7934" max="7934" width="10.42578125" style="374" bestFit="1" customWidth="1"/>
    <col min="7935" max="8163" width="9.140625" style="374"/>
    <col min="8164" max="8164" width="3.5703125" style="374" customWidth="1"/>
    <col min="8165" max="8165" width="4.85546875" style="374" customWidth="1"/>
    <col min="8166" max="8166" width="5.42578125" style="374" customWidth="1"/>
    <col min="8167" max="8167" width="31.28515625" style="374" customWidth="1"/>
    <col min="8168" max="8168" width="7.5703125" style="374" customWidth="1"/>
    <col min="8169" max="8169" width="2.42578125" style="374" customWidth="1"/>
    <col min="8170" max="8170" width="11.5703125" style="374" customWidth="1"/>
    <col min="8171" max="8171" width="2.42578125" style="374" customWidth="1"/>
    <col min="8172" max="8172" width="11.5703125" style="374" customWidth="1"/>
    <col min="8173" max="8173" width="2.42578125" style="374" customWidth="1"/>
    <col min="8174" max="8174" width="10.85546875" style="374" customWidth="1"/>
    <col min="8175" max="8175" width="2.42578125" style="374" customWidth="1"/>
    <col min="8176" max="8176" width="11.140625" style="374" customWidth="1"/>
    <col min="8177" max="8177" width="1.85546875" style="374" customWidth="1"/>
    <col min="8178" max="8178" width="11" style="374" customWidth="1"/>
    <col min="8179" max="8179" width="0.7109375" style="374" customWidth="1"/>
    <col min="8180" max="8180" width="1.85546875" style="374" customWidth="1"/>
    <col min="8181" max="8181" width="11.85546875" style="374" bestFit="1" customWidth="1"/>
    <col min="8182" max="8182" width="15.28515625" style="374" bestFit="1" customWidth="1"/>
    <col min="8183" max="8183" width="5" style="374" customWidth="1"/>
    <col min="8184" max="8184" width="10.42578125" style="374" bestFit="1" customWidth="1"/>
    <col min="8185" max="8185" width="5" style="374" customWidth="1"/>
    <col min="8186" max="8186" width="10.42578125" style="374" bestFit="1" customWidth="1"/>
    <col min="8187" max="8189" width="9.140625" style="374"/>
    <col min="8190" max="8190" width="10.42578125" style="374" bestFit="1" customWidth="1"/>
    <col min="8191" max="8419" width="9.140625" style="374"/>
    <col min="8420" max="8420" width="3.5703125" style="374" customWidth="1"/>
    <col min="8421" max="8421" width="4.85546875" style="374" customWidth="1"/>
    <col min="8422" max="8422" width="5.42578125" style="374" customWidth="1"/>
    <col min="8423" max="8423" width="31.28515625" style="374" customWidth="1"/>
    <col min="8424" max="8424" width="7.5703125" style="374" customWidth="1"/>
    <col min="8425" max="8425" width="2.42578125" style="374" customWidth="1"/>
    <col min="8426" max="8426" width="11.5703125" style="374" customWidth="1"/>
    <col min="8427" max="8427" width="2.42578125" style="374" customWidth="1"/>
    <col min="8428" max="8428" width="11.5703125" style="374" customWidth="1"/>
    <col min="8429" max="8429" width="2.42578125" style="374" customWidth="1"/>
    <col min="8430" max="8430" width="10.85546875" style="374" customWidth="1"/>
    <col min="8431" max="8431" width="2.42578125" style="374" customWidth="1"/>
    <col min="8432" max="8432" width="11.140625" style="374" customWidth="1"/>
    <col min="8433" max="8433" width="1.85546875" style="374" customWidth="1"/>
    <col min="8434" max="8434" width="11" style="374" customWidth="1"/>
    <col min="8435" max="8435" width="0.7109375" style="374" customWidth="1"/>
    <col min="8436" max="8436" width="1.85546875" style="374" customWidth="1"/>
    <col min="8437" max="8437" width="11.85546875" style="374" bestFit="1" customWidth="1"/>
    <col min="8438" max="8438" width="15.28515625" style="374" bestFit="1" customWidth="1"/>
    <col min="8439" max="8439" width="5" style="374" customWidth="1"/>
    <col min="8440" max="8440" width="10.42578125" style="374" bestFit="1" customWidth="1"/>
    <col min="8441" max="8441" width="5" style="374" customWidth="1"/>
    <col min="8442" max="8442" width="10.42578125" style="374" bestFit="1" customWidth="1"/>
    <col min="8443" max="8445" width="9.140625" style="374"/>
    <col min="8446" max="8446" width="10.42578125" style="374" bestFit="1" customWidth="1"/>
    <col min="8447" max="8675" width="9.140625" style="374"/>
    <col min="8676" max="8676" width="3.5703125" style="374" customWidth="1"/>
    <col min="8677" max="8677" width="4.85546875" style="374" customWidth="1"/>
    <col min="8678" max="8678" width="5.42578125" style="374" customWidth="1"/>
    <col min="8679" max="8679" width="31.28515625" style="374" customWidth="1"/>
    <col min="8680" max="8680" width="7.5703125" style="374" customWidth="1"/>
    <col min="8681" max="8681" width="2.42578125" style="374" customWidth="1"/>
    <col min="8682" max="8682" width="11.5703125" style="374" customWidth="1"/>
    <col min="8683" max="8683" width="2.42578125" style="374" customWidth="1"/>
    <col min="8684" max="8684" width="11.5703125" style="374" customWidth="1"/>
    <col min="8685" max="8685" width="2.42578125" style="374" customWidth="1"/>
    <col min="8686" max="8686" width="10.85546875" style="374" customWidth="1"/>
    <col min="8687" max="8687" width="2.42578125" style="374" customWidth="1"/>
    <col min="8688" max="8688" width="11.140625" style="374" customWidth="1"/>
    <col min="8689" max="8689" width="1.85546875" style="374" customWidth="1"/>
    <col min="8690" max="8690" width="11" style="374" customWidth="1"/>
    <col min="8691" max="8691" width="0.7109375" style="374" customWidth="1"/>
    <col min="8692" max="8692" width="1.85546875" style="374" customWidth="1"/>
    <col min="8693" max="8693" width="11.85546875" style="374" bestFit="1" customWidth="1"/>
    <col min="8694" max="8694" width="15.28515625" style="374" bestFit="1" customWidth="1"/>
    <col min="8695" max="8695" width="5" style="374" customWidth="1"/>
    <col min="8696" max="8696" width="10.42578125" style="374" bestFit="1" customWidth="1"/>
    <col min="8697" max="8697" width="5" style="374" customWidth="1"/>
    <col min="8698" max="8698" width="10.42578125" style="374" bestFit="1" customWidth="1"/>
    <col min="8699" max="8701" width="9.140625" style="374"/>
    <col min="8702" max="8702" width="10.42578125" style="374" bestFit="1" customWidth="1"/>
    <col min="8703" max="8931" width="9.140625" style="374"/>
    <col min="8932" max="8932" width="3.5703125" style="374" customWidth="1"/>
    <col min="8933" max="8933" width="4.85546875" style="374" customWidth="1"/>
    <col min="8934" max="8934" width="5.42578125" style="374" customWidth="1"/>
    <col min="8935" max="8935" width="31.28515625" style="374" customWidth="1"/>
    <col min="8936" max="8936" width="7.5703125" style="374" customWidth="1"/>
    <col min="8937" max="8937" width="2.42578125" style="374" customWidth="1"/>
    <col min="8938" max="8938" width="11.5703125" style="374" customWidth="1"/>
    <col min="8939" max="8939" width="2.42578125" style="374" customWidth="1"/>
    <col min="8940" max="8940" width="11.5703125" style="374" customWidth="1"/>
    <col min="8941" max="8941" width="2.42578125" style="374" customWidth="1"/>
    <col min="8942" max="8942" width="10.85546875" style="374" customWidth="1"/>
    <col min="8943" max="8943" width="2.42578125" style="374" customWidth="1"/>
    <col min="8944" max="8944" width="11.140625" style="374" customWidth="1"/>
    <col min="8945" max="8945" width="1.85546875" style="374" customWidth="1"/>
    <col min="8946" max="8946" width="11" style="374" customWidth="1"/>
    <col min="8947" max="8947" width="0.7109375" style="374" customWidth="1"/>
    <col min="8948" max="8948" width="1.85546875" style="374" customWidth="1"/>
    <col min="8949" max="8949" width="11.85546875" style="374" bestFit="1" customWidth="1"/>
    <col min="8950" max="8950" width="15.28515625" style="374" bestFit="1" customWidth="1"/>
    <col min="8951" max="8951" width="5" style="374" customWidth="1"/>
    <col min="8952" max="8952" width="10.42578125" style="374" bestFit="1" customWidth="1"/>
    <col min="8953" max="8953" width="5" style="374" customWidth="1"/>
    <col min="8954" max="8954" width="10.42578125" style="374" bestFit="1" customWidth="1"/>
    <col min="8955" max="8957" width="9.140625" style="374"/>
    <col min="8958" max="8958" width="10.42578125" style="374" bestFit="1" customWidth="1"/>
    <col min="8959" max="9187" width="9.140625" style="374"/>
    <col min="9188" max="9188" width="3.5703125" style="374" customWidth="1"/>
    <col min="9189" max="9189" width="4.85546875" style="374" customWidth="1"/>
    <col min="9190" max="9190" width="5.42578125" style="374" customWidth="1"/>
    <col min="9191" max="9191" width="31.28515625" style="374" customWidth="1"/>
    <col min="9192" max="9192" width="7.5703125" style="374" customWidth="1"/>
    <col min="9193" max="9193" width="2.42578125" style="374" customWidth="1"/>
    <col min="9194" max="9194" width="11.5703125" style="374" customWidth="1"/>
    <col min="9195" max="9195" width="2.42578125" style="374" customWidth="1"/>
    <col min="9196" max="9196" width="11.5703125" style="374" customWidth="1"/>
    <col min="9197" max="9197" width="2.42578125" style="374" customWidth="1"/>
    <col min="9198" max="9198" width="10.85546875" style="374" customWidth="1"/>
    <col min="9199" max="9199" width="2.42578125" style="374" customWidth="1"/>
    <col min="9200" max="9200" width="11.140625" style="374" customWidth="1"/>
    <col min="9201" max="9201" width="1.85546875" style="374" customWidth="1"/>
    <col min="9202" max="9202" width="11" style="374" customWidth="1"/>
    <col min="9203" max="9203" width="0.7109375" style="374" customWidth="1"/>
    <col min="9204" max="9204" width="1.85546875" style="374" customWidth="1"/>
    <col min="9205" max="9205" width="11.85546875" style="374" bestFit="1" customWidth="1"/>
    <col min="9206" max="9206" width="15.28515625" style="374" bestFit="1" customWidth="1"/>
    <col min="9207" max="9207" width="5" style="374" customWidth="1"/>
    <col min="9208" max="9208" width="10.42578125" style="374" bestFit="1" customWidth="1"/>
    <col min="9209" max="9209" width="5" style="374" customWidth="1"/>
    <col min="9210" max="9210" width="10.42578125" style="374" bestFit="1" customWidth="1"/>
    <col min="9211" max="9213" width="9.140625" style="374"/>
    <col min="9214" max="9214" width="10.42578125" style="374" bestFit="1" customWidth="1"/>
    <col min="9215" max="9443" width="9.140625" style="374"/>
    <col min="9444" max="9444" width="3.5703125" style="374" customWidth="1"/>
    <col min="9445" max="9445" width="4.85546875" style="374" customWidth="1"/>
    <col min="9446" max="9446" width="5.42578125" style="374" customWidth="1"/>
    <col min="9447" max="9447" width="31.28515625" style="374" customWidth="1"/>
    <col min="9448" max="9448" width="7.5703125" style="374" customWidth="1"/>
    <col min="9449" max="9449" width="2.42578125" style="374" customWidth="1"/>
    <col min="9450" max="9450" width="11.5703125" style="374" customWidth="1"/>
    <col min="9451" max="9451" width="2.42578125" style="374" customWidth="1"/>
    <col min="9452" max="9452" width="11.5703125" style="374" customWidth="1"/>
    <col min="9453" max="9453" width="2.42578125" style="374" customWidth="1"/>
    <col min="9454" max="9454" width="10.85546875" style="374" customWidth="1"/>
    <col min="9455" max="9455" width="2.42578125" style="374" customWidth="1"/>
    <col min="9456" max="9456" width="11.140625" style="374" customWidth="1"/>
    <col min="9457" max="9457" width="1.85546875" style="374" customWidth="1"/>
    <col min="9458" max="9458" width="11" style="374" customWidth="1"/>
    <col min="9459" max="9459" width="0.7109375" style="374" customWidth="1"/>
    <col min="9460" max="9460" width="1.85546875" style="374" customWidth="1"/>
    <col min="9461" max="9461" width="11.85546875" style="374" bestFit="1" customWidth="1"/>
    <col min="9462" max="9462" width="15.28515625" style="374" bestFit="1" customWidth="1"/>
    <col min="9463" max="9463" width="5" style="374" customWidth="1"/>
    <col min="9464" max="9464" width="10.42578125" style="374" bestFit="1" customWidth="1"/>
    <col min="9465" max="9465" width="5" style="374" customWidth="1"/>
    <col min="9466" max="9466" width="10.42578125" style="374" bestFit="1" customWidth="1"/>
    <col min="9467" max="9469" width="9.140625" style="374"/>
    <col min="9470" max="9470" width="10.42578125" style="374" bestFit="1" customWidth="1"/>
    <col min="9471" max="9699" width="9.140625" style="374"/>
    <col min="9700" max="9700" width="3.5703125" style="374" customWidth="1"/>
    <col min="9701" max="9701" width="4.85546875" style="374" customWidth="1"/>
    <col min="9702" max="9702" width="5.42578125" style="374" customWidth="1"/>
    <col min="9703" max="9703" width="31.28515625" style="374" customWidth="1"/>
    <col min="9704" max="9704" width="7.5703125" style="374" customWidth="1"/>
    <col min="9705" max="9705" width="2.42578125" style="374" customWidth="1"/>
    <col min="9706" max="9706" width="11.5703125" style="374" customWidth="1"/>
    <col min="9707" max="9707" width="2.42578125" style="374" customWidth="1"/>
    <col min="9708" max="9708" width="11.5703125" style="374" customWidth="1"/>
    <col min="9709" max="9709" width="2.42578125" style="374" customWidth="1"/>
    <col min="9710" max="9710" width="10.85546875" style="374" customWidth="1"/>
    <col min="9711" max="9711" width="2.42578125" style="374" customWidth="1"/>
    <col min="9712" max="9712" width="11.140625" style="374" customWidth="1"/>
    <col min="9713" max="9713" width="1.85546875" style="374" customWidth="1"/>
    <col min="9714" max="9714" width="11" style="374" customWidth="1"/>
    <col min="9715" max="9715" width="0.7109375" style="374" customWidth="1"/>
    <col min="9716" max="9716" width="1.85546875" style="374" customWidth="1"/>
    <col min="9717" max="9717" width="11.85546875" style="374" bestFit="1" customWidth="1"/>
    <col min="9718" max="9718" width="15.28515625" style="374" bestFit="1" customWidth="1"/>
    <col min="9719" max="9719" width="5" style="374" customWidth="1"/>
    <col min="9720" max="9720" width="10.42578125" style="374" bestFit="1" customWidth="1"/>
    <col min="9721" max="9721" width="5" style="374" customWidth="1"/>
    <col min="9722" max="9722" width="10.42578125" style="374" bestFit="1" customWidth="1"/>
    <col min="9723" max="9725" width="9.140625" style="374"/>
    <col min="9726" max="9726" width="10.42578125" style="374" bestFit="1" customWidth="1"/>
    <col min="9727" max="9955" width="9.140625" style="374"/>
    <col min="9956" max="9956" width="3.5703125" style="374" customWidth="1"/>
    <col min="9957" max="9957" width="4.85546875" style="374" customWidth="1"/>
    <col min="9958" max="9958" width="5.42578125" style="374" customWidth="1"/>
    <col min="9959" max="9959" width="31.28515625" style="374" customWidth="1"/>
    <col min="9960" max="9960" width="7.5703125" style="374" customWidth="1"/>
    <col min="9961" max="9961" width="2.42578125" style="374" customWidth="1"/>
    <col min="9962" max="9962" width="11.5703125" style="374" customWidth="1"/>
    <col min="9963" max="9963" width="2.42578125" style="374" customWidth="1"/>
    <col min="9964" max="9964" width="11.5703125" style="374" customWidth="1"/>
    <col min="9965" max="9965" width="2.42578125" style="374" customWidth="1"/>
    <col min="9966" max="9966" width="10.85546875" style="374" customWidth="1"/>
    <col min="9967" max="9967" width="2.42578125" style="374" customWidth="1"/>
    <col min="9968" max="9968" width="11.140625" style="374" customWidth="1"/>
    <col min="9969" max="9969" width="1.85546875" style="374" customWidth="1"/>
    <col min="9970" max="9970" width="11" style="374" customWidth="1"/>
    <col min="9971" max="9971" width="0.7109375" style="374" customWidth="1"/>
    <col min="9972" max="9972" width="1.85546875" style="374" customWidth="1"/>
    <col min="9973" max="9973" width="11.85546875" style="374" bestFit="1" customWidth="1"/>
    <col min="9974" max="9974" width="15.28515625" style="374" bestFit="1" customWidth="1"/>
    <col min="9975" max="9975" width="5" style="374" customWidth="1"/>
    <col min="9976" max="9976" width="10.42578125" style="374" bestFit="1" customWidth="1"/>
    <col min="9977" max="9977" width="5" style="374" customWidth="1"/>
    <col min="9978" max="9978" width="10.42578125" style="374" bestFit="1" customWidth="1"/>
    <col min="9979" max="9981" width="9.140625" style="374"/>
    <col min="9982" max="9982" width="10.42578125" style="374" bestFit="1" customWidth="1"/>
    <col min="9983" max="10211" width="9.140625" style="374"/>
    <col min="10212" max="10212" width="3.5703125" style="374" customWidth="1"/>
    <col min="10213" max="10213" width="4.85546875" style="374" customWidth="1"/>
    <col min="10214" max="10214" width="5.42578125" style="374" customWidth="1"/>
    <col min="10215" max="10215" width="31.28515625" style="374" customWidth="1"/>
    <col min="10216" max="10216" width="7.5703125" style="374" customWidth="1"/>
    <col min="10217" max="10217" width="2.42578125" style="374" customWidth="1"/>
    <col min="10218" max="10218" width="11.5703125" style="374" customWidth="1"/>
    <col min="10219" max="10219" width="2.42578125" style="374" customWidth="1"/>
    <col min="10220" max="10220" width="11.5703125" style="374" customWidth="1"/>
    <col min="10221" max="10221" width="2.42578125" style="374" customWidth="1"/>
    <col min="10222" max="10222" width="10.85546875" style="374" customWidth="1"/>
    <col min="10223" max="10223" width="2.42578125" style="374" customWidth="1"/>
    <col min="10224" max="10224" width="11.140625" style="374" customWidth="1"/>
    <col min="10225" max="10225" width="1.85546875" style="374" customWidth="1"/>
    <col min="10226" max="10226" width="11" style="374" customWidth="1"/>
    <col min="10227" max="10227" width="0.7109375" style="374" customWidth="1"/>
    <col min="10228" max="10228" width="1.85546875" style="374" customWidth="1"/>
    <col min="10229" max="10229" width="11.85546875" style="374" bestFit="1" customWidth="1"/>
    <col min="10230" max="10230" width="15.28515625" style="374" bestFit="1" customWidth="1"/>
    <col min="10231" max="10231" width="5" style="374" customWidth="1"/>
    <col min="10232" max="10232" width="10.42578125" style="374" bestFit="1" customWidth="1"/>
    <col min="10233" max="10233" width="5" style="374" customWidth="1"/>
    <col min="10234" max="10234" width="10.42578125" style="374" bestFit="1" customWidth="1"/>
    <col min="10235" max="10237" width="9.140625" style="374"/>
    <col min="10238" max="10238" width="10.42578125" style="374" bestFit="1" customWidth="1"/>
    <col min="10239" max="10467" width="9.140625" style="374"/>
    <col min="10468" max="10468" width="3.5703125" style="374" customWidth="1"/>
    <col min="10469" max="10469" width="4.85546875" style="374" customWidth="1"/>
    <col min="10470" max="10470" width="5.42578125" style="374" customWidth="1"/>
    <col min="10471" max="10471" width="31.28515625" style="374" customWidth="1"/>
    <col min="10472" max="10472" width="7.5703125" style="374" customWidth="1"/>
    <col min="10473" max="10473" width="2.42578125" style="374" customWidth="1"/>
    <col min="10474" max="10474" width="11.5703125" style="374" customWidth="1"/>
    <col min="10475" max="10475" width="2.42578125" style="374" customWidth="1"/>
    <col min="10476" max="10476" width="11.5703125" style="374" customWidth="1"/>
    <col min="10477" max="10477" width="2.42578125" style="374" customWidth="1"/>
    <col min="10478" max="10478" width="10.85546875" style="374" customWidth="1"/>
    <col min="10479" max="10479" width="2.42578125" style="374" customWidth="1"/>
    <col min="10480" max="10480" width="11.140625" style="374" customWidth="1"/>
    <col min="10481" max="10481" width="1.85546875" style="374" customWidth="1"/>
    <col min="10482" max="10482" width="11" style="374" customWidth="1"/>
    <col min="10483" max="10483" width="0.7109375" style="374" customWidth="1"/>
    <col min="10484" max="10484" width="1.85546875" style="374" customWidth="1"/>
    <col min="10485" max="10485" width="11.85546875" style="374" bestFit="1" customWidth="1"/>
    <col min="10486" max="10486" width="15.28515625" style="374" bestFit="1" customWidth="1"/>
    <col min="10487" max="10487" width="5" style="374" customWidth="1"/>
    <col min="10488" max="10488" width="10.42578125" style="374" bestFit="1" customWidth="1"/>
    <col min="10489" max="10489" width="5" style="374" customWidth="1"/>
    <col min="10490" max="10490" width="10.42578125" style="374" bestFit="1" customWidth="1"/>
    <col min="10491" max="10493" width="9.140625" style="374"/>
    <col min="10494" max="10494" width="10.42578125" style="374" bestFit="1" customWidth="1"/>
    <col min="10495" max="10723" width="9.140625" style="374"/>
    <col min="10724" max="10724" width="3.5703125" style="374" customWidth="1"/>
    <col min="10725" max="10725" width="4.85546875" style="374" customWidth="1"/>
    <col min="10726" max="10726" width="5.42578125" style="374" customWidth="1"/>
    <col min="10727" max="10727" width="31.28515625" style="374" customWidth="1"/>
    <col min="10728" max="10728" width="7.5703125" style="374" customWidth="1"/>
    <col min="10729" max="10729" width="2.42578125" style="374" customWidth="1"/>
    <col min="10730" max="10730" width="11.5703125" style="374" customWidth="1"/>
    <col min="10731" max="10731" width="2.42578125" style="374" customWidth="1"/>
    <col min="10732" max="10732" width="11.5703125" style="374" customWidth="1"/>
    <col min="10733" max="10733" width="2.42578125" style="374" customWidth="1"/>
    <col min="10734" max="10734" width="10.85546875" style="374" customWidth="1"/>
    <col min="10735" max="10735" width="2.42578125" style="374" customWidth="1"/>
    <col min="10736" max="10736" width="11.140625" style="374" customWidth="1"/>
    <col min="10737" max="10737" width="1.85546875" style="374" customWidth="1"/>
    <col min="10738" max="10738" width="11" style="374" customWidth="1"/>
    <col min="10739" max="10739" width="0.7109375" style="374" customWidth="1"/>
    <col min="10740" max="10740" width="1.85546875" style="374" customWidth="1"/>
    <col min="10741" max="10741" width="11.85546875" style="374" bestFit="1" customWidth="1"/>
    <col min="10742" max="10742" width="15.28515625" style="374" bestFit="1" customWidth="1"/>
    <col min="10743" max="10743" width="5" style="374" customWidth="1"/>
    <col min="10744" max="10744" width="10.42578125" style="374" bestFit="1" customWidth="1"/>
    <col min="10745" max="10745" width="5" style="374" customWidth="1"/>
    <col min="10746" max="10746" width="10.42578125" style="374" bestFit="1" customWidth="1"/>
    <col min="10747" max="10749" width="9.140625" style="374"/>
    <col min="10750" max="10750" width="10.42578125" style="374" bestFit="1" customWidth="1"/>
    <col min="10751" max="10979" width="9.140625" style="374"/>
    <col min="10980" max="10980" width="3.5703125" style="374" customWidth="1"/>
    <col min="10981" max="10981" width="4.85546875" style="374" customWidth="1"/>
    <col min="10982" max="10982" width="5.42578125" style="374" customWidth="1"/>
    <col min="10983" max="10983" width="31.28515625" style="374" customWidth="1"/>
    <col min="10984" max="10984" width="7.5703125" style="374" customWidth="1"/>
    <col min="10985" max="10985" width="2.42578125" style="374" customWidth="1"/>
    <col min="10986" max="10986" width="11.5703125" style="374" customWidth="1"/>
    <col min="10987" max="10987" width="2.42578125" style="374" customWidth="1"/>
    <col min="10988" max="10988" width="11.5703125" style="374" customWidth="1"/>
    <col min="10989" max="10989" width="2.42578125" style="374" customWidth="1"/>
    <col min="10990" max="10990" width="10.85546875" style="374" customWidth="1"/>
    <col min="10991" max="10991" width="2.42578125" style="374" customWidth="1"/>
    <col min="10992" max="10992" width="11.140625" style="374" customWidth="1"/>
    <col min="10993" max="10993" width="1.85546875" style="374" customWidth="1"/>
    <col min="10994" max="10994" width="11" style="374" customWidth="1"/>
    <col min="10995" max="10995" width="0.7109375" style="374" customWidth="1"/>
    <col min="10996" max="10996" width="1.85546875" style="374" customWidth="1"/>
    <col min="10997" max="10997" width="11.85546875" style="374" bestFit="1" customWidth="1"/>
    <col min="10998" max="10998" width="15.28515625" style="374" bestFit="1" customWidth="1"/>
    <col min="10999" max="10999" width="5" style="374" customWidth="1"/>
    <col min="11000" max="11000" width="10.42578125" style="374" bestFit="1" customWidth="1"/>
    <col min="11001" max="11001" width="5" style="374" customWidth="1"/>
    <col min="11002" max="11002" width="10.42578125" style="374" bestFit="1" customWidth="1"/>
    <col min="11003" max="11005" width="9.140625" style="374"/>
    <col min="11006" max="11006" width="10.42578125" style="374" bestFit="1" customWidth="1"/>
    <col min="11007" max="11235" width="9.140625" style="374"/>
    <col min="11236" max="11236" width="3.5703125" style="374" customWidth="1"/>
    <col min="11237" max="11237" width="4.85546875" style="374" customWidth="1"/>
    <col min="11238" max="11238" width="5.42578125" style="374" customWidth="1"/>
    <col min="11239" max="11239" width="31.28515625" style="374" customWidth="1"/>
    <col min="11240" max="11240" width="7.5703125" style="374" customWidth="1"/>
    <col min="11241" max="11241" width="2.42578125" style="374" customWidth="1"/>
    <col min="11242" max="11242" width="11.5703125" style="374" customWidth="1"/>
    <col min="11243" max="11243" width="2.42578125" style="374" customWidth="1"/>
    <col min="11244" max="11244" width="11.5703125" style="374" customWidth="1"/>
    <col min="11245" max="11245" width="2.42578125" style="374" customWidth="1"/>
    <col min="11246" max="11246" width="10.85546875" style="374" customWidth="1"/>
    <col min="11247" max="11247" width="2.42578125" style="374" customWidth="1"/>
    <col min="11248" max="11248" width="11.140625" style="374" customWidth="1"/>
    <col min="11249" max="11249" width="1.85546875" style="374" customWidth="1"/>
    <col min="11250" max="11250" width="11" style="374" customWidth="1"/>
    <col min="11251" max="11251" width="0.7109375" style="374" customWidth="1"/>
    <col min="11252" max="11252" width="1.85546875" style="374" customWidth="1"/>
    <col min="11253" max="11253" width="11.85546875" style="374" bestFit="1" customWidth="1"/>
    <col min="11254" max="11254" width="15.28515625" style="374" bestFit="1" customWidth="1"/>
    <col min="11255" max="11255" width="5" style="374" customWidth="1"/>
    <col min="11256" max="11256" width="10.42578125" style="374" bestFit="1" customWidth="1"/>
    <col min="11257" max="11257" width="5" style="374" customWidth="1"/>
    <col min="11258" max="11258" width="10.42578125" style="374" bestFit="1" customWidth="1"/>
    <col min="11259" max="11261" width="9.140625" style="374"/>
    <col min="11262" max="11262" width="10.42578125" style="374" bestFit="1" customWidth="1"/>
    <col min="11263" max="11491" width="9.140625" style="374"/>
    <col min="11492" max="11492" width="3.5703125" style="374" customWidth="1"/>
    <col min="11493" max="11493" width="4.85546875" style="374" customWidth="1"/>
    <col min="11494" max="11494" width="5.42578125" style="374" customWidth="1"/>
    <col min="11495" max="11495" width="31.28515625" style="374" customWidth="1"/>
    <col min="11496" max="11496" width="7.5703125" style="374" customWidth="1"/>
    <col min="11497" max="11497" width="2.42578125" style="374" customWidth="1"/>
    <col min="11498" max="11498" width="11.5703125" style="374" customWidth="1"/>
    <col min="11499" max="11499" width="2.42578125" style="374" customWidth="1"/>
    <col min="11500" max="11500" width="11.5703125" style="374" customWidth="1"/>
    <col min="11501" max="11501" width="2.42578125" style="374" customWidth="1"/>
    <col min="11502" max="11502" width="10.85546875" style="374" customWidth="1"/>
    <col min="11503" max="11503" width="2.42578125" style="374" customWidth="1"/>
    <col min="11504" max="11504" width="11.140625" style="374" customWidth="1"/>
    <col min="11505" max="11505" width="1.85546875" style="374" customWidth="1"/>
    <col min="11506" max="11506" width="11" style="374" customWidth="1"/>
    <col min="11507" max="11507" width="0.7109375" style="374" customWidth="1"/>
    <col min="11508" max="11508" width="1.85546875" style="374" customWidth="1"/>
    <col min="11509" max="11509" width="11.85546875" style="374" bestFit="1" customWidth="1"/>
    <col min="11510" max="11510" width="15.28515625" style="374" bestFit="1" customWidth="1"/>
    <col min="11511" max="11511" width="5" style="374" customWidth="1"/>
    <col min="11512" max="11512" width="10.42578125" style="374" bestFit="1" customWidth="1"/>
    <col min="11513" max="11513" width="5" style="374" customWidth="1"/>
    <col min="11514" max="11514" width="10.42578125" style="374" bestFit="1" customWidth="1"/>
    <col min="11515" max="11517" width="9.140625" style="374"/>
    <col min="11518" max="11518" width="10.42578125" style="374" bestFit="1" customWidth="1"/>
    <col min="11519" max="11747" width="9.140625" style="374"/>
    <col min="11748" max="11748" width="3.5703125" style="374" customWidth="1"/>
    <col min="11749" max="11749" width="4.85546875" style="374" customWidth="1"/>
    <col min="11750" max="11750" width="5.42578125" style="374" customWidth="1"/>
    <col min="11751" max="11751" width="31.28515625" style="374" customWidth="1"/>
    <col min="11752" max="11752" width="7.5703125" style="374" customWidth="1"/>
    <col min="11753" max="11753" width="2.42578125" style="374" customWidth="1"/>
    <col min="11754" max="11754" width="11.5703125" style="374" customWidth="1"/>
    <col min="11755" max="11755" width="2.42578125" style="374" customWidth="1"/>
    <col min="11756" max="11756" width="11.5703125" style="374" customWidth="1"/>
    <col min="11757" max="11757" width="2.42578125" style="374" customWidth="1"/>
    <col min="11758" max="11758" width="10.85546875" style="374" customWidth="1"/>
    <col min="11759" max="11759" width="2.42578125" style="374" customWidth="1"/>
    <col min="11760" max="11760" width="11.140625" style="374" customWidth="1"/>
    <col min="11761" max="11761" width="1.85546875" style="374" customWidth="1"/>
    <col min="11762" max="11762" width="11" style="374" customWidth="1"/>
    <col min="11763" max="11763" width="0.7109375" style="374" customWidth="1"/>
    <col min="11764" max="11764" width="1.85546875" style="374" customWidth="1"/>
    <col min="11765" max="11765" width="11.85546875" style="374" bestFit="1" customWidth="1"/>
    <col min="11766" max="11766" width="15.28515625" style="374" bestFit="1" customWidth="1"/>
    <col min="11767" max="11767" width="5" style="374" customWidth="1"/>
    <col min="11768" max="11768" width="10.42578125" style="374" bestFit="1" customWidth="1"/>
    <col min="11769" max="11769" width="5" style="374" customWidth="1"/>
    <col min="11770" max="11770" width="10.42578125" style="374" bestFit="1" customWidth="1"/>
    <col min="11771" max="11773" width="9.140625" style="374"/>
    <col min="11774" max="11774" width="10.42578125" style="374" bestFit="1" customWidth="1"/>
    <col min="11775" max="12003" width="9.140625" style="374"/>
    <col min="12004" max="12004" width="3.5703125" style="374" customWidth="1"/>
    <col min="12005" max="12005" width="4.85546875" style="374" customWidth="1"/>
    <col min="12006" max="12006" width="5.42578125" style="374" customWidth="1"/>
    <col min="12007" max="12007" width="31.28515625" style="374" customWidth="1"/>
    <col min="12008" max="12008" width="7.5703125" style="374" customWidth="1"/>
    <col min="12009" max="12009" width="2.42578125" style="374" customWidth="1"/>
    <col min="12010" max="12010" width="11.5703125" style="374" customWidth="1"/>
    <col min="12011" max="12011" width="2.42578125" style="374" customWidth="1"/>
    <col min="12012" max="12012" width="11.5703125" style="374" customWidth="1"/>
    <col min="12013" max="12013" width="2.42578125" style="374" customWidth="1"/>
    <col min="12014" max="12014" width="10.85546875" style="374" customWidth="1"/>
    <col min="12015" max="12015" width="2.42578125" style="374" customWidth="1"/>
    <col min="12016" max="12016" width="11.140625" style="374" customWidth="1"/>
    <col min="12017" max="12017" width="1.85546875" style="374" customWidth="1"/>
    <col min="12018" max="12018" width="11" style="374" customWidth="1"/>
    <col min="12019" max="12019" width="0.7109375" style="374" customWidth="1"/>
    <col min="12020" max="12020" width="1.85546875" style="374" customWidth="1"/>
    <col min="12021" max="12021" width="11.85546875" style="374" bestFit="1" customWidth="1"/>
    <col min="12022" max="12022" width="15.28515625" style="374" bestFit="1" customWidth="1"/>
    <col min="12023" max="12023" width="5" style="374" customWidth="1"/>
    <col min="12024" max="12024" width="10.42578125" style="374" bestFit="1" customWidth="1"/>
    <col min="12025" max="12025" width="5" style="374" customWidth="1"/>
    <col min="12026" max="12026" width="10.42578125" style="374" bestFit="1" customWidth="1"/>
    <col min="12027" max="12029" width="9.140625" style="374"/>
    <col min="12030" max="12030" width="10.42578125" style="374" bestFit="1" customWidth="1"/>
    <col min="12031" max="12259" width="9.140625" style="374"/>
    <col min="12260" max="12260" width="3.5703125" style="374" customWidth="1"/>
    <col min="12261" max="12261" width="4.85546875" style="374" customWidth="1"/>
    <col min="12262" max="12262" width="5.42578125" style="374" customWidth="1"/>
    <col min="12263" max="12263" width="31.28515625" style="374" customWidth="1"/>
    <col min="12264" max="12264" width="7.5703125" style="374" customWidth="1"/>
    <col min="12265" max="12265" width="2.42578125" style="374" customWidth="1"/>
    <col min="12266" max="12266" width="11.5703125" style="374" customWidth="1"/>
    <col min="12267" max="12267" width="2.42578125" style="374" customWidth="1"/>
    <col min="12268" max="12268" width="11.5703125" style="374" customWidth="1"/>
    <col min="12269" max="12269" width="2.42578125" style="374" customWidth="1"/>
    <col min="12270" max="12270" width="10.85546875" style="374" customWidth="1"/>
    <col min="12271" max="12271" width="2.42578125" style="374" customWidth="1"/>
    <col min="12272" max="12272" width="11.140625" style="374" customWidth="1"/>
    <col min="12273" max="12273" width="1.85546875" style="374" customWidth="1"/>
    <col min="12274" max="12274" width="11" style="374" customWidth="1"/>
    <col min="12275" max="12275" width="0.7109375" style="374" customWidth="1"/>
    <col min="12276" max="12276" width="1.85546875" style="374" customWidth="1"/>
    <col min="12277" max="12277" width="11.85546875" style="374" bestFit="1" customWidth="1"/>
    <col min="12278" max="12278" width="15.28515625" style="374" bestFit="1" customWidth="1"/>
    <col min="12279" max="12279" width="5" style="374" customWidth="1"/>
    <col min="12280" max="12280" width="10.42578125" style="374" bestFit="1" customWidth="1"/>
    <col min="12281" max="12281" width="5" style="374" customWidth="1"/>
    <col min="12282" max="12282" width="10.42578125" style="374" bestFit="1" customWidth="1"/>
    <col min="12283" max="12285" width="9.140625" style="374"/>
    <col min="12286" max="12286" width="10.42578125" style="374" bestFit="1" customWidth="1"/>
    <col min="12287" max="12515" width="9.140625" style="374"/>
    <col min="12516" max="12516" width="3.5703125" style="374" customWidth="1"/>
    <col min="12517" max="12517" width="4.85546875" style="374" customWidth="1"/>
    <col min="12518" max="12518" width="5.42578125" style="374" customWidth="1"/>
    <col min="12519" max="12519" width="31.28515625" style="374" customWidth="1"/>
    <col min="12520" max="12520" width="7.5703125" style="374" customWidth="1"/>
    <col min="12521" max="12521" width="2.42578125" style="374" customWidth="1"/>
    <col min="12522" max="12522" width="11.5703125" style="374" customWidth="1"/>
    <col min="12523" max="12523" width="2.42578125" style="374" customWidth="1"/>
    <col min="12524" max="12524" width="11.5703125" style="374" customWidth="1"/>
    <col min="12525" max="12525" width="2.42578125" style="374" customWidth="1"/>
    <col min="12526" max="12526" width="10.85546875" style="374" customWidth="1"/>
    <col min="12527" max="12527" width="2.42578125" style="374" customWidth="1"/>
    <col min="12528" max="12528" width="11.140625" style="374" customWidth="1"/>
    <col min="12529" max="12529" width="1.85546875" style="374" customWidth="1"/>
    <col min="12530" max="12530" width="11" style="374" customWidth="1"/>
    <col min="12531" max="12531" width="0.7109375" style="374" customWidth="1"/>
    <col min="12532" max="12532" width="1.85546875" style="374" customWidth="1"/>
    <col min="12533" max="12533" width="11.85546875" style="374" bestFit="1" customWidth="1"/>
    <col min="12534" max="12534" width="15.28515625" style="374" bestFit="1" customWidth="1"/>
    <col min="12535" max="12535" width="5" style="374" customWidth="1"/>
    <col min="12536" max="12536" width="10.42578125" style="374" bestFit="1" customWidth="1"/>
    <col min="12537" max="12537" width="5" style="374" customWidth="1"/>
    <col min="12538" max="12538" width="10.42578125" style="374" bestFit="1" customWidth="1"/>
    <col min="12539" max="12541" width="9.140625" style="374"/>
    <col min="12542" max="12542" width="10.42578125" style="374" bestFit="1" customWidth="1"/>
    <col min="12543" max="12771" width="9.140625" style="374"/>
    <col min="12772" max="12772" width="3.5703125" style="374" customWidth="1"/>
    <col min="12773" max="12773" width="4.85546875" style="374" customWidth="1"/>
    <col min="12774" max="12774" width="5.42578125" style="374" customWidth="1"/>
    <col min="12775" max="12775" width="31.28515625" style="374" customWidth="1"/>
    <col min="12776" max="12776" width="7.5703125" style="374" customWidth="1"/>
    <col min="12777" max="12777" width="2.42578125" style="374" customWidth="1"/>
    <col min="12778" max="12778" width="11.5703125" style="374" customWidth="1"/>
    <col min="12779" max="12779" width="2.42578125" style="374" customWidth="1"/>
    <col min="12780" max="12780" width="11.5703125" style="374" customWidth="1"/>
    <col min="12781" max="12781" width="2.42578125" style="374" customWidth="1"/>
    <col min="12782" max="12782" width="10.85546875" style="374" customWidth="1"/>
    <col min="12783" max="12783" width="2.42578125" style="374" customWidth="1"/>
    <col min="12784" max="12784" width="11.140625" style="374" customWidth="1"/>
    <col min="12785" max="12785" width="1.85546875" style="374" customWidth="1"/>
    <col min="12786" max="12786" width="11" style="374" customWidth="1"/>
    <col min="12787" max="12787" width="0.7109375" style="374" customWidth="1"/>
    <col min="12788" max="12788" width="1.85546875" style="374" customWidth="1"/>
    <col min="12789" max="12789" width="11.85546875" style="374" bestFit="1" customWidth="1"/>
    <col min="12790" max="12790" width="15.28515625" style="374" bestFit="1" customWidth="1"/>
    <col min="12791" max="12791" width="5" style="374" customWidth="1"/>
    <col min="12792" max="12792" width="10.42578125" style="374" bestFit="1" customWidth="1"/>
    <col min="12793" max="12793" width="5" style="374" customWidth="1"/>
    <col min="12794" max="12794" width="10.42578125" style="374" bestFit="1" customWidth="1"/>
    <col min="12795" max="12797" width="9.140625" style="374"/>
    <col min="12798" max="12798" width="10.42578125" style="374" bestFit="1" customWidth="1"/>
    <col min="12799" max="13027" width="9.140625" style="374"/>
    <col min="13028" max="13028" width="3.5703125" style="374" customWidth="1"/>
    <col min="13029" max="13029" width="4.85546875" style="374" customWidth="1"/>
    <col min="13030" max="13030" width="5.42578125" style="374" customWidth="1"/>
    <col min="13031" max="13031" width="31.28515625" style="374" customWidth="1"/>
    <col min="13032" max="13032" width="7.5703125" style="374" customWidth="1"/>
    <col min="13033" max="13033" width="2.42578125" style="374" customWidth="1"/>
    <col min="13034" max="13034" width="11.5703125" style="374" customWidth="1"/>
    <col min="13035" max="13035" width="2.42578125" style="374" customWidth="1"/>
    <col min="13036" max="13036" width="11.5703125" style="374" customWidth="1"/>
    <col min="13037" max="13037" width="2.42578125" style="374" customWidth="1"/>
    <col min="13038" max="13038" width="10.85546875" style="374" customWidth="1"/>
    <col min="13039" max="13039" width="2.42578125" style="374" customWidth="1"/>
    <col min="13040" max="13040" width="11.140625" style="374" customWidth="1"/>
    <col min="13041" max="13041" width="1.85546875" style="374" customWidth="1"/>
    <col min="13042" max="13042" width="11" style="374" customWidth="1"/>
    <col min="13043" max="13043" width="0.7109375" style="374" customWidth="1"/>
    <col min="13044" max="13044" width="1.85546875" style="374" customWidth="1"/>
    <col min="13045" max="13045" width="11.85546875" style="374" bestFit="1" customWidth="1"/>
    <col min="13046" max="13046" width="15.28515625" style="374" bestFit="1" customWidth="1"/>
    <col min="13047" max="13047" width="5" style="374" customWidth="1"/>
    <col min="13048" max="13048" width="10.42578125" style="374" bestFit="1" customWidth="1"/>
    <col min="13049" max="13049" width="5" style="374" customWidth="1"/>
    <col min="13050" max="13050" width="10.42578125" style="374" bestFit="1" customWidth="1"/>
    <col min="13051" max="13053" width="9.140625" style="374"/>
    <col min="13054" max="13054" width="10.42578125" style="374" bestFit="1" customWidth="1"/>
    <col min="13055" max="13283" width="9.140625" style="374"/>
    <col min="13284" max="13284" width="3.5703125" style="374" customWidth="1"/>
    <col min="13285" max="13285" width="4.85546875" style="374" customWidth="1"/>
    <col min="13286" max="13286" width="5.42578125" style="374" customWidth="1"/>
    <col min="13287" max="13287" width="31.28515625" style="374" customWidth="1"/>
    <col min="13288" max="13288" width="7.5703125" style="374" customWidth="1"/>
    <col min="13289" max="13289" width="2.42578125" style="374" customWidth="1"/>
    <col min="13290" max="13290" width="11.5703125" style="374" customWidth="1"/>
    <col min="13291" max="13291" width="2.42578125" style="374" customWidth="1"/>
    <col min="13292" max="13292" width="11.5703125" style="374" customWidth="1"/>
    <col min="13293" max="13293" width="2.42578125" style="374" customWidth="1"/>
    <col min="13294" max="13294" width="10.85546875" style="374" customWidth="1"/>
    <col min="13295" max="13295" width="2.42578125" style="374" customWidth="1"/>
    <col min="13296" max="13296" width="11.140625" style="374" customWidth="1"/>
    <col min="13297" max="13297" width="1.85546875" style="374" customWidth="1"/>
    <col min="13298" max="13298" width="11" style="374" customWidth="1"/>
    <col min="13299" max="13299" width="0.7109375" style="374" customWidth="1"/>
    <col min="13300" max="13300" width="1.85546875" style="374" customWidth="1"/>
    <col min="13301" max="13301" width="11.85546875" style="374" bestFit="1" customWidth="1"/>
    <col min="13302" max="13302" width="15.28515625" style="374" bestFit="1" customWidth="1"/>
    <col min="13303" max="13303" width="5" style="374" customWidth="1"/>
    <col min="13304" max="13304" width="10.42578125" style="374" bestFit="1" customWidth="1"/>
    <col min="13305" max="13305" width="5" style="374" customWidth="1"/>
    <col min="13306" max="13306" width="10.42578125" style="374" bestFit="1" customWidth="1"/>
    <col min="13307" max="13309" width="9.140625" style="374"/>
    <col min="13310" max="13310" width="10.42578125" style="374" bestFit="1" customWidth="1"/>
    <col min="13311" max="13539" width="9.140625" style="374"/>
    <col min="13540" max="13540" width="3.5703125" style="374" customWidth="1"/>
    <col min="13541" max="13541" width="4.85546875" style="374" customWidth="1"/>
    <col min="13542" max="13542" width="5.42578125" style="374" customWidth="1"/>
    <col min="13543" max="13543" width="31.28515625" style="374" customWidth="1"/>
    <col min="13544" max="13544" width="7.5703125" style="374" customWidth="1"/>
    <col min="13545" max="13545" width="2.42578125" style="374" customWidth="1"/>
    <col min="13546" max="13546" width="11.5703125" style="374" customWidth="1"/>
    <col min="13547" max="13547" width="2.42578125" style="374" customWidth="1"/>
    <col min="13548" max="13548" width="11.5703125" style="374" customWidth="1"/>
    <col min="13549" max="13549" width="2.42578125" style="374" customWidth="1"/>
    <col min="13550" max="13550" width="10.85546875" style="374" customWidth="1"/>
    <col min="13551" max="13551" width="2.42578125" style="374" customWidth="1"/>
    <col min="13552" max="13552" width="11.140625" style="374" customWidth="1"/>
    <col min="13553" max="13553" width="1.85546875" style="374" customWidth="1"/>
    <col min="13554" max="13554" width="11" style="374" customWidth="1"/>
    <col min="13555" max="13555" width="0.7109375" style="374" customWidth="1"/>
    <col min="13556" max="13556" width="1.85546875" style="374" customWidth="1"/>
    <col min="13557" max="13557" width="11.85546875" style="374" bestFit="1" customWidth="1"/>
    <col min="13558" max="13558" width="15.28515625" style="374" bestFit="1" customWidth="1"/>
    <col min="13559" max="13559" width="5" style="374" customWidth="1"/>
    <col min="13560" max="13560" width="10.42578125" style="374" bestFit="1" customWidth="1"/>
    <col min="13561" max="13561" width="5" style="374" customWidth="1"/>
    <col min="13562" max="13562" width="10.42578125" style="374" bestFit="1" customWidth="1"/>
    <col min="13563" max="13565" width="9.140625" style="374"/>
    <col min="13566" max="13566" width="10.42578125" style="374" bestFit="1" customWidth="1"/>
    <col min="13567" max="13795" width="9.140625" style="374"/>
    <col min="13796" max="13796" width="3.5703125" style="374" customWidth="1"/>
    <col min="13797" max="13797" width="4.85546875" style="374" customWidth="1"/>
    <col min="13798" max="13798" width="5.42578125" style="374" customWidth="1"/>
    <col min="13799" max="13799" width="31.28515625" style="374" customWidth="1"/>
    <col min="13800" max="13800" width="7.5703125" style="374" customWidth="1"/>
    <col min="13801" max="13801" width="2.42578125" style="374" customWidth="1"/>
    <col min="13802" max="13802" width="11.5703125" style="374" customWidth="1"/>
    <col min="13803" max="13803" width="2.42578125" style="374" customWidth="1"/>
    <col min="13804" max="13804" width="11.5703125" style="374" customWidth="1"/>
    <col min="13805" max="13805" width="2.42578125" style="374" customWidth="1"/>
    <col min="13806" max="13806" width="10.85546875" style="374" customWidth="1"/>
    <col min="13807" max="13807" width="2.42578125" style="374" customWidth="1"/>
    <col min="13808" max="13808" width="11.140625" style="374" customWidth="1"/>
    <col min="13809" max="13809" width="1.85546875" style="374" customWidth="1"/>
    <col min="13810" max="13810" width="11" style="374" customWidth="1"/>
    <col min="13811" max="13811" width="0.7109375" style="374" customWidth="1"/>
    <col min="13812" max="13812" width="1.85546875" style="374" customWidth="1"/>
    <col min="13813" max="13813" width="11.85546875" style="374" bestFit="1" customWidth="1"/>
    <col min="13814" max="13814" width="15.28515625" style="374" bestFit="1" customWidth="1"/>
    <col min="13815" max="13815" width="5" style="374" customWidth="1"/>
    <col min="13816" max="13816" width="10.42578125" style="374" bestFit="1" customWidth="1"/>
    <col min="13817" max="13817" width="5" style="374" customWidth="1"/>
    <col min="13818" max="13818" width="10.42578125" style="374" bestFit="1" customWidth="1"/>
    <col min="13819" max="13821" width="9.140625" style="374"/>
    <col min="13822" max="13822" width="10.42578125" style="374" bestFit="1" customWidth="1"/>
    <col min="13823" max="14051" width="9.140625" style="374"/>
    <col min="14052" max="14052" width="3.5703125" style="374" customWidth="1"/>
    <col min="14053" max="14053" width="4.85546875" style="374" customWidth="1"/>
    <col min="14054" max="14054" width="5.42578125" style="374" customWidth="1"/>
    <col min="14055" max="14055" width="31.28515625" style="374" customWidth="1"/>
    <col min="14056" max="14056" width="7.5703125" style="374" customWidth="1"/>
    <col min="14057" max="14057" width="2.42578125" style="374" customWidth="1"/>
    <col min="14058" max="14058" width="11.5703125" style="374" customWidth="1"/>
    <col min="14059" max="14059" width="2.42578125" style="374" customWidth="1"/>
    <col min="14060" max="14060" width="11.5703125" style="374" customWidth="1"/>
    <col min="14061" max="14061" width="2.42578125" style="374" customWidth="1"/>
    <col min="14062" max="14062" width="10.85546875" style="374" customWidth="1"/>
    <col min="14063" max="14063" width="2.42578125" style="374" customWidth="1"/>
    <col min="14064" max="14064" width="11.140625" style="374" customWidth="1"/>
    <col min="14065" max="14065" width="1.85546875" style="374" customWidth="1"/>
    <col min="14066" max="14066" width="11" style="374" customWidth="1"/>
    <col min="14067" max="14067" width="0.7109375" style="374" customWidth="1"/>
    <col min="14068" max="14068" width="1.85546875" style="374" customWidth="1"/>
    <col min="14069" max="14069" width="11.85546875" style="374" bestFit="1" customWidth="1"/>
    <col min="14070" max="14070" width="15.28515625" style="374" bestFit="1" customWidth="1"/>
    <col min="14071" max="14071" width="5" style="374" customWidth="1"/>
    <col min="14072" max="14072" width="10.42578125" style="374" bestFit="1" customWidth="1"/>
    <col min="14073" max="14073" width="5" style="374" customWidth="1"/>
    <col min="14074" max="14074" width="10.42578125" style="374" bestFit="1" customWidth="1"/>
    <col min="14075" max="14077" width="9.140625" style="374"/>
    <col min="14078" max="14078" width="10.42578125" style="374" bestFit="1" customWidth="1"/>
    <col min="14079" max="14307" width="9.140625" style="374"/>
    <col min="14308" max="14308" width="3.5703125" style="374" customWidth="1"/>
    <col min="14309" max="14309" width="4.85546875" style="374" customWidth="1"/>
    <col min="14310" max="14310" width="5.42578125" style="374" customWidth="1"/>
    <col min="14311" max="14311" width="31.28515625" style="374" customWidth="1"/>
    <col min="14312" max="14312" width="7.5703125" style="374" customWidth="1"/>
    <col min="14313" max="14313" width="2.42578125" style="374" customWidth="1"/>
    <col min="14314" max="14314" width="11.5703125" style="374" customWidth="1"/>
    <col min="14315" max="14315" width="2.42578125" style="374" customWidth="1"/>
    <col min="14316" max="14316" width="11.5703125" style="374" customWidth="1"/>
    <col min="14317" max="14317" width="2.42578125" style="374" customWidth="1"/>
    <col min="14318" max="14318" width="10.85546875" style="374" customWidth="1"/>
    <col min="14319" max="14319" width="2.42578125" style="374" customWidth="1"/>
    <col min="14320" max="14320" width="11.140625" style="374" customWidth="1"/>
    <col min="14321" max="14321" width="1.85546875" style="374" customWidth="1"/>
    <col min="14322" max="14322" width="11" style="374" customWidth="1"/>
    <col min="14323" max="14323" width="0.7109375" style="374" customWidth="1"/>
    <col min="14324" max="14324" width="1.85546875" style="374" customWidth="1"/>
    <col min="14325" max="14325" width="11.85546875" style="374" bestFit="1" customWidth="1"/>
    <col min="14326" max="14326" width="15.28515625" style="374" bestFit="1" customWidth="1"/>
    <col min="14327" max="14327" width="5" style="374" customWidth="1"/>
    <col min="14328" max="14328" width="10.42578125" style="374" bestFit="1" customWidth="1"/>
    <col min="14329" max="14329" width="5" style="374" customWidth="1"/>
    <col min="14330" max="14330" width="10.42578125" style="374" bestFit="1" customWidth="1"/>
    <col min="14331" max="14333" width="9.140625" style="374"/>
    <col min="14334" max="14334" width="10.42578125" style="374" bestFit="1" customWidth="1"/>
    <col min="14335" max="14563" width="9.140625" style="374"/>
    <col min="14564" max="14564" width="3.5703125" style="374" customWidth="1"/>
    <col min="14565" max="14565" width="4.85546875" style="374" customWidth="1"/>
    <col min="14566" max="14566" width="5.42578125" style="374" customWidth="1"/>
    <col min="14567" max="14567" width="31.28515625" style="374" customWidth="1"/>
    <col min="14568" max="14568" width="7.5703125" style="374" customWidth="1"/>
    <col min="14569" max="14569" width="2.42578125" style="374" customWidth="1"/>
    <col min="14570" max="14570" width="11.5703125" style="374" customWidth="1"/>
    <col min="14571" max="14571" width="2.42578125" style="374" customWidth="1"/>
    <col min="14572" max="14572" width="11.5703125" style="374" customWidth="1"/>
    <col min="14573" max="14573" width="2.42578125" style="374" customWidth="1"/>
    <col min="14574" max="14574" width="10.85546875" style="374" customWidth="1"/>
    <col min="14575" max="14575" width="2.42578125" style="374" customWidth="1"/>
    <col min="14576" max="14576" width="11.140625" style="374" customWidth="1"/>
    <col min="14577" max="14577" width="1.85546875" style="374" customWidth="1"/>
    <col min="14578" max="14578" width="11" style="374" customWidth="1"/>
    <col min="14579" max="14579" width="0.7109375" style="374" customWidth="1"/>
    <col min="14580" max="14580" width="1.85546875" style="374" customWidth="1"/>
    <col min="14581" max="14581" width="11.85546875" style="374" bestFit="1" customWidth="1"/>
    <col min="14582" max="14582" width="15.28515625" style="374" bestFit="1" customWidth="1"/>
    <col min="14583" max="14583" width="5" style="374" customWidth="1"/>
    <col min="14584" max="14584" width="10.42578125" style="374" bestFit="1" customWidth="1"/>
    <col min="14585" max="14585" width="5" style="374" customWidth="1"/>
    <col min="14586" max="14586" width="10.42578125" style="374" bestFit="1" customWidth="1"/>
    <col min="14587" max="14589" width="9.140625" style="374"/>
    <col min="14590" max="14590" width="10.42578125" style="374" bestFit="1" customWidth="1"/>
    <col min="14591" max="14819" width="9.140625" style="374"/>
    <col min="14820" max="14820" width="3.5703125" style="374" customWidth="1"/>
    <col min="14821" max="14821" width="4.85546875" style="374" customWidth="1"/>
    <col min="14822" max="14822" width="5.42578125" style="374" customWidth="1"/>
    <col min="14823" max="14823" width="31.28515625" style="374" customWidth="1"/>
    <col min="14824" max="14824" width="7.5703125" style="374" customWidth="1"/>
    <col min="14825" max="14825" width="2.42578125" style="374" customWidth="1"/>
    <col min="14826" max="14826" width="11.5703125" style="374" customWidth="1"/>
    <col min="14827" max="14827" width="2.42578125" style="374" customWidth="1"/>
    <col min="14828" max="14828" width="11.5703125" style="374" customWidth="1"/>
    <col min="14829" max="14829" width="2.42578125" style="374" customWidth="1"/>
    <col min="14830" max="14830" width="10.85546875" style="374" customWidth="1"/>
    <col min="14831" max="14831" width="2.42578125" style="374" customWidth="1"/>
    <col min="14832" max="14832" width="11.140625" style="374" customWidth="1"/>
    <col min="14833" max="14833" width="1.85546875" style="374" customWidth="1"/>
    <col min="14834" max="14834" width="11" style="374" customWidth="1"/>
    <col min="14835" max="14835" width="0.7109375" style="374" customWidth="1"/>
    <col min="14836" max="14836" width="1.85546875" style="374" customWidth="1"/>
    <col min="14837" max="14837" width="11.85546875" style="374" bestFit="1" customWidth="1"/>
    <col min="14838" max="14838" width="15.28515625" style="374" bestFit="1" customWidth="1"/>
    <col min="14839" max="14839" width="5" style="374" customWidth="1"/>
    <col min="14840" max="14840" width="10.42578125" style="374" bestFit="1" customWidth="1"/>
    <col min="14841" max="14841" width="5" style="374" customWidth="1"/>
    <col min="14842" max="14842" width="10.42578125" style="374" bestFit="1" customWidth="1"/>
    <col min="14843" max="14845" width="9.140625" style="374"/>
    <col min="14846" max="14846" width="10.42578125" style="374" bestFit="1" customWidth="1"/>
    <col min="14847" max="15075" width="9.140625" style="374"/>
    <col min="15076" max="15076" width="3.5703125" style="374" customWidth="1"/>
    <col min="15077" max="15077" width="4.85546875" style="374" customWidth="1"/>
    <col min="15078" max="15078" width="5.42578125" style="374" customWidth="1"/>
    <col min="15079" max="15079" width="31.28515625" style="374" customWidth="1"/>
    <col min="15080" max="15080" width="7.5703125" style="374" customWidth="1"/>
    <col min="15081" max="15081" width="2.42578125" style="374" customWidth="1"/>
    <col min="15082" max="15082" width="11.5703125" style="374" customWidth="1"/>
    <col min="15083" max="15083" width="2.42578125" style="374" customWidth="1"/>
    <col min="15084" max="15084" width="11.5703125" style="374" customWidth="1"/>
    <col min="15085" max="15085" width="2.42578125" style="374" customWidth="1"/>
    <col min="15086" max="15086" width="10.85546875" style="374" customWidth="1"/>
    <col min="15087" max="15087" width="2.42578125" style="374" customWidth="1"/>
    <col min="15088" max="15088" width="11.140625" style="374" customWidth="1"/>
    <col min="15089" max="15089" width="1.85546875" style="374" customWidth="1"/>
    <col min="15090" max="15090" width="11" style="374" customWidth="1"/>
    <col min="15091" max="15091" width="0.7109375" style="374" customWidth="1"/>
    <col min="15092" max="15092" width="1.85546875" style="374" customWidth="1"/>
    <col min="15093" max="15093" width="11.85546875" style="374" bestFit="1" customWidth="1"/>
    <col min="15094" max="15094" width="15.28515625" style="374" bestFit="1" customWidth="1"/>
    <col min="15095" max="15095" width="5" style="374" customWidth="1"/>
    <col min="15096" max="15096" width="10.42578125" style="374" bestFit="1" customWidth="1"/>
    <col min="15097" max="15097" width="5" style="374" customWidth="1"/>
    <col min="15098" max="15098" width="10.42578125" style="374" bestFit="1" customWidth="1"/>
    <col min="15099" max="15101" width="9.140625" style="374"/>
    <col min="15102" max="15102" width="10.42578125" style="374" bestFit="1" customWidth="1"/>
    <col min="15103" max="15331" width="9.140625" style="374"/>
    <col min="15332" max="15332" width="3.5703125" style="374" customWidth="1"/>
    <col min="15333" max="15333" width="4.85546875" style="374" customWidth="1"/>
    <col min="15334" max="15334" width="5.42578125" style="374" customWidth="1"/>
    <col min="15335" max="15335" width="31.28515625" style="374" customWidth="1"/>
    <col min="15336" max="15336" width="7.5703125" style="374" customWidth="1"/>
    <col min="15337" max="15337" width="2.42578125" style="374" customWidth="1"/>
    <col min="15338" max="15338" width="11.5703125" style="374" customWidth="1"/>
    <col min="15339" max="15339" width="2.42578125" style="374" customWidth="1"/>
    <col min="15340" max="15340" width="11.5703125" style="374" customWidth="1"/>
    <col min="15341" max="15341" width="2.42578125" style="374" customWidth="1"/>
    <col min="15342" max="15342" width="10.85546875" style="374" customWidth="1"/>
    <col min="15343" max="15343" width="2.42578125" style="374" customWidth="1"/>
    <col min="15344" max="15344" width="11.140625" style="374" customWidth="1"/>
    <col min="15345" max="15345" width="1.85546875" style="374" customWidth="1"/>
    <col min="15346" max="15346" width="11" style="374" customWidth="1"/>
    <col min="15347" max="15347" width="0.7109375" style="374" customWidth="1"/>
    <col min="15348" max="15348" width="1.85546875" style="374" customWidth="1"/>
    <col min="15349" max="15349" width="11.85546875" style="374" bestFit="1" customWidth="1"/>
    <col min="15350" max="15350" width="15.28515625" style="374" bestFit="1" customWidth="1"/>
    <col min="15351" max="15351" width="5" style="374" customWidth="1"/>
    <col min="15352" max="15352" width="10.42578125" style="374" bestFit="1" customWidth="1"/>
    <col min="15353" max="15353" width="5" style="374" customWidth="1"/>
    <col min="15354" max="15354" width="10.42578125" style="374" bestFit="1" customWidth="1"/>
    <col min="15355" max="15357" width="9.140625" style="374"/>
    <col min="15358" max="15358" width="10.42578125" style="374" bestFit="1" customWidth="1"/>
    <col min="15359" max="15587" width="9.140625" style="374"/>
    <col min="15588" max="15588" width="3.5703125" style="374" customWidth="1"/>
    <col min="15589" max="15589" width="4.85546875" style="374" customWidth="1"/>
    <col min="15590" max="15590" width="5.42578125" style="374" customWidth="1"/>
    <col min="15591" max="15591" width="31.28515625" style="374" customWidth="1"/>
    <col min="15592" max="15592" width="7.5703125" style="374" customWidth="1"/>
    <col min="15593" max="15593" width="2.42578125" style="374" customWidth="1"/>
    <col min="15594" max="15594" width="11.5703125" style="374" customWidth="1"/>
    <col min="15595" max="15595" width="2.42578125" style="374" customWidth="1"/>
    <col min="15596" max="15596" width="11.5703125" style="374" customWidth="1"/>
    <col min="15597" max="15597" width="2.42578125" style="374" customWidth="1"/>
    <col min="15598" max="15598" width="10.85546875" style="374" customWidth="1"/>
    <col min="15599" max="15599" width="2.42578125" style="374" customWidth="1"/>
    <col min="15600" max="15600" width="11.140625" style="374" customWidth="1"/>
    <col min="15601" max="15601" width="1.85546875" style="374" customWidth="1"/>
    <col min="15602" max="15602" width="11" style="374" customWidth="1"/>
    <col min="15603" max="15603" width="0.7109375" style="374" customWidth="1"/>
    <col min="15604" max="15604" width="1.85546875" style="374" customWidth="1"/>
    <col min="15605" max="15605" width="11.85546875" style="374" bestFit="1" customWidth="1"/>
    <col min="15606" max="15606" width="15.28515625" style="374" bestFit="1" customWidth="1"/>
    <col min="15607" max="15607" width="5" style="374" customWidth="1"/>
    <col min="15608" max="15608" width="10.42578125" style="374" bestFit="1" customWidth="1"/>
    <col min="15609" max="15609" width="5" style="374" customWidth="1"/>
    <col min="15610" max="15610" width="10.42578125" style="374" bestFit="1" customWidth="1"/>
    <col min="15611" max="15613" width="9.140625" style="374"/>
    <col min="15614" max="15614" width="10.42578125" style="374" bestFit="1" customWidth="1"/>
    <col min="15615" max="15843" width="9.140625" style="374"/>
    <col min="15844" max="15844" width="3.5703125" style="374" customWidth="1"/>
    <col min="15845" max="15845" width="4.85546875" style="374" customWidth="1"/>
    <col min="15846" max="15846" width="5.42578125" style="374" customWidth="1"/>
    <col min="15847" max="15847" width="31.28515625" style="374" customWidth="1"/>
    <col min="15848" max="15848" width="7.5703125" style="374" customWidth="1"/>
    <col min="15849" max="15849" width="2.42578125" style="374" customWidth="1"/>
    <col min="15850" max="15850" width="11.5703125" style="374" customWidth="1"/>
    <col min="15851" max="15851" width="2.42578125" style="374" customWidth="1"/>
    <col min="15852" max="15852" width="11.5703125" style="374" customWidth="1"/>
    <col min="15853" max="15853" width="2.42578125" style="374" customWidth="1"/>
    <col min="15854" max="15854" width="10.85546875" style="374" customWidth="1"/>
    <col min="15855" max="15855" width="2.42578125" style="374" customWidth="1"/>
    <col min="15856" max="15856" width="11.140625" style="374" customWidth="1"/>
    <col min="15857" max="15857" width="1.85546875" style="374" customWidth="1"/>
    <col min="15858" max="15858" width="11" style="374" customWidth="1"/>
    <col min="15859" max="15859" width="0.7109375" style="374" customWidth="1"/>
    <col min="15860" max="15860" width="1.85546875" style="374" customWidth="1"/>
    <col min="15861" max="15861" width="11.85546875" style="374" bestFit="1" customWidth="1"/>
    <col min="15862" max="15862" width="15.28515625" style="374" bestFit="1" customWidth="1"/>
    <col min="15863" max="15863" width="5" style="374" customWidth="1"/>
    <col min="15864" max="15864" width="10.42578125" style="374" bestFit="1" customWidth="1"/>
    <col min="15865" max="15865" width="5" style="374" customWidth="1"/>
    <col min="15866" max="15866" width="10.42578125" style="374" bestFit="1" customWidth="1"/>
    <col min="15867" max="15869" width="9.140625" style="374"/>
    <col min="15870" max="15870" width="10.42578125" style="374" bestFit="1" customWidth="1"/>
    <col min="15871" max="16099" width="9.140625" style="374"/>
    <col min="16100" max="16100" width="3.5703125" style="374" customWidth="1"/>
    <col min="16101" max="16101" width="4.85546875" style="374" customWidth="1"/>
    <col min="16102" max="16102" width="5.42578125" style="374" customWidth="1"/>
    <col min="16103" max="16103" width="31.28515625" style="374" customWidth="1"/>
    <col min="16104" max="16104" width="7.5703125" style="374" customWidth="1"/>
    <col min="16105" max="16105" width="2.42578125" style="374" customWidth="1"/>
    <col min="16106" max="16106" width="11.5703125" style="374" customWidth="1"/>
    <col min="16107" max="16107" width="2.42578125" style="374" customWidth="1"/>
    <col min="16108" max="16108" width="11.5703125" style="374" customWidth="1"/>
    <col min="16109" max="16109" width="2.42578125" style="374" customWidth="1"/>
    <col min="16110" max="16110" width="10.85546875" style="374" customWidth="1"/>
    <col min="16111" max="16111" width="2.42578125" style="374" customWidth="1"/>
    <col min="16112" max="16112" width="11.140625" style="374" customWidth="1"/>
    <col min="16113" max="16113" width="1.85546875" style="374" customWidth="1"/>
    <col min="16114" max="16114" width="11" style="374" customWidth="1"/>
    <col min="16115" max="16115" width="0.7109375" style="374" customWidth="1"/>
    <col min="16116" max="16116" width="1.85546875" style="374" customWidth="1"/>
    <col min="16117" max="16117" width="11.85546875" style="374" bestFit="1" customWidth="1"/>
    <col min="16118" max="16118" width="15.28515625" style="374" bestFit="1" customWidth="1"/>
    <col min="16119" max="16119" width="5" style="374" customWidth="1"/>
    <col min="16120" max="16120" width="10.42578125" style="374" bestFit="1" customWidth="1"/>
    <col min="16121" max="16121" width="5" style="374" customWidth="1"/>
    <col min="16122" max="16122" width="10.42578125" style="374" bestFit="1" customWidth="1"/>
    <col min="16123" max="16125" width="9.140625" style="374"/>
    <col min="16126" max="16126" width="10.42578125" style="374" bestFit="1" customWidth="1"/>
    <col min="16127" max="16357" width="9.140625" style="374"/>
    <col min="16358" max="16384" width="9.140625" style="374" customWidth="1"/>
  </cols>
  <sheetData>
    <row r="1" spans="1:9" s="516" customFormat="1" ht="21" x14ac:dyDescent="0.55000000000000004">
      <c r="A1" s="1561" t="s">
        <v>248</v>
      </c>
      <c r="B1" s="1561"/>
      <c r="C1" s="1561"/>
      <c r="D1" s="1561"/>
      <c r="E1" s="1561"/>
      <c r="F1" s="1561"/>
      <c r="G1" s="1561"/>
      <c r="H1" s="1561"/>
      <c r="I1" s="1561"/>
    </row>
    <row r="2" spans="1:9" s="516" customFormat="1" ht="21" x14ac:dyDescent="0.55000000000000004">
      <c r="A2" s="1562" t="str">
        <f>'22-3'!A2:J2</f>
        <v>يادداشتهاي توضيحي صورتهاي مالي</v>
      </c>
      <c r="B2" s="1562"/>
      <c r="C2" s="1562"/>
      <c r="D2" s="1562"/>
      <c r="E2" s="1562"/>
      <c r="F2" s="1562"/>
      <c r="G2" s="1562"/>
      <c r="H2" s="1562"/>
      <c r="I2" s="1562"/>
    </row>
    <row r="3" spans="1:9" s="516" customFormat="1" ht="21" x14ac:dyDescent="0.55000000000000004">
      <c r="A3" s="1562" t="str">
        <f>سودوزيان!A3</f>
        <v>سال مالی منتهی به 30 اسفند 1403</v>
      </c>
      <c r="B3" s="1562"/>
      <c r="C3" s="1562"/>
      <c r="D3" s="1562"/>
      <c r="E3" s="1562"/>
      <c r="F3" s="1562"/>
      <c r="G3" s="1562"/>
      <c r="H3" s="1562"/>
      <c r="I3" s="1562"/>
    </row>
    <row r="4" spans="1:9" ht="21" x14ac:dyDescent="0.55000000000000004">
      <c r="A4" s="517"/>
      <c r="B4" s="513"/>
      <c r="C4" s="518"/>
      <c r="D4" s="518"/>
      <c r="E4" s="518"/>
      <c r="F4" s="519"/>
      <c r="G4" s="519"/>
      <c r="H4" s="519"/>
    </row>
    <row r="5" spans="1:9" ht="24" x14ac:dyDescent="0.6">
      <c r="A5" s="517"/>
      <c r="B5" s="491" t="s">
        <v>1233</v>
      </c>
      <c r="C5" s="440"/>
      <c r="D5" s="1508" t="s">
        <v>758</v>
      </c>
      <c r="E5" s="1508"/>
      <c r="F5" s="1508"/>
      <c r="G5" s="520"/>
      <c r="H5" s="520"/>
    </row>
    <row r="6" spans="1:9" ht="18.75" customHeight="1" x14ac:dyDescent="0.6">
      <c r="A6" s="517"/>
      <c r="B6" s="492"/>
      <c r="C6" s="440"/>
      <c r="D6" s="440"/>
      <c r="E6" s="440"/>
      <c r="F6" s="185">
        <v>1403</v>
      </c>
      <c r="G6" s="186"/>
      <c r="H6" s="185">
        <v>1402</v>
      </c>
    </row>
    <row r="7" spans="1:9" ht="18.75" customHeight="1" x14ac:dyDescent="0.6">
      <c r="A7" s="517"/>
      <c r="B7" s="492"/>
      <c r="C7" s="440"/>
      <c r="D7" s="440"/>
      <c r="E7" s="440"/>
      <c r="F7" s="186" t="s">
        <v>494</v>
      </c>
      <c r="G7" s="520"/>
      <c r="H7" s="186" t="s">
        <v>494</v>
      </c>
    </row>
    <row r="8" spans="1:9" ht="21.75" customHeight="1" x14ac:dyDescent="0.6">
      <c r="A8" s="517"/>
      <c r="B8" s="492"/>
      <c r="C8" s="440"/>
      <c r="D8" s="941" t="s">
        <v>1234</v>
      </c>
      <c r="E8" s="440"/>
      <c r="F8" s="495">
        <v>49743020209</v>
      </c>
      <c r="G8" s="520"/>
      <c r="H8" s="495">
        <v>64223093042</v>
      </c>
    </row>
    <row r="9" spans="1:9" ht="21.75" customHeight="1" x14ac:dyDescent="0.6">
      <c r="A9" s="517"/>
      <c r="B9" s="492"/>
      <c r="C9" s="440"/>
      <c r="D9" s="941" t="s">
        <v>986</v>
      </c>
      <c r="E9" s="440"/>
      <c r="F9" s="495">
        <v>12680000000</v>
      </c>
      <c r="G9" s="520"/>
      <c r="H9" s="495">
        <v>5000000000</v>
      </c>
    </row>
    <row r="10" spans="1:9" ht="21.75" customHeight="1" x14ac:dyDescent="0.6">
      <c r="A10" s="517"/>
      <c r="B10" s="492"/>
      <c r="C10" s="440"/>
      <c r="D10" s="941" t="s">
        <v>537</v>
      </c>
      <c r="E10" s="440"/>
      <c r="F10" s="495">
        <v>291335200</v>
      </c>
      <c r="G10" s="520"/>
      <c r="H10" s="495">
        <v>17388453679</v>
      </c>
    </row>
    <row r="11" spans="1:9" ht="21.75" hidden="1" customHeight="1" x14ac:dyDescent="0.6">
      <c r="A11" s="517"/>
      <c r="B11" s="492"/>
      <c r="C11" s="440"/>
      <c r="D11" s="941" t="s">
        <v>895</v>
      </c>
      <c r="E11" s="440"/>
      <c r="F11" s="495">
        <v>0</v>
      </c>
      <c r="G11" s="520"/>
      <c r="H11" s="495">
        <v>0</v>
      </c>
    </row>
    <row r="12" spans="1:9" ht="21.75" hidden="1" customHeight="1" x14ac:dyDescent="0.6">
      <c r="A12" s="517"/>
      <c r="B12" s="492"/>
      <c r="C12" s="440"/>
      <c r="D12" s="941" t="s">
        <v>985</v>
      </c>
      <c r="E12" s="440"/>
      <c r="F12" s="495">
        <v>0</v>
      </c>
      <c r="G12" s="520"/>
      <c r="H12" s="495">
        <v>0</v>
      </c>
    </row>
    <row r="13" spans="1:9" ht="21.75" hidden="1" customHeight="1" x14ac:dyDescent="0.6">
      <c r="A13" s="517"/>
      <c r="B13" s="492"/>
      <c r="C13" s="440"/>
      <c r="D13" s="941" t="s">
        <v>644</v>
      </c>
      <c r="E13" s="440"/>
      <c r="F13" s="495">
        <v>0</v>
      </c>
      <c r="G13" s="520"/>
      <c r="H13" s="495">
        <v>0</v>
      </c>
    </row>
    <row r="14" spans="1:9" ht="21.75" hidden="1" customHeight="1" x14ac:dyDescent="0.6">
      <c r="A14" s="517"/>
      <c r="B14" s="492"/>
      <c r="C14" s="440"/>
      <c r="D14" s="941" t="s">
        <v>539</v>
      </c>
      <c r="E14" s="440"/>
      <c r="F14" s="495">
        <v>0</v>
      </c>
      <c r="G14" s="520"/>
      <c r="H14" s="495">
        <v>0</v>
      </c>
    </row>
    <row r="15" spans="1:9" ht="21.75" hidden="1" customHeight="1" x14ac:dyDescent="0.6">
      <c r="A15" s="517"/>
      <c r="B15" s="492"/>
      <c r="C15" s="492"/>
      <c r="D15" s="941" t="s">
        <v>538</v>
      </c>
      <c r="E15" s="440"/>
      <c r="F15" s="522">
        <v>0</v>
      </c>
      <c r="G15" s="520"/>
      <c r="H15" s="522">
        <v>0</v>
      </c>
    </row>
    <row r="16" spans="1:9" ht="21.75" hidden="1" customHeight="1" x14ac:dyDescent="0.6">
      <c r="A16" s="517"/>
      <c r="B16" s="492"/>
      <c r="C16" s="492"/>
      <c r="D16" s="941" t="s">
        <v>680</v>
      </c>
      <c r="E16" s="440"/>
      <c r="F16" s="522">
        <v>0</v>
      </c>
      <c r="G16" s="520"/>
      <c r="H16" s="522">
        <v>0</v>
      </c>
    </row>
    <row r="17" spans="1:8" ht="21.75" hidden="1" customHeight="1" x14ac:dyDescent="0.6">
      <c r="A17" s="517"/>
      <c r="B17" s="492"/>
      <c r="C17" s="492"/>
      <c r="D17" s="941" t="s">
        <v>987</v>
      </c>
      <c r="E17" s="440"/>
      <c r="F17" s="522">
        <v>0</v>
      </c>
      <c r="G17" s="520"/>
      <c r="H17" s="522">
        <v>0</v>
      </c>
    </row>
    <row r="18" spans="1:8" ht="21.75" hidden="1" customHeight="1" x14ac:dyDescent="0.6">
      <c r="A18" s="517"/>
      <c r="B18" s="492"/>
      <c r="C18" s="492"/>
      <c r="D18" s="941" t="s">
        <v>988</v>
      </c>
      <c r="E18" s="440"/>
      <c r="F18" s="522">
        <v>0</v>
      </c>
      <c r="G18" s="520"/>
      <c r="H18" s="522">
        <v>0</v>
      </c>
    </row>
    <row r="19" spans="1:8" ht="21.75" customHeight="1" x14ac:dyDescent="0.6">
      <c r="A19" s="517"/>
      <c r="B19" s="492"/>
      <c r="C19" s="492"/>
      <c r="D19" s="941" t="s">
        <v>506</v>
      </c>
      <c r="E19" s="440"/>
      <c r="F19" s="495">
        <v>3753841420</v>
      </c>
      <c r="G19" s="520"/>
      <c r="H19" s="1160">
        <f>14111901548+38772170550</f>
        <v>52884072098</v>
      </c>
    </row>
    <row r="20" spans="1:8" ht="24" hidden="1" x14ac:dyDescent="0.6">
      <c r="A20" s="517"/>
      <c r="B20" s="492"/>
      <c r="C20" s="492"/>
      <c r="D20" s="440" t="s">
        <v>563</v>
      </c>
      <c r="E20" s="440"/>
      <c r="F20" s="520"/>
      <c r="G20" s="520"/>
      <c r="H20" s="188"/>
    </row>
    <row r="21" spans="1:8" ht="24" hidden="1" x14ac:dyDescent="0.6">
      <c r="A21" s="517"/>
      <c r="B21" s="492"/>
      <c r="C21" s="492"/>
      <c r="D21" s="440" t="s">
        <v>624</v>
      </c>
      <c r="E21" s="440"/>
      <c r="F21" s="520"/>
      <c r="G21" s="520"/>
      <c r="H21" s="188"/>
    </row>
    <row r="22" spans="1:8" ht="24" hidden="1" x14ac:dyDescent="0.6">
      <c r="A22" s="517"/>
      <c r="B22" s="492"/>
      <c r="C22" s="492"/>
      <c r="D22" s="440" t="s">
        <v>564</v>
      </c>
      <c r="E22" s="440"/>
      <c r="F22" s="520"/>
      <c r="G22" s="520"/>
      <c r="H22" s="188"/>
    </row>
    <row r="23" spans="1:8" ht="24" hidden="1" x14ac:dyDescent="0.6">
      <c r="A23" s="517"/>
      <c r="B23" s="492"/>
      <c r="C23" s="492"/>
      <c r="D23" s="440" t="s">
        <v>565</v>
      </c>
      <c r="E23" s="440"/>
      <c r="F23" s="520"/>
      <c r="G23" s="520"/>
      <c r="H23" s="188"/>
    </row>
    <row r="24" spans="1:8" ht="24" hidden="1" x14ac:dyDescent="0.6">
      <c r="A24" s="517"/>
      <c r="B24" s="492"/>
      <c r="C24" s="492"/>
      <c r="D24" s="440" t="s">
        <v>625</v>
      </c>
      <c r="E24" s="440"/>
      <c r="F24" s="520"/>
      <c r="G24" s="520"/>
      <c r="H24" s="188"/>
    </row>
    <row r="25" spans="1:8" ht="24" hidden="1" x14ac:dyDescent="0.6">
      <c r="A25" s="517"/>
      <c r="B25" s="492"/>
      <c r="C25" s="492"/>
      <c r="D25" s="440" t="s">
        <v>626</v>
      </c>
      <c r="E25" s="440"/>
      <c r="F25" s="520"/>
      <c r="G25" s="520"/>
      <c r="H25" s="188"/>
    </row>
    <row r="26" spans="1:8" ht="24" hidden="1" x14ac:dyDescent="0.6">
      <c r="A26" s="517"/>
      <c r="B26" s="492"/>
      <c r="C26" s="492"/>
      <c r="D26" s="440" t="s">
        <v>627</v>
      </c>
      <c r="E26" s="440"/>
      <c r="F26" s="520"/>
      <c r="G26" s="520"/>
      <c r="H26" s="188"/>
    </row>
    <row r="27" spans="1:8" ht="24" hidden="1" x14ac:dyDescent="0.6">
      <c r="A27" s="517"/>
      <c r="B27" s="492"/>
      <c r="C27" s="492"/>
      <c r="D27" s="440" t="s">
        <v>628</v>
      </c>
      <c r="E27" s="440"/>
      <c r="F27" s="520"/>
      <c r="G27" s="520"/>
      <c r="H27" s="188"/>
    </row>
    <row r="28" spans="1:8" ht="24" hidden="1" x14ac:dyDescent="0.6">
      <c r="A28" s="517"/>
      <c r="B28" s="492"/>
      <c r="C28" s="492"/>
      <c r="D28" s="440" t="s">
        <v>629</v>
      </c>
      <c r="E28" s="440"/>
      <c r="F28" s="520"/>
      <c r="G28" s="520"/>
      <c r="H28" s="188"/>
    </row>
    <row r="29" spans="1:8" ht="24" hidden="1" x14ac:dyDescent="0.6">
      <c r="A29" s="517"/>
      <c r="B29" s="492"/>
      <c r="C29" s="492"/>
      <c r="D29" s="440" t="s">
        <v>630</v>
      </c>
      <c r="E29" s="440"/>
      <c r="F29" s="520"/>
      <c r="G29" s="520"/>
      <c r="H29" s="188"/>
    </row>
    <row r="30" spans="1:8" ht="24" hidden="1" x14ac:dyDescent="0.6">
      <c r="A30" s="517"/>
      <c r="B30" s="492"/>
      <c r="C30" s="492"/>
      <c r="D30" s="440" t="s">
        <v>631</v>
      </c>
      <c r="E30" s="440"/>
      <c r="F30" s="520"/>
      <c r="G30" s="520"/>
      <c r="H30" s="188"/>
    </row>
    <row r="31" spans="1:8" ht="24" hidden="1" x14ac:dyDescent="0.6">
      <c r="A31" s="517"/>
      <c r="B31" s="492"/>
      <c r="C31" s="492"/>
      <c r="D31" s="440" t="s">
        <v>632</v>
      </c>
      <c r="E31" s="440"/>
      <c r="F31" s="520"/>
      <c r="G31" s="520"/>
      <c r="H31" s="188"/>
    </row>
    <row r="32" spans="1:8" ht="24" hidden="1" x14ac:dyDescent="0.6">
      <c r="A32" s="517"/>
      <c r="B32" s="492"/>
      <c r="C32" s="492"/>
      <c r="D32" s="440" t="s">
        <v>633</v>
      </c>
      <c r="E32" s="440"/>
      <c r="F32" s="520"/>
      <c r="G32" s="520"/>
      <c r="H32" s="188"/>
    </row>
    <row r="33" spans="1:8" ht="24" hidden="1" x14ac:dyDescent="0.6">
      <c r="A33" s="517"/>
      <c r="B33" s="492"/>
      <c r="C33" s="492"/>
      <c r="D33" s="440" t="s">
        <v>634</v>
      </c>
      <c r="E33" s="440"/>
      <c r="F33" s="520"/>
      <c r="G33" s="520"/>
      <c r="H33" s="188"/>
    </row>
    <row r="34" spans="1:8" ht="24" hidden="1" x14ac:dyDescent="0.6">
      <c r="A34" s="517"/>
      <c r="B34" s="492"/>
      <c r="C34" s="492"/>
      <c r="D34" s="440" t="s">
        <v>562</v>
      </c>
      <c r="E34" s="440"/>
      <c r="F34" s="520"/>
      <c r="G34" s="520"/>
      <c r="H34" s="188"/>
    </row>
    <row r="35" spans="1:8" ht="24" hidden="1" x14ac:dyDescent="0.6">
      <c r="A35" s="517"/>
      <c r="B35" s="492"/>
      <c r="C35" s="492"/>
      <c r="D35" s="440" t="s">
        <v>635</v>
      </c>
      <c r="E35" s="440"/>
      <c r="F35" s="520"/>
      <c r="G35" s="520"/>
      <c r="H35" s="188"/>
    </row>
    <row r="36" spans="1:8" ht="24" hidden="1" x14ac:dyDescent="0.6">
      <c r="A36" s="517"/>
      <c r="B36" s="492"/>
      <c r="C36" s="492"/>
      <c r="D36" s="440" t="s">
        <v>636</v>
      </c>
      <c r="E36" s="440"/>
      <c r="F36" s="520"/>
      <c r="G36" s="520"/>
      <c r="H36" s="188"/>
    </row>
    <row r="37" spans="1:8" ht="24" hidden="1" x14ac:dyDescent="0.6">
      <c r="A37" s="517"/>
      <c r="B37" s="492"/>
      <c r="C37" s="492"/>
      <c r="D37" s="440" t="s">
        <v>637</v>
      </c>
      <c r="E37" s="440"/>
      <c r="F37" s="520"/>
      <c r="G37" s="520"/>
      <c r="H37" s="188"/>
    </row>
    <row r="38" spans="1:8" ht="24" hidden="1" x14ac:dyDescent="0.6">
      <c r="A38" s="517"/>
      <c r="B38" s="492"/>
      <c r="C38" s="492"/>
      <c r="D38" s="440" t="s">
        <v>638</v>
      </c>
      <c r="E38" s="440"/>
      <c r="F38" s="520"/>
      <c r="G38" s="520"/>
      <c r="H38" s="188"/>
    </row>
    <row r="39" spans="1:8" ht="24" hidden="1" x14ac:dyDescent="0.6">
      <c r="A39" s="517"/>
      <c r="B39" s="492"/>
      <c r="C39" s="492"/>
      <c r="D39" s="440" t="s">
        <v>639</v>
      </c>
      <c r="E39" s="440"/>
      <c r="F39" s="520"/>
      <c r="G39" s="520"/>
      <c r="H39" s="188"/>
    </row>
    <row r="40" spans="1:8" ht="24" hidden="1" x14ac:dyDescent="0.6">
      <c r="A40" s="517"/>
      <c r="B40" s="492"/>
      <c r="C40" s="492"/>
      <c r="D40" s="440" t="s">
        <v>640</v>
      </c>
      <c r="E40" s="440"/>
      <c r="F40" s="520"/>
      <c r="G40" s="520"/>
      <c r="H40" s="188"/>
    </row>
    <row r="41" spans="1:8" ht="24" hidden="1" x14ac:dyDescent="0.6">
      <c r="A41" s="517"/>
      <c r="B41" s="492"/>
      <c r="C41" s="492"/>
      <c r="D41" s="440" t="s">
        <v>641</v>
      </c>
      <c r="E41" s="440"/>
      <c r="F41" s="520"/>
      <c r="G41" s="520"/>
      <c r="H41" s="188"/>
    </row>
    <row r="42" spans="1:8" ht="24" hidden="1" x14ac:dyDescent="0.6">
      <c r="A42" s="517"/>
      <c r="B42" s="492"/>
      <c r="C42" s="492"/>
      <c r="D42" s="440" t="s">
        <v>642</v>
      </c>
      <c r="E42" s="440"/>
      <c r="F42" s="520"/>
      <c r="G42" s="520"/>
      <c r="H42" s="188"/>
    </row>
    <row r="43" spans="1:8" ht="24" hidden="1" x14ac:dyDescent="0.6">
      <c r="A43" s="517"/>
      <c r="B43" s="492"/>
      <c r="C43" s="492"/>
      <c r="D43" s="440" t="s">
        <v>643</v>
      </c>
      <c r="E43" s="440"/>
      <c r="F43" s="520"/>
      <c r="G43" s="520"/>
      <c r="H43" s="188"/>
    </row>
    <row r="44" spans="1:8" ht="24" hidden="1" x14ac:dyDescent="0.6">
      <c r="A44" s="517"/>
      <c r="B44" s="492"/>
      <c r="C44" s="492"/>
      <c r="D44" s="440" t="s">
        <v>644</v>
      </c>
      <c r="E44" s="440"/>
      <c r="F44" s="520"/>
      <c r="G44" s="520"/>
      <c r="H44" s="188"/>
    </row>
    <row r="45" spans="1:8" ht="24" hidden="1" x14ac:dyDescent="0.6">
      <c r="A45" s="517"/>
      <c r="B45" s="492"/>
      <c r="C45" s="492"/>
      <c r="D45" s="440" t="s">
        <v>645</v>
      </c>
      <c r="E45" s="440"/>
      <c r="F45" s="520"/>
      <c r="G45" s="520"/>
      <c r="H45" s="188"/>
    </row>
    <row r="46" spans="1:8" ht="24" hidden="1" x14ac:dyDescent="0.6">
      <c r="A46" s="517"/>
      <c r="B46" s="492"/>
      <c r="C46" s="492"/>
      <c r="D46" s="440" t="s">
        <v>646</v>
      </c>
      <c r="E46" s="440"/>
      <c r="F46" s="520"/>
      <c r="G46" s="520"/>
      <c r="H46" s="188"/>
    </row>
    <row r="47" spans="1:8" ht="24" hidden="1" x14ac:dyDescent="0.6">
      <c r="A47" s="517"/>
      <c r="B47" s="492"/>
      <c r="C47" s="492"/>
      <c r="D47" s="440" t="s">
        <v>647</v>
      </c>
      <c r="E47" s="440"/>
      <c r="F47" s="520"/>
      <c r="G47" s="520"/>
      <c r="H47" s="188"/>
    </row>
    <row r="48" spans="1:8" ht="24" hidden="1" x14ac:dyDescent="0.6">
      <c r="A48" s="517"/>
      <c r="B48" s="492"/>
      <c r="C48" s="492"/>
      <c r="D48" s="440" t="s">
        <v>648</v>
      </c>
      <c r="E48" s="440"/>
      <c r="F48" s="520"/>
      <c r="G48" s="520"/>
      <c r="H48" s="188"/>
    </row>
    <row r="49" spans="1:8" ht="24" hidden="1" x14ac:dyDescent="0.6">
      <c r="A49" s="517"/>
      <c r="B49" s="492"/>
      <c r="C49" s="492"/>
      <c r="D49" s="440" t="s">
        <v>649</v>
      </c>
      <c r="E49" s="440"/>
      <c r="F49" s="520"/>
      <c r="G49" s="520"/>
      <c r="H49" s="188"/>
    </row>
    <row r="50" spans="1:8" ht="24" hidden="1" x14ac:dyDescent="0.6">
      <c r="A50" s="517"/>
      <c r="B50" s="492"/>
      <c r="C50" s="492"/>
      <c r="D50" s="440" t="s">
        <v>650</v>
      </c>
      <c r="E50" s="440"/>
      <c r="F50" s="520"/>
      <c r="G50" s="520"/>
      <c r="H50" s="188"/>
    </row>
    <row r="51" spans="1:8" ht="24" hidden="1" x14ac:dyDescent="0.6">
      <c r="A51" s="517"/>
      <c r="B51" s="492"/>
      <c r="C51" s="492"/>
      <c r="D51" s="440" t="s">
        <v>651</v>
      </c>
      <c r="E51" s="440"/>
      <c r="F51" s="520"/>
      <c r="G51" s="520"/>
      <c r="H51" s="188"/>
    </row>
    <row r="52" spans="1:8" ht="24" hidden="1" x14ac:dyDescent="0.6">
      <c r="A52" s="517"/>
      <c r="B52" s="492"/>
      <c r="C52" s="492"/>
      <c r="D52" s="440" t="s">
        <v>652</v>
      </c>
      <c r="E52" s="440"/>
      <c r="F52" s="520"/>
      <c r="G52" s="520"/>
      <c r="H52" s="188"/>
    </row>
    <row r="53" spans="1:8" ht="24" hidden="1" x14ac:dyDescent="0.6">
      <c r="A53" s="517"/>
      <c r="B53" s="492"/>
      <c r="C53" s="492"/>
      <c r="D53" s="440" t="s">
        <v>540</v>
      </c>
      <c r="E53" s="440"/>
      <c r="F53" s="520"/>
      <c r="G53" s="520"/>
      <c r="H53" s="188"/>
    </row>
    <row r="54" spans="1:8" ht="24" hidden="1" x14ac:dyDescent="0.6">
      <c r="A54" s="517"/>
      <c r="B54" s="492"/>
      <c r="C54" s="492"/>
      <c r="D54" s="440" t="s">
        <v>622</v>
      </c>
      <c r="E54" s="440"/>
      <c r="F54" s="520"/>
      <c r="G54" s="520"/>
      <c r="H54" s="188"/>
    </row>
    <row r="55" spans="1:8" ht="24" hidden="1" x14ac:dyDescent="0.6">
      <c r="A55" s="517"/>
      <c r="B55" s="492"/>
      <c r="C55" s="492"/>
      <c r="D55" s="440" t="s">
        <v>653</v>
      </c>
      <c r="E55" s="440"/>
      <c r="F55" s="520"/>
      <c r="G55" s="520"/>
      <c r="H55" s="188"/>
    </row>
    <row r="56" spans="1:8" ht="24" hidden="1" x14ac:dyDescent="0.6">
      <c r="A56" s="517"/>
      <c r="B56" s="492"/>
      <c r="C56" s="492"/>
      <c r="D56" s="440" t="s">
        <v>543</v>
      </c>
      <c r="E56" s="440"/>
      <c r="F56" s="520"/>
      <c r="G56" s="520"/>
      <c r="H56" s="188"/>
    </row>
    <row r="57" spans="1:8" ht="24" hidden="1" x14ac:dyDescent="0.6">
      <c r="A57" s="517"/>
      <c r="B57" s="492"/>
      <c r="C57" s="492"/>
      <c r="D57" s="440" t="s">
        <v>541</v>
      </c>
      <c r="E57" s="440"/>
      <c r="F57" s="520"/>
      <c r="G57" s="520"/>
      <c r="H57" s="188"/>
    </row>
    <row r="58" spans="1:8" ht="24" hidden="1" x14ac:dyDescent="0.6">
      <c r="A58" s="517"/>
      <c r="B58" s="492"/>
      <c r="C58" s="492"/>
      <c r="D58" s="440" t="s">
        <v>654</v>
      </c>
      <c r="E58" s="440"/>
      <c r="F58" s="520"/>
      <c r="G58" s="520"/>
      <c r="H58" s="188"/>
    </row>
    <row r="59" spans="1:8" ht="24" hidden="1" x14ac:dyDescent="0.6">
      <c r="A59" s="517"/>
      <c r="B59" s="492"/>
      <c r="C59" s="492"/>
      <c r="D59" s="440" t="s">
        <v>655</v>
      </c>
      <c r="E59" s="440"/>
      <c r="F59" s="520"/>
      <c r="G59" s="520"/>
      <c r="H59" s="188"/>
    </row>
    <row r="60" spans="1:8" ht="24" hidden="1" x14ac:dyDescent="0.6">
      <c r="A60" s="517"/>
      <c r="B60" s="492"/>
      <c r="C60" s="492"/>
      <c r="D60" s="440" t="s">
        <v>656</v>
      </c>
      <c r="E60" s="440"/>
      <c r="F60" s="520"/>
      <c r="G60" s="520"/>
      <c r="H60" s="188"/>
    </row>
    <row r="61" spans="1:8" ht="24" hidden="1" x14ac:dyDescent="0.6">
      <c r="A61" s="517"/>
      <c r="B61" s="492"/>
      <c r="C61" s="492"/>
      <c r="D61" s="440" t="s">
        <v>657</v>
      </c>
      <c r="E61" s="440"/>
      <c r="F61" s="520"/>
      <c r="G61" s="520"/>
      <c r="H61" s="188"/>
    </row>
    <row r="62" spans="1:8" ht="24" hidden="1" x14ac:dyDescent="0.6">
      <c r="A62" s="517"/>
      <c r="B62" s="492"/>
      <c r="C62" s="492"/>
      <c r="D62" s="440" t="s">
        <v>658</v>
      </c>
      <c r="E62" s="440"/>
      <c r="F62" s="520"/>
      <c r="G62" s="520"/>
      <c r="H62" s="188"/>
    </row>
    <row r="63" spans="1:8" ht="24" hidden="1" x14ac:dyDescent="0.6">
      <c r="A63" s="517"/>
      <c r="B63" s="492"/>
      <c r="C63" s="492"/>
      <c r="D63" s="440" t="s">
        <v>659</v>
      </c>
      <c r="E63" s="440"/>
      <c r="F63" s="520"/>
      <c r="G63" s="520"/>
      <c r="H63" s="188"/>
    </row>
    <row r="64" spans="1:8" ht="24" hidden="1" x14ac:dyDescent="0.6">
      <c r="A64" s="517"/>
      <c r="B64" s="492"/>
      <c r="C64" s="492"/>
      <c r="D64" s="440" t="s">
        <v>660</v>
      </c>
      <c r="E64" s="440"/>
      <c r="F64" s="520"/>
      <c r="G64" s="520"/>
      <c r="H64" s="188"/>
    </row>
    <row r="65" spans="1:8" ht="24" hidden="1" x14ac:dyDescent="0.6">
      <c r="A65" s="517"/>
      <c r="B65" s="492"/>
      <c r="C65" s="492"/>
      <c r="D65" s="440" t="s">
        <v>661</v>
      </c>
      <c r="E65" s="440"/>
      <c r="F65" s="520"/>
      <c r="G65" s="520"/>
      <c r="H65" s="188"/>
    </row>
    <row r="66" spans="1:8" ht="24" hidden="1" x14ac:dyDescent="0.6">
      <c r="A66" s="517"/>
      <c r="B66" s="492"/>
      <c r="C66" s="492"/>
      <c r="D66" s="440" t="s">
        <v>542</v>
      </c>
      <c r="E66" s="440"/>
      <c r="F66" s="520"/>
      <c r="G66" s="520"/>
      <c r="H66" s="188"/>
    </row>
    <row r="67" spans="1:8" ht="24" hidden="1" x14ac:dyDescent="0.6">
      <c r="A67" s="517"/>
      <c r="B67" s="492"/>
      <c r="C67" s="492"/>
      <c r="D67" s="440" t="s">
        <v>662</v>
      </c>
      <c r="E67" s="440"/>
      <c r="F67" s="520"/>
      <c r="G67" s="520"/>
      <c r="H67" s="188"/>
    </row>
    <row r="68" spans="1:8" ht="24" hidden="1" x14ac:dyDescent="0.6">
      <c r="A68" s="517"/>
      <c r="B68" s="492"/>
      <c r="C68" s="492"/>
      <c r="D68" s="440" t="s">
        <v>663</v>
      </c>
      <c r="E68" s="440"/>
      <c r="F68" s="520"/>
      <c r="G68" s="520"/>
      <c r="H68" s="188"/>
    </row>
    <row r="69" spans="1:8" ht="24" hidden="1" x14ac:dyDescent="0.6">
      <c r="A69" s="517"/>
      <c r="B69" s="492"/>
      <c r="C69" s="492"/>
      <c r="D69" s="440" t="s">
        <v>569</v>
      </c>
      <c r="E69" s="440"/>
      <c r="F69" s="520"/>
      <c r="G69" s="520"/>
      <c r="H69" s="188"/>
    </row>
    <row r="70" spans="1:8" ht="24" hidden="1" x14ac:dyDescent="0.6">
      <c r="A70" s="517"/>
      <c r="B70" s="492"/>
      <c r="C70" s="492"/>
      <c r="D70" s="440" t="s">
        <v>664</v>
      </c>
      <c r="E70" s="440"/>
      <c r="F70" s="520"/>
      <c r="G70" s="520"/>
      <c r="H70" s="188"/>
    </row>
    <row r="71" spans="1:8" ht="24" hidden="1" x14ac:dyDescent="0.6">
      <c r="A71" s="517"/>
      <c r="B71" s="492"/>
      <c r="C71" s="492"/>
      <c r="D71" s="440" t="s">
        <v>665</v>
      </c>
      <c r="E71" s="440"/>
      <c r="F71" s="520"/>
      <c r="G71" s="520"/>
      <c r="H71" s="188"/>
    </row>
    <row r="72" spans="1:8" ht="24" hidden="1" x14ac:dyDescent="0.6">
      <c r="A72" s="517"/>
      <c r="B72" s="492"/>
      <c r="C72" s="492"/>
      <c r="D72" s="440" t="s">
        <v>666</v>
      </c>
      <c r="E72" s="440"/>
      <c r="F72" s="520"/>
      <c r="G72" s="520"/>
      <c r="H72" s="188"/>
    </row>
    <row r="73" spans="1:8" ht="24" hidden="1" x14ac:dyDescent="0.6">
      <c r="A73" s="517"/>
      <c r="B73" s="492"/>
      <c r="C73" s="492"/>
      <c r="D73" s="440" t="s">
        <v>667</v>
      </c>
      <c r="E73" s="440"/>
      <c r="F73" s="520"/>
      <c r="G73" s="520"/>
      <c r="H73" s="188"/>
    </row>
    <row r="74" spans="1:8" ht="24" hidden="1" x14ac:dyDescent="0.6">
      <c r="A74" s="517"/>
      <c r="B74" s="492"/>
      <c r="C74" s="492"/>
      <c r="D74" s="440" t="s">
        <v>668</v>
      </c>
      <c r="E74" s="440"/>
      <c r="F74" s="520"/>
      <c r="G74" s="520"/>
      <c r="H74" s="188"/>
    </row>
    <row r="75" spans="1:8" ht="24" hidden="1" x14ac:dyDescent="0.6">
      <c r="A75" s="517"/>
      <c r="B75" s="492"/>
      <c r="C75" s="492"/>
      <c r="D75" s="440" t="s">
        <v>669</v>
      </c>
      <c r="E75" s="440"/>
      <c r="F75" s="520"/>
      <c r="G75" s="520"/>
      <c r="H75" s="188"/>
    </row>
    <row r="76" spans="1:8" ht="24" hidden="1" x14ac:dyDescent="0.6">
      <c r="A76" s="517"/>
      <c r="B76" s="492"/>
      <c r="C76" s="492"/>
      <c r="D76" s="440" t="s">
        <v>670</v>
      </c>
      <c r="E76" s="440"/>
      <c r="F76" s="520"/>
      <c r="G76" s="520"/>
      <c r="H76" s="188"/>
    </row>
    <row r="77" spans="1:8" ht="24" hidden="1" x14ac:dyDescent="0.6">
      <c r="A77" s="517"/>
      <c r="B77" s="492"/>
      <c r="C77" s="492"/>
      <c r="D77" s="440" t="s">
        <v>671</v>
      </c>
      <c r="E77" s="440"/>
      <c r="F77" s="520"/>
      <c r="G77" s="520"/>
      <c r="H77" s="188"/>
    </row>
    <row r="78" spans="1:8" ht="24" hidden="1" x14ac:dyDescent="0.6">
      <c r="A78" s="517"/>
      <c r="B78" s="492"/>
      <c r="C78" s="492"/>
      <c r="D78" s="440" t="s">
        <v>672</v>
      </c>
      <c r="E78" s="440"/>
      <c r="F78" s="520"/>
      <c r="G78" s="520"/>
      <c r="H78" s="188"/>
    </row>
    <row r="79" spans="1:8" ht="24" hidden="1" x14ac:dyDescent="0.6">
      <c r="A79" s="517"/>
      <c r="B79" s="492"/>
      <c r="C79" s="492"/>
      <c r="D79" s="440" t="s">
        <v>673</v>
      </c>
      <c r="E79" s="440"/>
      <c r="F79" s="520"/>
      <c r="G79" s="520"/>
      <c r="H79" s="188"/>
    </row>
    <row r="80" spans="1:8" ht="24" hidden="1" x14ac:dyDescent="0.6">
      <c r="A80" s="517"/>
      <c r="B80" s="492"/>
      <c r="C80" s="492"/>
      <c r="D80" s="440" t="s">
        <v>674</v>
      </c>
      <c r="E80" s="440"/>
      <c r="F80" s="520"/>
      <c r="G80" s="520"/>
      <c r="H80" s="188"/>
    </row>
    <row r="81" spans="1:12" ht="24" hidden="1" x14ac:dyDescent="0.6">
      <c r="A81" s="517"/>
      <c r="B81" s="492"/>
      <c r="C81" s="492"/>
      <c r="D81" s="440"/>
      <c r="E81" s="440"/>
      <c r="F81" s="520">
        <v>0</v>
      </c>
      <c r="G81" s="520"/>
      <c r="H81" s="188">
        <v>0</v>
      </c>
    </row>
    <row r="82" spans="1:12" ht="27" thickBot="1" x14ac:dyDescent="0.65">
      <c r="A82" s="517"/>
      <c r="B82" s="440"/>
      <c r="C82" s="440"/>
      <c r="D82" s="440"/>
      <c r="E82" s="440"/>
      <c r="F82" s="415">
        <f>SUM(F8:F81)</f>
        <v>66468196829</v>
      </c>
      <c r="G82" s="520"/>
      <c r="H82" s="415">
        <f>SUM(H8:H81)</f>
        <v>139495618819</v>
      </c>
      <c r="J82" s="374" t="b">
        <f>F82='22'!G24</f>
        <v>1</v>
      </c>
      <c r="K82" s="374" t="b">
        <f>H82='22'!I24</f>
        <v>1</v>
      </c>
    </row>
    <row r="83" spans="1:12" ht="14.25" customHeight="1" thickTop="1" x14ac:dyDescent="0.6">
      <c r="A83" s="517"/>
      <c r="B83" s="440"/>
      <c r="C83" s="440"/>
      <c r="D83" s="440"/>
      <c r="E83" s="440"/>
      <c r="F83" s="520"/>
      <c r="G83" s="520"/>
      <c r="H83" s="520"/>
    </row>
    <row r="84" spans="1:12" ht="22.5" customHeight="1" x14ac:dyDescent="0.6">
      <c r="A84" s="517"/>
      <c r="B84" s="491" t="s">
        <v>1069</v>
      </c>
      <c r="C84" s="440"/>
      <c r="D84" s="1508" t="s">
        <v>373</v>
      </c>
      <c r="E84" s="1508"/>
      <c r="F84" s="1508"/>
      <c r="G84" s="520"/>
      <c r="H84" s="520"/>
    </row>
    <row r="85" spans="1:12" ht="21" customHeight="1" x14ac:dyDescent="0.6">
      <c r="A85" s="517"/>
      <c r="B85" s="440"/>
      <c r="C85" s="440"/>
      <c r="D85" s="440"/>
      <c r="E85" s="440"/>
      <c r="F85" s="523">
        <v>1403</v>
      </c>
      <c r="G85" s="524"/>
      <c r="H85" s="523">
        <v>1402</v>
      </c>
    </row>
    <row r="86" spans="1:12" ht="21" customHeight="1" x14ac:dyDescent="0.6">
      <c r="A86" s="517"/>
      <c r="B86" s="440"/>
      <c r="C86" s="440"/>
      <c r="D86" s="440"/>
      <c r="E86" s="440"/>
      <c r="F86" s="524" t="s">
        <v>494</v>
      </c>
      <c r="G86" s="520"/>
      <c r="H86" s="524" t="s">
        <v>494</v>
      </c>
    </row>
    <row r="87" spans="1:12" ht="25.5" hidden="1" customHeight="1" x14ac:dyDescent="0.6">
      <c r="A87" s="517"/>
      <c r="B87" s="440"/>
      <c r="C87" s="440"/>
      <c r="D87" s="440" t="s">
        <v>374</v>
      </c>
      <c r="E87" s="440"/>
      <c r="F87" s="1028">
        <v>0</v>
      </c>
      <c r="G87" s="520"/>
      <c r="H87" s="1028">
        <v>0</v>
      </c>
    </row>
    <row r="88" spans="1:12" ht="24" hidden="1" x14ac:dyDescent="0.6">
      <c r="A88" s="517"/>
      <c r="B88" s="440"/>
      <c r="C88" s="440"/>
      <c r="D88" s="440" t="s">
        <v>461</v>
      </c>
      <c r="E88" s="440"/>
      <c r="F88" s="1028">
        <v>0</v>
      </c>
      <c r="G88" s="520"/>
      <c r="H88" s="1028">
        <v>0</v>
      </c>
    </row>
    <row r="89" spans="1:12" ht="24" x14ac:dyDescent="0.6">
      <c r="A89" s="517"/>
      <c r="B89" s="440"/>
      <c r="C89" s="440"/>
      <c r="D89" s="440" t="s">
        <v>300</v>
      </c>
      <c r="E89" s="440"/>
      <c r="F89" s="493">
        <v>0</v>
      </c>
      <c r="G89" s="520"/>
      <c r="H89" s="493">
        <v>429317396</v>
      </c>
      <c r="J89" s="374">
        <v>3212</v>
      </c>
    </row>
    <row r="90" spans="1:12" ht="24.75" customHeight="1" thickBot="1" x14ac:dyDescent="0.65">
      <c r="A90" s="517"/>
      <c r="B90" s="440"/>
      <c r="C90" s="440"/>
      <c r="D90" s="440"/>
      <c r="E90" s="440"/>
      <c r="F90" s="493">
        <v>0</v>
      </c>
      <c r="G90" s="520"/>
      <c r="H90" s="415">
        <f>SUM(H87:H89)</f>
        <v>429317396</v>
      </c>
      <c r="J90" s="374" t="b">
        <f>F90='22'!G28</f>
        <v>1</v>
      </c>
      <c r="K90" s="374" t="b">
        <f>H90='22'!I28</f>
        <v>1</v>
      </c>
    </row>
    <row r="91" spans="1:12" ht="11.25" customHeight="1" thickTop="1" x14ac:dyDescent="0.6">
      <c r="A91" s="517"/>
      <c r="B91" s="440"/>
      <c r="C91" s="440"/>
      <c r="D91" s="440"/>
      <c r="E91" s="440"/>
      <c r="F91" s="520"/>
      <c r="G91" s="520"/>
      <c r="H91" s="520"/>
    </row>
    <row r="92" spans="1:12" ht="22.5" customHeight="1" x14ac:dyDescent="0.6">
      <c r="A92" s="517"/>
      <c r="B92" s="491" t="s">
        <v>1070</v>
      </c>
      <c r="C92" s="440"/>
      <c r="D92" s="1508" t="s">
        <v>375</v>
      </c>
      <c r="E92" s="1508"/>
      <c r="F92" s="1508"/>
      <c r="G92" s="520"/>
      <c r="H92" s="520"/>
    </row>
    <row r="93" spans="1:12" ht="16.5" customHeight="1" x14ac:dyDescent="0.6">
      <c r="A93" s="517"/>
      <c r="B93" s="440"/>
      <c r="C93" s="440"/>
      <c r="D93" s="440"/>
      <c r="E93" s="440"/>
      <c r="F93" s="185">
        <v>1403</v>
      </c>
      <c r="G93" s="186"/>
      <c r="H93" s="185">
        <v>1402</v>
      </c>
    </row>
    <row r="94" spans="1:12" ht="18.75" customHeight="1" x14ac:dyDescent="0.6">
      <c r="A94" s="517"/>
      <c r="B94" s="440"/>
      <c r="C94" s="440"/>
      <c r="D94" s="440"/>
      <c r="E94" s="440"/>
      <c r="F94" s="186" t="s">
        <v>494</v>
      </c>
      <c r="G94" s="520"/>
      <c r="H94" s="186" t="s">
        <v>494</v>
      </c>
    </row>
    <row r="95" spans="1:12" ht="18.75" customHeight="1" x14ac:dyDescent="0.6">
      <c r="A95" s="517"/>
      <c r="B95" s="440"/>
      <c r="C95" s="440"/>
      <c r="D95" s="440" t="s">
        <v>895</v>
      </c>
      <c r="E95" s="440"/>
      <c r="F95" s="1105">
        <v>49418465000</v>
      </c>
      <c r="G95" s="520"/>
      <c r="H95" s="493">
        <v>4663955750</v>
      </c>
      <c r="J95" s="374">
        <v>3212</v>
      </c>
      <c r="L95" s="2" t="s">
        <v>1330</v>
      </c>
    </row>
    <row r="96" spans="1:12" ht="18.75" customHeight="1" x14ac:dyDescent="0.6">
      <c r="A96" s="517"/>
      <c r="B96" s="440"/>
      <c r="C96" s="440"/>
      <c r="D96" s="440" t="s">
        <v>945</v>
      </c>
      <c r="E96" s="440"/>
      <c r="F96" s="1105">
        <v>22767690107</v>
      </c>
      <c r="G96" s="520"/>
      <c r="H96" s="493">
        <v>24584161027</v>
      </c>
      <c r="J96" s="374">
        <v>3212</v>
      </c>
    </row>
    <row r="97" spans="1:10" ht="18.75" customHeight="1" x14ac:dyDescent="0.6">
      <c r="A97" s="517"/>
      <c r="B97" s="440"/>
      <c r="C97" s="440"/>
      <c r="D97" s="1682" t="s">
        <v>1181</v>
      </c>
      <c r="E97" s="440"/>
      <c r="F97" s="1105">
        <v>16216340814</v>
      </c>
      <c r="G97" s="1102"/>
      <c r="H97" s="186">
        <v>0</v>
      </c>
      <c r="J97" s="374">
        <v>1430</v>
      </c>
    </row>
    <row r="98" spans="1:10" ht="18.75" customHeight="1" x14ac:dyDescent="0.6">
      <c r="A98" s="517"/>
      <c r="B98" s="440"/>
      <c r="C98" s="440"/>
      <c r="D98" s="521" t="s">
        <v>1177</v>
      </c>
      <c r="E98" s="440"/>
      <c r="F98" s="1105">
        <v>11250000000</v>
      </c>
      <c r="G98" s="520"/>
      <c r="H98" s="493">
        <v>0</v>
      </c>
      <c r="J98" s="374">
        <v>3212</v>
      </c>
    </row>
    <row r="99" spans="1:10" ht="18.75" customHeight="1" x14ac:dyDescent="0.6">
      <c r="A99" s="517"/>
      <c r="B99" s="440"/>
      <c r="C99" s="440"/>
      <c r="D99" s="440" t="s">
        <v>508</v>
      </c>
      <c r="E99" s="440"/>
      <c r="F99" s="1105">
        <v>6626850000</v>
      </c>
      <c r="G99" s="520"/>
      <c r="H99" s="493">
        <v>115185000</v>
      </c>
      <c r="J99" s="374">
        <v>3212</v>
      </c>
    </row>
    <row r="100" spans="1:10" ht="18.75" customHeight="1" x14ac:dyDescent="0.6">
      <c r="A100" s="517"/>
      <c r="B100" s="492"/>
      <c r="C100" s="492"/>
      <c r="D100" s="440" t="s">
        <v>1176</v>
      </c>
      <c r="E100" s="440"/>
      <c r="F100" s="1105">
        <v>5605600000</v>
      </c>
      <c r="G100" s="520"/>
      <c r="H100" s="493">
        <v>0</v>
      </c>
      <c r="J100" s="374">
        <v>3212</v>
      </c>
    </row>
    <row r="101" spans="1:10" ht="18.75" customHeight="1" x14ac:dyDescent="0.6">
      <c r="A101" s="517"/>
      <c r="B101" s="440"/>
      <c r="C101" s="440"/>
      <c r="D101" s="440" t="s">
        <v>676</v>
      </c>
      <c r="E101" s="440"/>
      <c r="F101" s="1105">
        <v>5271500000</v>
      </c>
      <c r="G101" s="520"/>
      <c r="H101" s="493">
        <v>0</v>
      </c>
      <c r="J101" s="374">
        <v>3212</v>
      </c>
    </row>
    <row r="102" spans="1:10" ht="18.75" customHeight="1" x14ac:dyDescent="0.6">
      <c r="A102" s="517"/>
      <c r="B102" s="440"/>
      <c r="C102" s="440"/>
      <c r="D102" s="440" t="s">
        <v>989</v>
      </c>
      <c r="E102" s="440"/>
      <c r="F102" s="1105">
        <v>4563773969</v>
      </c>
      <c r="G102" s="520"/>
      <c r="H102" s="493">
        <v>4569228969</v>
      </c>
      <c r="J102" s="374">
        <v>3212</v>
      </c>
    </row>
    <row r="103" spans="1:10" ht="18.75" customHeight="1" x14ac:dyDescent="0.6">
      <c r="A103" s="517"/>
      <c r="B103" s="440"/>
      <c r="C103" s="440"/>
      <c r="D103" s="440" t="s">
        <v>990</v>
      </c>
      <c r="E103" s="440"/>
      <c r="F103" s="1105">
        <v>4484914000</v>
      </c>
      <c r="G103" s="520"/>
      <c r="H103" s="493">
        <v>3382185000</v>
      </c>
      <c r="J103" s="374">
        <v>3212</v>
      </c>
    </row>
    <row r="104" spans="1:10" ht="18.75" customHeight="1" x14ac:dyDescent="0.6">
      <c r="A104" s="517"/>
      <c r="B104" s="440"/>
      <c r="C104" s="440"/>
      <c r="D104" s="440" t="s">
        <v>894</v>
      </c>
      <c r="E104" s="440"/>
      <c r="F104" s="1105">
        <v>4299200000</v>
      </c>
      <c r="G104" s="520"/>
      <c r="H104" s="493">
        <v>4299200000</v>
      </c>
      <c r="J104" s="374">
        <v>3212</v>
      </c>
    </row>
    <row r="105" spans="1:10" ht="18.75" customHeight="1" x14ac:dyDescent="0.6">
      <c r="A105" s="517"/>
      <c r="B105" s="440"/>
      <c r="C105" s="440"/>
      <c r="D105" s="440" t="s">
        <v>1178</v>
      </c>
      <c r="E105" s="440"/>
      <c r="F105" s="1105">
        <v>3514500000</v>
      </c>
      <c r="G105" s="520"/>
      <c r="H105" s="493">
        <v>0</v>
      </c>
      <c r="J105" s="374">
        <v>3212</v>
      </c>
    </row>
    <row r="106" spans="1:10" ht="18.75" customHeight="1" x14ac:dyDescent="0.6">
      <c r="A106" s="517"/>
      <c r="B106" s="440"/>
      <c r="C106" s="440"/>
      <c r="D106" s="440" t="s">
        <v>1179</v>
      </c>
      <c r="E106" s="440"/>
      <c r="F106" s="1105">
        <v>2875000000</v>
      </c>
      <c r="G106" s="520"/>
      <c r="H106" s="493">
        <v>0</v>
      </c>
      <c r="J106" s="374">
        <v>3212</v>
      </c>
    </row>
    <row r="107" spans="1:10" ht="18.75" customHeight="1" x14ac:dyDescent="0.6">
      <c r="A107" s="517"/>
      <c r="B107" s="440"/>
      <c r="C107" s="440"/>
      <c r="D107" s="440" t="s">
        <v>893</v>
      </c>
      <c r="E107" s="440"/>
      <c r="F107" s="1105">
        <v>2394700000</v>
      </c>
      <c r="G107" s="520"/>
      <c r="H107" s="493">
        <v>1556520000</v>
      </c>
      <c r="J107" s="374">
        <v>3212</v>
      </c>
    </row>
    <row r="108" spans="1:10" ht="21" customHeight="1" x14ac:dyDescent="0.6">
      <c r="A108" s="517"/>
      <c r="B108" s="1338"/>
      <c r="C108" s="1338"/>
      <c r="D108" s="1338" t="s">
        <v>1180</v>
      </c>
      <c r="E108" s="440"/>
      <c r="F108" s="1105">
        <v>2160000000</v>
      </c>
      <c r="G108" s="1102"/>
      <c r="H108" s="493"/>
      <c r="J108" s="374">
        <v>3212</v>
      </c>
    </row>
    <row r="109" spans="1:10" ht="18.75" customHeight="1" x14ac:dyDescent="0.6">
      <c r="A109" s="517"/>
      <c r="B109" s="440"/>
      <c r="C109" s="440"/>
      <c r="D109" s="440" t="s">
        <v>993</v>
      </c>
      <c r="E109" s="440"/>
      <c r="F109" s="1105">
        <v>1403200000</v>
      </c>
      <c r="G109" s="520"/>
      <c r="H109" s="493">
        <v>1896290000</v>
      </c>
      <c r="J109" s="374">
        <v>3212</v>
      </c>
    </row>
    <row r="110" spans="1:10" ht="18.75" customHeight="1" x14ac:dyDescent="0.6">
      <c r="A110" s="517"/>
      <c r="B110" s="492"/>
      <c r="C110" s="492"/>
      <c r="D110" s="440" t="s">
        <v>507</v>
      </c>
      <c r="E110" s="440"/>
      <c r="F110" s="1105">
        <v>1333212500</v>
      </c>
      <c r="G110" s="520"/>
      <c r="H110" s="493">
        <v>1596032500</v>
      </c>
      <c r="J110" s="374">
        <v>3212</v>
      </c>
    </row>
    <row r="111" spans="1:10" ht="18.75" customHeight="1" x14ac:dyDescent="0.6">
      <c r="A111" s="517"/>
      <c r="B111" s="440"/>
      <c r="C111" s="440"/>
      <c r="D111" s="440" t="s">
        <v>675</v>
      </c>
      <c r="E111" s="440"/>
      <c r="F111" s="1105">
        <v>1249699000</v>
      </c>
      <c r="G111" s="520"/>
      <c r="H111" s="493">
        <v>1249699000</v>
      </c>
      <c r="J111" s="374">
        <v>3212</v>
      </c>
    </row>
    <row r="112" spans="1:10" ht="18.75" customHeight="1" x14ac:dyDescent="0.6">
      <c r="A112" s="517"/>
      <c r="B112" s="492"/>
      <c r="C112" s="492"/>
      <c r="D112" s="440" t="s">
        <v>377</v>
      </c>
      <c r="E112" s="440"/>
      <c r="F112" s="1105">
        <v>390426152</v>
      </c>
      <c r="G112" s="520"/>
      <c r="H112" s="493">
        <v>390426152</v>
      </c>
      <c r="J112" s="374">
        <v>3212</v>
      </c>
    </row>
    <row r="113" spans="1:13" ht="18.75" customHeight="1" x14ac:dyDescent="0.6">
      <c r="A113" s="517"/>
      <c r="B113" s="440"/>
      <c r="C113" s="440"/>
      <c r="D113" s="440" t="s">
        <v>499</v>
      </c>
      <c r="E113" s="440"/>
      <c r="F113" s="1105">
        <v>256349260</v>
      </c>
      <c r="G113" s="520"/>
      <c r="H113" s="493">
        <v>536144260</v>
      </c>
      <c r="J113" s="374">
        <v>3212</v>
      </c>
    </row>
    <row r="114" spans="1:13" ht="18.75" customHeight="1" x14ac:dyDescent="0.6">
      <c r="A114" s="517"/>
      <c r="B114" s="492"/>
      <c r="C114" s="492"/>
      <c r="D114" s="440" t="s">
        <v>376</v>
      </c>
      <c r="E114" s="440"/>
      <c r="F114" s="1105">
        <v>5355603</v>
      </c>
      <c r="G114" s="520"/>
      <c r="H114" s="493">
        <v>5355603</v>
      </c>
      <c r="J114" s="374">
        <v>3212</v>
      </c>
    </row>
    <row r="115" spans="1:13" ht="18.75" customHeight="1" x14ac:dyDescent="0.6">
      <c r="A115" s="517"/>
      <c r="B115" s="440"/>
      <c r="C115" s="440"/>
      <c r="D115" s="440" t="s">
        <v>991</v>
      </c>
      <c r="E115" s="440"/>
      <c r="F115" s="1105">
        <v>0</v>
      </c>
      <c r="G115" s="520"/>
      <c r="H115" s="493">
        <v>3008553200</v>
      </c>
    </row>
    <row r="116" spans="1:13" ht="18.75" customHeight="1" x14ac:dyDescent="0.6">
      <c r="A116" s="517"/>
      <c r="B116" s="440"/>
      <c r="C116" s="440"/>
      <c r="D116" s="440" t="s">
        <v>992</v>
      </c>
      <c r="E116" s="440"/>
      <c r="F116" s="1105">
        <v>0</v>
      </c>
      <c r="G116" s="520"/>
      <c r="H116" s="493">
        <v>1968000000</v>
      </c>
    </row>
    <row r="117" spans="1:13" ht="20.25" customHeight="1" x14ac:dyDescent="0.6">
      <c r="A117" s="517"/>
      <c r="B117" s="440"/>
      <c r="C117" s="440"/>
      <c r="D117" s="440" t="s">
        <v>130</v>
      </c>
      <c r="E117" s="440"/>
      <c r="F117" s="495">
        <v>35874588206</v>
      </c>
      <c r="G117" s="520"/>
      <c r="H117" s="493">
        <v>46066162221</v>
      </c>
    </row>
    <row r="118" spans="1:13" ht="22.5" customHeight="1" thickBot="1" x14ac:dyDescent="0.65">
      <c r="A118" s="517"/>
      <c r="B118" s="440"/>
      <c r="C118" s="440"/>
      <c r="D118" s="440"/>
      <c r="E118" s="440"/>
      <c r="F118" s="1101">
        <f>SUM(F95:F117)</f>
        <v>181961364611</v>
      </c>
      <c r="G118" s="520"/>
      <c r="H118" s="415">
        <f>SUM(H95:H117)</f>
        <v>99887098682</v>
      </c>
      <c r="J118" s="374" t="b">
        <f>F118='22'!G29</f>
        <v>1</v>
      </c>
      <c r="K118" s="374" t="b">
        <f>H118='22'!I29</f>
        <v>1</v>
      </c>
    </row>
    <row r="119" spans="1:13" ht="21.75" customHeight="1" thickTop="1" x14ac:dyDescent="0.6">
      <c r="A119" s="517"/>
      <c r="B119" s="491" t="s">
        <v>1071</v>
      </c>
      <c r="C119" s="440"/>
      <c r="D119" s="1508" t="s">
        <v>1235</v>
      </c>
      <c r="E119" s="1508"/>
      <c r="F119" s="1508"/>
      <c r="G119" s="520"/>
      <c r="H119" s="520"/>
    </row>
    <row r="120" spans="1:13" ht="21" customHeight="1" x14ac:dyDescent="0.6">
      <c r="A120" s="517"/>
      <c r="B120" s="440"/>
      <c r="C120" s="440"/>
      <c r="D120" s="440"/>
      <c r="E120" s="440"/>
      <c r="F120" s="185">
        <v>1403</v>
      </c>
      <c r="G120" s="186"/>
      <c r="H120" s="185">
        <v>1402</v>
      </c>
    </row>
    <row r="121" spans="1:13" ht="21" customHeight="1" x14ac:dyDescent="0.6">
      <c r="A121" s="517"/>
      <c r="B121" s="440"/>
      <c r="C121" s="440"/>
      <c r="D121" s="440"/>
      <c r="E121" s="440"/>
      <c r="F121" s="186" t="s">
        <v>494</v>
      </c>
      <c r="G121" s="520"/>
      <c r="H121" s="186" t="s">
        <v>494</v>
      </c>
    </row>
    <row r="122" spans="1:13" ht="18.75" customHeight="1" x14ac:dyDescent="0.6">
      <c r="A122" s="517"/>
      <c r="B122" s="440"/>
      <c r="C122" s="440"/>
      <c r="D122" s="440" t="s">
        <v>259</v>
      </c>
      <c r="E122" s="440">
        <v>3230</v>
      </c>
      <c r="F122" s="495">
        <v>494871084672</v>
      </c>
      <c r="G122" s="520"/>
      <c r="H122" s="495">
        <v>183789212687</v>
      </c>
      <c r="K122" s="374">
        <f>M122+F124</f>
        <v>-80397081310</v>
      </c>
      <c r="L122" s="526" t="s">
        <v>293</v>
      </c>
      <c r="M122" s="527">
        <v>-203258605762</v>
      </c>
    </row>
    <row r="123" spans="1:13" ht="18.75" customHeight="1" x14ac:dyDescent="0.6">
      <c r="A123" s="517"/>
      <c r="B123" s="440"/>
      <c r="C123" s="440"/>
      <c r="D123" s="440" t="s">
        <v>258</v>
      </c>
      <c r="E123" s="440">
        <v>3230</v>
      </c>
      <c r="F123" s="495">
        <v>185474463875</v>
      </c>
      <c r="G123" s="520"/>
      <c r="H123" s="495">
        <v>185474463875</v>
      </c>
      <c r="K123" s="374">
        <f>M123+F123</f>
        <v>-16736825459</v>
      </c>
      <c r="L123" s="528" t="s">
        <v>295</v>
      </c>
      <c r="M123" s="527">
        <v>-202211289334</v>
      </c>
    </row>
    <row r="124" spans="1:13" ht="18.75" customHeight="1" x14ac:dyDescent="0.6">
      <c r="A124" s="517"/>
      <c r="B124" s="440"/>
      <c r="C124" s="440"/>
      <c r="D124" s="1682" t="s">
        <v>1333</v>
      </c>
      <c r="E124" s="440" t="s">
        <v>1331</v>
      </c>
      <c r="F124" s="495">
        <v>122861524452</v>
      </c>
      <c r="G124" s="520"/>
      <c r="H124" s="495">
        <v>128979774452</v>
      </c>
    </row>
    <row r="125" spans="1:13" ht="18.75" customHeight="1" x14ac:dyDescent="0.6">
      <c r="A125" s="517"/>
      <c r="B125" s="440"/>
      <c r="C125" s="440"/>
      <c r="D125" s="1682" t="s">
        <v>1334</v>
      </c>
      <c r="E125" s="440" t="s">
        <v>1332</v>
      </c>
      <c r="F125" s="495">
        <v>60116250000</v>
      </c>
      <c r="G125" s="520"/>
      <c r="H125" s="495">
        <f>2192650000+57923600000</f>
        <v>60116250000</v>
      </c>
      <c r="K125" s="374">
        <f>M125+F122</f>
        <v>292834155198</v>
      </c>
      <c r="L125" s="528" t="s">
        <v>294</v>
      </c>
      <c r="M125" s="527">
        <v>-202036929474</v>
      </c>
    </row>
    <row r="126" spans="1:13" ht="18.75" customHeight="1" x14ac:dyDescent="0.6">
      <c r="A126" s="517"/>
      <c r="B126" s="440"/>
      <c r="C126" s="440"/>
      <c r="D126" s="1682" t="s">
        <v>1335</v>
      </c>
      <c r="E126" s="440"/>
      <c r="F126" s="495">
        <v>168854189</v>
      </c>
      <c r="G126" s="520"/>
      <c r="H126" s="495">
        <v>168854189</v>
      </c>
      <c r="K126" s="374">
        <f>M126+F125</f>
        <v>-72422804937</v>
      </c>
      <c r="L126" s="529" t="s">
        <v>296</v>
      </c>
      <c r="M126" s="527">
        <v>-132539054937</v>
      </c>
    </row>
    <row r="127" spans="1:13" ht="24" hidden="1" x14ac:dyDescent="0.6">
      <c r="A127" s="517"/>
      <c r="B127" s="440"/>
      <c r="C127" s="440"/>
      <c r="D127" s="440" t="s">
        <v>557</v>
      </c>
      <c r="E127" s="440"/>
      <c r="G127" s="520"/>
      <c r="H127" s="520">
        <v>142656545</v>
      </c>
    </row>
    <row r="128" spans="1:13" ht="24" hidden="1" x14ac:dyDescent="0.6">
      <c r="A128" s="517"/>
      <c r="B128" s="440"/>
      <c r="C128" s="440"/>
      <c r="D128" s="440" t="s">
        <v>561</v>
      </c>
      <c r="E128" s="440"/>
      <c r="G128" s="520"/>
      <c r="H128" s="520">
        <v>26197644</v>
      </c>
    </row>
    <row r="129" spans="1:17" ht="21.75" customHeight="1" thickBot="1" x14ac:dyDescent="0.65">
      <c r="A129" s="517"/>
      <c r="B129" s="440"/>
      <c r="C129" s="440"/>
      <c r="D129" s="440"/>
      <c r="E129" s="440"/>
      <c r="F129" s="415">
        <f>SUM(F122:F126)</f>
        <v>863492177188</v>
      </c>
      <c r="G129" s="520"/>
      <c r="H129" s="415">
        <f>SUM(H122:H126)</f>
        <v>558528555203</v>
      </c>
      <c r="K129" s="374">
        <v>168854189</v>
      </c>
      <c r="Q129" s="374" t="e">
        <f>H129-#REF!</f>
        <v>#REF!</v>
      </c>
    </row>
    <row r="130" spans="1:17" ht="21.75" customHeight="1" thickTop="1" x14ac:dyDescent="0.55000000000000004">
      <c r="A130" s="517"/>
      <c r="B130" s="518"/>
      <c r="C130" s="518"/>
      <c r="D130" s="518"/>
      <c r="E130" s="518"/>
      <c r="F130" s="519"/>
      <c r="G130" s="519"/>
      <c r="H130" s="519"/>
      <c r="K130" s="374">
        <f>K129+K126+K123+K125+K122</f>
        <v>123446297681</v>
      </c>
      <c r="Q130" s="374">
        <v>966305574</v>
      </c>
    </row>
    <row r="131" spans="1:17" ht="19.5" customHeight="1" x14ac:dyDescent="0.25">
      <c r="B131" s="1563" t="s">
        <v>1310</v>
      </c>
      <c r="C131" s="1564"/>
      <c r="D131" s="1564"/>
      <c r="E131" s="1564"/>
      <c r="F131" s="1564"/>
      <c r="G131" s="1564"/>
      <c r="H131" s="1564"/>
      <c r="Q131" s="374" t="e">
        <f>Q129-Q130</f>
        <v>#REF!</v>
      </c>
    </row>
    <row r="132" spans="1:17" ht="11.25" customHeight="1" x14ac:dyDescent="0.25">
      <c r="B132" s="1012"/>
      <c r="C132" s="1012"/>
      <c r="D132" s="1012"/>
      <c r="E132" s="1012"/>
      <c r="F132" s="1012"/>
      <c r="G132" s="1012"/>
      <c r="H132" s="1012"/>
    </row>
    <row r="133" spans="1:17" ht="96.75" customHeight="1" x14ac:dyDescent="0.25">
      <c r="A133" s="1469" t="s">
        <v>778</v>
      </c>
      <c r="B133" s="1469"/>
      <c r="C133" s="1469"/>
      <c r="D133" s="1469"/>
      <c r="E133" s="1469"/>
      <c r="F133" s="1469"/>
      <c r="G133" s="1469"/>
      <c r="H133" s="1469"/>
      <c r="K133" s="374" t="b">
        <f>F129='22'!G30</f>
        <v>1</v>
      </c>
      <c r="L133" s="374" t="b">
        <f>H129='22'!I30</f>
        <v>1</v>
      </c>
    </row>
  </sheetData>
  <customSheetViews>
    <customSheetView guid="{39716EAB-185B-4ADF-90CF-1B1041867F58}" scale="95" showPageBreaks="1" printArea="1" hiddenRows="1" view="pageBreakPreview" topLeftCell="A108">
      <selection activeCell="F111" sqref="F111"/>
      <rowBreaks count="1" manualBreakCount="1">
        <brk id="384" max="7" man="1"/>
      </rowBreaks>
      <pageMargins left="0.39370078740157483" right="0.39370078740157483" top="0.39370078740157483" bottom="0.39370078740157483" header="0.31496062992125984" footer="0.31496062992125984"/>
      <printOptions horizontalCentered="1"/>
      <pageSetup paperSize="9" scale="57" orientation="portrait" r:id="rId1"/>
    </customSheetView>
    <customSheetView guid="{5CB8382F-C212-4512-9396-17792C62978E}" scale="95" showPageBreaks="1" printArea="1" hiddenRows="1" view="pageBreakPreview" topLeftCell="A108">
      <selection activeCell="F111" sqref="F111"/>
      <rowBreaks count="1" manualBreakCount="1">
        <brk id="384" max="7" man="1"/>
      </rowBreaks>
      <pageMargins left="0.39370078740157483" right="0.39370078740157483" top="0.39370078740157483" bottom="0.39370078740157483" header="0.31496062992125984" footer="0.31496062992125984"/>
      <printOptions horizontalCentered="1"/>
      <pageSetup paperSize="9" scale="57" orientation="portrait" r:id="rId2"/>
    </customSheetView>
    <customSheetView guid="{184BCED3-EADB-44CF-BFDA-DA8D3E7206C0}" scale="95" showPageBreaks="1" printArea="1" hiddenRows="1" view="pageBreakPreview" topLeftCell="A10">
      <selection activeCell="F12" sqref="F12"/>
      <rowBreaks count="1" manualBreakCount="1">
        <brk id="383" max="7" man="1"/>
      </rowBreaks>
      <pageMargins left="0.39370078740157483" right="0.39370078740157483" top="0.39370078740157483" bottom="0.39370078740157483" header="0.31496062992125984" footer="0.31496062992125984"/>
      <printOptions horizontalCentered="1"/>
      <pageSetup paperSize="9" scale="57" orientation="portrait" r:id="rId3"/>
    </customSheetView>
  </customSheetViews>
  <mergeCells count="9">
    <mergeCell ref="A133:H133"/>
    <mergeCell ref="A1:I1"/>
    <mergeCell ref="A2:I2"/>
    <mergeCell ref="A3:I3"/>
    <mergeCell ref="D92:F92"/>
    <mergeCell ref="D119:F119"/>
    <mergeCell ref="D5:F5"/>
    <mergeCell ref="D84:F84"/>
    <mergeCell ref="B131:H131"/>
  </mergeCells>
  <conditionalFormatting sqref="D9 D13:D19">
    <cfRule type="duplicateValues" dxfId="16" priority="361"/>
  </conditionalFormatting>
  <conditionalFormatting sqref="D10:D11 D8">
    <cfRule type="duplicateValues" dxfId="15" priority="1"/>
  </conditionalFormatting>
  <conditionalFormatting sqref="D133:D1048576 B131:B132 D1:D7 D12 D20:D97 D99:D130">
    <cfRule type="duplicateValues" dxfId="14" priority="12"/>
  </conditionalFormatting>
  <conditionalFormatting sqref="F82">
    <cfRule type="cellIs" dxfId="13" priority="10" stopIfTrue="1" operator="lessThan">
      <formula>0</formula>
    </cfRule>
  </conditionalFormatting>
  <conditionalFormatting sqref="F118">
    <cfRule type="cellIs" dxfId="12" priority="5" stopIfTrue="1" operator="lessThan">
      <formula>0</formula>
    </cfRule>
  </conditionalFormatting>
  <conditionalFormatting sqref="F129">
    <cfRule type="cellIs" dxfId="11" priority="3" stopIfTrue="1" operator="lessThan">
      <formula>0</formula>
    </cfRule>
  </conditionalFormatting>
  <conditionalFormatting sqref="H82">
    <cfRule type="cellIs" dxfId="10" priority="11" stopIfTrue="1" operator="lessThan">
      <formula>0</formula>
    </cfRule>
  </conditionalFormatting>
  <conditionalFormatting sqref="H90">
    <cfRule type="cellIs" dxfId="9" priority="9" stopIfTrue="1" operator="lessThan">
      <formula>0</formula>
    </cfRule>
  </conditionalFormatting>
  <conditionalFormatting sqref="H118">
    <cfRule type="cellIs" dxfId="8" priority="6" stopIfTrue="1" operator="lessThan">
      <formula>0</formula>
    </cfRule>
  </conditionalFormatting>
  <conditionalFormatting sqref="H129">
    <cfRule type="cellIs" dxfId="7" priority="4" stopIfTrue="1" operator="lessThan">
      <formula>0</formula>
    </cfRule>
  </conditionalFormatting>
  <hyperlinks>
    <hyperlink ref="A1:XFD3" r:id="rId4" display="http://modiriatmali.com/" xr:uid="{00000000-0004-0000-2000-000000000000}"/>
  </hyperlinks>
  <printOptions horizontalCentered="1"/>
  <pageMargins left="0.39370078740157499" right="0.39370078740157499" top="0.39370078740157499" bottom="0.39370078740157499" header="0.31496062992126" footer="0.31496062992126"/>
  <pageSetup paperSize="9" scale="60" orientation="portrait" r:id="rId5"/>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sheetPr>
  <dimension ref="A1:V372"/>
  <sheetViews>
    <sheetView rightToLeft="1" view="pageBreakPreview" topLeftCell="B19" zoomScale="70" zoomScaleSheetLayoutView="70" workbookViewId="0">
      <selection activeCell="M12" sqref="M12"/>
    </sheetView>
  </sheetViews>
  <sheetFormatPr defaultColWidth="9" defaultRowHeight="27.75" x14ac:dyDescent="0.25"/>
  <cols>
    <col min="1" max="1" width="8" style="113" bestFit="1" customWidth="1"/>
    <col min="2" max="2" width="1.28515625" style="114" customWidth="1"/>
    <col min="3" max="3" width="9.85546875" style="114" bestFit="1" customWidth="1"/>
    <col min="4" max="4" width="1.140625" style="114" customWidth="1"/>
    <col min="5" max="5" width="33" style="114" bestFit="1" customWidth="1"/>
    <col min="6" max="6" width="1.140625" style="114" customWidth="1"/>
    <col min="7" max="7" width="48.28515625" style="114" bestFit="1" customWidth="1"/>
    <col min="8" max="8" width="1.140625" style="114" customWidth="1"/>
    <col min="9" max="9" width="25.42578125" style="114" customWidth="1"/>
    <col min="10" max="10" width="1.140625" style="114" customWidth="1"/>
    <col min="11" max="11" width="27" style="114" customWidth="1"/>
    <col min="12" max="12" width="1.140625" style="114" customWidth="1"/>
    <col min="13" max="13" width="24" style="114" bestFit="1" customWidth="1"/>
    <col min="14" max="14" width="1.140625" style="114" customWidth="1"/>
    <col min="15" max="15" width="28.42578125" style="114" customWidth="1"/>
    <col min="16" max="16" width="1.140625" style="114" customWidth="1"/>
    <col min="17" max="17" width="27.140625" style="114" customWidth="1"/>
    <col min="18" max="18" width="1.140625" style="114" customWidth="1"/>
    <col min="19" max="19" width="33" style="114" bestFit="1" customWidth="1"/>
    <col min="20" max="20" width="1" style="114" customWidth="1"/>
    <col min="21" max="21" width="21.140625" style="114" bestFit="1" customWidth="1"/>
    <col min="22" max="22" width="30.42578125" style="114" bestFit="1" customWidth="1"/>
    <col min="23" max="16384" width="9" style="114"/>
  </cols>
  <sheetData>
    <row r="1" spans="1:21" s="112" customFormat="1" x14ac:dyDescent="0.65">
      <c r="A1" s="1571" t="s">
        <v>247</v>
      </c>
      <c r="B1" s="1571"/>
      <c r="C1" s="1571"/>
      <c r="D1" s="1571"/>
      <c r="E1" s="1571"/>
      <c r="F1" s="1571"/>
      <c r="G1" s="1571"/>
      <c r="H1" s="1571"/>
      <c r="I1" s="1571"/>
      <c r="J1" s="1571"/>
      <c r="K1" s="1571"/>
      <c r="L1" s="1571"/>
      <c r="M1" s="1571"/>
      <c r="N1" s="1571"/>
      <c r="O1" s="1571"/>
      <c r="P1" s="1571"/>
      <c r="Q1" s="1571"/>
      <c r="R1" s="1571"/>
      <c r="S1" s="1571"/>
      <c r="T1" s="1571"/>
      <c r="U1" s="1571"/>
    </row>
    <row r="2" spans="1:21" s="112" customFormat="1" x14ac:dyDescent="0.65">
      <c r="A2" s="1572" t="str">
        <f>'22-4'!A2:I2</f>
        <v>يادداشتهاي توضيحي صورتهاي مالي</v>
      </c>
      <c r="B2" s="1572"/>
      <c r="C2" s="1572"/>
      <c r="D2" s="1572"/>
      <c r="E2" s="1572"/>
      <c r="F2" s="1572"/>
      <c r="G2" s="1572"/>
      <c r="H2" s="1572"/>
      <c r="I2" s="1572"/>
      <c r="J2" s="1572"/>
      <c r="K2" s="1572"/>
      <c r="L2" s="1572"/>
      <c r="M2" s="1572"/>
      <c r="N2" s="1572"/>
      <c r="O2" s="1572"/>
      <c r="P2" s="1572"/>
      <c r="Q2" s="1572"/>
      <c r="R2" s="1572"/>
      <c r="S2" s="1572"/>
      <c r="T2" s="1572"/>
      <c r="U2" s="1572"/>
    </row>
    <row r="3" spans="1:21" s="112" customFormat="1" x14ac:dyDescent="0.65">
      <c r="A3" s="1571" t="str">
        <f>سودوزيان!A3</f>
        <v>سال مالی منتهی به 30 اسفند 1403</v>
      </c>
      <c r="B3" s="1571"/>
      <c r="C3" s="1571"/>
      <c r="D3" s="1571"/>
      <c r="E3" s="1571"/>
      <c r="F3" s="1571"/>
      <c r="G3" s="1571"/>
      <c r="H3" s="1571"/>
      <c r="I3" s="1571"/>
      <c r="J3" s="1571"/>
      <c r="K3" s="1571"/>
      <c r="L3" s="1571"/>
      <c r="M3" s="1571"/>
      <c r="N3" s="1571"/>
      <c r="O3" s="1571"/>
      <c r="P3" s="1571"/>
      <c r="Q3" s="1571"/>
      <c r="R3" s="1571"/>
      <c r="S3" s="1571"/>
      <c r="T3" s="1571"/>
      <c r="U3" s="1571"/>
    </row>
    <row r="4" spans="1:21" x14ac:dyDescent="0.25">
      <c r="P4" s="115"/>
      <c r="Q4" s="115"/>
      <c r="R4" s="115"/>
      <c r="S4" s="115"/>
      <c r="T4" s="115"/>
    </row>
    <row r="5" spans="1:21" ht="30" x14ac:dyDescent="0.25">
      <c r="A5" s="76">
        <f>'وضعيت مالي'!D32</f>
        <v>23</v>
      </c>
      <c r="B5" s="116" t="s">
        <v>21</v>
      </c>
      <c r="C5" s="116"/>
      <c r="I5" s="1575"/>
      <c r="J5" s="1575"/>
      <c r="K5" s="1575"/>
      <c r="L5" s="1575"/>
      <c r="M5" s="1575"/>
      <c r="N5" s="1575"/>
      <c r="O5" s="1575"/>
      <c r="P5" s="1575"/>
      <c r="Q5" s="1575"/>
      <c r="R5" s="1575"/>
      <c r="S5" s="1575"/>
      <c r="T5" s="117"/>
    </row>
    <row r="6" spans="1:21" ht="30" x14ac:dyDescent="0.65">
      <c r="A6" s="76"/>
      <c r="B6" s="116"/>
      <c r="C6" s="118" t="s">
        <v>488</v>
      </c>
      <c r="E6" s="1578" t="s">
        <v>759</v>
      </c>
      <c r="F6" s="1578"/>
      <c r="G6" s="1578"/>
      <c r="H6" s="1578"/>
      <c r="I6" s="1578"/>
      <c r="J6" s="1578"/>
      <c r="K6" s="1578"/>
      <c r="L6" s="1578"/>
      <c r="M6" s="1578"/>
      <c r="N6" s="1578"/>
      <c r="O6" s="1578"/>
      <c r="P6" s="1578"/>
      <c r="Q6" s="1578"/>
      <c r="R6" s="1578"/>
      <c r="S6" s="1578"/>
      <c r="T6" s="1578"/>
      <c r="U6" s="1578"/>
    </row>
    <row r="7" spans="1:21" ht="30" x14ac:dyDescent="0.25">
      <c r="A7" s="76"/>
      <c r="B7" s="116"/>
      <c r="C7" s="116"/>
      <c r="I7" s="107">
        <v>1400</v>
      </c>
      <c r="J7" s="77"/>
      <c r="K7" s="107">
        <v>1399</v>
      </c>
      <c r="L7" s="117"/>
      <c r="M7" s="117"/>
      <c r="N7" s="117"/>
      <c r="O7" s="117"/>
      <c r="P7" s="117"/>
      <c r="Q7" s="117"/>
      <c r="R7" s="117"/>
      <c r="S7" s="117"/>
      <c r="T7" s="117"/>
    </row>
    <row r="8" spans="1:21" ht="30" x14ac:dyDescent="0.25">
      <c r="A8" s="76"/>
      <c r="B8" s="116"/>
      <c r="C8" s="116"/>
      <c r="E8" s="1566"/>
      <c r="F8" s="1566"/>
      <c r="G8" s="1566"/>
      <c r="I8" s="106" t="s">
        <v>494</v>
      </c>
      <c r="J8" s="76"/>
      <c r="K8" s="106" t="s">
        <v>494</v>
      </c>
      <c r="L8" s="117"/>
      <c r="M8" s="117"/>
      <c r="N8" s="117"/>
      <c r="O8" s="117"/>
      <c r="P8" s="117"/>
      <c r="Q8" s="117"/>
      <c r="R8" s="117"/>
      <c r="S8" s="117"/>
      <c r="T8" s="117"/>
    </row>
    <row r="9" spans="1:21" ht="30" x14ac:dyDescent="0.25">
      <c r="A9" s="76"/>
      <c r="B9" s="116"/>
      <c r="C9" s="116"/>
      <c r="E9" s="1566" t="s">
        <v>760</v>
      </c>
      <c r="F9" s="1566"/>
      <c r="G9" s="1566"/>
      <c r="I9" s="102">
        <f>K13</f>
        <v>156150589217</v>
      </c>
      <c r="J9" s="117"/>
      <c r="K9" s="102">
        <f>S23</f>
        <v>36727273958</v>
      </c>
      <c r="L9" s="117"/>
      <c r="M9" s="117"/>
      <c r="N9" s="117"/>
      <c r="O9" s="117"/>
      <c r="P9" s="117"/>
      <c r="Q9" s="117"/>
      <c r="R9" s="117"/>
      <c r="S9" s="117"/>
      <c r="T9" s="117"/>
    </row>
    <row r="10" spans="1:21" ht="30" x14ac:dyDescent="0.25">
      <c r="A10" s="76"/>
      <c r="B10" s="116"/>
      <c r="C10" s="116"/>
      <c r="E10" s="1566" t="s">
        <v>761</v>
      </c>
      <c r="F10" s="1566"/>
      <c r="G10" s="1566"/>
      <c r="I10" s="102">
        <f>Q25</f>
        <v>237124296546.4707</v>
      </c>
      <c r="J10" s="117"/>
      <c r="K10" s="102">
        <f>O24</f>
        <v>45049062486</v>
      </c>
      <c r="L10" s="117"/>
      <c r="M10" s="117"/>
      <c r="N10" s="117"/>
      <c r="O10" s="102"/>
      <c r="P10" s="117"/>
      <c r="Q10" s="102"/>
      <c r="R10" s="117"/>
      <c r="S10" s="117"/>
      <c r="T10" s="117"/>
    </row>
    <row r="11" spans="1:21" ht="30" x14ac:dyDescent="0.25">
      <c r="A11" s="76"/>
      <c r="B11" s="116"/>
      <c r="C11" s="116"/>
      <c r="E11" s="1566" t="s">
        <v>762</v>
      </c>
      <c r="F11" s="1566"/>
      <c r="G11" s="1566"/>
      <c r="J11" s="117"/>
      <c r="K11" s="102">
        <f>M24-O24</f>
        <v>74374252773</v>
      </c>
      <c r="L11" s="117"/>
      <c r="M11" s="117"/>
      <c r="N11" s="117"/>
      <c r="O11" s="117"/>
      <c r="P11" s="117"/>
      <c r="Q11" s="117"/>
      <c r="R11" s="117"/>
      <c r="S11" s="117"/>
      <c r="T11" s="117"/>
    </row>
    <row r="12" spans="1:21" ht="30" x14ac:dyDescent="0.25">
      <c r="A12" s="76"/>
      <c r="B12" s="116"/>
      <c r="C12" s="116"/>
      <c r="E12" s="1566" t="s">
        <v>763</v>
      </c>
      <c r="F12" s="1566"/>
      <c r="G12" s="1566"/>
      <c r="I12" s="102">
        <f>O24*-1+S23*-1</f>
        <v>-81776336444</v>
      </c>
      <c r="J12" s="117"/>
      <c r="K12" s="119">
        <v>0</v>
      </c>
      <c r="L12" s="117"/>
      <c r="M12" s="117"/>
      <c r="N12" s="117"/>
      <c r="O12" s="117"/>
      <c r="P12" s="117"/>
      <c r="Q12" s="117"/>
      <c r="R12" s="117"/>
      <c r="S12" s="117"/>
      <c r="T12" s="117"/>
    </row>
    <row r="13" spans="1:21" ht="30" x14ac:dyDescent="0.25">
      <c r="A13" s="76"/>
      <c r="B13" s="116"/>
      <c r="C13" s="116"/>
      <c r="E13" s="1566"/>
      <c r="F13" s="1566"/>
      <c r="G13" s="1566"/>
      <c r="I13" s="120">
        <f>SUM(I9:I12)</f>
        <v>311498549319.4707</v>
      </c>
      <c r="J13" s="117"/>
      <c r="K13" s="102">
        <f>SUM(K9:K12)</f>
        <v>156150589217</v>
      </c>
      <c r="L13" s="117"/>
      <c r="M13" s="117"/>
      <c r="N13" s="117"/>
      <c r="O13" s="117"/>
      <c r="P13" s="117"/>
      <c r="Q13" s="117"/>
      <c r="R13" s="117"/>
      <c r="S13" s="117"/>
      <c r="T13" s="117"/>
    </row>
    <row r="14" spans="1:21" ht="30.75" thickBot="1" x14ac:dyDescent="0.3">
      <c r="A14" s="76"/>
      <c r="B14" s="116"/>
      <c r="C14" s="116"/>
      <c r="E14" s="1566"/>
      <c r="F14" s="1566"/>
      <c r="G14" s="1566"/>
      <c r="I14" s="121">
        <f>SUM(I13:I13)</f>
        <v>311498549319.4707</v>
      </c>
      <c r="J14" s="117"/>
      <c r="K14" s="121">
        <f>SUM(K13:K13)</f>
        <v>156150589217</v>
      </c>
      <c r="L14" s="117"/>
      <c r="M14" s="102"/>
      <c r="N14" s="117"/>
      <c r="O14" s="102"/>
      <c r="P14" s="117"/>
      <c r="Q14" s="117"/>
      <c r="R14" s="117"/>
      <c r="S14" s="117"/>
      <c r="T14" s="117"/>
    </row>
    <row r="15" spans="1:21" ht="30.75" thickTop="1" x14ac:dyDescent="0.25">
      <c r="A15" s="76"/>
      <c r="B15" s="116"/>
      <c r="C15" s="116"/>
      <c r="E15" s="122"/>
      <c r="F15" s="122"/>
      <c r="G15" s="122"/>
      <c r="I15" s="102"/>
      <c r="J15" s="117"/>
      <c r="K15" s="102"/>
      <c r="L15" s="117"/>
      <c r="M15" s="102"/>
      <c r="N15" s="117"/>
      <c r="O15" s="102"/>
      <c r="P15" s="117"/>
      <c r="Q15" s="117"/>
      <c r="R15" s="117"/>
      <c r="S15" s="117"/>
      <c r="T15" s="117"/>
    </row>
    <row r="16" spans="1:21" ht="30" x14ac:dyDescent="0.25">
      <c r="A16" s="76"/>
      <c r="B16" s="116"/>
      <c r="C16" s="118" t="s">
        <v>489</v>
      </c>
      <c r="E16" s="1569" t="s">
        <v>765</v>
      </c>
      <c r="F16" s="1569"/>
      <c r="G16" s="1569"/>
      <c r="H16" s="1569"/>
      <c r="I16" s="1569"/>
      <c r="J16" s="1569"/>
      <c r="K16" s="1569"/>
      <c r="L16" s="1569"/>
      <c r="M16" s="1569"/>
      <c r="N16" s="1569"/>
      <c r="O16" s="1569"/>
      <c r="P16" s="1569"/>
      <c r="Q16" s="1569"/>
      <c r="R16" s="1569"/>
      <c r="S16" s="1569"/>
      <c r="T16" s="1569"/>
      <c r="U16" s="1569"/>
    </row>
    <row r="17" spans="1:22" ht="30" x14ac:dyDescent="0.25">
      <c r="B17" s="123"/>
      <c r="I17" s="1573" t="s">
        <v>192</v>
      </c>
      <c r="J17" s="1573"/>
      <c r="K17" s="1573"/>
      <c r="L17" s="1573"/>
      <c r="M17" s="1573"/>
      <c r="N17" s="1573"/>
      <c r="O17" s="1573"/>
      <c r="P17" s="1573"/>
      <c r="Q17" s="1573"/>
      <c r="R17" s="1573"/>
      <c r="S17" s="1573"/>
      <c r="T17" s="117"/>
    </row>
    <row r="18" spans="1:22" ht="30" x14ac:dyDescent="0.25">
      <c r="I18" s="1574">
        <v>1400</v>
      </c>
      <c r="J18" s="1574"/>
      <c r="K18" s="1574"/>
      <c r="L18" s="1574"/>
      <c r="M18" s="1574"/>
      <c r="N18" s="1574"/>
      <c r="O18" s="1574"/>
      <c r="P18" s="1574"/>
      <c r="Q18" s="1574"/>
      <c r="R18" s="124"/>
      <c r="S18" s="125">
        <v>1399</v>
      </c>
      <c r="T18" s="117"/>
    </row>
    <row r="19" spans="1:22" s="127" customFormat="1" ht="60" x14ac:dyDescent="0.25">
      <c r="A19" s="126"/>
      <c r="C19" s="128" t="s">
        <v>191</v>
      </c>
      <c r="D19" s="129"/>
      <c r="E19" s="128" t="s">
        <v>190</v>
      </c>
      <c r="F19" s="129"/>
      <c r="G19" s="128" t="s">
        <v>189</v>
      </c>
      <c r="H19" s="129"/>
      <c r="I19" s="128" t="s">
        <v>188</v>
      </c>
      <c r="J19" s="129"/>
      <c r="K19" s="128" t="s">
        <v>187</v>
      </c>
      <c r="L19" s="129"/>
      <c r="M19" s="128" t="s">
        <v>186</v>
      </c>
      <c r="N19" s="129"/>
      <c r="O19" s="128" t="s">
        <v>185</v>
      </c>
      <c r="P19" s="129"/>
      <c r="Q19" s="128" t="s">
        <v>184</v>
      </c>
      <c r="R19" s="129"/>
      <c r="S19" s="128" t="s">
        <v>21</v>
      </c>
      <c r="T19" s="129"/>
      <c r="U19" s="128" t="s">
        <v>458</v>
      </c>
    </row>
    <row r="20" spans="1:22" s="122" customFormat="1" ht="41.25" customHeight="1" x14ac:dyDescent="0.75">
      <c r="A20" s="130"/>
      <c r="C20" s="117">
        <v>1395</v>
      </c>
      <c r="D20" s="102"/>
      <c r="E20" s="131">
        <v>39640995105</v>
      </c>
      <c r="F20" s="102"/>
      <c r="G20" s="132">
        <v>11247355414</v>
      </c>
      <c r="H20" s="103"/>
      <c r="I20" s="132">
        <v>2811838854</v>
      </c>
      <c r="J20" s="103"/>
      <c r="K20" s="132">
        <v>68287887307</v>
      </c>
      <c r="L20" s="103"/>
      <c r="M20" s="132">
        <v>26388157260</v>
      </c>
      <c r="N20" s="103"/>
      <c r="O20" s="132">
        <v>0</v>
      </c>
      <c r="P20" s="103"/>
      <c r="Q20" s="132">
        <v>0</v>
      </c>
      <c r="R20" s="103"/>
      <c r="S20" s="132">
        <v>0</v>
      </c>
      <c r="T20" s="133"/>
      <c r="U20" s="134" t="s">
        <v>186</v>
      </c>
    </row>
    <row r="21" spans="1:22" s="122" customFormat="1" ht="30" x14ac:dyDescent="0.75">
      <c r="A21" s="130"/>
      <c r="C21" s="117">
        <v>1396</v>
      </c>
      <c r="D21" s="102"/>
      <c r="E21" s="131">
        <v>18094500496</v>
      </c>
      <c r="F21" s="102"/>
      <c r="G21" s="132">
        <v>11230279732</v>
      </c>
      <c r="H21" s="103"/>
      <c r="I21" s="132">
        <v>2799147223</v>
      </c>
      <c r="J21" s="103"/>
      <c r="K21" s="132">
        <v>37669252155</v>
      </c>
      <c r="L21" s="103"/>
      <c r="M21" s="132">
        <v>17914097351</v>
      </c>
      <c r="N21" s="103"/>
      <c r="O21" s="132">
        <v>0</v>
      </c>
      <c r="P21" s="103"/>
      <c r="Q21" s="132">
        <v>0</v>
      </c>
      <c r="R21" s="103"/>
      <c r="S21" s="132">
        <v>0</v>
      </c>
      <c r="T21" s="133"/>
      <c r="U21" s="134" t="s">
        <v>186</v>
      </c>
    </row>
    <row r="22" spans="1:22" s="122" customFormat="1" ht="30" x14ac:dyDescent="0.75">
      <c r="A22" s="130"/>
      <c r="C22" s="117">
        <v>1397</v>
      </c>
      <c r="D22" s="102"/>
      <c r="E22" s="131">
        <v>127110268234</v>
      </c>
      <c r="F22" s="102"/>
      <c r="G22" s="132">
        <v>50039681941</v>
      </c>
      <c r="H22" s="103"/>
      <c r="I22" s="132">
        <v>12509920485</v>
      </c>
      <c r="J22" s="103"/>
      <c r="K22" s="132">
        <v>47600815094</v>
      </c>
      <c r="L22" s="103"/>
      <c r="M22" s="132">
        <v>38080652075</v>
      </c>
      <c r="N22" s="103"/>
      <c r="O22" s="132">
        <v>0</v>
      </c>
      <c r="P22" s="103"/>
      <c r="Q22" s="132">
        <v>0</v>
      </c>
      <c r="R22" s="103"/>
      <c r="S22" s="132">
        <v>0</v>
      </c>
      <c r="T22" s="133"/>
      <c r="U22" s="134" t="s">
        <v>186</v>
      </c>
    </row>
    <row r="23" spans="1:22" s="122" customFormat="1" ht="30" x14ac:dyDescent="0.75">
      <c r="A23" s="130"/>
      <c r="C23" s="117">
        <v>1398</v>
      </c>
      <c r="D23" s="102"/>
      <c r="E23" s="102">
        <v>592096390325</v>
      </c>
      <c r="F23" s="102"/>
      <c r="G23" s="103">
        <v>571571391257</v>
      </c>
      <c r="H23" s="103"/>
      <c r="I23" s="103">
        <v>114314278251</v>
      </c>
      <c r="J23" s="103"/>
      <c r="K23" s="103">
        <v>153223778361</v>
      </c>
      <c r="L23" s="103"/>
      <c r="M23" s="103">
        <v>151041552209</v>
      </c>
      <c r="N23" s="103"/>
      <c r="O23" s="103">
        <v>36727273958</v>
      </c>
      <c r="P23" s="103"/>
      <c r="Q23" s="132">
        <v>0</v>
      </c>
      <c r="R23" s="103"/>
      <c r="S23" s="103">
        <v>36727273958</v>
      </c>
      <c r="T23" s="115"/>
      <c r="U23" s="134" t="s">
        <v>186</v>
      </c>
      <c r="V23" s="103"/>
    </row>
    <row r="24" spans="1:22" s="122" customFormat="1" ht="30" x14ac:dyDescent="0.75">
      <c r="A24" s="130"/>
      <c r="C24" s="117">
        <v>1399</v>
      </c>
      <c r="D24" s="102"/>
      <c r="E24" s="102">
        <v>300572875529</v>
      </c>
      <c r="F24" s="102"/>
      <c r="G24" s="103">
        <v>224494431988</v>
      </c>
      <c r="H24" s="103"/>
      <c r="I24" s="103">
        <v>45049062486</v>
      </c>
      <c r="J24" s="103"/>
      <c r="K24" s="103">
        <v>140866339594</v>
      </c>
      <c r="L24" s="103"/>
      <c r="M24" s="103">
        <f>74374252773+45049062486</f>
        <v>119423315259</v>
      </c>
      <c r="N24" s="103"/>
      <c r="O24" s="132">
        <v>45049062486</v>
      </c>
      <c r="P24" s="103"/>
      <c r="Q24" s="132">
        <f>M24-O24</f>
        <v>74374252773</v>
      </c>
      <c r="R24" s="103"/>
      <c r="S24" s="103">
        <v>119945224259</v>
      </c>
      <c r="T24" s="115"/>
      <c r="U24" s="134" t="s">
        <v>186</v>
      </c>
      <c r="V24" s="68">
        <v>74374252773</v>
      </c>
    </row>
    <row r="25" spans="1:22" s="122" customFormat="1" ht="39.75" customHeight="1" x14ac:dyDescent="0.75">
      <c r="A25" s="130"/>
      <c r="C25" s="117">
        <v>1400</v>
      </c>
      <c r="D25" s="102"/>
      <c r="E25" s="102">
        <f>سودوزيان!F18</f>
        <v>1231811953519.3535</v>
      </c>
      <c r="F25" s="102"/>
      <c r="G25" s="103">
        <f>E25</f>
        <v>1231811953519.3535</v>
      </c>
      <c r="H25" s="103"/>
      <c r="I25" s="103">
        <f>سودوزيان!F21*-1</f>
        <v>237124303102.4707</v>
      </c>
      <c r="J25" s="103"/>
      <c r="K25" s="132">
        <v>0</v>
      </c>
      <c r="L25" s="132">
        <v>0</v>
      </c>
      <c r="M25" s="132">
        <v>0</v>
      </c>
      <c r="N25" s="103"/>
      <c r="O25" s="132">
        <f>6556</f>
        <v>6556</v>
      </c>
      <c r="P25" s="103"/>
      <c r="Q25" s="135">
        <f>I25+M25-O25</f>
        <v>237124296546.4707</v>
      </c>
      <c r="R25" s="103"/>
      <c r="S25" s="135">
        <v>0</v>
      </c>
      <c r="T25" s="115"/>
      <c r="U25" s="134" t="s">
        <v>764</v>
      </c>
      <c r="V25" s="103">
        <f>V24+S24</f>
        <v>194319477032</v>
      </c>
    </row>
    <row r="26" spans="1:22" s="122" customFormat="1" ht="33.75" customHeight="1" x14ac:dyDescent="0.75">
      <c r="A26" s="130"/>
      <c r="C26" s="117"/>
      <c r="D26" s="117"/>
      <c r="E26" s="117"/>
      <c r="F26" s="117"/>
      <c r="G26" s="136"/>
      <c r="H26" s="136"/>
      <c r="I26" s="136"/>
      <c r="J26" s="136"/>
      <c r="K26" s="136"/>
      <c r="L26" s="136"/>
      <c r="M26" s="136"/>
      <c r="N26" s="136"/>
      <c r="O26" s="136"/>
      <c r="P26" s="136"/>
      <c r="Q26" s="103">
        <f>SUM(Q20:Q25)</f>
        <v>311498549319.4707</v>
      </c>
      <c r="R26" s="103"/>
      <c r="S26" s="103">
        <f>SUM(S20:S24)</f>
        <v>156672498217</v>
      </c>
      <c r="T26" s="115"/>
      <c r="U26" s="115"/>
      <c r="V26" s="122">
        <v>521909000</v>
      </c>
    </row>
    <row r="27" spans="1:22" ht="30" x14ac:dyDescent="0.75">
      <c r="B27" s="134"/>
      <c r="C27" s="137"/>
      <c r="D27" s="137"/>
      <c r="E27" s="137"/>
      <c r="F27" s="137"/>
      <c r="G27" s="137"/>
      <c r="H27" s="137"/>
      <c r="I27" s="137"/>
      <c r="J27" s="137"/>
      <c r="K27" s="137"/>
      <c r="L27" s="137"/>
      <c r="M27" s="137"/>
      <c r="N27" s="137"/>
      <c r="O27" s="137"/>
      <c r="P27" s="137"/>
      <c r="Q27" s="136">
        <v>0</v>
      </c>
      <c r="R27" s="103"/>
      <c r="S27" s="103">
        <v>0</v>
      </c>
      <c r="T27" s="134"/>
      <c r="U27" s="134"/>
      <c r="V27" s="146">
        <f>S24+V26</f>
        <v>120467133259</v>
      </c>
    </row>
    <row r="28" spans="1:22" ht="30.75" thickBot="1" x14ac:dyDescent="0.8">
      <c r="B28" s="138"/>
      <c r="C28" s="139"/>
      <c r="D28" s="139"/>
      <c r="E28" s="140"/>
      <c r="F28" s="139"/>
      <c r="G28" s="141"/>
      <c r="H28" s="141"/>
      <c r="I28" s="141"/>
      <c r="J28" s="141"/>
      <c r="K28" s="141"/>
      <c r="L28" s="141"/>
      <c r="M28" s="141"/>
      <c r="N28" s="141"/>
      <c r="O28" s="141"/>
      <c r="P28" s="141"/>
      <c r="Q28" s="142">
        <f>SUM(Q26:Q27)</f>
        <v>311498549319.4707</v>
      </c>
      <c r="R28" s="103"/>
      <c r="S28" s="142">
        <f>SUM(S26:S27)</f>
        <v>156672498217</v>
      </c>
      <c r="T28" s="138"/>
      <c r="U28" s="143"/>
    </row>
    <row r="29" spans="1:22" ht="28.5" thickTop="1" x14ac:dyDescent="0.25">
      <c r="B29" s="138"/>
      <c r="C29" s="138"/>
      <c r="D29" s="138"/>
      <c r="E29" s="133"/>
      <c r="F29" s="138"/>
      <c r="G29" s="138"/>
      <c r="H29" s="138"/>
      <c r="I29" s="138"/>
      <c r="J29" s="138"/>
      <c r="K29" s="138"/>
      <c r="L29" s="138"/>
      <c r="M29" s="144"/>
      <c r="N29" s="138"/>
      <c r="O29" s="138"/>
      <c r="P29" s="138"/>
      <c r="Q29" s="115"/>
      <c r="R29" s="115"/>
      <c r="S29" s="115"/>
      <c r="T29" s="138"/>
      <c r="U29" s="143"/>
    </row>
    <row r="30" spans="1:22" s="145" customFormat="1" ht="30" x14ac:dyDescent="0.25">
      <c r="A30" s="113"/>
      <c r="B30" s="138"/>
      <c r="C30" s="118" t="s">
        <v>766</v>
      </c>
      <c r="D30" s="138"/>
      <c r="E30" s="1568" t="s">
        <v>768</v>
      </c>
      <c r="F30" s="1568"/>
      <c r="G30" s="1568"/>
      <c r="H30" s="1568"/>
      <c r="I30" s="1568"/>
      <c r="J30" s="1568"/>
      <c r="K30" s="1568"/>
      <c r="L30" s="1568"/>
      <c r="M30" s="1568"/>
      <c r="N30" s="1568"/>
      <c r="O30" s="1568"/>
      <c r="P30" s="1568"/>
      <c r="Q30" s="1568"/>
      <c r="R30" s="1568"/>
      <c r="S30" s="1568"/>
      <c r="T30" s="1568"/>
      <c r="U30" s="1568"/>
    </row>
    <row r="31" spans="1:22" ht="30" x14ac:dyDescent="0.25">
      <c r="B31" s="138"/>
      <c r="C31" s="118" t="s">
        <v>767</v>
      </c>
      <c r="D31" s="138"/>
      <c r="E31" s="1568" t="s">
        <v>815</v>
      </c>
      <c r="F31" s="1568"/>
      <c r="G31" s="1568"/>
      <c r="H31" s="1568"/>
      <c r="I31" s="1568"/>
      <c r="J31" s="1568"/>
      <c r="K31" s="1568"/>
      <c r="L31" s="1568"/>
      <c r="M31" s="1568"/>
      <c r="N31" s="1568"/>
      <c r="O31" s="1568"/>
      <c r="P31" s="1568"/>
      <c r="Q31" s="1568"/>
      <c r="R31" s="1568"/>
      <c r="S31" s="1568"/>
      <c r="T31" s="1568"/>
      <c r="U31" s="1568"/>
    </row>
    <row r="32" spans="1:22" x14ac:dyDescent="0.25">
      <c r="S32" s="146"/>
      <c r="T32" s="122"/>
      <c r="U32" s="147"/>
    </row>
    <row r="33" spans="1:21" ht="30" x14ac:dyDescent="0.25">
      <c r="A33" s="76">
        <f>'وضعيت مالي'!D33</f>
        <v>24</v>
      </c>
      <c r="B33" s="123" t="s">
        <v>417</v>
      </c>
      <c r="G33" s="148"/>
      <c r="P33" s="122"/>
      <c r="Q33" s="1576"/>
      <c r="R33" s="1566"/>
      <c r="S33" s="1566"/>
      <c r="T33" s="122"/>
    </row>
    <row r="34" spans="1:21" ht="30" x14ac:dyDescent="0.25">
      <c r="B34" s="123"/>
      <c r="M34" s="1566"/>
      <c r="N34" s="1566"/>
      <c r="O34" s="1566"/>
      <c r="P34" s="129"/>
      <c r="T34" s="129"/>
    </row>
    <row r="35" spans="1:21" x14ac:dyDescent="0.25">
      <c r="I35" s="1570">
        <v>1401</v>
      </c>
      <c r="J35" s="1570"/>
      <c r="K35" s="1570"/>
      <c r="M35" s="1566">
        <v>1400</v>
      </c>
      <c r="N35" s="1566"/>
      <c r="O35" s="1566"/>
      <c r="T35" s="115"/>
    </row>
    <row r="36" spans="1:21" ht="60" x14ac:dyDescent="0.25">
      <c r="B36" s="127"/>
      <c r="C36" s="129"/>
      <c r="D36" s="129"/>
      <c r="E36" s="129"/>
      <c r="F36" s="129"/>
      <c r="G36" s="129"/>
      <c r="H36" s="129"/>
      <c r="I36" s="128" t="s">
        <v>194</v>
      </c>
      <c r="J36" s="129"/>
      <c r="K36" s="128" t="s">
        <v>72</v>
      </c>
      <c r="L36" s="122"/>
      <c r="M36" s="149" t="s">
        <v>194</v>
      </c>
      <c r="N36" s="115"/>
      <c r="O36" s="149" t="s">
        <v>72</v>
      </c>
      <c r="R36" s="129"/>
      <c r="S36" s="115"/>
    </row>
    <row r="37" spans="1:21" ht="39" customHeight="1" x14ac:dyDescent="0.65">
      <c r="C37" s="115"/>
      <c r="D37" s="115"/>
      <c r="E37" s="1577" t="s">
        <v>808</v>
      </c>
      <c r="F37" s="1577"/>
      <c r="G37" s="1577"/>
      <c r="H37" s="115"/>
      <c r="I37" s="150">
        <f>M42</f>
        <v>54452115588</v>
      </c>
      <c r="J37" s="150"/>
      <c r="K37" s="150">
        <f>I37</f>
        <v>54452115588</v>
      </c>
      <c r="L37" s="151"/>
      <c r="M37" s="150">
        <v>13336438331</v>
      </c>
      <c r="N37" s="150"/>
      <c r="O37" s="150">
        <f>M37</f>
        <v>13336438331</v>
      </c>
      <c r="R37" s="115"/>
      <c r="S37" s="115"/>
    </row>
    <row r="38" spans="1:21" x14ac:dyDescent="0.65">
      <c r="C38" s="115"/>
      <c r="D38" s="115"/>
      <c r="E38" s="1567" t="s">
        <v>459</v>
      </c>
      <c r="F38" s="1567"/>
      <c r="G38" s="1567"/>
      <c r="H38" s="115"/>
      <c r="I38" s="150">
        <v>0</v>
      </c>
      <c r="J38" s="150"/>
      <c r="K38" s="150">
        <f>I38</f>
        <v>0</v>
      </c>
      <c r="L38" s="151"/>
      <c r="M38" s="150">
        <v>0</v>
      </c>
      <c r="N38" s="150"/>
      <c r="O38" s="150">
        <f>M38</f>
        <v>0</v>
      </c>
      <c r="R38" s="115"/>
      <c r="S38" s="115"/>
    </row>
    <row r="39" spans="1:21" x14ac:dyDescent="0.65">
      <c r="C39" s="115"/>
      <c r="D39" s="115"/>
      <c r="E39" s="1567" t="s">
        <v>509</v>
      </c>
      <c r="F39" s="1567"/>
      <c r="G39" s="1567"/>
      <c r="H39" s="115"/>
      <c r="I39" s="150">
        <v>0</v>
      </c>
      <c r="J39" s="150"/>
      <c r="K39" s="150">
        <f>I39</f>
        <v>0</v>
      </c>
      <c r="L39" s="151"/>
      <c r="M39" s="150">
        <v>41115677257</v>
      </c>
      <c r="N39" s="150"/>
      <c r="O39" s="150">
        <f>M39</f>
        <v>41115677257</v>
      </c>
      <c r="R39" s="115"/>
      <c r="S39" s="115"/>
    </row>
    <row r="40" spans="1:21" x14ac:dyDescent="0.65">
      <c r="C40" s="115"/>
      <c r="D40" s="115"/>
      <c r="E40" s="1567" t="s">
        <v>521</v>
      </c>
      <c r="F40" s="1567"/>
      <c r="G40" s="1567"/>
      <c r="H40" s="115"/>
      <c r="I40" s="150">
        <v>67767170</v>
      </c>
      <c r="J40" s="150"/>
      <c r="K40" s="150">
        <f>I40</f>
        <v>67767170</v>
      </c>
      <c r="L40" s="151"/>
      <c r="M40" s="150">
        <v>0</v>
      </c>
      <c r="N40" s="150"/>
      <c r="O40" s="150">
        <f>M40</f>
        <v>0</v>
      </c>
      <c r="R40" s="115"/>
      <c r="S40" s="115"/>
    </row>
    <row r="41" spans="1:21" x14ac:dyDescent="0.65">
      <c r="C41" s="115"/>
      <c r="D41" s="115"/>
      <c r="E41" s="1567" t="s">
        <v>708</v>
      </c>
      <c r="F41" s="1567"/>
      <c r="G41" s="1567"/>
      <c r="H41" s="115"/>
      <c r="I41" s="150">
        <v>0</v>
      </c>
      <c r="J41" s="150"/>
      <c r="K41" s="150">
        <f>I41</f>
        <v>0</v>
      </c>
      <c r="L41" s="151"/>
      <c r="M41" s="150">
        <v>0</v>
      </c>
      <c r="N41" s="150"/>
      <c r="O41" s="150">
        <f>M41</f>
        <v>0</v>
      </c>
      <c r="R41" s="115"/>
      <c r="S41" s="115"/>
    </row>
    <row r="42" spans="1:21" ht="28.5" thickBot="1" x14ac:dyDescent="0.7">
      <c r="C42" s="115"/>
      <c r="D42" s="115"/>
      <c r="E42" s="115"/>
      <c r="F42" s="115"/>
      <c r="G42" s="115"/>
      <c r="H42" s="115"/>
      <c r="I42" s="152">
        <f>SUM(I37:I41)</f>
        <v>54519882758</v>
      </c>
      <c r="J42" s="150"/>
      <c r="K42" s="152">
        <f>SUM(K37:K41)</f>
        <v>54519882758</v>
      </c>
      <c r="L42" s="151"/>
      <c r="M42" s="152">
        <f>SUM(M37:M41)</f>
        <v>54452115588</v>
      </c>
      <c r="N42" s="134"/>
      <c r="O42" s="152">
        <f>SUM(O37:O41)</f>
        <v>54452115588</v>
      </c>
      <c r="R42" s="115"/>
      <c r="S42" s="138"/>
    </row>
    <row r="43" spans="1:21" ht="28.5" thickTop="1" x14ac:dyDescent="0.25">
      <c r="E43" s="1566"/>
      <c r="F43" s="1566"/>
      <c r="G43" s="1566"/>
      <c r="H43" s="1566"/>
      <c r="I43" s="1566"/>
      <c r="M43" s="153"/>
      <c r="O43" s="153"/>
      <c r="Q43" s="122"/>
      <c r="R43" s="115"/>
      <c r="S43" s="122"/>
      <c r="U43" s="146"/>
    </row>
    <row r="44" spans="1:21" x14ac:dyDescent="0.25">
      <c r="A44" s="1565" t="s">
        <v>812</v>
      </c>
      <c r="B44" s="1565"/>
      <c r="C44" s="1565"/>
      <c r="D44" s="1565"/>
      <c r="E44" s="1565"/>
      <c r="F44" s="1565"/>
      <c r="G44" s="1565"/>
      <c r="H44" s="1565"/>
      <c r="I44" s="1565"/>
      <c r="J44" s="1565"/>
      <c r="K44" s="1565"/>
      <c r="L44" s="1565"/>
      <c r="M44" s="1565"/>
      <c r="N44" s="1565"/>
      <c r="O44" s="1565"/>
      <c r="P44" s="1565"/>
      <c r="Q44" s="1565"/>
      <c r="R44" s="1565"/>
      <c r="S44" s="1565"/>
      <c r="T44" s="1565"/>
      <c r="U44" s="1565"/>
    </row>
    <row r="46" spans="1:21" ht="30" x14ac:dyDescent="0.25">
      <c r="B46" s="117">
        <v>29</v>
      </c>
      <c r="C46" s="117"/>
      <c r="D46" s="117"/>
      <c r="E46" s="117"/>
      <c r="F46" s="117"/>
      <c r="G46" s="117"/>
      <c r="H46" s="117"/>
      <c r="I46" s="117"/>
      <c r="J46" s="117"/>
      <c r="K46" s="117"/>
      <c r="L46" s="117"/>
      <c r="M46" s="117"/>
      <c r="N46" s="117"/>
      <c r="O46" s="117"/>
      <c r="Q46" s="117"/>
      <c r="R46" s="117"/>
      <c r="S46" s="117"/>
    </row>
    <row r="179" spans="11:11" x14ac:dyDescent="0.25">
      <c r="K179" s="114" t="s">
        <v>809</v>
      </c>
    </row>
    <row r="372" spans="11:11" x14ac:dyDescent="0.25">
      <c r="K372" s="114">
        <v>0</v>
      </c>
    </row>
  </sheetData>
  <customSheetViews>
    <customSheetView guid="{39716EAB-185B-4ADF-90CF-1B1041867F58}" scale="70" showPageBreaks="1" printArea="1" view="pageBreakPreview" topLeftCell="F28">
      <selection activeCell="I36" sqref="I36"/>
      <pageMargins left="0.39370078740157499" right="0.78740157480314998" top="0.39370078740157499" bottom="0.39370078740157499" header="0.31496062992126" footer="0.31496062992126"/>
      <pageSetup paperSize="9" scale="40" orientation="landscape" r:id="rId1"/>
    </customSheetView>
    <customSheetView guid="{5CB8382F-C212-4512-9396-17792C62978E}" scale="70" showPageBreaks="1" printArea="1" view="pageBreakPreview" topLeftCell="F28">
      <selection activeCell="I36" sqref="I36"/>
      <pageMargins left="0.39370078740157499" right="0.78740157480314998" top="0.39370078740157499" bottom="0.39370078740157499" header="0.31496062992126" footer="0.31496062992126"/>
      <pageSetup paperSize="9" scale="40" orientation="landscape" r:id="rId2"/>
    </customSheetView>
    <customSheetView guid="{184BCED3-EADB-44CF-BFDA-DA8D3E7206C0}" scale="70" showPageBreaks="1" printArea="1" view="pageBreakPreview" topLeftCell="B1">
      <selection activeCell="M12" sqref="M12"/>
      <pageMargins left="0.39370078740157499" right="0.78740157480314998" top="0.39370078740157499" bottom="0.39370078740157499" header="0.31496062992126" footer="0.31496062992126"/>
      <pageSetup paperSize="9" scale="40" orientation="landscape" r:id="rId3"/>
    </customSheetView>
  </customSheetViews>
  <mergeCells count="28">
    <mergeCell ref="A1:U1"/>
    <mergeCell ref="A2:U2"/>
    <mergeCell ref="A3:U3"/>
    <mergeCell ref="E43:I43"/>
    <mergeCell ref="I17:S17"/>
    <mergeCell ref="I18:Q18"/>
    <mergeCell ref="I5:S5"/>
    <mergeCell ref="Q33:S33"/>
    <mergeCell ref="M34:O34"/>
    <mergeCell ref="E37:G37"/>
    <mergeCell ref="E38:G38"/>
    <mergeCell ref="E6:U6"/>
    <mergeCell ref="E8:G8"/>
    <mergeCell ref="A44:U44"/>
    <mergeCell ref="E9:G9"/>
    <mergeCell ref="E10:G10"/>
    <mergeCell ref="E39:G39"/>
    <mergeCell ref="E11:G11"/>
    <mergeCell ref="E12:G12"/>
    <mergeCell ref="E13:G13"/>
    <mergeCell ref="E14:G14"/>
    <mergeCell ref="E31:U31"/>
    <mergeCell ref="E16:U16"/>
    <mergeCell ref="E30:U30"/>
    <mergeCell ref="I35:K35"/>
    <mergeCell ref="M35:O35"/>
    <mergeCell ref="E40:G40"/>
    <mergeCell ref="E41:G41"/>
  </mergeCells>
  <hyperlinks>
    <hyperlink ref="A1:XFD3" r:id="rId4" display="http://modiriatmali.com/" xr:uid="{00000000-0004-0000-2100-000000000000}"/>
  </hyperlinks>
  <pageMargins left="0.39370078740157499" right="0.78740157480314998" top="0.39370078740157499" bottom="0.39370078740157499" header="0.31496062992126" footer="0.31496062992126"/>
  <pageSetup paperSize="9" scale="40" orientation="landscape" r:id="rId5"/>
  <legacyDrawing r:id="rId6"/>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W371"/>
  <sheetViews>
    <sheetView rightToLeft="1" view="pageBreakPreview" topLeftCell="A2" zoomScale="85" zoomScaleNormal="85" zoomScaleSheetLayoutView="85" workbookViewId="0">
      <selection activeCell="J24" sqref="J24"/>
    </sheetView>
  </sheetViews>
  <sheetFormatPr defaultColWidth="9" defaultRowHeight="27.75" x14ac:dyDescent="0.25"/>
  <cols>
    <col min="1" max="1" width="7" style="532" bestFit="1" customWidth="1"/>
    <col min="2" max="2" width="13.42578125" style="532" bestFit="1" customWidth="1"/>
    <col min="3" max="3" width="1.140625" style="532" customWidth="1"/>
    <col min="4" max="4" width="21" style="532" bestFit="1" customWidth="1"/>
    <col min="5" max="5" width="1.140625" style="532" customWidth="1"/>
    <col min="6" max="6" width="25.28515625" style="532" bestFit="1" customWidth="1"/>
    <col min="7" max="7" width="1.140625" style="532" customWidth="1"/>
    <col min="8" max="8" width="25.42578125" style="532" bestFit="1" customWidth="1"/>
    <col min="9" max="9" width="1.140625" style="532" customWidth="1"/>
    <col min="10" max="10" width="25.7109375" style="532" customWidth="1"/>
    <col min="11" max="11" width="2.42578125" style="532" customWidth="1"/>
    <col min="12" max="12" width="19.140625" style="532" bestFit="1" customWidth="1"/>
    <col min="13" max="13" width="1.140625" style="532" customWidth="1"/>
    <col min="14" max="14" width="19.140625" style="532" bestFit="1" customWidth="1"/>
    <col min="15" max="15" width="1.140625" style="532" customWidth="1"/>
    <col min="16" max="16" width="31.5703125" style="532" bestFit="1" customWidth="1"/>
    <col min="17" max="17" width="1.140625" style="532" customWidth="1"/>
    <col min="18" max="18" width="19.140625" style="532" bestFit="1" customWidth="1"/>
    <col min="19" max="19" width="1" style="532" customWidth="1"/>
    <col min="20" max="20" width="20.140625" style="532" bestFit="1" customWidth="1"/>
    <col min="21" max="21" width="31.5703125" style="532" bestFit="1" customWidth="1"/>
    <col min="22" max="22" width="15" style="532" customWidth="1"/>
    <col min="23" max="23" width="26.7109375" style="532" bestFit="1" customWidth="1"/>
    <col min="24" max="16384" width="9" style="532"/>
  </cols>
  <sheetData>
    <row r="1" spans="1:20" s="531" customFormat="1" x14ac:dyDescent="0.65">
      <c r="A1" s="1588" t="s">
        <v>248</v>
      </c>
      <c r="B1" s="1588"/>
      <c r="C1" s="1588"/>
      <c r="D1" s="1588"/>
      <c r="E1" s="1588"/>
      <c r="F1" s="1588"/>
      <c r="G1" s="1588"/>
      <c r="H1" s="1588"/>
      <c r="I1" s="1588"/>
      <c r="J1" s="1588"/>
      <c r="K1" s="1588"/>
      <c r="L1" s="1588"/>
      <c r="M1" s="1588"/>
      <c r="N1" s="1588"/>
      <c r="O1" s="1588"/>
      <c r="P1" s="1588"/>
      <c r="Q1" s="1588"/>
      <c r="R1" s="1588"/>
      <c r="S1" s="1588"/>
      <c r="T1" s="1588"/>
    </row>
    <row r="2" spans="1:20" s="531" customFormat="1" ht="27.75" customHeight="1" x14ac:dyDescent="0.65">
      <c r="A2" s="1588" t="s">
        <v>243</v>
      </c>
      <c r="B2" s="1588"/>
      <c r="C2" s="1588"/>
      <c r="D2" s="1588"/>
      <c r="E2" s="1588"/>
      <c r="F2" s="1588"/>
      <c r="G2" s="1588"/>
      <c r="H2" s="1588"/>
      <c r="I2" s="1588"/>
      <c r="J2" s="1588"/>
      <c r="K2" s="1588"/>
      <c r="L2" s="1588"/>
      <c r="M2" s="1588"/>
      <c r="N2" s="1588"/>
      <c r="O2" s="1588"/>
      <c r="P2" s="1588"/>
      <c r="Q2" s="1588"/>
      <c r="R2" s="1588"/>
      <c r="S2" s="1588"/>
      <c r="T2" s="1588"/>
    </row>
    <row r="3" spans="1:20" s="531" customFormat="1" x14ac:dyDescent="0.65">
      <c r="A3" s="1588" t="s">
        <v>1089</v>
      </c>
      <c r="B3" s="1588"/>
      <c r="C3" s="1588"/>
      <c r="D3" s="1588"/>
      <c r="E3" s="1588"/>
      <c r="F3" s="1588"/>
      <c r="G3" s="1588"/>
      <c r="H3" s="1588"/>
      <c r="I3" s="1588"/>
      <c r="J3" s="1588"/>
      <c r="K3" s="1588"/>
      <c r="L3" s="1588"/>
      <c r="M3" s="1588"/>
      <c r="N3" s="1588"/>
      <c r="O3" s="1588"/>
      <c r="P3" s="1588"/>
      <c r="Q3" s="1588"/>
      <c r="R3" s="1588"/>
      <c r="S3" s="1588"/>
      <c r="T3" s="1588"/>
    </row>
    <row r="4" spans="1:20" ht="18.75" customHeight="1" x14ac:dyDescent="0.25">
      <c r="O4" s="533"/>
      <c r="P4" s="533"/>
      <c r="Q4" s="533"/>
      <c r="R4" s="533"/>
      <c r="S4" s="533"/>
    </row>
    <row r="5" spans="1:20" ht="30" x14ac:dyDescent="0.25">
      <c r="A5" s="534" t="s">
        <v>1075</v>
      </c>
      <c r="B5" s="534" t="s">
        <v>21</v>
      </c>
      <c r="H5" s="1582"/>
      <c r="I5" s="1582"/>
      <c r="J5" s="1582"/>
      <c r="K5" s="1582"/>
      <c r="L5" s="1582"/>
      <c r="M5" s="1582"/>
      <c r="N5" s="1582"/>
      <c r="O5" s="1582"/>
      <c r="P5" s="1582"/>
      <c r="Q5" s="1582"/>
      <c r="R5" s="1582"/>
      <c r="S5" s="535"/>
    </row>
    <row r="6" spans="1:20" ht="30" hidden="1" x14ac:dyDescent="0.65">
      <c r="B6" s="536" t="s">
        <v>488</v>
      </c>
      <c r="D6" s="1583" t="s">
        <v>759</v>
      </c>
      <c r="E6" s="1583"/>
      <c r="F6" s="1583"/>
      <c r="G6" s="1583"/>
      <c r="H6" s="1583"/>
      <c r="I6" s="1583"/>
      <c r="J6" s="1583"/>
      <c r="K6" s="1583"/>
      <c r="L6" s="1583"/>
      <c r="M6" s="1583"/>
      <c r="N6" s="1583"/>
      <c r="O6" s="1583"/>
      <c r="P6" s="1583"/>
      <c r="Q6" s="1583"/>
      <c r="R6" s="1583"/>
      <c r="S6" s="1583"/>
      <c r="T6" s="1583"/>
    </row>
    <row r="7" spans="1:20" ht="30" hidden="1" x14ac:dyDescent="0.25">
      <c r="B7" s="534"/>
      <c r="H7" s="330">
        <v>1402</v>
      </c>
      <c r="I7" s="328"/>
      <c r="J7" s="330">
        <v>1401</v>
      </c>
      <c r="K7" s="535"/>
      <c r="L7" s="535"/>
      <c r="M7" s="535"/>
      <c r="N7" s="535"/>
      <c r="O7" s="535"/>
      <c r="P7" s="535"/>
      <c r="Q7" s="535"/>
      <c r="R7" s="535"/>
      <c r="S7" s="535"/>
    </row>
    <row r="8" spans="1:20" ht="30" hidden="1" x14ac:dyDescent="0.25">
      <c r="B8" s="534"/>
      <c r="D8" s="1581"/>
      <c r="E8" s="1581"/>
      <c r="F8" s="1581"/>
      <c r="H8" s="267" t="s">
        <v>494</v>
      </c>
      <c r="I8" s="388"/>
      <c r="J8" s="267" t="s">
        <v>494</v>
      </c>
      <c r="K8" s="535"/>
      <c r="L8" s="535"/>
      <c r="M8" s="535"/>
      <c r="N8" s="535"/>
      <c r="O8" s="535"/>
      <c r="P8" s="535"/>
      <c r="Q8" s="535"/>
      <c r="R8" s="535"/>
      <c r="S8" s="535"/>
    </row>
    <row r="9" spans="1:20" ht="30" hidden="1" x14ac:dyDescent="0.55000000000000004">
      <c r="B9" s="534"/>
      <c r="D9" s="1581" t="s">
        <v>760</v>
      </c>
      <c r="E9" s="1581"/>
      <c r="F9" s="1581"/>
      <c r="H9" s="493">
        <v>295199739070</v>
      </c>
      <c r="I9" s="535"/>
      <c r="J9" s="493">
        <v>99958736717</v>
      </c>
      <c r="K9" s="535"/>
      <c r="L9" s="535"/>
      <c r="M9" s="535"/>
      <c r="N9" s="535"/>
      <c r="O9" s="535"/>
      <c r="P9" s="535"/>
      <c r="Q9" s="535"/>
      <c r="R9" s="535"/>
      <c r="S9" s="535"/>
    </row>
    <row r="10" spans="1:20" ht="30" hidden="1" x14ac:dyDescent="0.55000000000000004">
      <c r="B10" s="534"/>
      <c r="D10" s="1581" t="s">
        <v>761</v>
      </c>
      <c r="E10" s="1581"/>
      <c r="F10" s="1581"/>
      <c r="H10" s="493">
        <v>454995281257</v>
      </c>
      <c r="I10" s="535"/>
      <c r="J10" s="493">
        <v>192179032404</v>
      </c>
      <c r="K10" s="535"/>
      <c r="L10" s="535"/>
      <c r="M10" s="535"/>
      <c r="N10" s="537"/>
      <c r="O10" s="535"/>
      <c r="P10" s="537"/>
      <c r="Q10" s="535"/>
      <c r="R10" s="535"/>
      <c r="S10" s="535"/>
    </row>
    <row r="11" spans="1:20" ht="30" hidden="1" x14ac:dyDescent="0.55000000000000004">
      <c r="B11" s="534"/>
      <c r="D11" s="1581" t="s">
        <v>762</v>
      </c>
      <c r="E11" s="1581"/>
      <c r="F11" s="1581"/>
      <c r="H11" s="495">
        <v>227867153958</v>
      </c>
      <c r="I11" s="535"/>
      <c r="J11" s="493">
        <v>3061969949</v>
      </c>
      <c r="K11" s="535"/>
      <c r="L11" s="535"/>
      <c r="M11" s="535"/>
      <c r="N11" s="535"/>
      <c r="O11" s="535"/>
      <c r="P11" s="535"/>
      <c r="Q11" s="535"/>
      <c r="R11" s="535"/>
      <c r="S11" s="535"/>
    </row>
    <row r="12" spans="1:20" ht="30" hidden="1" x14ac:dyDescent="0.55000000000000004">
      <c r="B12" s="534"/>
      <c r="D12" s="1581" t="s">
        <v>763</v>
      </c>
      <c r="E12" s="1581"/>
      <c r="F12" s="1581"/>
      <c r="H12" s="493" t="s">
        <v>1003</v>
      </c>
      <c r="I12" s="535"/>
      <c r="J12" s="493" t="s">
        <v>896</v>
      </c>
      <c r="K12" s="535"/>
      <c r="L12" s="535"/>
      <c r="M12" s="535"/>
      <c r="N12" s="535"/>
      <c r="O12" s="535"/>
      <c r="P12" s="535"/>
      <c r="Q12" s="535"/>
      <c r="R12" s="535"/>
      <c r="S12" s="535"/>
    </row>
    <row r="13" spans="1:20" ht="30" hidden="1" x14ac:dyDescent="0.25">
      <c r="B13" s="534"/>
      <c r="D13" s="1581"/>
      <c r="E13" s="1581"/>
      <c r="F13" s="1581"/>
      <c r="H13" s="538">
        <f>SUM(H9:H12)</f>
        <v>978062174285</v>
      </c>
      <c r="I13" s="535"/>
      <c r="J13" s="538">
        <f>SUM(J9:J12)</f>
        <v>295199739070</v>
      </c>
      <c r="K13" s="535"/>
      <c r="L13" s="535"/>
      <c r="M13" s="535"/>
      <c r="N13" s="535"/>
      <c r="O13" s="535"/>
      <c r="P13" s="535"/>
      <c r="Q13" s="535"/>
      <c r="R13" s="535"/>
      <c r="S13" s="535"/>
    </row>
    <row r="14" spans="1:20" ht="30.75" hidden="1" thickBot="1" x14ac:dyDescent="0.3">
      <c r="B14" s="534"/>
      <c r="D14" s="1581"/>
      <c r="E14" s="1581"/>
      <c r="F14" s="1581"/>
      <c r="H14" s="539">
        <f>SUM(H13:H13)</f>
        <v>978062174285</v>
      </c>
      <c r="I14" s="535"/>
      <c r="J14" s="539">
        <f>SUM(J13)</f>
        <v>295199739070</v>
      </c>
      <c r="K14" s="535"/>
      <c r="L14" s="537"/>
      <c r="M14" s="535"/>
      <c r="N14" s="537"/>
      <c r="O14" s="535"/>
      <c r="P14" s="535"/>
      <c r="Q14" s="535"/>
      <c r="R14" s="535"/>
      <c r="S14" s="535"/>
    </row>
    <row r="15" spans="1:20" ht="30" hidden="1" x14ac:dyDescent="0.25">
      <c r="B15" s="534"/>
      <c r="D15" s="540"/>
      <c r="E15" s="540"/>
      <c r="F15" s="540"/>
      <c r="H15" s="537"/>
      <c r="I15" s="535"/>
      <c r="J15" s="537"/>
      <c r="K15" s="535"/>
      <c r="L15" s="537"/>
      <c r="M15" s="535"/>
      <c r="N15" s="537"/>
      <c r="O15" s="535"/>
      <c r="P15" s="535"/>
      <c r="Q15" s="535"/>
      <c r="R15" s="535"/>
      <c r="S15" s="535"/>
    </row>
    <row r="16" spans="1:20" ht="30" hidden="1" x14ac:dyDescent="0.25">
      <c r="B16" s="536" t="s">
        <v>489</v>
      </c>
      <c r="D16" s="1590" t="s">
        <v>765</v>
      </c>
      <c r="E16" s="1590"/>
      <c r="F16" s="1590"/>
      <c r="G16" s="1590"/>
      <c r="H16" s="1590"/>
      <c r="I16" s="1590"/>
      <c r="J16" s="1590"/>
      <c r="K16" s="1590"/>
      <c r="L16" s="1590"/>
      <c r="M16" s="1590"/>
      <c r="N16" s="1590"/>
      <c r="O16" s="1590"/>
      <c r="P16" s="1590"/>
      <c r="Q16" s="1590"/>
      <c r="R16" s="1590"/>
      <c r="S16" s="1590"/>
      <c r="T16" s="1590"/>
    </row>
    <row r="17" spans="1:23" ht="25.5" customHeight="1" x14ac:dyDescent="0.25">
      <c r="H17" s="1591" t="s">
        <v>192</v>
      </c>
      <c r="I17" s="1591"/>
      <c r="J17" s="1591"/>
      <c r="K17" s="1591"/>
      <c r="L17" s="1591"/>
      <c r="M17" s="1591"/>
      <c r="N17" s="1591"/>
      <c r="O17" s="1591"/>
      <c r="P17" s="1591"/>
      <c r="Q17" s="1582"/>
      <c r="R17" s="1591"/>
      <c r="S17" s="535"/>
    </row>
    <row r="18" spans="1:23" ht="26.25" customHeight="1" x14ac:dyDescent="0.25">
      <c r="H18" s="1592">
        <v>1403</v>
      </c>
      <c r="I18" s="1592"/>
      <c r="J18" s="1592"/>
      <c r="K18" s="1592"/>
      <c r="L18" s="1592"/>
      <c r="M18" s="1592"/>
      <c r="N18" s="1592"/>
      <c r="O18" s="1592"/>
      <c r="P18" s="1592"/>
      <c r="Q18" s="535"/>
      <c r="R18" s="542">
        <v>1402</v>
      </c>
      <c r="S18" s="535"/>
    </row>
    <row r="19" spans="1:23" s="543" customFormat="1" ht="58.5" customHeight="1" x14ac:dyDescent="0.25">
      <c r="B19" s="544" t="s">
        <v>191</v>
      </c>
      <c r="C19" s="545"/>
      <c r="D19" s="544" t="s">
        <v>190</v>
      </c>
      <c r="E19" s="545"/>
      <c r="F19" s="544" t="s">
        <v>189</v>
      </c>
      <c r="G19" s="545"/>
      <c r="H19" s="544" t="s">
        <v>188</v>
      </c>
      <c r="I19" s="545"/>
      <c r="J19" s="544" t="s">
        <v>187</v>
      </c>
      <c r="K19" s="545"/>
      <c r="L19" s="544" t="s">
        <v>186</v>
      </c>
      <c r="M19" s="545"/>
      <c r="N19" s="544" t="s">
        <v>185</v>
      </c>
      <c r="O19" s="545"/>
      <c r="P19" s="544" t="s">
        <v>184</v>
      </c>
      <c r="Q19" s="545"/>
      <c r="R19" s="544" t="s">
        <v>21</v>
      </c>
      <c r="S19" s="545"/>
      <c r="T19" s="544" t="s">
        <v>458</v>
      </c>
    </row>
    <row r="20" spans="1:23" s="540" customFormat="1" ht="41.25" hidden="1" customHeight="1" x14ac:dyDescent="0.65">
      <c r="B20" s="535">
        <v>1395</v>
      </c>
      <c r="C20" s="537"/>
      <c r="D20" s="493">
        <v>39640995105</v>
      </c>
      <c r="E20" s="493"/>
      <c r="F20" s="493">
        <v>11247355414</v>
      </c>
      <c r="G20" s="493"/>
      <c r="H20" s="493">
        <v>2811838854</v>
      </c>
      <c r="I20" s="493"/>
      <c r="J20" s="493">
        <v>68287887307</v>
      </c>
      <c r="K20" s="493"/>
      <c r="L20" s="493">
        <v>26388157260</v>
      </c>
      <c r="M20" s="493"/>
      <c r="N20" s="493">
        <v>0</v>
      </c>
      <c r="O20" s="493"/>
      <c r="P20" s="493">
        <v>0</v>
      </c>
      <c r="Q20" s="493"/>
      <c r="R20" s="493">
        <v>0</v>
      </c>
      <c r="S20" s="546"/>
      <c r="T20" s="547" t="s">
        <v>186</v>
      </c>
    </row>
    <row r="21" spans="1:23" s="540" customFormat="1" ht="30" hidden="1" x14ac:dyDescent="0.65">
      <c r="B21" s="535">
        <v>1396</v>
      </c>
      <c r="C21" s="537"/>
      <c r="D21" s="493">
        <v>18094500496</v>
      </c>
      <c r="E21" s="493"/>
      <c r="F21" s="493">
        <v>11230279732</v>
      </c>
      <c r="G21" s="493"/>
      <c r="H21" s="493">
        <v>2799147223</v>
      </c>
      <c r="I21" s="493"/>
      <c r="J21" s="493">
        <v>37669252155</v>
      </c>
      <c r="K21" s="493"/>
      <c r="L21" s="493">
        <v>17914097351</v>
      </c>
      <c r="M21" s="493"/>
      <c r="N21" s="493">
        <v>0</v>
      </c>
      <c r="O21" s="493"/>
      <c r="P21" s="493">
        <v>0</v>
      </c>
      <c r="Q21" s="493"/>
      <c r="R21" s="493">
        <v>0</v>
      </c>
      <c r="S21" s="546"/>
      <c r="T21" s="547" t="s">
        <v>186</v>
      </c>
    </row>
    <row r="22" spans="1:23" s="540" customFormat="1" ht="30" hidden="1" x14ac:dyDescent="0.65">
      <c r="B22" s="535">
        <v>1397</v>
      </c>
      <c r="C22" s="537"/>
      <c r="D22" s="493">
        <v>127110268234</v>
      </c>
      <c r="E22" s="493"/>
      <c r="F22" s="493">
        <v>50039681941</v>
      </c>
      <c r="G22" s="493"/>
      <c r="H22" s="493">
        <v>12509920485</v>
      </c>
      <c r="I22" s="493"/>
      <c r="J22" s="493">
        <v>47600815094</v>
      </c>
      <c r="K22" s="493"/>
      <c r="L22" s="493">
        <v>38080652075</v>
      </c>
      <c r="M22" s="493"/>
      <c r="N22" s="493">
        <v>0</v>
      </c>
      <c r="O22" s="493"/>
      <c r="P22" s="493">
        <v>0</v>
      </c>
      <c r="Q22" s="493"/>
      <c r="R22" s="493">
        <v>0</v>
      </c>
      <c r="S22" s="546"/>
      <c r="T22" s="547" t="s">
        <v>186</v>
      </c>
    </row>
    <row r="23" spans="1:23" s="540" customFormat="1" ht="39.75" customHeight="1" x14ac:dyDescent="0.75">
      <c r="B23" s="535">
        <v>1401</v>
      </c>
      <c r="C23" s="537"/>
      <c r="D23" s="493">
        <v>1484079861166</v>
      </c>
      <c r="E23" s="493"/>
      <c r="F23" s="493">
        <v>1344321861189</v>
      </c>
      <c r="G23" s="493"/>
      <c r="H23" s="493">
        <v>192179032404</v>
      </c>
      <c r="I23" s="493"/>
      <c r="J23" s="1245">
        <f>379977111362+1608289103</f>
        <v>381585400465</v>
      </c>
      <c r="K23" s="493"/>
      <c r="L23" s="1245">
        <f>379977111362+1608289103</f>
        <v>381585400465</v>
      </c>
      <c r="M23" s="493"/>
      <c r="N23" s="1245">
        <f>379977111362+1608289103</f>
        <v>381585400465</v>
      </c>
      <c r="O23" s="493"/>
      <c r="P23" s="493">
        <v>0</v>
      </c>
      <c r="Q23" s="493"/>
      <c r="R23" s="493">
        <v>172359690363</v>
      </c>
      <c r="S23" s="533"/>
      <c r="T23" s="547" t="s">
        <v>937</v>
      </c>
      <c r="U23" s="393">
        <v>187798078958</v>
      </c>
      <c r="W23" s="548">
        <f>R23+U23</f>
        <v>360157769321</v>
      </c>
    </row>
    <row r="24" spans="1:23" s="540" customFormat="1" ht="33.75" customHeight="1" x14ac:dyDescent="0.65">
      <c r="B24" s="535">
        <v>1402</v>
      </c>
      <c r="C24" s="535"/>
      <c r="D24" s="493">
        <v>2281344124948</v>
      </c>
      <c r="E24" s="493"/>
      <c r="F24" s="493">
        <v>2274976406285</v>
      </c>
      <c r="G24" s="493"/>
      <c r="H24" s="493">
        <v>485783143091</v>
      </c>
      <c r="I24" s="493"/>
      <c r="J24" s="493">
        <v>563363651533</v>
      </c>
      <c r="K24" s="493"/>
      <c r="L24" s="493">
        <v>545949079117</v>
      </c>
      <c r="M24" s="493"/>
      <c r="N24" s="493">
        <v>485783143091</v>
      </c>
      <c r="O24" s="493"/>
      <c r="P24" s="493">
        <v>47740369363</v>
      </c>
      <c r="Q24" s="493"/>
      <c r="R24" s="493">
        <v>568744101571</v>
      </c>
      <c r="S24" s="533"/>
      <c r="T24" s="547" t="s">
        <v>937</v>
      </c>
      <c r="U24" s="540">
        <v>521909000</v>
      </c>
    </row>
    <row r="25" spans="1:23" s="1132" customFormat="1" ht="33.75" customHeight="1" x14ac:dyDescent="0.65">
      <c r="B25" s="1133">
        <v>1403</v>
      </c>
      <c r="C25" s="1133"/>
      <c r="D25" s="493">
        <f>سودوزيان!F18</f>
        <v>1231811953519.3535</v>
      </c>
      <c r="E25" s="493"/>
      <c r="F25" s="493">
        <f>D25-23353106087-22837331920</f>
        <v>1185621515512.3535</v>
      </c>
      <c r="G25" s="493"/>
      <c r="H25" s="493">
        <v>237124303102</v>
      </c>
      <c r="I25" s="493"/>
      <c r="J25" s="493">
        <v>0</v>
      </c>
      <c r="K25" s="493"/>
      <c r="L25" s="493">
        <v>0</v>
      </c>
      <c r="M25" s="493"/>
      <c r="N25" s="493">
        <v>0</v>
      </c>
      <c r="O25" s="493"/>
      <c r="P25" s="493">
        <v>237124303102</v>
      </c>
      <c r="Q25" s="493"/>
      <c r="R25" s="493">
        <v>0</v>
      </c>
      <c r="S25" s="1134"/>
      <c r="T25" s="1141" t="s">
        <v>764</v>
      </c>
    </row>
    <row r="26" spans="1:23" ht="30.75" thickBot="1" x14ac:dyDescent="0.6">
      <c r="B26" s="551"/>
      <c r="C26" s="551"/>
      <c r="D26" s="493"/>
      <c r="E26" s="493"/>
      <c r="F26" s="493"/>
      <c r="G26" s="493"/>
      <c r="H26" s="493"/>
      <c r="I26" s="493"/>
      <c r="J26" s="493"/>
      <c r="K26" s="493"/>
      <c r="L26" s="493"/>
      <c r="M26" s="493"/>
      <c r="N26" s="493"/>
      <c r="O26" s="493"/>
      <c r="P26" s="552">
        <f>SUM(P23:P25)</f>
        <v>284864672465</v>
      </c>
      <c r="Q26" s="493"/>
      <c r="R26" s="552">
        <f>SUM(R23:R24)</f>
        <v>741103791934</v>
      </c>
      <c r="S26" s="550"/>
      <c r="T26" s="553"/>
      <c r="U26" s="554">
        <f>P26-'وضعيت مالي'!F32</f>
        <v>0</v>
      </c>
      <c r="V26" s="554">
        <f>R26-'وضعيت مالي'!H32</f>
        <v>0</v>
      </c>
    </row>
    <row r="27" spans="1:23" ht="9.75" customHeight="1" x14ac:dyDescent="0.25">
      <c r="B27" s="550"/>
      <c r="C27" s="550"/>
      <c r="D27" s="546"/>
      <c r="E27" s="550"/>
      <c r="F27" s="550"/>
      <c r="G27" s="550"/>
      <c r="H27" s="550"/>
      <c r="I27" s="550"/>
      <c r="J27" s="550"/>
      <c r="K27" s="550"/>
      <c r="L27" s="555"/>
      <c r="M27" s="550"/>
      <c r="N27" s="550"/>
      <c r="O27" s="550"/>
      <c r="P27" s="533"/>
      <c r="Q27" s="533"/>
      <c r="R27" s="533"/>
      <c r="S27" s="550"/>
      <c r="T27" s="553"/>
    </row>
    <row r="28" spans="1:23" s="556" customFormat="1" ht="30" x14ac:dyDescent="0.25">
      <c r="B28" s="536" t="s">
        <v>1072</v>
      </c>
      <c r="C28" s="550"/>
      <c r="D28" s="1579" t="s">
        <v>1002</v>
      </c>
      <c r="E28" s="1580"/>
      <c r="F28" s="1580"/>
      <c r="G28" s="1580"/>
      <c r="H28" s="1580"/>
      <c r="I28" s="1580"/>
      <c r="J28" s="1580"/>
      <c r="K28" s="1580"/>
      <c r="L28" s="1580"/>
      <c r="M28" s="1580"/>
      <c r="N28" s="1580"/>
      <c r="O28" s="1580"/>
      <c r="P28" s="1580"/>
      <c r="Q28" s="1580"/>
      <c r="R28" s="1580"/>
      <c r="S28" s="1580"/>
      <c r="T28" s="1580"/>
    </row>
    <row r="29" spans="1:23" ht="30" hidden="1" x14ac:dyDescent="0.25">
      <c r="B29" s="536" t="s">
        <v>1073</v>
      </c>
      <c r="C29" s="550"/>
      <c r="D29" s="1579" t="s">
        <v>1245</v>
      </c>
      <c r="E29" s="1580"/>
      <c r="F29" s="1580"/>
      <c r="G29" s="1580"/>
      <c r="H29" s="1580"/>
      <c r="I29" s="1580"/>
      <c r="J29" s="1580"/>
      <c r="K29" s="1580"/>
      <c r="L29" s="1580"/>
      <c r="M29" s="1580"/>
      <c r="N29" s="1580"/>
      <c r="O29" s="1580"/>
      <c r="P29" s="1580"/>
      <c r="Q29" s="1580"/>
      <c r="R29" s="1580"/>
      <c r="S29" s="1580"/>
      <c r="T29" s="1580"/>
    </row>
    <row r="30" spans="1:23" ht="30" x14ac:dyDescent="0.25">
      <c r="B30" s="536" t="s">
        <v>1073</v>
      </c>
      <c r="C30" s="550"/>
      <c r="D30" s="1579" t="s">
        <v>1311</v>
      </c>
      <c r="E30" s="1580"/>
      <c r="F30" s="1580"/>
      <c r="G30" s="1580"/>
      <c r="H30" s="1580"/>
      <c r="I30" s="1580"/>
      <c r="J30" s="1580"/>
      <c r="K30" s="1580"/>
      <c r="L30" s="1580"/>
      <c r="M30" s="1580"/>
      <c r="N30" s="1580"/>
      <c r="O30" s="1580"/>
      <c r="P30" s="1580"/>
      <c r="Q30" s="1580"/>
      <c r="R30" s="1580"/>
      <c r="S30" s="1580"/>
      <c r="T30" s="1580"/>
    </row>
    <row r="31" spans="1:23" ht="27.75" customHeight="1" x14ac:dyDescent="0.25">
      <c r="R31" s="549"/>
      <c r="S31" s="540"/>
      <c r="T31" s="557"/>
    </row>
    <row r="32" spans="1:23" ht="30" x14ac:dyDescent="0.25">
      <c r="A32" s="534" t="s">
        <v>1074</v>
      </c>
      <c r="B32" s="541" t="s">
        <v>417</v>
      </c>
      <c r="F32" s="554"/>
      <c r="O32" s="540"/>
      <c r="P32" s="1589"/>
      <c r="Q32" s="1581"/>
      <c r="R32" s="1581"/>
      <c r="S32" s="540"/>
    </row>
    <row r="33" spans="1:22" ht="4.5" customHeight="1" x14ac:dyDescent="0.25">
      <c r="L33" s="1581"/>
      <c r="M33" s="1581"/>
      <c r="N33" s="1581"/>
      <c r="O33" s="545"/>
      <c r="S33" s="545"/>
    </row>
    <row r="34" spans="1:22" x14ac:dyDescent="0.25">
      <c r="H34" s="558">
        <v>1403</v>
      </c>
      <c r="I34"/>
      <c r="J34" s="540">
        <v>1402</v>
      </c>
      <c r="L34" s="540"/>
      <c r="S34" s="533"/>
    </row>
    <row r="35" spans="1:22" ht="26.25" customHeight="1" x14ac:dyDescent="0.25">
      <c r="B35" s="545"/>
      <c r="C35" s="545"/>
      <c r="D35" s="545"/>
      <c r="E35" s="545"/>
      <c r="F35" s="545"/>
      <c r="G35" s="545"/>
      <c r="H35" s="1056" t="s">
        <v>494</v>
      </c>
      <c r="I35" s="545"/>
      <c r="J35" s="1057" t="s">
        <v>494</v>
      </c>
      <c r="K35" s="540"/>
      <c r="L35" s="545"/>
      <c r="M35" s="533"/>
      <c r="N35" s="545"/>
      <c r="Q35" s="545"/>
      <c r="R35" s="533"/>
    </row>
    <row r="36" spans="1:22" ht="29.25" customHeight="1" x14ac:dyDescent="0.65">
      <c r="B36" s="533"/>
      <c r="C36" s="533"/>
      <c r="D36" s="1584" t="s">
        <v>1236</v>
      </c>
      <c r="E36" s="1585"/>
      <c r="F36" s="1585"/>
      <c r="G36" s="533"/>
      <c r="H36" s="1058">
        <v>747798525569</v>
      </c>
      <c r="I36" s="1058"/>
      <c r="J36" s="1058">
        <v>54519882758</v>
      </c>
      <c r="K36" s="559"/>
      <c r="L36" s="493"/>
      <c r="M36" s="560"/>
      <c r="N36" s="493"/>
      <c r="P36" s="1161"/>
      <c r="Q36" s="533"/>
      <c r="R36" s="533"/>
    </row>
    <row r="37" spans="1:22" ht="26.25" customHeight="1" x14ac:dyDescent="0.65">
      <c r="B37" s="533"/>
      <c r="C37" s="533"/>
      <c r="D37" s="1587" t="s">
        <v>708</v>
      </c>
      <c r="E37" s="1587"/>
      <c r="F37" s="1587"/>
      <c r="G37" s="533"/>
      <c r="H37" s="493">
        <v>0</v>
      </c>
      <c r="I37" s="493"/>
      <c r="J37" s="493">
        <v>11305362280</v>
      </c>
      <c r="K37" s="559"/>
      <c r="L37" s="493"/>
      <c r="M37" s="560"/>
      <c r="N37" s="493"/>
      <c r="P37" s="1161"/>
      <c r="Q37" s="533"/>
      <c r="R37" s="533"/>
    </row>
    <row r="38" spans="1:22" ht="26.25" customHeight="1" x14ac:dyDescent="0.65">
      <c r="B38" s="533"/>
      <c r="C38" s="533"/>
      <c r="D38" s="1587" t="s">
        <v>907</v>
      </c>
      <c r="E38" s="1587"/>
      <c r="F38" s="1587"/>
      <c r="G38" s="533"/>
      <c r="H38" s="493">
        <v>0</v>
      </c>
      <c r="I38" s="493"/>
      <c r="J38" s="493">
        <v>681973280531</v>
      </c>
      <c r="K38" s="559"/>
      <c r="L38" s="493"/>
      <c r="M38" s="560"/>
      <c r="N38" s="493"/>
      <c r="P38" s="1161"/>
      <c r="Q38" s="533"/>
      <c r="R38" s="533"/>
    </row>
    <row r="39" spans="1:22" ht="26.25" customHeight="1" x14ac:dyDescent="0.65">
      <c r="B39" s="533"/>
      <c r="C39" s="533"/>
      <c r="D39" s="1586" t="s">
        <v>1183</v>
      </c>
      <c r="E39" s="1587"/>
      <c r="F39" s="1587"/>
      <c r="G39" s="533"/>
      <c r="H39" s="493">
        <v>171260002338</v>
      </c>
      <c r="I39" s="493"/>
      <c r="J39" s="493">
        <v>0</v>
      </c>
      <c r="K39" s="559"/>
      <c r="L39" s="493"/>
      <c r="M39" s="560"/>
      <c r="N39" s="493"/>
      <c r="P39" s="1162"/>
      <c r="Q39" s="533"/>
      <c r="R39" s="533"/>
    </row>
    <row r="40" spans="1:22" ht="29.25" customHeight="1" thickBot="1" x14ac:dyDescent="0.7">
      <c r="B40" s="533"/>
      <c r="C40" s="533"/>
      <c r="D40" s="533"/>
      <c r="E40" s="533"/>
      <c r="F40" s="533"/>
      <c r="G40" s="533"/>
      <c r="H40" s="1030">
        <f>SUM(H36:H39)</f>
        <v>919058527907</v>
      </c>
      <c r="I40"/>
      <c r="J40" s="1030">
        <v>747798525569</v>
      </c>
      <c r="K40" s="559"/>
      <c r="L40" s="560"/>
      <c r="M40" s="547"/>
      <c r="N40" s="560"/>
      <c r="Q40" s="533"/>
      <c r="R40" s="550"/>
      <c r="U40" s="532" t="b">
        <f>H40='وضعيت مالي'!F33</f>
        <v>1</v>
      </c>
      <c r="V40" s="532" t="b">
        <f>J40='وضعيت مالي'!H33</f>
        <v>1</v>
      </c>
    </row>
    <row r="41" spans="1:22" ht="9" customHeight="1" thickTop="1" x14ac:dyDescent="0.25">
      <c r="D41" s="1581"/>
      <c r="E41" s="1581"/>
      <c r="F41" s="1581"/>
      <c r="G41" s="1581"/>
      <c r="H41" s="1581"/>
      <c r="L41" s="561"/>
      <c r="N41" s="561"/>
      <c r="P41" s="540"/>
      <c r="Q41" s="533"/>
      <c r="R41" s="540"/>
      <c r="T41" s="549"/>
    </row>
    <row r="42" spans="1:22" ht="106.5" customHeight="1" x14ac:dyDescent="0.25">
      <c r="D42" s="540"/>
      <c r="E42" s="540"/>
      <c r="F42" s="540"/>
      <c r="G42" s="540"/>
      <c r="H42" s="540"/>
      <c r="L42" s="561"/>
      <c r="N42" s="561"/>
      <c r="P42" s="540"/>
      <c r="Q42" s="533"/>
      <c r="R42" s="540"/>
      <c r="T42" s="549"/>
    </row>
    <row r="43" spans="1:22" ht="41.25" customHeight="1" x14ac:dyDescent="0.25">
      <c r="A43" s="1581">
        <v>32</v>
      </c>
      <c r="B43" s="1581"/>
      <c r="C43" s="1581"/>
      <c r="D43" s="1581"/>
      <c r="E43" s="1581"/>
      <c r="F43" s="1581"/>
      <c r="G43" s="1581"/>
      <c r="H43" s="1581"/>
      <c r="I43" s="1581"/>
      <c r="J43" s="1581"/>
      <c r="K43" s="1581"/>
      <c r="L43" s="1581"/>
      <c r="M43" s="1581"/>
      <c r="N43" s="1581"/>
      <c r="O43" s="1581"/>
      <c r="P43" s="1581"/>
      <c r="Q43" s="1581"/>
      <c r="R43" s="1581"/>
      <c r="S43" s="1581"/>
      <c r="T43" s="1581"/>
    </row>
    <row r="45" spans="1:22" ht="30" x14ac:dyDescent="0.25">
      <c r="B45" s="535"/>
      <c r="C45" s="535"/>
      <c r="D45" s="535"/>
      <c r="E45" s="535"/>
      <c r="F45" s="535"/>
      <c r="G45" s="535"/>
      <c r="H45" s="535"/>
      <c r="I45" s="535"/>
      <c r="J45" s="535"/>
      <c r="K45" s="535"/>
      <c r="L45" s="535"/>
      <c r="M45" s="535"/>
      <c r="N45" s="535"/>
      <c r="P45" s="535"/>
      <c r="Q45" s="535"/>
      <c r="R45" s="535"/>
    </row>
    <row r="178" spans="10:10" x14ac:dyDescent="0.25">
      <c r="J178" s="532" t="s">
        <v>809</v>
      </c>
    </row>
    <row r="371" spans="10:10" x14ac:dyDescent="0.25">
      <c r="J371" s="532">
        <v>0</v>
      </c>
    </row>
  </sheetData>
  <customSheetViews>
    <customSheetView guid="{39716EAB-185B-4ADF-90CF-1B1041867F58}" scale="60" showPageBreaks="1" printArea="1" view="pageBreakPreview" topLeftCell="D19">
      <selection activeCell="O28" sqref="O28"/>
      <pageMargins left="0.7" right="0.7" top="0.75" bottom="0.75" header="0.3" footer="0.3"/>
      <pageSetup scale="24" orientation="portrait" r:id="rId1"/>
    </customSheetView>
    <customSheetView guid="{5CB8382F-C212-4512-9396-17792C62978E}" scale="60" showPageBreaks="1" printArea="1" view="pageBreakPreview" topLeftCell="D19">
      <selection activeCell="O28" sqref="O28"/>
      <pageMargins left="0.7" right="0.7" top="0.75" bottom="0.75" header="0.3" footer="0.3"/>
      <pageSetup scale="24" orientation="portrait" r:id="rId2"/>
    </customSheetView>
    <customSheetView guid="{184BCED3-EADB-44CF-BFDA-DA8D3E7206C0}" scale="60" showPageBreaks="1" printArea="1" view="pageBreakPreview" topLeftCell="C1">
      <selection activeCell="Q27" sqref="Q27"/>
      <pageMargins left="0.7" right="0.7" top="0.75" bottom="0.75" header="0.3" footer="0.3"/>
      <pageSetup scale="24" orientation="portrait" r:id="rId3"/>
    </customSheetView>
  </customSheetViews>
  <mergeCells count="26">
    <mergeCell ref="A43:T43"/>
    <mergeCell ref="A1:T1"/>
    <mergeCell ref="A2:T2"/>
    <mergeCell ref="A3:T3"/>
    <mergeCell ref="D37:F37"/>
    <mergeCell ref="D38:F38"/>
    <mergeCell ref="P32:R32"/>
    <mergeCell ref="D9:F9"/>
    <mergeCell ref="D10:F10"/>
    <mergeCell ref="D11:F11"/>
    <mergeCell ref="D12:F12"/>
    <mergeCell ref="D13:F13"/>
    <mergeCell ref="D14:F14"/>
    <mergeCell ref="D16:T16"/>
    <mergeCell ref="H17:R17"/>
    <mergeCell ref="H18:P18"/>
    <mergeCell ref="D30:T30"/>
    <mergeCell ref="D8:F8"/>
    <mergeCell ref="H5:R5"/>
    <mergeCell ref="D6:T6"/>
    <mergeCell ref="D41:H41"/>
    <mergeCell ref="L33:N33"/>
    <mergeCell ref="D36:F36"/>
    <mergeCell ref="D39:F39"/>
    <mergeCell ref="D28:T28"/>
    <mergeCell ref="D29:T29"/>
  </mergeCells>
  <conditionalFormatting sqref="H13:H14">
    <cfRule type="cellIs" dxfId="6" priority="3" stopIfTrue="1" operator="lessThan">
      <formula>0</formula>
    </cfRule>
  </conditionalFormatting>
  <conditionalFormatting sqref="J13:J14">
    <cfRule type="cellIs" dxfId="5" priority="5" stopIfTrue="1" operator="lessThan">
      <formula>0</formula>
    </cfRule>
  </conditionalFormatting>
  <printOptions horizontalCentered="1"/>
  <pageMargins left="0" right="0" top="0.75" bottom="0.75" header="0.3" footer="0.3"/>
  <pageSetup paperSize="9" scale="58" orientation="landscape" r:id="rId4"/>
  <legacyDrawing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O65"/>
  <sheetViews>
    <sheetView rightToLeft="1" view="pageBreakPreview" topLeftCell="A43" zoomScaleSheetLayoutView="100" workbookViewId="0">
      <selection activeCell="G11" sqref="G11"/>
    </sheetView>
  </sheetViews>
  <sheetFormatPr defaultRowHeight="24" x14ac:dyDescent="0.25"/>
  <cols>
    <col min="1" max="1" width="9.140625" style="491" bestFit="1" customWidth="1"/>
    <col min="2" max="2" width="12.7109375" style="440" bestFit="1" customWidth="1"/>
    <col min="3" max="3" width="0.7109375" style="440" customWidth="1"/>
    <col min="4" max="4" width="24.28515625" style="440" bestFit="1" customWidth="1"/>
    <col min="5" max="5" width="9.7109375" style="440" bestFit="1" customWidth="1"/>
    <col min="6" max="6" width="4.5703125" style="440" bestFit="1" customWidth="1"/>
    <col min="7" max="7" width="27.5703125" style="440" bestFit="1" customWidth="1"/>
    <col min="8" max="8" width="4.5703125" style="440" customWidth="1"/>
    <col min="9" max="9" width="27.5703125" style="440" bestFit="1" customWidth="1"/>
    <col min="10" max="10" width="1" style="440" customWidth="1"/>
    <col min="11" max="11" width="0.7109375" style="440" customWidth="1"/>
    <col min="12" max="12" width="11.42578125" style="565" customWidth="1"/>
    <col min="13" max="13" width="2.28515625" style="440" customWidth="1"/>
    <col min="14" max="14" width="11.42578125" style="440" customWidth="1"/>
    <col min="15" max="15" width="11.7109375" style="440" customWidth="1"/>
    <col min="16" max="16" width="10.42578125" style="440" bestFit="1" customWidth="1"/>
    <col min="17" max="19" width="9" style="440"/>
    <col min="20" max="20" width="10.42578125" style="440" bestFit="1" customWidth="1"/>
    <col min="21" max="249" width="9" style="440"/>
    <col min="250" max="250" width="3.5703125" style="440" customWidth="1"/>
    <col min="251" max="251" width="4.85546875" style="440" customWidth="1"/>
    <col min="252" max="252" width="5.42578125" style="440" customWidth="1"/>
    <col min="253" max="253" width="31.28515625" style="440" customWidth="1"/>
    <col min="254" max="254" width="7.5703125" style="440" customWidth="1"/>
    <col min="255" max="255" width="2.42578125" style="440" customWidth="1"/>
    <col min="256" max="256" width="11.5703125" style="440" customWidth="1"/>
    <col min="257" max="257" width="2.42578125" style="440" customWidth="1"/>
    <col min="258" max="258" width="11.5703125" style="440" customWidth="1"/>
    <col min="259" max="259" width="2.42578125" style="440" customWidth="1"/>
    <col min="260" max="260" width="10.85546875" style="440" customWidth="1"/>
    <col min="261" max="261" width="2.42578125" style="440" customWidth="1"/>
    <col min="262" max="262" width="11.140625" style="440" customWidth="1"/>
    <col min="263" max="263" width="1.85546875" style="440" customWidth="1"/>
    <col min="264" max="264" width="11" style="440" customWidth="1"/>
    <col min="265" max="265" width="0.7109375" style="440" customWidth="1"/>
    <col min="266" max="266" width="1.85546875" style="440" customWidth="1"/>
    <col min="267" max="267" width="11.85546875" style="440" bestFit="1" customWidth="1"/>
    <col min="268" max="268" width="15.28515625" style="440" bestFit="1" customWidth="1"/>
    <col min="269" max="269" width="5" style="440" customWidth="1"/>
    <col min="270" max="270" width="10.42578125" style="440" bestFit="1" customWidth="1"/>
    <col min="271" max="271" width="5" style="440" customWidth="1"/>
    <col min="272" max="272" width="10.42578125" style="440" bestFit="1" customWidth="1"/>
    <col min="273" max="275" width="9" style="440"/>
    <col min="276" max="276" width="10.42578125" style="440" bestFit="1" customWidth="1"/>
    <col min="277" max="505" width="9" style="440"/>
    <col min="506" max="506" width="3.5703125" style="440" customWidth="1"/>
    <col min="507" max="507" width="4.85546875" style="440" customWidth="1"/>
    <col min="508" max="508" width="5.42578125" style="440" customWidth="1"/>
    <col min="509" max="509" width="31.28515625" style="440" customWidth="1"/>
    <col min="510" max="510" width="7.5703125" style="440" customWidth="1"/>
    <col min="511" max="511" width="2.42578125" style="440" customWidth="1"/>
    <col min="512" max="512" width="11.5703125" style="440" customWidth="1"/>
    <col min="513" max="513" width="2.42578125" style="440" customWidth="1"/>
    <col min="514" max="514" width="11.5703125" style="440" customWidth="1"/>
    <col min="515" max="515" width="2.42578125" style="440" customWidth="1"/>
    <col min="516" max="516" width="10.85546875" style="440" customWidth="1"/>
    <col min="517" max="517" width="2.42578125" style="440" customWidth="1"/>
    <col min="518" max="518" width="11.140625" style="440" customWidth="1"/>
    <col min="519" max="519" width="1.85546875" style="440" customWidth="1"/>
    <col min="520" max="520" width="11" style="440" customWidth="1"/>
    <col min="521" max="521" width="0.7109375" style="440" customWidth="1"/>
    <col min="522" max="522" width="1.85546875" style="440" customWidth="1"/>
    <col min="523" max="523" width="11.85546875" style="440" bestFit="1" customWidth="1"/>
    <col min="524" max="524" width="15.28515625" style="440" bestFit="1" customWidth="1"/>
    <col min="525" max="525" width="5" style="440" customWidth="1"/>
    <col min="526" max="526" width="10.42578125" style="440" bestFit="1" customWidth="1"/>
    <col min="527" max="527" width="5" style="440" customWidth="1"/>
    <col min="528" max="528" width="10.42578125" style="440" bestFit="1" customWidth="1"/>
    <col min="529" max="531" width="9" style="440"/>
    <col min="532" max="532" width="10.42578125" style="440" bestFit="1" customWidth="1"/>
    <col min="533" max="761" width="9" style="440"/>
    <col min="762" max="762" width="3.5703125" style="440" customWidth="1"/>
    <col min="763" max="763" width="4.85546875" style="440" customWidth="1"/>
    <col min="764" max="764" width="5.42578125" style="440" customWidth="1"/>
    <col min="765" max="765" width="31.28515625" style="440" customWidth="1"/>
    <col min="766" max="766" width="7.5703125" style="440" customWidth="1"/>
    <col min="767" max="767" width="2.42578125" style="440" customWidth="1"/>
    <col min="768" max="768" width="11.5703125" style="440" customWidth="1"/>
    <col min="769" max="769" width="2.42578125" style="440" customWidth="1"/>
    <col min="770" max="770" width="11.5703125" style="440" customWidth="1"/>
    <col min="771" max="771" width="2.42578125" style="440" customWidth="1"/>
    <col min="772" max="772" width="10.85546875" style="440" customWidth="1"/>
    <col min="773" max="773" width="2.42578125" style="440" customWidth="1"/>
    <col min="774" max="774" width="11.140625" style="440" customWidth="1"/>
    <col min="775" max="775" width="1.85546875" style="440" customWidth="1"/>
    <col min="776" max="776" width="11" style="440" customWidth="1"/>
    <col min="777" max="777" width="0.7109375" style="440" customWidth="1"/>
    <col min="778" max="778" width="1.85546875" style="440" customWidth="1"/>
    <col min="779" max="779" width="11.85546875" style="440" bestFit="1" customWidth="1"/>
    <col min="780" max="780" width="15.28515625" style="440" bestFit="1" customWidth="1"/>
    <col min="781" max="781" width="5" style="440" customWidth="1"/>
    <col min="782" max="782" width="10.42578125" style="440" bestFit="1" customWidth="1"/>
    <col min="783" max="783" width="5" style="440" customWidth="1"/>
    <col min="784" max="784" width="10.42578125" style="440" bestFit="1" customWidth="1"/>
    <col min="785" max="787" width="9" style="440"/>
    <col min="788" max="788" width="10.42578125" style="440" bestFit="1" customWidth="1"/>
    <col min="789" max="1017" width="9" style="440"/>
    <col min="1018" max="1018" width="3.5703125" style="440" customWidth="1"/>
    <col min="1019" max="1019" width="4.85546875" style="440" customWidth="1"/>
    <col min="1020" max="1020" width="5.42578125" style="440" customWidth="1"/>
    <col min="1021" max="1021" width="31.28515625" style="440" customWidth="1"/>
    <col min="1022" max="1022" width="7.5703125" style="440" customWidth="1"/>
    <col min="1023" max="1023" width="2.42578125" style="440" customWidth="1"/>
    <col min="1024" max="1024" width="11.5703125" style="440" customWidth="1"/>
    <col min="1025" max="1025" width="2.42578125" style="440" customWidth="1"/>
    <col min="1026" max="1026" width="11.5703125" style="440" customWidth="1"/>
    <col min="1027" max="1027" width="2.42578125" style="440" customWidth="1"/>
    <col min="1028" max="1028" width="10.85546875" style="440" customWidth="1"/>
    <col min="1029" max="1029" width="2.42578125" style="440" customWidth="1"/>
    <col min="1030" max="1030" width="11.140625" style="440" customWidth="1"/>
    <col min="1031" max="1031" width="1.85546875" style="440" customWidth="1"/>
    <col min="1032" max="1032" width="11" style="440" customWidth="1"/>
    <col min="1033" max="1033" width="0.7109375" style="440" customWidth="1"/>
    <col min="1034" max="1034" width="1.85546875" style="440" customWidth="1"/>
    <col min="1035" max="1035" width="11.85546875" style="440" bestFit="1" customWidth="1"/>
    <col min="1036" max="1036" width="15.28515625" style="440" bestFit="1" customWidth="1"/>
    <col min="1037" max="1037" width="5" style="440" customWidth="1"/>
    <col min="1038" max="1038" width="10.42578125" style="440" bestFit="1" customWidth="1"/>
    <col min="1039" max="1039" width="5" style="440" customWidth="1"/>
    <col min="1040" max="1040" width="10.42578125" style="440" bestFit="1" customWidth="1"/>
    <col min="1041" max="1043" width="9" style="440"/>
    <col min="1044" max="1044" width="10.42578125" style="440" bestFit="1" customWidth="1"/>
    <col min="1045" max="1273" width="9" style="440"/>
    <col min="1274" max="1274" width="3.5703125" style="440" customWidth="1"/>
    <col min="1275" max="1275" width="4.85546875" style="440" customWidth="1"/>
    <col min="1276" max="1276" width="5.42578125" style="440" customWidth="1"/>
    <col min="1277" max="1277" width="31.28515625" style="440" customWidth="1"/>
    <col min="1278" max="1278" width="7.5703125" style="440" customWidth="1"/>
    <col min="1279" max="1279" width="2.42578125" style="440" customWidth="1"/>
    <col min="1280" max="1280" width="11.5703125" style="440" customWidth="1"/>
    <col min="1281" max="1281" width="2.42578125" style="440" customWidth="1"/>
    <col min="1282" max="1282" width="11.5703125" style="440" customWidth="1"/>
    <col min="1283" max="1283" width="2.42578125" style="440" customWidth="1"/>
    <col min="1284" max="1284" width="10.85546875" style="440" customWidth="1"/>
    <col min="1285" max="1285" width="2.42578125" style="440" customWidth="1"/>
    <col min="1286" max="1286" width="11.140625" style="440" customWidth="1"/>
    <col min="1287" max="1287" width="1.85546875" style="440" customWidth="1"/>
    <col min="1288" max="1288" width="11" style="440" customWidth="1"/>
    <col min="1289" max="1289" width="0.7109375" style="440" customWidth="1"/>
    <col min="1290" max="1290" width="1.85546875" style="440" customWidth="1"/>
    <col min="1291" max="1291" width="11.85546875" style="440" bestFit="1" customWidth="1"/>
    <col min="1292" max="1292" width="15.28515625" style="440" bestFit="1" customWidth="1"/>
    <col min="1293" max="1293" width="5" style="440" customWidth="1"/>
    <col min="1294" max="1294" width="10.42578125" style="440" bestFit="1" customWidth="1"/>
    <col min="1295" max="1295" width="5" style="440" customWidth="1"/>
    <col min="1296" max="1296" width="10.42578125" style="440" bestFit="1" customWidth="1"/>
    <col min="1297" max="1299" width="9" style="440"/>
    <col min="1300" max="1300" width="10.42578125" style="440" bestFit="1" customWidth="1"/>
    <col min="1301" max="1529" width="9" style="440"/>
    <col min="1530" max="1530" width="3.5703125" style="440" customWidth="1"/>
    <col min="1531" max="1531" width="4.85546875" style="440" customWidth="1"/>
    <col min="1532" max="1532" width="5.42578125" style="440" customWidth="1"/>
    <col min="1533" max="1533" width="31.28515625" style="440" customWidth="1"/>
    <col min="1534" max="1534" width="7.5703125" style="440" customWidth="1"/>
    <col min="1535" max="1535" width="2.42578125" style="440" customWidth="1"/>
    <col min="1536" max="1536" width="11.5703125" style="440" customWidth="1"/>
    <col min="1537" max="1537" width="2.42578125" style="440" customWidth="1"/>
    <col min="1538" max="1538" width="11.5703125" style="440" customWidth="1"/>
    <col min="1539" max="1539" width="2.42578125" style="440" customWidth="1"/>
    <col min="1540" max="1540" width="10.85546875" style="440" customWidth="1"/>
    <col min="1541" max="1541" width="2.42578125" style="440" customWidth="1"/>
    <col min="1542" max="1542" width="11.140625" style="440" customWidth="1"/>
    <col min="1543" max="1543" width="1.85546875" style="440" customWidth="1"/>
    <col min="1544" max="1544" width="11" style="440" customWidth="1"/>
    <col min="1545" max="1545" width="0.7109375" style="440" customWidth="1"/>
    <col min="1546" max="1546" width="1.85546875" style="440" customWidth="1"/>
    <col min="1547" max="1547" width="11.85546875" style="440" bestFit="1" customWidth="1"/>
    <col min="1548" max="1548" width="15.28515625" style="440" bestFit="1" customWidth="1"/>
    <col min="1549" max="1549" width="5" style="440" customWidth="1"/>
    <col min="1550" max="1550" width="10.42578125" style="440" bestFit="1" customWidth="1"/>
    <col min="1551" max="1551" width="5" style="440" customWidth="1"/>
    <col min="1552" max="1552" width="10.42578125" style="440" bestFit="1" customWidth="1"/>
    <col min="1553" max="1555" width="9" style="440"/>
    <col min="1556" max="1556" width="10.42578125" style="440" bestFit="1" customWidth="1"/>
    <col min="1557" max="1785" width="9" style="440"/>
    <col min="1786" max="1786" width="3.5703125" style="440" customWidth="1"/>
    <col min="1787" max="1787" width="4.85546875" style="440" customWidth="1"/>
    <col min="1788" max="1788" width="5.42578125" style="440" customWidth="1"/>
    <col min="1789" max="1789" width="31.28515625" style="440" customWidth="1"/>
    <col min="1790" max="1790" width="7.5703125" style="440" customWidth="1"/>
    <col min="1791" max="1791" width="2.42578125" style="440" customWidth="1"/>
    <col min="1792" max="1792" width="11.5703125" style="440" customWidth="1"/>
    <col min="1793" max="1793" width="2.42578125" style="440" customWidth="1"/>
    <col min="1794" max="1794" width="11.5703125" style="440" customWidth="1"/>
    <col min="1795" max="1795" width="2.42578125" style="440" customWidth="1"/>
    <col min="1796" max="1796" width="10.85546875" style="440" customWidth="1"/>
    <col min="1797" max="1797" width="2.42578125" style="440" customWidth="1"/>
    <col min="1798" max="1798" width="11.140625" style="440" customWidth="1"/>
    <col min="1799" max="1799" width="1.85546875" style="440" customWidth="1"/>
    <col min="1800" max="1800" width="11" style="440" customWidth="1"/>
    <col min="1801" max="1801" width="0.7109375" style="440" customWidth="1"/>
    <col min="1802" max="1802" width="1.85546875" style="440" customWidth="1"/>
    <col min="1803" max="1803" width="11.85546875" style="440" bestFit="1" customWidth="1"/>
    <col min="1804" max="1804" width="15.28515625" style="440" bestFit="1" customWidth="1"/>
    <col min="1805" max="1805" width="5" style="440" customWidth="1"/>
    <col min="1806" max="1806" width="10.42578125" style="440" bestFit="1" customWidth="1"/>
    <col min="1807" max="1807" width="5" style="440" customWidth="1"/>
    <col min="1808" max="1808" width="10.42578125" style="440" bestFit="1" customWidth="1"/>
    <col min="1809" max="1811" width="9" style="440"/>
    <col min="1812" max="1812" width="10.42578125" style="440" bestFit="1" customWidth="1"/>
    <col min="1813" max="2041" width="9" style="440"/>
    <col min="2042" max="2042" width="3.5703125" style="440" customWidth="1"/>
    <col min="2043" max="2043" width="4.85546875" style="440" customWidth="1"/>
    <col min="2044" max="2044" width="5.42578125" style="440" customWidth="1"/>
    <col min="2045" max="2045" width="31.28515625" style="440" customWidth="1"/>
    <col min="2046" max="2046" width="7.5703125" style="440" customWidth="1"/>
    <col min="2047" max="2047" width="2.42578125" style="440" customWidth="1"/>
    <col min="2048" max="2048" width="11.5703125" style="440" customWidth="1"/>
    <col min="2049" max="2049" width="2.42578125" style="440" customWidth="1"/>
    <col min="2050" max="2050" width="11.5703125" style="440" customWidth="1"/>
    <col min="2051" max="2051" width="2.42578125" style="440" customWidth="1"/>
    <col min="2052" max="2052" width="10.85546875" style="440" customWidth="1"/>
    <col min="2053" max="2053" width="2.42578125" style="440" customWidth="1"/>
    <col min="2054" max="2054" width="11.140625" style="440" customWidth="1"/>
    <col min="2055" max="2055" width="1.85546875" style="440" customWidth="1"/>
    <col min="2056" max="2056" width="11" style="440" customWidth="1"/>
    <col min="2057" max="2057" width="0.7109375" style="440" customWidth="1"/>
    <col min="2058" max="2058" width="1.85546875" style="440" customWidth="1"/>
    <col min="2059" max="2059" width="11.85546875" style="440" bestFit="1" customWidth="1"/>
    <col min="2060" max="2060" width="15.28515625" style="440" bestFit="1" customWidth="1"/>
    <col min="2061" max="2061" width="5" style="440" customWidth="1"/>
    <col min="2062" max="2062" width="10.42578125" style="440" bestFit="1" customWidth="1"/>
    <col min="2063" max="2063" width="5" style="440" customWidth="1"/>
    <col min="2064" max="2064" width="10.42578125" style="440" bestFit="1" customWidth="1"/>
    <col min="2065" max="2067" width="9" style="440"/>
    <col min="2068" max="2068" width="10.42578125" style="440" bestFit="1" customWidth="1"/>
    <col min="2069" max="2297" width="9" style="440"/>
    <col min="2298" max="2298" width="3.5703125" style="440" customWidth="1"/>
    <col min="2299" max="2299" width="4.85546875" style="440" customWidth="1"/>
    <col min="2300" max="2300" width="5.42578125" style="440" customWidth="1"/>
    <col min="2301" max="2301" width="31.28515625" style="440" customWidth="1"/>
    <col min="2302" max="2302" width="7.5703125" style="440" customWidth="1"/>
    <col min="2303" max="2303" width="2.42578125" style="440" customWidth="1"/>
    <col min="2304" max="2304" width="11.5703125" style="440" customWidth="1"/>
    <col min="2305" max="2305" width="2.42578125" style="440" customWidth="1"/>
    <col min="2306" max="2306" width="11.5703125" style="440" customWidth="1"/>
    <col min="2307" max="2307" width="2.42578125" style="440" customWidth="1"/>
    <col min="2308" max="2308" width="10.85546875" style="440" customWidth="1"/>
    <col min="2309" max="2309" width="2.42578125" style="440" customWidth="1"/>
    <col min="2310" max="2310" width="11.140625" style="440" customWidth="1"/>
    <col min="2311" max="2311" width="1.85546875" style="440" customWidth="1"/>
    <col min="2312" max="2312" width="11" style="440" customWidth="1"/>
    <col min="2313" max="2313" width="0.7109375" style="440" customWidth="1"/>
    <col min="2314" max="2314" width="1.85546875" style="440" customWidth="1"/>
    <col min="2315" max="2315" width="11.85546875" style="440" bestFit="1" customWidth="1"/>
    <col min="2316" max="2316" width="15.28515625" style="440" bestFit="1" customWidth="1"/>
    <col min="2317" max="2317" width="5" style="440" customWidth="1"/>
    <col min="2318" max="2318" width="10.42578125" style="440" bestFit="1" customWidth="1"/>
    <col min="2319" max="2319" width="5" style="440" customWidth="1"/>
    <col min="2320" max="2320" width="10.42578125" style="440" bestFit="1" customWidth="1"/>
    <col min="2321" max="2323" width="9" style="440"/>
    <col min="2324" max="2324" width="10.42578125" style="440" bestFit="1" customWidth="1"/>
    <col min="2325" max="2553" width="9" style="440"/>
    <col min="2554" max="2554" width="3.5703125" style="440" customWidth="1"/>
    <col min="2555" max="2555" width="4.85546875" style="440" customWidth="1"/>
    <col min="2556" max="2556" width="5.42578125" style="440" customWidth="1"/>
    <col min="2557" max="2557" width="31.28515625" style="440" customWidth="1"/>
    <col min="2558" max="2558" width="7.5703125" style="440" customWidth="1"/>
    <col min="2559" max="2559" width="2.42578125" style="440" customWidth="1"/>
    <col min="2560" max="2560" width="11.5703125" style="440" customWidth="1"/>
    <col min="2561" max="2561" width="2.42578125" style="440" customWidth="1"/>
    <col min="2562" max="2562" width="11.5703125" style="440" customWidth="1"/>
    <col min="2563" max="2563" width="2.42578125" style="440" customWidth="1"/>
    <col min="2564" max="2564" width="10.85546875" style="440" customWidth="1"/>
    <col min="2565" max="2565" width="2.42578125" style="440" customWidth="1"/>
    <col min="2566" max="2566" width="11.140625" style="440" customWidth="1"/>
    <col min="2567" max="2567" width="1.85546875" style="440" customWidth="1"/>
    <col min="2568" max="2568" width="11" style="440" customWidth="1"/>
    <col min="2569" max="2569" width="0.7109375" style="440" customWidth="1"/>
    <col min="2570" max="2570" width="1.85546875" style="440" customWidth="1"/>
    <col min="2571" max="2571" width="11.85546875" style="440" bestFit="1" customWidth="1"/>
    <col min="2572" max="2572" width="15.28515625" style="440" bestFit="1" customWidth="1"/>
    <col min="2573" max="2573" width="5" style="440" customWidth="1"/>
    <col min="2574" max="2574" width="10.42578125" style="440" bestFit="1" customWidth="1"/>
    <col min="2575" max="2575" width="5" style="440" customWidth="1"/>
    <col min="2576" max="2576" width="10.42578125" style="440" bestFit="1" customWidth="1"/>
    <col min="2577" max="2579" width="9" style="440"/>
    <col min="2580" max="2580" width="10.42578125" style="440" bestFit="1" customWidth="1"/>
    <col min="2581" max="2809" width="9" style="440"/>
    <col min="2810" max="2810" width="3.5703125" style="440" customWidth="1"/>
    <col min="2811" max="2811" width="4.85546875" style="440" customWidth="1"/>
    <col min="2812" max="2812" width="5.42578125" style="440" customWidth="1"/>
    <col min="2813" max="2813" width="31.28515625" style="440" customWidth="1"/>
    <col min="2814" max="2814" width="7.5703125" style="440" customWidth="1"/>
    <col min="2815" max="2815" width="2.42578125" style="440" customWidth="1"/>
    <col min="2816" max="2816" width="11.5703125" style="440" customWidth="1"/>
    <col min="2817" max="2817" width="2.42578125" style="440" customWidth="1"/>
    <col min="2818" max="2818" width="11.5703125" style="440" customWidth="1"/>
    <col min="2819" max="2819" width="2.42578125" style="440" customWidth="1"/>
    <col min="2820" max="2820" width="10.85546875" style="440" customWidth="1"/>
    <col min="2821" max="2821" width="2.42578125" style="440" customWidth="1"/>
    <col min="2822" max="2822" width="11.140625" style="440" customWidth="1"/>
    <col min="2823" max="2823" width="1.85546875" style="440" customWidth="1"/>
    <col min="2824" max="2824" width="11" style="440" customWidth="1"/>
    <col min="2825" max="2825" width="0.7109375" style="440" customWidth="1"/>
    <col min="2826" max="2826" width="1.85546875" style="440" customWidth="1"/>
    <col min="2827" max="2827" width="11.85546875" style="440" bestFit="1" customWidth="1"/>
    <col min="2828" max="2828" width="15.28515625" style="440" bestFit="1" customWidth="1"/>
    <col min="2829" max="2829" width="5" style="440" customWidth="1"/>
    <col min="2830" max="2830" width="10.42578125" style="440" bestFit="1" customWidth="1"/>
    <col min="2831" max="2831" width="5" style="440" customWidth="1"/>
    <col min="2832" max="2832" width="10.42578125" style="440" bestFit="1" customWidth="1"/>
    <col min="2833" max="2835" width="9" style="440"/>
    <col min="2836" max="2836" width="10.42578125" style="440" bestFit="1" customWidth="1"/>
    <col min="2837" max="3065" width="9" style="440"/>
    <col min="3066" max="3066" width="3.5703125" style="440" customWidth="1"/>
    <col min="3067" max="3067" width="4.85546875" style="440" customWidth="1"/>
    <col min="3068" max="3068" width="5.42578125" style="440" customWidth="1"/>
    <col min="3069" max="3069" width="31.28515625" style="440" customWidth="1"/>
    <col min="3070" max="3070" width="7.5703125" style="440" customWidth="1"/>
    <col min="3071" max="3071" width="2.42578125" style="440" customWidth="1"/>
    <col min="3072" max="3072" width="11.5703125" style="440" customWidth="1"/>
    <col min="3073" max="3073" width="2.42578125" style="440" customWidth="1"/>
    <col min="3074" max="3074" width="11.5703125" style="440" customWidth="1"/>
    <col min="3075" max="3075" width="2.42578125" style="440" customWidth="1"/>
    <col min="3076" max="3076" width="10.85546875" style="440" customWidth="1"/>
    <col min="3077" max="3077" width="2.42578125" style="440" customWidth="1"/>
    <col min="3078" max="3078" width="11.140625" style="440" customWidth="1"/>
    <col min="3079" max="3079" width="1.85546875" style="440" customWidth="1"/>
    <col min="3080" max="3080" width="11" style="440" customWidth="1"/>
    <col min="3081" max="3081" width="0.7109375" style="440" customWidth="1"/>
    <col min="3082" max="3082" width="1.85546875" style="440" customWidth="1"/>
    <col min="3083" max="3083" width="11.85546875" style="440" bestFit="1" customWidth="1"/>
    <col min="3084" max="3084" width="15.28515625" style="440" bestFit="1" customWidth="1"/>
    <col min="3085" max="3085" width="5" style="440" customWidth="1"/>
    <col min="3086" max="3086" width="10.42578125" style="440" bestFit="1" customWidth="1"/>
    <col min="3087" max="3087" width="5" style="440" customWidth="1"/>
    <col min="3088" max="3088" width="10.42578125" style="440" bestFit="1" customWidth="1"/>
    <col min="3089" max="3091" width="9" style="440"/>
    <col min="3092" max="3092" width="10.42578125" style="440" bestFit="1" customWidth="1"/>
    <col min="3093" max="3321" width="9" style="440"/>
    <col min="3322" max="3322" width="3.5703125" style="440" customWidth="1"/>
    <col min="3323" max="3323" width="4.85546875" style="440" customWidth="1"/>
    <col min="3324" max="3324" width="5.42578125" style="440" customWidth="1"/>
    <col min="3325" max="3325" width="31.28515625" style="440" customWidth="1"/>
    <col min="3326" max="3326" width="7.5703125" style="440" customWidth="1"/>
    <col min="3327" max="3327" width="2.42578125" style="440" customWidth="1"/>
    <col min="3328" max="3328" width="11.5703125" style="440" customWidth="1"/>
    <col min="3329" max="3329" width="2.42578125" style="440" customWidth="1"/>
    <col min="3330" max="3330" width="11.5703125" style="440" customWidth="1"/>
    <col min="3331" max="3331" width="2.42578125" style="440" customWidth="1"/>
    <col min="3332" max="3332" width="10.85546875" style="440" customWidth="1"/>
    <col min="3333" max="3333" width="2.42578125" style="440" customWidth="1"/>
    <col min="3334" max="3334" width="11.140625" style="440" customWidth="1"/>
    <col min="3335" max="3335" width="1.85546875" style="440" customWidth="1"/>
    <col min="3336" max="3336" width="11" style="440" customWidth="1"/>
    <col min="3337" max="3337" width="0.7109375" style="440" customWidth="1"/>
    <col min="3338" max="3338" width="1.85546875" style="440" customWidth="1"/>
    <col min="3339" max="3339" width="11.85546875" style="440" bestFit="1" customWidth="1"/>
    <col min="3340" max="3340" width="15.28515625" style="440" bestFit="1" customWidth="1"/>
    <col min="3341" max="3341" width="5" style="440" customWidth="1"/>
    <col min="3342" max="3342" width="10.42578125" style="440" bestFit="1" customWidth="1"/>
    <col min="3343" max="3343" width="5" style="440" customWidth="1"/>
    <col min="3344" max="3344" width="10.42578125" style="440" bestFit="1" customWidth="1"/>
    <col min="3345" max="3347" width="9" style="440"/>
    <col min="3348" max="3348" width="10.42578125" style="440" bestFit="1" customWidth="1"/>
    <col min="3349" max="3577" width="9" style="440"/>
    <col min="3578" max="3578" width="3.5703125" style="440" customWidth="1"/>
    <col min="3579" max="3579" width="4.85546875" style="440" customWidth="1"/>
    <col min="3580" max="3580" width="5.42578125" style="440" customWidth="1"/>
    <col min="3581" max="3581" width="31.28515625" style="440" customWidth="1"/>
    <col min="3582" max="3582" width="7.5703125" style="440" customWidth="1"/>
    <col min="3583" max="3583" width="2.42578125" style="440" customWidth="1"/>
    <col min="3584" max="3584" width="11.5703125" style="440" customWidth="1"/>
    <col min="3585" max="3585" width="2.42578125" style="440" customWidth="1"/>
    <col min="3586" max="3586" width="11.5703125" style="440" customWidth="1"/>
    <col min="3587" max="3587" width="2.42578125" style="440" customWidth="1"/>
    <col min="3588" max="3588" width="10.85546875" style="440" customWidth="1"/>
    <col min="3589" max="3589" width="2.42578125" style="440" customWidth="1"/>
    <col min="3590" max="3590" width="11.140625" style="440" customWidth="1"/>
    <col min="3591" max="3591" width="1.85546875" style="440" customWidth="1"/>
    <col min="3592" max="3592" width="11" style="440" customWidth="1"/>
    <col min="3593" max="3593" width="0.7109375" style="440" customWidth="1"/>
    <col min="3594" max="3594" width="1.85546875" style="440" customWidth="1"/>
    <col min="3595" max="3595" width="11.85546875" style="440" bestFit="1" customWidth="1"/>
    <col min="3596" max="3596" width="15.28515625" style="440" bestFit="1" customWidth="1"/>
    <col min="3597" max="3597" width="5" style="440" customWidth="1"/>
    <col min="3598" max="3598" width="10.42578125" style="440" bestFit="1" customWidth="1"/>
    <col min="3599" max="3599" width="5" style="440" customWidth="1"/>
    <col min="3600" max="3600" width="10.42578125" style="440" bestFit="1" customWidth="1"/>
    <col min="3601" max="3603" width="9" style="440"/>
    <col min="3604" max="3604" width="10.42578125" style="440" bestFit="1" customWidth="1"/>
    <col min="3605" max="3833" width="9" style="440"/>
    <col min="3834" max="3834" width="3.5703125" style="440" customWidth="1"/>
    <col min="3835" max="3835" width="4.85546875" style="440" customWidth="1"/>
    <col min="3836" max="3836" width="5.42578125" style="440" customWidth="1"/>
    <col min="3837" max="3837" width="31.28515625" style="440" customWidth="1"/>
    <col min="3838" max="3838" width="7.5703125" style="440" customWidth="1"/>
    <col min="3839" max="3839" width="2.42578125" style="440" customWidth="1"/>
    <col min="3840" max="3840" width="11.5703125" style="440" customWidth="1"/>
    <col min="3841" max="3841" width="2.42578125" style="440" customWidth="1"/>
    <col min="3842" max="3842" width="11.5703125" style="440" customWidth="1"/>
    <col min="3843" max="3843" width="2.42578125" style="440" customWidth="1"/>
    <col min="3844" max="3844" width="10.85546875" style="440" customWidth="1"/>
    <col min="3845" max="3845" width="2.42578125" style="440" customWidth="1"/>
    <col min="3846" max="3846" width="11.140625" style="440" customWidth="1"/>
    <col min="3847" max="3847" width="1.85546875" style="440" customWidth="1"/>
    <col min="3848" max="3848" width="11" style="440" customWidth="1"/>
    <col min="3849" max="3849" width="0.7109375" style="440" customWidth="1"/>
    <col min="3850" max="3850" width="1.85546875" style="440" customWidth="1"/>
    <col min="3851" max="3851" width="11.85546875" style="440" bestFit="1" customWidth="1"/>
    <col min="3852" max="3852" width="15.28515625" style="440" bestFit="1" customWidth="1"/>
    <col min="3853" max="3853" width="5" style="440" customWidth="1"/>
    <col min="3854" max="3854" width="10.42578125" style="440" bestFit="1" customWidth="1"/>
    <col min="3855" max="3855" width="5" style="440" customWidth="1"/>
    <col min="3856" max="3856" width="10.42578125" style="440" bestFit="1" customWidth="1"/>
    <col min="3857" max="3859" width="9" style="440"/>
    <col min="3860" max="3860" width="10.42578125" style="440" bestFit="1" customWidth="1"/>
    <col min="3861" max="4089" width="9" style="440"/>
    <col min="4090" max="4090" width="3.5703125" style="440" customWidth="1"/>
    <col min="4091" max="4091" width="4.85546875" style="440" customWidth="1"/>
    <col min="4092" max="4092" width="5.42578125" style="440" customWidth="1"/>
    <col min="4093" max="4093" width="31.28515625" style="440" customWidth="1"/>
    <col min="4094" max="4094" width="7.5703125" style="440" customWidth="1"/>
    <col min="4095" max="4095" width="2.42578125" style="440" customWidth="1"/>
    <col min="4096" max="4096" width="11.5703125" style="440" customWidth="1"/>
    <col min="4097" max="4097" width="2.42578125" style="440" customWidth="1"/>
    <col min="4098" max="4098" width="11.5703125" style="440" customWidth="1"/>
    <col min="4099" max="4099" width="2.42578125" style="440" customWidth="1"/>
    <col min="4100" max="4100" width="10.85546875" style="440" customWidth="1"/>
    <col min="4101" max="4101" width="2.42578125" style="440" customWidth="1"/>
    <col min="4102" max="4102" width="11.140625" style="440" customWidth="1"/>
    <col min="4103" max="4103" width="1.85546875" style="440" customWidth="1"/>
    <col min="4104" max="4104" width="11" style="440" customWidth="1"/>
    <col min="4105" max="4105" width="0.7109375" style="440" customWidth="1"/>
    <col min="4106" max="4106" width="1.85546875" style="440" customWidth="1"/>
    <col min="4107" max="4107" width="11.85546875" style="440" bestFit="1" customWidth="1"/>
    <col min="4108" max="4108" width="15.28515625" style="440" bestFit="1" customWidth="1"/>
    <col min="4109" max="4109" width="5" style="440" customWidth="1"/>
    <col min="4110" max="4110" width="10.42578125" style="440" bestFit="1" customWidth="1"/>
    <col min="4111" max="4111" width="5" style="440" customWidth="1"/>
    <col min="4112" max="4112" width="10.42578125" style="440" bestFit="1" customWidth="1"/>
    <col min="4113" max="4115" width="9" style="440"/>
    <col min="4116" max="4116" width="10.42578125" style="440" bestFit="1" customWidth="1"/>
    <col min="4117" max="4345" width="9" style="440"/>
    <col min="4346" max="4346" width="3.5703125" style="440" customWidth="1"/>
    <col min="4347" max="4347" width="4.85546875" style="440" customWidth="1"/>
    <col min="4348" max="4348" width="5.42578125" style="440" customWidth="1"/>
    <col min="4349" max="4349" width="31.28515625" style="440" customWidth="1"/>
    <col min="4350" max="4350" width="7.5703125" style="440" customWidth="1"/>
    <col min="4351" max="4351" width="2.42578125" style="440" customWidth="1"/>
    <col min="4352" max="4352" width="11.5703125" style="440" customWidth="1"/>
    <col min="4353" max="4353" width="2.42578125" style="440" customWidth="1"/>
    <col min="4354" max="4354" width="11.5703125" style="440" customWidth="1"/>
    <col min="4355" max="4355" width="2.42578125" style="440" customWidth="1"/>
    <col min="4356" max="4356" width="10.85546875" style="440" customWidth="1"/>
    <col min="4357" max="4357" width="2.42578125" style="440" customWidth="1"/>
    <col min="4358" max="4358" width="11.140625" style="440" customWidth="1"/>
    <col min="4359" max="4359" width="1.85546875" style="440" customWidth="1"/>
    <col min="4360" max="4360" width="11" style="440" customWidth="1"/>
    <col min="4361" max="4361" width="0.7109375" style="440" customWidth="1"/>
    <col min="4362" max="4362" width="1.85546875" style="440" customWidth="1"/>
    <col min="4363" max="4363" width="11.85546875" style="440" bestFit="1" customWidth="1"/>
    <col min="4364" max="4364" width="15.28515625" style="440" bestFit="1" customWidth="1"/>
    <col min="4365" max="4365" width="5" style="440" customWidth="1"/>
    <col min="4366" max="4366" width="10.42578125" style="440" bestFit="1" customWidth="1"/>
    <col min="4367" max="4367" width="5" style="440" customWidth="1"/>
    <col min="4368" max="4368" width="10.42578125" style="440" bestFit="1" customWidth="1"/>
    <col min="4369" max="4371" width="9" style="440"/>
    <col min="4372" max="4372" width="10.42578125" style="440" bestFit="1" customWidth="1"/>
    <col min="4373" max="4601" width="9" style="440"/>
    <col min="4602" max="4602" width="3.5703125" style="440" customWidth="1"/>
    <col min="4603" max="4603" width="4.85546875" style="440" customWidth="1"/>
    <col min="4604" max="4604" width="5.42578125" style="440" customWidth="1"/>
    <col min="4605" max="4605" width="31.28515625" style="440" customWidth="1"/>
    <col min="4606" max="4606" width="7.5703125" style="440" customWidth="1"/>
    <col min="4607" max="4607" width="2.42578125" style="440" customWidth="1"/>
    <col min="4608" max="4608" width="11.5703125" style="440" customWidth="1"/>
    <col min="4609" max="4609" width="2.42578125" style="440" customWidth="1"/>
    <col min="4610" max="4610" width="11.5703125" style="440" customWidth="1"/>
    <col min="4611" max="4611" width="2.42578125" style="440" customWidth="1"/>
    <col min="4612" max="4612" width="10.85546875" style="440" customWidth="1"/>
    <col min="4613" max="4613" width="2.42578125" style="440" customWidth="1"/>
    <col min="4614" max="4614" width="11.140625" style="440" customWidth="1"/>
    <col min="4615" max="4615" width="1.85546875" style="440" customWidth="1"/>
    <col min="4616" max="4616" width="11" style="440" customWidth="1"/>
    <col min="4617" max="4617" width="0.7109375" style="440" customWidth="1"/>
    <col min="4618" max="4618" width="1.85546875" style="440" customWidth="1"/>
    <col min="4619" max="4619" width="11.85546875" style="440" bestFit="1" customWidth="1"/>
    <col min="4620" max="4620" width="15.28515625" style="440" bestFit="1" customWidth="1"/>
    <col min="4621" max="4621" width="5" style="440" customWidth="1"/>
    <col min="4622" max="4622" width="10.42578125" style="440" bestFit="1" customWidth="1"/>
    <col min="4623" max="4623" width="5" style="440" customWidth="1"/>
    <col min="4624" max="4624" width="10.42578125" style="440" bestFit="1" customWidth="1"/>
    <col min="4625" max="4627" width="9" style="440"/>
    <col min="4628" max="4628" width="10.42578125" style="440" bestFit="1" customWidth="1"/>
    <col min="4629" max="4857" width="9" style="440"/>
    <col min="4858" max="4858" width="3.5703125" style="440" customWidth="1"/>
    <col min="4859" max="4859" width="4.85546875" style="440" customWidth="1"/>
    <col min="4860" max="4860" width="5.42578125" style="440" customWidth="1"/>
    <col min="4861" max="4861" width="31.28515625" style="440" customWidth="1"/>
    <col min="4862" max="4862" width="7.5703125" style="440" customWidth="1"/>
    <col min="4863" max="4863" width="2.42578125" style="440" customWidth="1"/>
    <col min="4864" max="4864" width="11.5703125" style="440" customWidth="1"/>
    <col min="4865" max="4865" width="2.42578125" style="440" customWidth="1"/>
    <col min="4866" max="4866" width="11.5703125" style="440" customWidth="1"/>
    <col min="4867" max="4867" width="2.42578125" style="440" customWidth="1"/>
    <col min="4868" max="4868" width="10.85546875" style="440" customWidth="1"/>
    <col min="4869" max="4869" width="2.42578125" style="440" customWidth="1"/>
    <col min="4870" max="4870" width="11.140625" style="440" customWidth="1"/>
    <col min="4871" max="4871" width="1.85546875" style="440" customWidth="1"/>
    <col min="4872" max="4872" width="11" style="440" customWidth="1"/>
    <col min="4873" max="4873" width="0.7109375" style="440" customWidth="1"/>
    <col min="4874" max="4874" width="1.85546875" style="440" customWidth="1"/>
    <col min="4875" max="4875" width="11.85546875" style="440" bestFit="1" customWidth="1"/>
    <col min="4876" max="4876" width="15.28515625" style="440" bestFit="1" customWidth="1"/>
    <col min="4877" max="4877" width="5" style="440" customWidth="1"/>
    <col min="4878" max="4878" width="10.42578125" style="440" bestFit="1" customWidth="1"/>
    <col min="4879" max="4879" width="5" style="440" customWidth="1"/>
    <col min="4880" max="4880" width="10.42578125" style="440" bestFit="1" customWidth="1"/>
    <col min="4881" max="4883" width="9" style="440"/>
    <col min="4884" max="4884" width="10.42578125" style="440" bestFit="1" customWidth="1"/>
    <col min="4885" max="5113" width="9" style="440"/>
    <col min="5114" max="5114" width="3.5703125" style="440" customWidth="1"/>
    <col min="5115" max="5115" width="4.85546875" style="440" customWidth="1"/>
    <col min="5116" max="5116" width="5.42578125" style="440" customWidth="1"/>
    <col min="5117" max="5117" width="31.28515625" style="440" customWidth="1"/>
    <col min="5118" max="5118" width="7.5703125" style="440" customWidth="1"/>
    <col min="5119" max="5119" width="2.42578125" style="440" customWidth="1"/>
    <col min="5120" max="5120" width="11.5703125" style="440" customWidth="1"/>
    <col min="5121" max="5121" width="2.42578125" style="440" customWidth="1"/>
    <col min="5122" max="5122" width="11.5703125" style="440" customWidth="1"/>
    <col min="5123" max="5123" width="2.42578125" style="440" customWidth="1"/>
    <col min="5124" max="5124" width="10.85546875" style="440" customWidth="1"/>
    <col min="5125" max="5125" width="2.42578125" style="440" customWidth="1"/>
    <col min="5126" max="5126" width="11.140625" style="440" customWidth="1"/>
    <col min="5127" max="5127" width="1.85546875" style="440" customWidth="1"/>
    <col min="5128" max="5128" width="11" style="440" customWidth="1"/>
    <col min="5129" max="5129" width="0.7109375" style="440" customWidth="1"/>
    <col min="5130" max="5130" width="1.85546875" style="440" customWidth="1"/>
    <col min="5131" max="5131" width="11.85546875" style="440" bestFit="1" customWidth="1"/>
    <col min="5132" max="5132" width="15.28515625" style="440" bestFit="1" customWidth="1"/>
    <col min="5133" max="5133" width="5" style="440" customWidth="1"/>
    <col min="5134" max="5134" width="10.42578125" style="440" bestFit="1" customWidth="1"/>
    <col min="5135" max="5135" width="5" style="440" customWidth="1"/>
    <col min="5136" max="5136" width="10.42578125" style="440" bestFit="1" customWidth="1"/>
    <col min="5137" max="5139" width="9" style="440"/>
    <col min="5140" max="5140" width="10.42578125" style="440" bestFit="1" customWidth="1"/>
    <col min="5141" max="5369" width="9" style="440"/>
    <col min="5370" max="5370" width="3.5703125" style="440" customWidth="1"/>
    <col min="5371" max="5371" width="4.85546875" style="440" customWidth="1"/>
    <col min="5372" max="5372" width="5.42578125" style="440" customWidth="1"/>
    <col min="5373" max="5373" width="31.28515625" style="440" customWidth="1"/>
    <col min="5374" max="5374" width="7.5703125" style="440" customWidth="1"/>
    <col min="5375" max="5375" width="2.42578125" style="440" customWidth="1"/>
    <col min="5376" max="5376" width="11.5703125" style="440" customWidth="1"/>
    <col min="5377" max="5377" width="2.42578125" style="440" customWidth="1"/>
    <col min="5378" max="5378" width="11.5703125" style="440" customWidth="1"/>
    <col min="5379" max="5379" width="2.42578125" style="440" customWidth="1"/>
    <col min="5380" max="5380" width="10.85546875" style="440" customWidth="1"/>
    <col min="5381" max="5381" width="2.42578125" style="440" customWidth="1"/>
    <col min="5382" max="5382" width="11.140625" style="440" customWidth="1"/>
    <col min="5383" max="5383" width="1.85546875" style="440" customWidth="1"/>
    <col min="5384" max="5384" width="11" style="440" customWidth="1"/>
    <col min="5385" max="5385" width="0.7109375" style="440" customWidth="1"/>
    <col min="5386" max="5386" width="1.85546875" style="440" customWidth="1"/>
    <col min="5387" max="5387" width="11.85546875" style="440" bestFit="1" customWidth="1"/>
    <col min="5388" max="5388" width="15.28515625" style="440" bestFit="1" customWidth="1"/>
    <col min="5389" max="5389" width="5" style="440" customWidth="1"/>
    <col min="5390" max="5390" width="10.42578125" style="440" bestFit="1" customWidth="1"/>
    <col min="5391" max="5391" width="5" style="440" customWidth="1"/>
    <col min="5392" max="5392" width="10.42578125" style="440" bestFit="1" customWidth="1"/>
    <col min="5393" max="5395" width="9" style="440"/>
    <col min="5396" max="5396" width="10.42578125" style="440" bestFit="1" customWidth="1"/>
    <col min="5397" max="5625" width="9" style="440"/>
    <col min="5626" max="5626" width="3.5703125" style="440" customWidth="1"/>
    <col min="5627" max="5627" width="4.85546875" style="440" customWidth="1"/>
    <col min="5628" max="5628" width="5.42578125" style="440" customWidth="1"/>
    <col min="5629" max="5629" width="31.28515625" style="440" customWidth="1"/>
    <col min="5630" max="5630" width="7.5703125" style="440" customWidth="1"/>
    <col min="5631" max="5631" width="2.42578125" style="440" customWidth="1"/>
    <col min="5632" max="5632" width="11.5703125" style="440" customWidth="1"/>
    <col min="5633" max="5633" width="2.42578125" style="440" customWidth="1"/>
    <col min="5634" max="5634" width="11.5703125" style="440" customWidth="1"/>
    <col min="5635" max="5635" width="2.42578125" style="440" customWidth="1"/>
    <col min="5636" max="5636" width="10.85546875" style="440" customWidth="1"/>
    <col min="5637" max="5637" width="2.42578125" style="440" customWidth="1"/>
    <col min="5638" max="5638" width="11.140625" style="440" customWidth="1"/>
    <col min="5639" max="5639" width="1.85546875" style="440" customWidth="1"/>
    <col min="5640" max="5640" width="11" style="440" customWidth="1"/>
    <col min="5641" max="5641" width="0.7109375" style="440" customWidth="1"/>
    <col min="5642" max="5642" width="1.85546875" style="440" customWidth="1"/>
    <col min="5643" max="5643" width="11.85546875" style="440" bestFit="1" customWidth="1"/>
    <col min="5644" max="5644" width="15.28515625" style="440" bestFit="1" customWidth="1"/>
    <col min="5645" max="5645" width="5" style="440" customWidth="1"/>
    <col min="5646" max="5646" width="10.42578125" style="440" bestFit="1" customWidth="1"/>
    <col min="5647" max="5647" width="5" style="440" customWidth="1"/>
    <col min="5648" max="5648" width="10.42578125" style="440" bestFit="1" customWidth="1"/>
    <col min="5649" max="5651" width="9" style="440"/>
    <col min="5652" max="5652" width="10.42578125" style="440" bestFit="1" customWidth="1"/>
    <col min="5653" max="5881" width="9" style="440"/>
    <col min="5882" max="5882" width="3.5703125" style="440" customWidth="1"/>
    <col min="5883" max="5883" width="4.85546875" style="440" customWidth="1"/>
    <col min="5884" max="5884" width="5.42578125" style="440" customWidth="1"/>
    <col min="5885" max="5885" width="31.28515625" style="440" customWidth="1"/>
    <col min="5886" max="5886" width="7.5703125" style="440" customWidth="1"/>
    <col min="5887" max="5887" width="2.42578125" style="440" customWidth="1"/>
    <col min="5888" max="5888" width="11.5703125" style="440" customWidth="1"/>
    <col min="5889" max="5889" width="2.42578125" style="440" customWidth="1"/>
    <col min="5890" max="5890" width="11.5703125" style="440" customWidth="1"/>
    <col min="5891" max="5891" width="2.42578125" style="440" customWidth="1"/>
    <col min="5892" max="5892" width="10.85546875" style="440" customWidth="1"/>
    <col min="5893" max="5893" width="2.42578125" style="440" customWidth="1"/>
    <col min="5894" max="5894" width="11.140625" style="440" customWidth="1"/>
    <col min="5895" max="5895" width="1.85546875" style="440" customWidth="1"/>
    <col min="5896" max="5896" width="11" style="440" customWidth="1"/>
    <col min="5897" max="5897" width="0.7109375" style="440" customWidth="1"/>
    <col min="5898" max="5898" width="1.85546875" style="440" customWidth="1"/>
    <col min="5899" max="5899" width="11.85546875" style="440" bestFit="1" customWidth="1"/>
    <col min="5900" max="5900" width="15.28515625" style="440" bestFit="1" customWidth="1"/>
    <col min="5901" max="5901" width="5" style="440" customWidth="1"/>
    <col min="5902" max="5902" width="10.42578125" style="440" bestFit="1" customWidth="1"/>
    <col min="5903" max="5903" width="5" style="440" customWidth="1"/>
    <col min="5904" max="5904" width="10.42578125" style="440" bestFit="1" customWidth="1"/>
    <col min="5905" max="5907" width="9" style="440"/>
    <col min="5908" max="5908" width="10.42578125" style="440" bestFit="1" customWidth="1"/>
    <col min="5909" max="6137" width="9" style="440"/>
    <col min="6138" max="6138" width="3.5703125" style="440" customWidth="1"/>
    <col min="6139" max="6139" width="4.85546875" style="440" customWidth="1"/>
    <col min="6140" max="6140" width="5.42578125" style="440" customWidth="1"/>
    <col min="6141" max="6141" width="31.28515625" style="440" customWidth="1"/>
    <col min="6142" max="6142" width="7.5703125" style="440" customWidth="1"/>
    <col min="6143" max="6143" width="2.42578125" style="440" customWidth="1"/>
    <col min="6144" max="6144" width="11.5703125" style="440" customWidth="1"/>
    <col min="6145" max="6145" width="2.42578125" style="440" customWidth="1"/>
    <col min="6146" max="6146" width="11.5703125" style="440" customWidth="1"/>
    <col min="6147" max="6147" width="2.42578125" style="440" customWidth="1"/>
    <col min="6148" max="6148" width="10.85546875" style="440" customWidth="1"/>
    <col min="6149" max="6149" width="2.42578125" style="440" customWidth="1"/>
    <col min="6150" max="6150" width="11.140625" style="440" customWidth="1"/>
    <col min="6151" max="6151" width="1.85546875" style="440" customWidth="1"/>
    <col min="6152" max="6152" width="11" style="440" customWidth="1"/>
    <col min="6153" max="6153" width="0.7109375" style="440" customWidth="1"/>
    <col min="6154" max="6154" width="1.85546875" style="440" customWidth="1"/>
    <col min="6155" max="6155" width="11.85546875" style="440" bestFit="1" customWidth="1"/>
    <col min="6156" max="6156" width="15.28515625" style="440" bestFit="1" customWidth="1"/>
    <col min="6157" max="6157" width="5" style="440" customWidth="1"/>
    <col min="6158" max="6158" width="10.42578125" style="440" bestFit="1" customWidth="1"/>
    <col min="6159" max="6159" width="5" style="440" customWidth="1"/>
    <col min="6160" max="6160" width="10.42578125" style="440" bestFit="1" customWidth="1"/>
    <col min="6161" max="6163" width="9" style="440"/>
    <col min="6164" max="6164" width="10.42578125" style="440" bestFit="1" customWidth="1"/>
    <col min="6165" max="6393" width="9" style="440"/>
    <col min="6394" max="6394" width="3.5703125" style="440" customWidth="1"/>
    <col min="6395" max="6395" width="4.85546875" style="440" customWidth="1"/>
    <col min="6396" max="6396" width="5.42578125" style="440" customWidth="1"/>
    <col min="6397" max="6397" width="31.28515625" style="440" customWidth="1"/>
    <col min="6398" max="6398" width="7.5703125" style="440" customWidth="1"/>
    <col min="6399" max="6399" width="2.42578125" style="440" customWidth="1"/>
    <col min="6400" max="6400" width="11.5703125" style="440" customWidth="1"/>
    <col min="6401" max="6401" width="2.42578125" style="440" customWidth="1"/>
    <col min="6402" max="6402" width="11.5703125" style="440" customWidth="1"/>
    <col min="6403" max="6403" width="2.42578125" style="440" customWidth="1"/>
    <col min="6404" max="6404" width="10.85546875" style="440" customWidth="1"/>
    <col min="6405" max="6405" width="2.42578125" style="440" customWidth="1"/>
    <col min="6406" max="6406" width="11.140625" style="440" customWidth="1"/>
    <col min="6407" max="6407" width="1.85546875" style="440" customWidth="1"/>
    <col min="6408" max="6408" width="11" style="440" customWidth="1"/>
    <col min="6409" max="6409" width="0.7109375" style="440" customWidth="1"/>
    <col min="6410" max="6410" width="1.85546875" style="440" customWidth="1"/>
    <col min="6411" max="6411" width="11.85546875" style="440" bestFit="1" customWidth="1"/>
    <col min="6412" max="6412" width="15.28515625" style="440" bestFit="1" customWidth="1"/>
    <col min="6413" max="6413" width="5" style="440" customWidth="1"/>
    <col min="6414" max="6414" width="10.42578125" style="440" bestFit="1" customWidth="1"/>
    <col min="6415" max="6415" width="5" style="440" customWidth="1"/>
    <col min="6416" max="6416" width="10.42578125" style="440" bestFit="1" customWidth="1"/>
    <col min="6417" max="6419" width="9" style="440"/>
    <col min="6420" max="6420" width="10.42578125" style="440" bestFit="1" customWidth="1"/>
    <col min="6421" max="6649" width="9" style="440"/>
    <col min="6650" max="6650" width="3.5703125" style="440" customWidth="1"/>
    <col min="6651" max="6651" width="4.85546875" style="440" customWidth="1"/>
    <col min="6652" max="6652" width="5.42578125" style="440" customWidth="1"/>
    <col min="6653" max="6653" width="31.28515625" style="440" customWidth="1"/>
    <col min="6654" max="6654" width="7.5703125" style="440" customWidth="1"/>
    <col min="6655" max="6655" width="2.42578125" style="440" customWidth="1"/>
    <col min="6656" max="6656" width="11.5703125" style="440" customWidth="1"/>
    <col min="6657" max="6657" width="2.42578125" style="440" customWidth="1"/>
    <col min="6658" max="6658" width="11.5703125" style="440" customWidth="1"/>
    <col min="6659" max="6659" width="2.42578125" style="440" customWidth="1"/>
    <col min="6660" max="6660" width="10.85546875" style="440" customWidth="1"/>
    <col min="6661" max="6661" width="2.42578125" style="440" customWidth="1"/>
    <col min="6662" max="6662" width="11.140625" style="440" customWidth="1"/>
    <col min="6663" max="6663" width="1.85546875" style="440" customWidth="1"/>
    <col min="6664" max="6664" width="11" style="440" customWidth="1"/>
    <col min="6665" max="6665" width="0.7109375" style="440" customWidth="1"/>
    <col min="6666" max="6666" width="1.85546875" style="440" customWidth="1"/>
    <col min="6667" max="6667" width="11.85546875" style="440" bestFit="1" customWidth="1"/>
    <col min="6668" max="6668" width="15.28515625" style="440" bestFit="1" customWidth="1"/>
    <col min="6669" max="6669" width="5" style="440" customWidth="1"/>
    <col min="6670" max="6670" width="10.42578125" style="440" bestFit="1" customWidth="1"/>
    <col min="6671" max="6671" width="5" style="440" customWidth="1"/>
    <col min="6672" max="6672" width="10.42578125" style="440" bestFit="1" customWidth="1"/>
    <col min="6673" max="6675" width="9" style="440"/>
    <col min="6676" max="6676" width="10.42578125" style="440" bestFit="1" customWidth="1"/>
    <col min="6677" max="6905" width="9" style="440"/>
    <col min="6906" max="6906" width="3.5703125" style="440" customWidth="1"/>
    <col min="6907" max="6907" width="4.85546875" style="440" customWidth="1"/>
    <col min="6908" max="6908" width="5.42578125" style="440" customWidth="1"/>
    <col min="6909" max="6909" width="31.28515625" style="440" customWidth="1"/>
    <col min="6910" max="6910" width="7.5703125" style="440" customWidth="1"/>
    <col min="6911" max="6911" width="2.42578125" style="440" customWidth="1"/>
    <col min="6912" max="6912" width="11.5703125" style="440" customWidth="1"/>
    <col min="6913" max="6913" width="2.42578125" style="440" customWidth="1"/>
    <col min="6914" max="6914" width="11.5703125" style="440" customWidth="1"/>
    <col min="6915" max="6915" width="2.42578125" style="440" customWidth="1"/>
    <col min="6916" max="6916" width="10.85546875" style="440" customWidth="1"/>
    <col min="6917" max="6917" width="2.42578125" style="440" customWidth="1"/>
    <col min="6918" max="6918" width="11.140625" style="440" customWidth="1"/>
    <col min="6919" max="6919" width="1.85546875" style="440" customWidth="1"/>
    <col min="6920" max="6920" width="11" style="440" customWidth="1"/>
    <col min="6921" max="6921" width="0.7109375" style="440" customWidth="1"/>
    <col min="6922" max="6922" width="1.85546875" style="440" customWidth="1"/>
    <col min="6923" max="6923" width="11.85546875" style="440" bestFit="1" customWidth="1"/>
    <col min="6924" max="6924" width="15.28515625" style="440" bestFit="1" customWidth="1"/>
    <col min="6925" max="6925" width="5" style="440" customWidth="1"/>
    <col min="6926" max="6926" width="10.42578125" style="440" bestFit="1" customWidth="1"/>
    <col min="6927" max="6927" width="5" style="440" customWidth="1"/>
    <col min="6928" max="6928" width="10.42578125" style="440" bestFit="1" customWidth="1"/>
    <col min="6929" max="6931" width="9" style="440"/>
    <col min="6932" max="6932" width="10.42578125" style="440" bestFit="1" customWidth="1"/>
    <col min="6933" max="7161" width="9" style="440"/>
    <col min="7162" max="7162" width="3.5703125" style="440" customWidth="1"/>
    <col min="7163" max="7163" width="4.85546875" style="440" customWidth="1"/>
    <col min="7164" max="7164" width="5.42578125" style="440" customWidth="1"/>
    <col min="7165" max="7165" width="31.28515625" style="440" customWidth="1"/>
    <col min="7166" max="7166" width="7.5703125" style="440" customWidth="1"/>
    <col min="7167" max="7167" width="2.42578125" style="440" customWidth="1"/>
    <col min="7168" max="7168" width="11.5703125" style="440" customWidth="1"/>
    <col min="7169" max="7169" width="2.42578125" style="440" customWidth="1"/>
    <col min="7170" max="7170" width="11.5703125" style="440" customWidth="1"/>
    <col min="7171" max="7171" width="2.42578125" style="440" customWidth="1"/>
    <col min="7172" max="7172" width="10.85546875" style="440" customWidth="1"/>
    <col min="7173" max="7173" width="2.42578125" style="440" customWidth="1"/>
    <col min="7174" max="7174" width="11.140625" style="440" customWidth="1"/>
    <col min="7175" max="7175" width="1.85546875" style="440" customWidth="1"/>
    <col min="7176" max="7176" width="11" style="440" customWidth="1"/>
    <col min="7177" max="7177" width="0.7109375" style="440" customWidth="1"/>
    <col min="7178" max="7178" width="1.85546875" style="440" customWidth="1"/>
    <col min="7179" max="7179" width="11.85546875" style="440" bestFit="1" customWidth="1"/>
    <col min="7180" max="7180" width="15.28515625" style="440" bestFit="1" customWidth="1"/>
    <col min="7181" max="7181" width="5" style="440" customWidth="1"/>
    <col min="7182" max="7182" width="10.42578125" style="440" bestFit="1" customWidth="1"/>
    <col min="7183" max="7183" width="5" style="440" customWidth="1"/>
    <col min="7184" max="7184" width="10.42578125" style="440" bestFit="1" customWidth="1"/>
    <col min="7185" max="7187" width="9" style="440"/>
    <col min="7188" max="7188" width="10.42578125" style="440" bestFit="1" customWidth="1"/>
    <col min="7189" max="7417" width="9" style="440"/>
    <col min="7418" max="7418" width="3.5703125" style="440" customWidth="1"/>
    <col min="7419" max="7419" width="4.85546875" style="440" customWidth="1"/>
    <col min="7420" max="7420" width="5.42578125" style="440" customWidth="1"/>
    <col min="7421" max="7421" width="31.28515625" style="440" customWidth="1"/>
    <col min="7422" max="7422" width="7.5703125" style="440" customWidth="1"/>
    <col min="7423" max="7423" width="2.42578125" style="440" customWidth="1"/>
    <col min="7424" max="7424" width="11.5703125" style="440" customWidth="1"/>
    <col min="7425" max="7425" width="2.42578125" style="440" customWidth="1"/>
    <col min="7426" max="7426" width="11.5703125" style="440" customWidth="1"/>
    <col min="7427" max="7427" width="2.42578125" style="440" customWidth="1"/>
    <col min="7428" max="7428" width="10.85546875" style="440" customWidth="1"/>
    <col min="7429" max="7429" width="2.42578125" style="440" customWidth="1"/>
    <col min="7430" max="7430" width="11.140625" style="440" customWidth="1"/>
    <col min="7431" max="7431" width="1.85546875" style="440" customWidth="1"/>
    <col min="7432" max="7432" width="11" style="440" customWidth="1"/>
    <col min="7433" max="7433" width="0.7109375" style="440" customWidth="1"/>
    <col min="7434" max="7434" width="1.85546875" style="440" customWidth="1"/>
    <col min="7435" max="7435" width="11.85546875" style="440" bestFit="1" customWidth="1"/>
    <col min="7436" max="7436" width="15.28515625" style="440" bestFit="1" customWidth="1"/>
    <col min="7437" max="7437" width="5" style="440" customWidth="1"/>
    <col min="7438" max="7438" width="10.42578125" style="440" bestFit="1" customWidth="1"/>
    <col min="7439" max="7439" width="5" style="440" customWidth="1"/>
    <col min="7440" max="7440" width="10.42578125" style="440" bestFit="1" customWidth="1"/>
    <col min="7441" max="7443" width="9" style="440"/>
    <col min="7444" max="7444" width="10.42578125" style="440" bestFit="1" customWidth="1"/>
    <col min="7445" max="7673" width="9" style="440"/>
    <col min="7674" max="7674" width="3.5703125" style="440" customWidth="1"/>
    <col min="7675" max="7675" width="4.85546875" style="440" customWidth="1"/>
    <col min="7676" max="7676" width="5.42578125" style="440" customWidth="1"/>
    <col min="7677" max="7677" width="31.28515625" style="440" customWidth="1"/>
    <col min="7678" max="7678" width="7.5703125" style="440" customWidth="1"/>
    <col min="7679" max="7679" width="2.42578125" style="440" customWidth="1"/>
    <col min="7680" max="7680" width="11.5703125" style="440" customWidth="1"/>
    <col min="7681" max="7681" width="2.42578125" style="440" customWidth="1"/>
    <col min="7682" max="7682" width="11.5703125" style="440" customWidth="1"/>
    <col min="7683" max="7683" width="2.42578125" style="440" customWidth="1"/>
    <col min="7684" max="7684" width="10.85546875" style="440" customWidth="1"/>
    <col min="7685" max="7685" width="2.42578125" style="440" customWidth="1"/>
    <col min="7686" max="7686" width="11.140625" style="440" customWidth="1"/>
    <col min="7687" max="7687" width="1.85546875" style="440" customWidth="1"/>
    <col min="7688" max="7688" width="11" style="440" customWidth="1"/>
    <col min="7689" max="7689" width="0.7109375" style="440" customWidth="1"/>
    <col min="7690" max="7690" width="1.85546875" style="440" customWidth="1"/>
    <col min="7691" max="7691" width="11.85546875" style="440" bestFit="1" customWidth="1"/>
    <col min="7692" max="7692" width="15.28515625" style="440" bestFit="1" customWidth="1"/>
    <col min="7693" max="7693" width="5" style="440" customWidth="1"/>
    <col min="7694" max="7694" width="10.42578125" style="440" bestFit="1" customWidth="1"/>
    <col min="7695" max="7695" width="5" style="440" customWidth="1"/>
    <col min="7696" max="7696" width="10.42578125" style="440" bestFit="1" customWidth="1"/>
    <col min="7697" max="7699" width="9" style="440"/>
    <col min="7700" max="7700" width="10.42578125" style="440" bestFit="1" customWidth="1"/>
    <col min="7701" max="7929" width="9" style="440"/>
    <col min="7930" max="7930" width="3.5703125" style="440" customWidth="1"/>
    <col min="7931" max="7931" width="4.85546875" style="440" customWidth="1"/>
    <col min="7932" max="7932" width="5.42578125" style="440" customWidth="1"/>
    <col min="7933" max="7933" width="31.28515625" style="440" customWidth="1"/>
    <col min="7934" max="7934" width="7.5703125" style="440" customWidth="1"/>
    <col min="7935" max="7935" width="2.42578125" style="440" customWidth="1"/>
    <col min="7936" max="7936" width="11.5703125" style="440" customWidth="1"/>
    <col min="7937" max="7937" width="2.42578125" style="440" customWidth="1"/>
    <col min="7938" max="7938" width="11.5703125" style="440" customWidth="1"/>
    <col min="7939" max="7939" width="2.42578125" style="440" customWidth="1"/>
    <col min="7940" max="7940" width="10.85546875" style="440" customWidth="1"/>
    <col min="7941" max="7941" width="2.42578125" style="440" customWidth="1"/>
    <col min="7942" max="7942" width="11.140625" style="440" customWidth="1"/>
    <col min="7943" max="7943" width="1.85546875" style="440" customWidth="1"/>
    <col min="7944" max="7944" width="11" style="440" customWidth="1"/>
    <col min="7945" max="7945" width="0.7109375" style="440" customWidth="1"/>
    <col min="7946" max="7946" width="1.85546875" style="440" customWidth="1"/>
    <col min="7947" max="7947" width="11.85546875" style="440" bestFit="1" customWidth="1"/>
    <col min="7948" max="7948" width="15.28515625" style="440" bestFit="1" customWidth="1"/>
    <col min="7949" max="7949" width="5" style="440" customWidth="1"/>
    <col min="7950" max="7950" width="10.42578125" style="440" bestFit="1" customWidth="1"/>
    <col min="7951" max="7951" width="5" style="440" customWidth="1"/>
    <col min="7952" max="7952" width="10.42578125" style="440" bestFit="1" customWidth="1"/>
    <col min="7953" max="7955" width="9" style="440"/>
    <col min="7956" max="7956" width="10.42578125" style="440" bestFit="1" customWidth="1"/>
    <col min="7957" max="8185" width="9" style="440"/>
    <col min="8186" max="8186" width="3.5703125" style="440" customWidth="1"/>
    <col min="8187" max="8187" width="4.85546875" style="440" customWidth="1"/>
    <col min="8188" max="8188" width="5.42578125" style="440" customWidth="1"/>
    <col min="8189" max="8189" width="31.28515625" style="440" customWidth="1"/>
    <col min="8190" max="8190" width="7.5703125" style="440" customWidth="1"/>
    <col min="8191" max="8191" width="2.42578125" style="440" customWidth="1"/>
    <col min="8192" max="8192" width="11.5703125" style="440" customWidth="1"/>
    <col min="8193" max="8193" width="2.42578125" style="440" customWidth="1"/>
    <col min="8194" max="8194" width="11.5703125" style="440" customWidth="1"/>
    <col min="8195" max="8195" width="2.42578125" style="440" customWidth="1"/>
    <col min="8196" max="8196" width="10.85546875" style="440" customWidth="1"/>
    <col min="8197" max="8197" width="2.42578125" style="440" customWidth="1"/>
    <col min="8198" max="8198" width="11.140625" style="440" customWidth="1"/>
    <col min="8199" max="8199" width="1.85546875" style="440" customWidth="1"/>
    <col min="8200" max="8200" width="11" style="440" customWidth="1"/>
    <col min="8201" max="8201" width="0.7109375" style="440" customWidth="1"/>
    <col min="8202" max="8202" width="1.85546875" style="440" customWidth="1"/>
    <col min="8203" max="8203" width="11.85546875" style="440" bestFit="1" customWidth="1"/>
    <col min="8204" max="8204" width="15.28515625" style="440" bestFit="1" customWidth="1"/>
    <col min="8205" max="8205" width="5" style="440" customWidth="1"/>
    <col min="8206" max="8206" width="10.42578125" style="440" bestFit="1" customWidth="1"/>
    <col min="8207" max="8207" width="5" style="440" customWidth="1"/>
    <col min="8208" max="8208" width="10.42578125" style="440" bestFit="1" customWidth="1"/>
    <col min="8209" max="8211" width="9" style="440"/>
    <col min="8212" max="8212" width="10.42578125" style="440" bestFit="1" customWidth="1"/>
    <col min="8213" max="8441" width="9" style="440"/>
    <col min="8442" max="8442" width="3.5703125" style="440" customWidth="1"/>
    <col min="8443" max="8443" width="4.85546875" style="440" customWidth="1"/>
    <col min="8444" max="8444" width="5.42578125" style="440" customWidth="1"/>
    <col min="8445" max="8445" width="31.28515625" style="440" customWidth="1"/>
    <col min="8446" max="8446" width="7.5703125" style="440" customWidth="1"/>
    <col min="8447" max="8447" width="2.42578125" style="440" customWidth="1"/>
    <col min="8448" max="8448" width="11.5703125" style="440" customWidth="1"/>
    <col min="8449" max="8449" width="2.42578125" style="440" customWidth="1"/>
    <col min="8450" max="8450" width="11.5703125" style="440" customWidth="1"/>
    <col min="8451" max="8451" width="2.42578125" style="440" customWidth="1"/>
    <col min="8452" max="8452" width="10.85546875" style="440" customWidth="1"/>
    <col min="8453" max="8453" width="2.42578125" style="440" customWidth="1"/>
    <col min="8454" max="8454" width="11.140625" style="440" customWidth="1"/>
    <col min="8455" max="8455" width="1.85546875" style="440" customWidth="1"/>
    <col min="8456" max="8456" width="11" style="440" customWidth="1"/>
    <col min="8457" max="8457" width="0.7109375" style="440" customWidth="1"/>
    <col min="8458" max="8458" width="1.85546875" style="440" customWidth="1"/>
    <col min="8459" max="8459" width="11.85546875" style="440" bestFit="1" customWidth="1"/>
    <col min="8460" max="8460" width="15.28515625" style="440" bestFit="1" customWidth="1"/>
    <col min="8461" max="8461" width="5" style="440" customWidth="1"/>
    <col min="8462" max="8462" width="10.42578125" style="440" bestFit="1" customWidth="1"/>
    <col min="8463" max="8463" width="5" style="440" customWidth="1"/>
    <col min="8464" max="8464" width="10.42578125" style="440" bestFit="1" customWidth="1"/>
    <col min="8465" max="8467" width="9" style="440"/>
    <col min="8468" max="8468" width="10.42578125" style="440" bestFit="1" customWidth="1"/>
    <col min="8469" max="8697" width="9" style="440"/>
    <col min="8698" max="8698" width="3.5703125" style="440" customWidth="1"/>
    <col min="8699" max="8699" width="4.85546875" style="440" customWidth="1"/>
    <col min="8700" max="8700" width="5.42578125" style="440" customWidth="1"/>
    <col min="8701" max="8701" width="31.28515625" style="440" customWidth="1"/>
    <col min="8702" max="8702" width="7.5703125" style="440" customWidth="1"/>
    <col min="8703" max="8703" width="2.42578125" style="440" customWidth="1"/>
    <col min="8704" max="8704" width="11.5703125" style="440" customWidth="1"/>
    <col min="8705" max="8705" width="2.42578125" style="440" customWidth="1"/>
    <col min="8706" max="8706" width="11.5703125" style="440" customWidth="1"/>
    <col min="8707" max="8707" width="2.42578125" style="440" customWidth="1"/>
    <col min="8708" max="8708" width="10.85546875" style="440" customWidth="1"/>
    <col min="8709" max="8709" width="2.42578125" style="440" customWidth="1"/>
    <col min="8710" max="8710" width="11.140625" style="440" customWidth="1"/>
    <col min="8711" max="8711" width="1.85546875" style="440" customWidth="1"/>
    <col min="8712" max="8712" width="11" style="440" customWidth="1"/>
    <col min="8713" max="8713" width="0.7109375" style="440" customWidth="1"/>
    <col min="8714" max="8714" width="1.85546875" style="440" customWidth="1"/>
    <col min="8715" max="8715" width="11.85546875" style="440" bestFit="1" customWidth="1"/>
    <col min="8716" max="8716" width="15.28515625" style="440" bestFit="1" customWidth="1"/>
    <col min="8717" max="8717" width="5" style="440" customWidth="1"/>
    <col min="8718" max="8718" width="10.42578125" style="440" bestFit="1" customWidth="1"/>
    <col min="8719" max="8719" width="5" style="440" customWidth="1"/>
    <col min="8720" max="8720" width="10.42578125" style="440" bestFit="1" customWidth="1"/>
    <col min="8721" max="8723" width="9" style="440"/>
    <col min="8724" max="8724" width="10.42578125" style="440" bestFit="1" customWidth="1"/>
    <col min="8725" max="8953" width="9" style="440"/>
    <col min="8954" max="8954" width="3.5703125" style="440" customWidth="1"/>
    <col min="8955" max="8955" width="4.85546875" style="440" customWidth="1"/>
    <col min="8956" max="8956" width="5.42578125" style="440" customWidth="1"/>
    <col min="8957" max="8957" width="31.28515625" style="440" customWidth="1"/>
    <col min="8958" max="8958" width="7.5703125" style="440" customWidth="1"/>
    <col min="8959" max="8959" width="2.42578125" style="440" customWidth="1"/>
    <col min="8960" max="8960" width="11.5703125" style="440" customWidth="1"/>
    <col min="8961" max="8961" width="2.42578125" style="440" customWidth="1"/>
    <col min="8962" max="8962" width="11.5703125" style="440" customWidth="1"/>
    <col min="8963" max="8963" width="2.42578125" style="440" customWidth="1"/>
    <col min="8964" max="8964" width="10.85546875" style="440" customWidth="1"/>
    <col min="8965" max="8965" width="2.42578125" style="440" customWidth="1"/>
    <col min="8966" max="8966" width="11.140625" style="440" customWidth="1"/>
    <col min="8967" max="8967" width="1.85546875" style="440" customWidth="1"/>
    <col min="8968" max="8968" width="11" style="440" customWidth="1"/>
    <col min="8969" max="8969" width="0.7109375" style="440" customWidth="1"/>
    <col min="8970" max="8970" width="1.85546875" style="440" customWidth="1"/>
    <col min="8971" max="8971" width="11.85546875" style="440" bestFit="1" customWidth="1"/>
    <col min="8972" max="8972" width="15.28515625" style="440" bestFit="1" customWidth="1"/>
    <col min="8973" max="8973" width="5" style="440" customWidth="1"/>
    <col min="8974" max="8974" width="10.42578125" style="440" bestFit="1" customWidth="1"/>
    <col min="8975" max="8975" width="5" style="440" customWidth="1"/>
    <col min="8976" max="8976" width="10.42578125" style="440" bestFit="1" customWidth="1"/>
    <col min="8977" max="8979" width="9" style="440"/>
    <col min="8980" max="8980" width="10.42578125" style="440" bestFit="1" customWidth="1"/>
    <col min="8981" max="9209" width="9" style="440"/>
    <col min="9210" max="9210" width="3.5703125" style="440" customWidth="1"/>
    <col min="9211" max="9211" width="4.85546875" style="440" customWidth="1"/>
    <col min="9212" max="9212" width="5.42578125" style="440" customWidth="1"/>
    <col min="9213" max="9213" width="31.28515625" style="440" customWidth="1"/>
    <col min="9214" max="9214" width="7.5703125" style="440" customWidth="1"/>
    <col min="9215" max="9215" width="2.42578125" style="440" customWidth="1"/>
    <col min="9216" max="9216" width="11.5703125" style="440" customWidth="1"/>
    <col min="9217" max="9217" width="2.42578125" style="440" customWidth="1"/>
    <col min="9218" max="9218" width="11.5703125" style="440" customWidth="1"/>
    <col min="9219" max="9219" width="2.42578125" style="440" customWidth="1"/>
    <col min="9220" max="9220" width="10.85546875" style="440" customWidth="1"/>
    <col min="9221" max="9221" width="2.42578125" style="440" customWidth="1"/>
    <col min="9222" max="9222" width="11.140625" style="440" customWidth="1"/>
    <col min="9223" max="9223" width="1.85546875" style="440" customWidth="1"/>
    <col min="9224" max="9224" width="11" style="440" customWidth="1"/>
    <col min="9225" max="9225" width="0.7109375" style="440" customWidth="1"/>
    <col min="9226" max="9226" width="1.85546875" style="440" customWidth="1"/>
    <col min="9227" max="9227" width="11.85546875" style="440" bestFit="1" customWidth="1"/>
    <col min="9228" max="9228" width="15.28515625" style="440" bestFit="1" customWidth="1"/>
    <col min="9229" max="9229" width="5" style="440" customWidth="1"/>
    <col min="9230" max="9230" width="10.42578125" style="440" bestFit="1" customWidth="1"/>
    <col min="9231" max="9231" width="5" style="440" customWidth="1"/>
    <col min="9232" max="9232" width="10.42578125" style="440" bestFit="1" customWidth="1"/>
    <col min="9233" max="9235" width="9" style="440"/>
    <col min="9236" max="9236" width="10.42578125" style="440" bestFit="1" customWidth="1"/>
    <col min="9237" max="9465" width="9" style="440"/>
    <col min="9466" max="9466" width="3.5703125" style="440" customWidth="1"/>
    <col min="9467" max="9467" width="4.85546875" style="440" customWidth="1"/>
    <col min="9468" max="9468" width="5.42578125" style="440" customWidth="1"/>
    <col min="9469" max="9469" width="31.28515625" style="440" customWidth="1"/>
    <col min="9470" max="9470" width="7.5703125" style="440" customWidth="1"/>
    <col min="9471" max="9471" width="2.42578125" style="440" customWidth="1"/>
    <col min="9472" max="9472" width="11.5703125" style="440" customWidth="1"/>
    <col min="9473" max="9473" width="2.42578125" style="440" customWidth="1"/>
    <col min="9474" max="9474" width="11.5703125" style="440" customWidth="1"/>
    <col min="9475" max="9475" width="2.42578125" style="440" customWidth="1"/>
    <col min="9476" max="9476" width="10.85546875" style="440" customWidth="1"/>
    <col min="9477" max="9477" width="2.42578125" style="440" customWidth="1"/>
    <col min="9478" max="9478" width="11.140625" style="440" customWidth="1"/>
    <col min="9479" max="9479" width="1.85546875" style="440" customWidth="1"/>
    <col min="9480" max="9480" width="11" style="440" customWidth="1"/>
    <col min="9481" max="9481" width="0.7109375" style="440" customWidth="1"/>
    <col min="9482" max="9482" width="1.85546875" style="440" customWidth="1"/>
    <col min="9483" max="9483" width="11.85546875" style="440" bestFit="1" customWidth="1"/>
    <col min="9484" max="9484" width="15.28515625" style="440" bestFit="1" customWidth="1"/>
    <col min="9485" max="9485" width="5" style="440" customWidth="1"/>
    <col min="9486" max="9486" width="10.42578125" style="440" bestFit="1" customWidth="1"/>
    <col min="9487" max="9487" width="5" style="440" customWidth="1"/>
    <col min="9488" max="9488" width="10.42578125" style="440" bestFit="1" customWidth="1"/>
    <col min="9489" max="9491" width="9" style="440"/>
    <col min="9492" max="9492" width="10.42578125" style="440" bestFit="1" customWidth="1"/>
    <col min="9493" max="9721" width="9" style="440"/>
    <col min="9722" max="9722" width="3.5703125" style="440" customWidth="1"/>
    <col min="9723" max="9723" width="4.85546875" style="440" customWidth="1"/>
    <col min="9724" max="9724" width="5.42578125" style="440" customWidth="1"/>
    <col min="9725" max="9725" width="31.28515625" style="440" customWidth="1"/>
    <col min="9726" max="9726" width="7.5703125" style="440" customWidth="1"/>
    <col min="9727" max="9727" width="2.42578125" style="440" customWidth="1"/>
    <col min="9728" max="9728" width="11.5703125" style="440" customWidth="1"/>
    <col min="9729" max="9729" width="2.42578125" style="440" customWidth="1"/>
    <col min="9730" max="9730" width="11.5703125" style="440" customWidth="1"/>
    <col min="9731" max="9731" width="2.42578125" style="440" customWidth="1"/>
    <col min="9732" max="9732" width="10.85546875" style="440" customWidth="1"/>
    <col min="9733" max="9733" width="2.42578125" style="440" customWidth="1"/>
    <col min="9734" max="9734" width="11.140625" style="440" customWidth="1"/>
    <col min="9735" max="9735" width="1.85546875" style="440" customWidth="1"/>
    <col min="9736" max="9736" width="11" style="440" customWidth="1"/>
    <col min="9737" max="9737" width="0.7109375" style="440" customWidth="1"/>
    <col min="9738" max="9738" width="1.85546875" style="440" customWidth="1"/>
    <col min="9739" max="9739" width="11.85546875" style="440" bestFit="1" customWidth="1"/>
    <col min="9740" max="9740" width="15.28515625" style="440" bestFit="1" customWidth="1"/>
    <col min="9741" max="9741" width="5" style="440" customWidth="1"/>
    <col min="9742" max="9742" width="10.42578125" style="440" bestFit="1" customWidth="1"/>
    <col min="9743" max="9743" width="5" style="440" customWidth="1"/>
    <col min="9744" max="9744" width="10.42578125" style="440" bestFit="1" customWidth="1"/>
    <col min="9745" max="9747" width="9" style="440"/>
    <col min="9748" max="9748" width="10.42578125" style="440" bestFit="1" customWidth="1"/>
    <col min="9749" max="9977" width="9" style="440"/>
    <col min="9978" max="9978" width="3.5703125" style="440" customWidth="1"/>
    <col min="9979" max="9979" width="4.85546875" style="440" customWidth="1"/>
    <col min="9980" max="9980" width="5.42578125" style="440" customWidth="1"/>
    <col min="9981" max="9981" width="31.28515625" style="440" customWidth="1"/>
    <col min="9982" max="9982" width="7.5703125" style="440" customWidth="1"/>
    <col min="9983" max="9983" width="2.42578125" style="440" customWidth="1"/>
    <col min="9984" max="9984" width="11.5703125" style="440" customWidth="1"/>
    <col min="9985" max="9985" width="2.42578125" style="440" customWidth="1"/>
    <col min="9986" max="9986" width="11.5703125" style="440" customWidth="1"/>
    <col min="9987" max="9987" width="2.42578125" style="440" customWidth="1"/>
    <col min="9988" max="9988" width="10.85546875" style="440" customWidth="1"/>
    <col min="9989" max="9989" width="2.42578125" style="440" customWidth="1"/>
    <col min="9990" max="9990" width="11.140625" style="440" customWidth="1"/>
    <col min="9991" max="9991" width="1.85546875" style="440" customWidth="1"/>
    <col min="9992" max="9992" width="11" style="440" customWidth="1"/>
    <col min="9993" max="9993" width="0.7109375" style="440" customWidth="1"/>
    <col min="9994" max="9994" width="1.85546875" style="440" customWidth="1"/>
    <col min="9995" max="9995" width="11.85546875" style="440" bestFit="1" customWidth="1"/>
    <col min="9996" max="9996" width="15.28515625" style="440" bestFit="1" customWidth="1"/>
    <col min="9997" max="9997" width="5" style="440" customWidth="1"/>
    <col min="9998" max="9998" width="10.42578125" style="440" bestFit="1" customWidth="1"/>
    <col min="9999" max="9999" width="5" style="440" customWidth="1"/>
    <col min="10000" max="10000" width="10.42578125" style="440" bestFit="1" customWidth="1"/>
    <col min="10001" max="10003" width="9" style="440"/>
    <col min="10004" max="10004" width="10.42578125" style="440" bestFit="1" customWidth="1"/>
    <col min="10005" max="10233" width="9" style="440"/>
    <col min="10234" max="10234" width="3.5703125" style="440" customWidth="1"/>
    <col min="10235" max="10235" width="4.85546875" style="440" customWidth="1"/>
    <col min="10236" max="10236" width="5.42578125" style="440" customWidth="1"/>
    <col min="10237" max="10237" width="31.28515625" style="440" customWidth="1"/>
    <col min="10238" max="10238" width="7.5703125" style="440" customWidth="1"/>
    <col min="10239" max="10239" width="2.42578125" style="440" customWidth="1"/>
    <col min="10240" max="10240" width="11.5703125" style="440" customWidth="1"/>
    <col min="10241" max="10241" width="2.42578125" style="440" customWidth="1"/>
    <col min="10242" max="10242" width="11.5703125" style="440" customWidth="1"/>
    <col min="10243" max="10243" width="2.42578125" style="440" customWidth="1"/>
    <col min="10244" max="10244" width="10.85546875" style="440" customWidth="1"/>
    <col min="10245" max="10245" width="2.42578125" style="440" customWidth="1"/>
    <col min="10246" max="10246" width="11.140625" style="440" customWidth="1"/>
    <col min="10247" max="10247" width="1.85546875" style="440" customWidth="1"/>
    <col min="10248" max="10248" width="11" style="440" customWidth="1"/>
    <col min="10249" max="10249" width="0.7109375" style="440" customWidth="1"/>
    <col min="10250" max="10250" width="1.85546875" style="440" customWidth="1"/>
    <col min="10251" max="10251" width="11.85546875" style="440" bestFit="1" customWidth="1"/>
    <col min="10252" max="10252" width="15.28515625" style="440" bestFit="1" customWidth="1"/>
    <col min="10253" max="10253" width="5" style="440" customWidth="1"/>
    <col min="10254" max="10254" width="10.42578125" style="440" bestFit="1" customWidth="1"/>
    <col min="10255" max="10255" width="5" style="440" customWidth="1"/>
    <col min="10256" max="10256" width="10.42578125" style="440" bestFit="1" customWidth="1"/>
    <col min="10257" max="10259" width="9" style="440"/>
    <col min="10260" max="10260" width="10.42578125" style="440" bestFit="1" customWidth="1"/>
    <col min="10261" max="10489" width="9" style="440"/>
    <col min="10490" max="10490" width="3.5703125" style="440" customWidth="1"/>
    <col min="10491" max="10491" width="4.85546875" style="440" customWidth="1"/>
    <col min="10492" max="10492" width="5.42578125" style="440" customWidth="1"/>
    <col min="10493" max="10493" width="31.28515625" style="440" customWidth="1"/>
    <col min="10494" max="10494" width="7.5703125" style="440" customWidth="1"/>
    <col min="10495" max="10495" width="2.42578125" style="440" customWidth="1"/>
    <col min="10496" max="10496" width="11.5703125" style="440" customWidth="1"/>
    <col min="10497" max="10497" width="2.42578125" style="440" customWidth="1"/>
    <col min="10498" max="10498" width="11.5703125" style="440" customWidth="1"/>
    <col min="10499" max="10499" width="2.42578125" style="440" customWidth="1"/>
    <col min="10500" max="10500" width="10.85546875" style="440" customWidth="1"/>
    <col min="10501" max="10501" width="2.42578125" style="440" customWidth="1"/>
    <col min="10502" max="10502" width="11.140625" style="440" customWidth="1"/>
    <col min="10503" max="10503" width="1.85546875" style="440" customWidth="1"/>
    <col min="10504" max="10504" width="11" style="440" customWidth="1"/>
    <col min="10505" max="10505" width="0.7109375" style="440" customWidth="1"/>
    <col min="10506" max="10506" width="1.85546875" style="440" customWidth="1"/>
    <col min="10507" max="10507" width="11.85546875" style="440" bestFit="1" customWidth="1"/>
    <col min="10508" max="10508" width="15.28515625" style="440" bestFit="1" customWidth="1"/>
    <col min="10509" max="10509" width="5" style="440" customWidth="1"/>
    <col min="10510" max="10510" width="10.42578125" style="440" bestFit="1" customWidth="1"/>
    <col min="10511" max="10511" width="5" style="440" customWidth="1"/>
    <col min="10512" max="10512" width="10.42578125" style="440" bestFit="1" customWidth="1"/>
    <col min="10513" max="10515" width="9" style="440"/>
    <col min="10516" max="10516" width="10.42578125" style="440" bestFit="1" customWidth="1"/>
    <col min="10517" max="10745" width="9" style="440"/>
    <col min="10746" max="10746" width="3.5703125" style="440" customWidth="1"/>
    <col min="10747" max="10747" width="4.85546875" style="440" customWidth="1"/>
    <col min="10748" max="10748" width="5.42578125" style="440" customWidth="1"/>
    <col min="10749" max="10749" width="31.28515625" style="440" customWidth="1"/>
    <col min="10750" max="10750" width="7.5703125" style="440" customWidth="1"/>
    <col min="10751" max="10751" width="2.42578125" style="440" customWidth="1"/>
    <col min="10752" max="10752" width="11.5703125" style="440" customWidth="1"/>
    <col min="10753" max="10753" width="2.42578125" style="440" customWidth="1"/>
    <col min="10754" max="10754" width="11.5703125" style="440" customWidth="1"/>
    <col min="10755" max="10755" width="2.42578125" style="440" customWidth="1"/>
    <col min="10756" max="10756" width="10.85546875" style="440" customWidth="1"/>
    <col min="10757" max="10757" width="2.42578125" style="440" customWidth="1"/>
    <col min="10758" max="10758" width="11.140625" style="440" customWidth="1"/>
    <col min="10759" max="10759" width="1.85546875" style="440" customWidth="1"/>
    <col min="10760" max="10760" width="11" style="440" customWidth="1"/>
    <col min="10761" max="10761" width="0.7109375" style="440" customWidth="1"/>
    <col min="10762" max="10762" width="1.85546875" style="440" customWidth="1"/>
    <col min="10763" max="10763" width="11.85546875" style="440" bestFit="1" customWidth="1"/>
    <col min="10764" max="10764" width="15.28515625" style="440" bestFit="1" customWidth="1"/>
    <col min="10765" max="10765" width="5" style="440" customWidth="1"/>
    <col min="10766" max="10766" width="10.42578125" style="440" bestFit="1" customWidth="1"/>
    <col min="10767" max="10767" width="5" style="440" customWidth="1"/>
    <col min="10768" max="10768" width="10.42578125" style="440" bestFit="1" customWidth="1"/>
    <col min="10769" max="10771" width="9" style="440"/>
    <col min="10772" max="10772" width="10.42578125" style="440" bestFit="1" customWidth="1"/>
    <col min="10773" max="11001" width="9" style="440"/>
    <col min="11002" max="11002" width="3.5703125" style="440" customWidth="1"/>
    <col min="11003" max="11003" width="4.85546875" style="440" customWidth="1"/>
    <col min="11004" max="11004" width="5.42578125" style="440" customWidth="1"/>
    <col min="11005" max="11005" width="31.28515625" style="440" customWidth="1"/>
    <col min="11006" max="11006" width="7.5703125" style="440" customWidth="1"/>
    <col min="11007" max="11007" width="2.42578125" style="440" customWidth="1"/>
    <col min="11008" max="11008" width="11.5703125" style="440" customWidth="1"/>
    <col min="11009" max="11009" width="2.42578125" style="440" customWidth="1"/>
    <col min="11010" max="11010" width="11.5703125" style="440" customWidth="1"/>
    <col min="11011" max="11011" width="2.42578125" style="440" customWidth="1"/>
    <col min="11012" max="11012" width="10.85546875" style="440" customWidth="1"/>
    <col min="11013" max="11013" width="2.42578125" style="440" customWidth="1"/>
    <col min="11014" max="11014" width="11.140625" style="440" customWidth="1"/>
    <col min="11015" max="11015" width="1.85546875" style="440" customWidth="1"/>
    <col min="11016" max="11016" width="11" style="440" customWidth="1"/>
    <col min="11017" max="11017" width="0.7109375" style="440" customWidth="1"/>
    <col min="11018" max="11018" width="1.85546875" style="440" customWidth="1"/>
    <col min="11019" max="11019" width="11.85546875" style="440" bestFit="1" customWidth="1"/>
    <col min="11020" max="11020" width="15.28515625" style="440" bestFit="1" customWidth="1"/>
    <col min="11021" max="11021" width="5" style="440" customWidth="1"/>
    <col min="11022" max="11022" width="10.42578125" style="440" bestFit="1" customWidth="1"/>
    <col min="11023" max="11023" width="5" style="440" customWidth="1"/>
    <col min="11024" max="11024" width="10.42578125" style="440" bestFit="1" customWidth="1"/>
    <col min="11025" max="11027" width="9" style="440"/>
    <col min="11028" max="11028" width="10.42578125" style="440" bestFit="1" customWidth="1"/>
    <col min="11029" max="11257" width="9" style="440"/>
    <col min="11258" max="11258" width="3.5703125" style="440" customWidth="1"/>
    <col min="11259" max="11259" width="4.85546875" style="440" customWidth="1"/>
    <col min="11260" max="11260" width="5.42578125" style="440" customWidth="1"/>
    <col min="11261" max="11261" width="31.28515625" style="440" customWidth="1"/>
    <col min="11262" max="11262" width="7.5703125" style="440" customWidth="1"/>
    <col min="11263" max="11263" width="2.42578125" style="440" customWidth="1"/>
    <col min="11264" max="11264" width="11.5703125" style="440" customWidth="1"/>
    <col min="11265" max="11265" width="2.42578125" style="440" customWidth="1"/>
    <col min="11266" max="11266" width="11.5703125" style="440" customWidth="1"/>
    <col min="11267" max="11267" width="2.42578125" style="440" customWidth="1"/>
    <col min="11268" max="11268" width="10.85546875" style="440" customWidth="1"/>
    <col min="11269" max="11269" width="2.42578125" style="440" customWidth="1"/>
    <col min="11270" max="11270" width="11.140625" style="440" customWidth="1"/>
    <col min="11271" max="11271" width="1.85546875" style="440" customWidth="1"/>
    <col min="11272" max="11272" width="11" style="440" customWidth="1"/>
    <col min="11273" max="11273" width="0.7109375" style="440" customWidth="1"/>
    <col min="11274" max="11274" width="1.85546875" style="440" customWidth="1"/>
    <col min="11275" max="11275" width="11.85546875" style="440" bestFit="1" customWidth="1"/>
    <col min="11276" max="11276" width="15.28515625" style="440" bestFit="1" customWidth="1"/>
    <col min="11277" max="11277" width="5" style="440" customWidth="1"/>
    <col min="11278" max="11278" width="10.42578125" style="440" bestFit="1" customWidth="1"/>
    <col min="11279" max="11279" width="5" style="440" customWidth="1"/>
    <col min="11280" max="11280" width="10.42578125" style="440" bestFit="1" customWidth="1"/>
    <col min="11281" max="11283" width="9" style="440"/>
    <col min="11284" max="11284" width="10.42578125" style="440" bestFit="1" customWidth="1"/>
    <col min="11285" max="11513" width="9" style="440"/>
    <col min="11514" max="11514" width="3.5703125" style="440" customWidth="1"/>
    <col min="11515" max="11515" width="4.85546875" style="440" customWidth="1"/>
    <col min="11516" max="11516" width="5.42578125" style="440" customWidth="1"/>
    <col min="11517" max="11517" width="31.28515625" style="440" customWidth="1"/>
    <col min="11518" max="11518" width="7.5703125" style="440" customWidth="1"/>
    <col min="11519" max="11519" width="2.42578125" style="440" customWidth="1"/>
    <col min="11520" max="11520" width="11.5703125" style="440" customWidth="1"/>
    <col min="11521" max="11521" width="2.42578125" style="440" customWidth="1"/>
    <col min="11522" max="11522" width="11.5703125" style="440" customWidth="1"/>
    <col min="11523" max="11523" width="2.42578125" style="440" customWidth="1"/>
    <col min="11524" max="11524" width="10.85546875" style="440" customWidth="1"/>
    <col min="11525" max="11525" width="2.42578125" style="440" customWidth="1"/>
    <col min="11526" max="11526" width="11.140625" style="440" customWidth="1"/>
    <col min="11527" max="11527" width="1.85546875" style="440" customWidth="1"/>
    <col min="11528" max="11528" width="11" style="440" customWidth="1"/>
    <col min="11529" max="11529" width="0.7109375" style="440" customWidth="1"/>
    <col min="11530" max="11530" width="1.85546875" style="440" customWidth="1"/>
    <col min="11531" max="11531" width="11.85546875" style="440" bestFit="1" customWidth="1"/>
    <col min="11532" max="11532" width="15.28515625" style="440" bestFit="1" customWidth="1"/>
    <col min="11533" max="11533" width="5" style="440" customWidth="1"/>
    <col min="11534" max="11534" width="10.42578125" style="440" bestFit="1" customWidth="1"/>
    <col min="11535" max="11535" width="5" style="440" customWidth="1"/>
    <col min="11536" max="11536" width="10.42578125" style="440" bestFit="1" customWidth="1"/>
    <col min="11537" max="11539" width="9" style="440"/>
    <col min="11540" max="11540" width="10.42578125" style="440" bestFit="1" customWidth="1"/>
    <col min="11541" max="11769" width="9" style="440"/>
    <col min="11770" max="11770" width="3.5703125" style="440" customWidth="1"/>
    <col min="11771" max="11771" width="4.85546875" style="440" customWidth="1"/>
    <col min="11772" max="11772" width="5.42578125" style="440" customWidth="1"/>
    <col min="11773" max="11773" width="31.28515625" style="440" customWidth="1"/>
    <col min="11774" max="11774" width="7.5703125" style="440" customWidth="1"/>
    <col min="11775" max="11775" width="2.42578125" style="440" customWidth="1"/>
    <col min="11776" max="11776" width="11.5703125" style="440" customWidth="1"/>
    <col min="11777" max="11777" width="2.42578125" style="440" customWidth="1"/>
    <col min="11778" max="11778" width="11.5703125" style="440" customWidth="1"/>
    <col min="11779" max="11779" width="2.42578125" style="440" customWidth="1"/>
    <col min="11780" max="11780" width="10.85546875" style="440" customWidth="1"/>
    <col min="11781" max="11781" width="2.42578125" style="440" customWidth="1"/>
    <col min="11782" max="11782" width="11.140625" style="440" customWidth="1"/>
    <col min="11783" max="11783" width="1.85546875" style="440" customWidth="1"/>
    <col min="11784" max="11784" width="11" style="440" customWidth="1"/>
    <col min="11785" max="11785" width="0.7109375" style="440" customWidth="1"/>
    <col min="11786" max="11786" width="1.85546875" style="440" customWidth="1"/>
    <col min="11787" max="11787" width="11.85546875" style="440" bestFit="1" customWidth="1"/>
    <col min="11788" max="11788" width="15.28515625" style="440" bestFit="1" customWidth="1"/>
    <col min="11789" max="11789" width="5" style="440" customWidth="1"/>
    <col min="11790" max="11790" width="10.42578125" style="440" bestFit="1" customWidth="1"/>
    <col min="11791" max="11791" width="5" style="440" customWidth="1"/>
    <col min="11792" max="11792" width="10.42578125" style="440" bestFit="1" customWidth="1"/>
    <col min="11793" max="11795" width="9" style="440"/>
    <col min="11796" max="11796" width="10.42578125" style="440" bestFit="1" customWidth="1"/>
    <col min="11797" max="12025" width="9" style="440"/>
    <col min="12026" max="12026" width="3.5703125" style="440" customWidth="1"/>
    <col min="12027" max="12027" width="4.85546875" style="440" customWidth="1"/>
    <col min="12028" max="12028" width="5.42578125" style="440" customWidth="1"/>
    <col min="12029" max="12029" width="31.28515625" style="440" customWidth="1"/>
    <col min="12030" max="12030" width="7.5703125" style="440" customWidth="1"/>
    <col min="12031" max="12031" width="2.42578125" style="440" customWidth="1"/>
    <col min="12032" max="12032" width="11.5703125" style="440" customWidth="1"/>
    <col min="12033" max="12033" width="2.42578125" style="440" customWidth="1"/>
    <col min="12034" max="12034" width="11.5703125" style="440" customWidth="1"/>
    <col min="12035" max="12035" width="2.42578125" style="440" customWidth="1"/>
    <col min="12036" max="12036" width="10.85546875" style="440" customWidth="1"/>
    <col min="12037" max="12037" width="2.42578125" style="440" customWidth="1"/>
    <col min="12038" max="12038" width="11.140625" style="440" customWidth="1"/>
    <col min="12039" max="12039" width="1.85546875" style="440" customWidth="1"/>
    <col min="12040" max="12040" width="11" style="440" customWidth="1"/>
    <col min="12041" max="12041" width="0.7109375" style="440" customWidth="1"/>
    <col min="12042" max="12042" width="1.85546875" style="440" customWidth="1"/>
    <col min="12043" max="12043" width="11.85546875" style="440" bestFit="1" customWidth="1"/>
    <col min="12044" max="12044" width="15.28515625" style="440" bestFit="1" customWidth="1"/>
    <col min="12045" max="12045" width="5" style="440" customWidth="1"/>
    <col min="12046" max="12046" width="10.42578125" style="440" bestFit="1" customWidth="1"/>
    <col min="12047" max="12047" width="5" style="440" customWidth="1"/>
    <col min="12048" max="12048" width="10.42578125" style="440" bestFit="1" customWidth="1"/>
    <col min="12049" max="12051" width="9" style="440"/>
    <col min="12052" max="12052" width="10.42578125" style="440" bestFit="1" customWidth="1"/>
    <col min="12053" max="12281" width="9" style="440"/>
    <col min="12282" max="12282" width="3.5703125" style="440" customWidth="1"/>
    <col min="12283" max="12283" width="4.85546875" style="440" customWidth="1"/>
    <col min="12284" max="12284" width="5.42578125" style="440" customWidth="1"/>
    <col min="12285" max="12285" width="31.28515625" style="440" customWidth="1"/>
    <col min="12286" max="12286" width="7.5703125" style="440" customWidth="1"/>
    <col min="12287" max="12287" width="2.42578125" style="440" customWidth="1"/>
    <col min="12288" max="12288" width="11.5703125" style="440" customWidth="1"/>
    <col min="12289" max="12289" width="2.42578125" style="440" customWidth="1"/>
    <col min="12290" max="12290" width="11.5703125" style="440" customWidth="1"/>
    <col min="12291" max="12291" width="2.42578125" style="440" customWidth="1"/>
    <col min="12292" max="12292" width="10.85546875" style="440" customWidth="1"/>
    <col min="12293" max="12293" width="2.42578125" style="440" customWidth="1"/>
    <col min="12294" max="12294" width="11.140625" style="440" customWidth="1"/>
    <col min="12295" max="12295" width="1.85546875" style="440" customWidth="1"/>
    <col min="12296" max="12296" width="11" style="440" customWidth="1"/>
    <col min="12297" max="12297" width="0.7109375" style="440" customWidth="1"/>
    <col min="12298" max="12298" width="1.85546875" style="440" customWidth="1"/>
    <col min="12299" max="12299" width="11.85546875" style="440" bestFit="1" customWidth="1"/>
    <col min="12300" max="12300" width="15.28515625" style="440" bestFit="1" customWidth="1"/>
    <col min="12301" max="12301" width="5" style="440" customWidth="1"/>
    <col min="12302" max="12302" width="10.42578125" style="440" bestFit="1" customWidth="1"/>
    <col min="12303" max="12303" width="5" style="440" customWidth="1"/>
    <col min="12304" max="12304" width="10.42578125" style="440" bestFit="1" customWidth="1"/>
    <col min="12305" max="12307" width="9" style="440"/>
    <col min="12308" max="12308" width="10.42578125" style="440" bestFit="1" customWidth="1"/>
    <col min="12309" max="12537" width="9" style="440"/>
    <col min="12538" max="12538" width="3.5703125" style="440" customWidth="1"/>
    <col min="12539" max="12539" width="4.85546875" style="440" customWidth="1"/>
    <col min="12540" max="12540" width="5.42578125" style="440" customWidth="1"/>
    <col min="12541" max="12541" width="31.28515625" style="440" customWidth="1"/>
    <col min="12542" max="12542" width="7.5703125" style="440" customWidth="1"/>
    <col min="12543" max="12543" width="2.42578125" style="440" customWidth="1"/>
    <col min="12544" max="12544" width="11.5703125" style="440" customWidth="1"/>
    <col min="12545" max="12545" width="2.42578125" style="440" customWidth="1"/>
    <col min="12546" max="12546" width="11.5703125" style="440" customWidth="1"/>
    <col min="12547" max="12547" width="2.42578125" style="440" customWidth="1"/>
    <col min="12548" max="12548" width="10.85546875" style="440" customWidth="1"/>
    <col min="12549" max="12549" width="2.42578125" style="440" customWidth="1"/>
    <col min="12550" max="12550" width="11.140625" style="440" customWidth="1"/>
    <col min="12551" max="12551" width="1.85546875" style="440" customWidth="1"/>
    <col min="12552" max="12552" width="11" style="440" customWidth="1"/>
    <col min="12553" max="12553" width="0.7109375" style="440" customWidth="1"/>
    <col min="12554" max="12554" width="1.85546875" style="440" customWidth="1"/>
    <col min="12555" max="12555" width="11.85546875" style="440" bestFit="1" customWidth="1"/>
    <col min="12556" max="12556" width="15.28515625" style="440" bestFit="1" customWidth="1"/>
    <col min="12557" max="12557" width="5" style="440" customWidth="1"/>
    <col min="12558" max="12558" width="10.42578125" style="440" bestFit="1" customWidth="1"/>
    <col min="12559" max="12559" width="5" style="440" customWidth="1"/>
    <col min="12560" max="12560" width="10.42578125" style="440" bestFit="1" customWidth="1"/>
    <col min="12561" max="12563" width="9" style="440"/>
    <col min="12564" max="12564" width="10.42578125" style="440" bestFit="1" customWidth="1"/>
    <col min="12565" max="12793" width="9" style="440"/>
    <col min="12794" max="12794" width="3.5703125" style="440" customWidth="1"/>
    <col min="12795" max="12795" width="4.85546875" style="440" customWidth="1"/>
    <col min="12796" max="12796" width="5.42578125" style="440" customWidth="1"/>
    <col min="12797" max="12797" width="31.28515625" style="440" customWidth="1"/>
    <col min="12798" max="12798" width="7.5703125" style="440" customWidth="1"/>
    <col min="12799" max="12799" width="2.42578125" style="440" customWidth="1"/>
    <col min="12800" max="12800" width="11.5703125" style="440" customWidth="1"/>
    <col min="12801" max="12801" width="2.42578125" style="440" customWidth="1"/>
    <col min="12802" max="12802" width="11.5703125" style="440" customWidth="1"/>
    <col min="12803" max="12803" width="2.42578125" style="440" customWidth="1"/>
    <col min="12804" max="12804" width="10.85546875" style="440" customWidth="1"/>
    <col min="12805" max="12805" width="2.42578125" style="440" customWidth="1"/>
    <col min="12806" max="12806" width="11.140625" style="440" customWidth="1"/>
    <col min="12807" max="12807" width="1.85546875" style="440" customWidth="1"/>
    <col min="12808" max="12808" width="11" style="440" customWidth="1"/>
    <col min="12809" max="12809" width="0.7109375" style="440" customWidth="1"/>
    <col min="12810" max="12810" width="1.85546875" style="440" customWidth="1"/>
    <col min="12811" max="12811" width="11.85546875" style="440" bestFit="1" customWidth="1"/>
    <col min="12812" max="12812" width="15.28515625" style="440" bestFit="1" customWidth="1"/>
    <col min="12813" max="12813" width="5" style="440" customWidth="1"/>
    <col min="12814" max="12814" width="10.42578125" style="440" bestFit="1" customWidth="1"/>
    <col min="12815" max="12815" width="5" style="440" customWidth="1"/>
    <col min="12816" max="12816" width="10.42578125" style="440" bestFit="1" customWidth="1"/>
    <col min="12817" max="12819" width="9" style="440"/>
    <col min="12820" max="12820" width="10.42578125" style="440" bestFit="1" customWidth="1"/>
    <col min="12821" max="13049" width="9" style="440"/>
    <col min="13050" max="13050" width="3.5703125" style="440" customWidth="1"/>
    <col min="13051" max="13051" width="4.85546875" style="440" customWidth="1"/>
    <col min="13052" max="13052" width="5.42578125" style="440" customWidth="1"/>
    <col min="13053" max="13053" width="31.28515625" style="440" customWidth="1"/>
    <col min="13054" max="13054" width="7.5703125" style="440" customWidth="1"/>
    <col min="13055" max="13055" width="2.42578125" style="440" customWidth="1"/>
    <col min="13056" max="13056" width="11.5703125" style="440" customWidth="1"/>
    <col min="13057" max="13057" width="2.42578125" style="440" customWidth="1"/>
    <col min="13058" max="13058" width="11.5703125" style="440" customWidth="1"/>
    <col min="13059" max="13059" width="2.42578125" style="440" customWidth="1"/>
    <col min="13060" max="13060" width="10.85546875" style="440" customWidth="1"/>
    <col min="13061" max="13061" width="2.42578125" style="440" customWidth="1"/>
    <col min="13062" max="13062" width="11.140625" style="440" customWidth="1"/>
    <col min="13063" max="13063" width="1.85546875" style="440" customWidth="1"/>
    <col min="13064" max="13064" width="11" style="440" customWidth="1"/>
    <col min="13065" max="13065" width="0.7109375" style="440" customWidth="1"/>
    <col min="13066" max="13066" width="1.85546875" style="440" customWidth="1"/>
    <col min="13067" max="13067" width="11.85546875" style="440" bestFit="1" customWidth="1"/>
    <col min="13068" max="13068" width="15.28515625" style="440" bestFit="1" customWidth="1"/>
    <col min="13069" max="13069" width="5" style="440" customWidth="1"/>
    <col min="13070" max="13070" width="10.42578125" style="440" bestFit="1" customWidth="1"/>
    <col min="13071" max="13071" width="5" style="440" customWidth="1"/>
    <col min="13072" max="13072" width="10.42578125" style="440" bestFit="1" customWidth="1"/>
    <col min="13073" max="13075" width="9" style="440"/>
    <col min="13076" max="13076" width="10.42578125" style="440" bestFit="1" customWidth="1"/>
    <col min="13077" max="13305" width="9" style="440"/>
    <col min="13306" max="13306" width="3.5703125" style="440" customWidth="1"/>
    <col min="13307" max="13307" width="4.85546875" style="440" customWidth="1"/>
    <col min="13308" max="13308" width="5.42578125" style="440" customWidth="1"/>
    <col min="13309" max="13309" width="31.28515625" style="440" customWidth="1"/>
    <col min="13310" max="13310" width="7.5703125" style="440" customWidth="1"/>
    <col min="13311" max="13311" width="2.42578125" style="440" customWidth="1"/>
    <col min="13312" max="13312" width="11.5703125" style="440" customWidth="1"/>
    <col min="13313" max="13313" width="2.42578125" style="440" customWidth="1"/>
    <col min="13314" max="13314" width="11.5703125" style="440" customWidth="1"/>
    <col min="13315" max="13315" width="2.42578125" style="440" customWidth="1"/>
    <col min="13316" max="13316" width="10.85546875" style="440" customWidth="1"/>
    <col min="13317" max="13317" width="2.42578125" style="440" customWidth="1"/>
    <col min="13318" max="13318" width="11.140625" style="440" customWidth="1"/>
    <col min="13319" max="13319" width="1.85546875" style="440" customWidth="1"/>
    <col min="13320" max="13320" width="11" style="440" customWidth="1"/>
    <col min="13321" max="13321" width="0.7109375" style="440" customWidth="1"/>
    <col min="13322" max="13322" width="1.85546875" style="440" customWidth="1"/>
    <col min="13323" max="13323" width="11.85546875" style="440" bestFit="1" customWidth="1"/>
    <col min="13324" max="13324" width="15.28515625" style="440" bestFit="1" customWidth="1"/>
    <col min="13325" max="13325" width="5" style="440" customWidth="1"/>
    <col min="13326" max="13326" width="10.42578125" style="440" bestFit="1" customWidth="1"/>
    <col min="13327" max="13327" width="5" style="440" customWidth="1"/>
    <col min="13328" max="13328" width="10.42578125" style="440" bestFit="1" customWidth="1"/>
    <col min="13329" max="13331" width="9" style="440"/>
    <col min="13332" max="13332" width="10.42578125" style="440" bestFit="1" customWidth="1"/>
    <col min="13333" max="13561" width="9" style="440"/>
    <col min="13562" max="13562" width="3.5703125" style="440" customWidth="1"/>
    <col min="13563" max="13563" width="4.85546875" style="440" customWidth="1"/>
    <col min="13564" max="13564" width="5.42578125" style="440" customWidth="1"/>
    <col min="13565" max="13565" width="31.28515625" style="440" customWidth="1"/>
    <col min="13566" max="13566" width="7.5703125" style="440" customWidth="1"/>
    <col min="13567" max="13567" width="2.42578125" style="440" customWidth="1"/>
    <col min="13568" max="13568" width="11.5703125" style="440" customWidth="1"/>
    <col min="13569" max="13569" width="2.42578125" style="440" customWidth="1"/>
    <col min="13570" max="13570" width="11.5703125" style="440" customWidth="1"/>
    <col min="13571" max="13571" width="2.42578125" style="440" customWidth="1"/>
    <col min="13572" max="13572" width="10.85546875" style="440" customWidth="1"/>
    <col min="13573" max="13573" width="2.42578125" style="440" customWidth="1"/>
    <col min="13574" max="13574" width="11.140625" style="440" customWidth="1"/>
    <col min="13575" max="13575" width="1.85546875" style="440" customWidth="1"/>
    <col min="13576" max="13576" width="11" style="440" customWidth="1"/>
    <col min="13577" max="13577" width="0.7109375" style="440" customWidth="1"/>
    <col min="13578" max="13578" width="1.85546875" style="440" customWidth="1"/>
    <col min="13579" max="13579" width="11.85546875" style="440" bestFit="1" customWidth="1"/>
    <col min="13580" max="13580" width="15.28515625" style="440" bestFit="1" customWidth="1"/>
    <col min="13581" max="13581" width="5" style="440" customWidth="1"/>
    <col min="13582" max="13582" width="10.42578125" style="440" bestFit="1" customWidth="1"/>
    <col min="13583" max="13583" width="5" style="440" customWidth="1"/>
    <col min="13584" max="13584" width="10.42578125" style="440" bestFit="1" customWidth="1"/>
    <col min="13585" max="13587" width="9" style="440"/>
    <col min="13588" max="13588" width="10.42578125" style="440" bestFit="1" customWidth="1"/>
    <col min="13589" max="13817" width="9" style="440"/>
    <col min="13818" max="13818" width="3.5703125" style="440" customWidth="1"/>
    <col min="13819" max="13819" width="4.85546875" style="440" customWidth="1"/>
    <col min="13820" max="13820" width="5.42578125" style="440" customWidth="1"/>
    <col min="13821" max="13821" width="31.28515625" style="440" customWidth="1"/>
    <col min="13822" max="13822" width="7.5703125" style="440" customWidth="1"/>
    <col min="13823" max="13823" width="2.42578125" style="440" customWidth="1"/>
    <col min="13824" max="13824" width="11.5703125" style="440" customWidth="1"/>
    <col min="13825" max="13825" width="2.42578125" style="440" customWidth="1"/>
    <col min="13826" max="13826" width="11.5703125" style="440" customWidth="1"/>
    <col min="13827" max="13827" width="2.42578125" style="440" customWidth="1"/>
    <col min="13828" max="13828" width="10.85546875" style="440" customWidth="1"/>
    <col min="13829" max="13829" width="2.42578125" style="440" customWidth="1"/>
    <col min="13830" max="13830" width="11.140625" style="440" customWidth="1"/>
    <col min="13831" max="13831" width="1.85546875" style="440" customWidth="1"/>
    <col min="13832" max="13832" width="11" style="440" customWidth="1"/>
    <col min="13833" max="13833" width="0.7109375" style="440" customWidth="1"/>
    <col min="13834" max="13834" width="1.85546875" style="440" customWidth="1"/>
    <col min="13835" max="13835" width="11.85546875" style="440" bestFit="1" customWidth="1"/>
    <col min="13836" max="13836" width="15.28515625" style="440" bestFit="1" customWidth="1"/>
    <col min="13837" max="13837" width="5" style="440" customWidth="1"/>
    <col min="13838" max="13838" width="10.42578125" style="440" bestFit="1" customWidth="1"/>
    <col min="13839" max="13839" width="5" style="440" customWidth="1"/>
    <col min="13840" max="13840" width="10.42578125" style="440" bestFit="1" customWidth="1"/>
    <col min="13841" max="13843" width="9" style="440"/>
    <col min="13844" max="13844" width="10.42578125" style="440" bestFit="1" customWidth="1"/>
    <col min="13845" max="14073" width="9" style="440"/>
    <col min="14074" max="14074" width="3.5703125" style="440" customWidth="1"/>
    <col min="14075" max="14075" width="4.85546875" style="440" customWidth="1"/>
    <col min="14076" max="14076" width="5.42578125" style="440" customWidth="1"/>
    <col min="14077" max="14077" width="31.28515625" style="440" customWidth="1"/>
    <col min="14078" max="14078" width="7.5703125" style="440" customWidth="1"/>
    <col min="14079" max="14079" width="2.42578125" style="440" customWidth="1"/>
    <col min="14080" max="14080" width="11.5703125" style="440" customWidth="1"/>
    <col min="14081" max="14081" width="2.42578125" style="440" customWidth="1"/>
    <col min="14082" max="14082" width="11.5703125" style="440" customWidth="1"/>
    <col min="14083" max="14083" width="2.42578125" style="440" customWidth="1"/>
    <col min="14084" max="14084" width="10.85546875" style="440" customWidth="1"/>
    <col min="14085" max="14085" width="2.42578125" style="440" customWidth="1"/>
    <col min="14086" max="14086" width="11.140625" style="440" customWidth="1"/>
    <col min="14087" max="14087" width="1.85546875" style="440" customWidth="1"/>
    <col min="14088" max="14088" width="11" style="440" customWidth="1"/>
    <col min="14089" max="14089" width="0.7109375" style="440" customWidth="1"/>
    <col min="14090" max="14090" width="1.85546875" style="440" customWidth="1"/>
    <col min="14091" max="14091" width="11.85546875" style="440" bestFit="1" customWidth="1"/>
    <col min="14092" max="14092" width="15.28515625" style="440" bestFit="1" customWidth="1"/>
    <col min="14093" max="14093" width="5" style="440" customWidth="1"/>
    <col min="14094" max="14094" width="10.42578125" style="440" bestFit="1" customWidth="1"/>
    <col min="14095" max="14095" width="5" style="440" customWidth="1"/>
    <col min="14096" max="14096" width="10.42578125" style="440" bestFit="1" customWidth="1"/>
    <col min="14097" max="14099" width="9" style="440"/>
    <col min="14100" max="14100" width="10.42578125" style="440" bestFit="1" customWidth="1"/>
    <col min="14101" max="14329" width="9" style="440"/>
    <col min="14330" max="14330" width="3.5703125" style="440" customWidth="1"/>
    <col min="14331" max="14331" width="4.85546875" style="440" customWidth="1"/>
    <col min="14332" max="14332" width="5.42578125" style="440" customWidth="1"/>
    <col min="14333" max="14333" width="31.28515625" style="440" customWidth="1"/>
    <col min="14334" max="14334" width="7.5703125" style="440" customWidth="1"/>
    <col min="14335" max="14335" width="2.42578125" style="440" customWidth="1"/>
    <col min="14336" max="14336" width="11.5703125" style="440" customWidth="1"/>
    <col min="14337" max="14337" width="2.42578125" style="440" customWidth="1"/>
    <col min="14338" max="14338" width="11.5703125" style="440" customWidth="1"/>
    <col min="14339" max="14339" width="2.42578125" style="440" customWidth="1"/>
    <col min="14340" max="14340" width="10.85546875" style="440" customWidth="1"/>
    <col min="14341" max="14341" width="2.42578125" style="440" customWidth="1"/>
    <col min="14342" max="14342" width="11.140625" style="440" customWidth="1"/>
    <col min="14343" max="14343" width="1.85546875" style="440" customWidth="1"/>
    <col min="14344" max="14344" width="11" style="440" customWidth="1"/>
    <col min="14345" max="14345" width="0.7109375" style="440" customWidth="1"/>
    <col min="14346" max="14346" width="1.85546875" style="440" customWidth="1"/>
    <col min="14347" max="14347" width="11.85546875" style="440" bestFit="1" customWidth="1"/>
    <col min="14348" max="14348" width="15.28515625" style="440" bestFit="1" customWidth="1"/>
    <col min="14349" max="14349" width="5" style="440" customWidth="1"/>
    <col min="14350" max="14350" width="10.42578125" style="440" bestFit="1" customWidth="1"/>
    <col min="14351" max="14351" width="5" style="440" customWidth="1"/>
    <col min="14352" max="14352" width="10.42578125" style="440" bestFit="1" customWidth="1"/>
    <col min="14353" max="14355" width="9" style="440"/>
    <col min="14356" max="14356" width="10.42578125" style="440" bestFit="1" customWidth="1"/>
    <col min="14357" max="14585" width="9" style="440"/>
    <col min="14586" max="14586" width="3.5703125" style="440" customWidth="1"/>
    <col min="14587" max="14587" width="4.85546875" style="440" customWidth="1"/>
    <col min="14588" max="14588" width="5.42578125" style="440" customWidth="1"/>
    <col min="14589" max="14589" width="31.28515625" style="440" customWidth="1"/>
    <col min="14590" max="14590" width="7.5703125" style="440" customWidth="1"/>
    <col min="14591" max="14591" width="2.42578125" style="440" customWidth="1"/>
    <col min="14592" max="14592" width="11.5703125" style="440" customWidth="1"/>
    <col min="14593" max="14593" width="2.42578125" style="440" customWidth="1"/>
    <col min="14594" max="14594" width="11.5703125" style="440" customWidth="1"/>
    <col min="14595" max="14595" width="2.42578125" style="440" customWidth="1"/>
    <col min="14596" max="14596" width="10.85546875" style="440" customWidth="1"/>
    <col min="14597" max="14597" width="2.42578125" style="440" customWidth="1"/>
    <col min="14598" max="14598" width="11.140625" style="440" customWidth="1"/>
    <col min="14599" max="14599" width="1.85546875" style="440" customWidth="1"/>
    <col min="14600" max="14600" width="11" style="440" customWidth="1"/>
    <col min="14601" max="14601" width="0.7109375" style="440" customWidth="1"/>
    <col min="14602" max="14602" width="1.85546875" style="440" customWidth="1"/>
    <col min="14603" max="14603" width="11.85546875" style="440" bestFit="1" customWidth="1"/>
    <col min="14604" max="14604" width="15.28515625" style="440" bestFit="1" customWidth="1"/>
    <col min="14605" max="14605" width="5" style="440" customWidth="1"/>
    <col min="14606" max="14606" width="10.42578125" style="440" bestFit="1" customWidth="1"/>
    <col min="14607" max="14607" width="5" style="440" customWidth="1"/>
    <col min="14608" max="14608" width="10.42578125" style="440" bestFit="1" customWidth="1"/>
    <col min="14609" max="14611" width="9" style="440"/>
    <col min="14612" max="14612" width="10.42578125" style="440" bestFit="1" customWidth="1"/>
    <col min="14613" max="14841" width="9" style="440"/>
    <col min="14842" max="14842" width="3.5703125" style="440" customWidth="1"/>
    <col min="14843" max="14843" width="4.85546875" style="440" customWidth="1"/>
    <col min="14844" max="14844" width="5.42578125" style="440" customWidth="1"/>
    <col min="14845" max="14845" width="31.28515625" style="440" customWidth="1"/>
    <col min="14846" max="14846" width="7.5703125" style="440" customWidth="1"/>
    <col min="14847" max="14847" width="2.42578125" style="440" customWidth="1"/>
    <col min="14848" max="14848" width="11.5703125" style="440" customWidth="1"/>
    <col min="14849" max="14849" width="2.42578125" style="440" customWidth="1"/>
    <col min="14850" max="14850" width="11.5703125" style="440" customWidth="1"/>
    <col min="14851" max="14851" width="2.42578125" style="440" customWidth="1"/>
    <col min="14852" max="14852" width="10.85546875" style="440" customWidth="1"/>
    <col min="14853" max="14853" width="2.42578125" style="440" customWidth="1"/>
    <col min="14854" max="14854" width="11.140625" style="440" customWidth="1"/>
    <col min="14855" max="14855" width="1.85546875" style="440" customWidth="1"/>
    <col min="14856" max="14856" width="11" style="440" customWidth="1"/>
    <col min="14857" max="14857" width="0.7109375" style="440" customWidth="1"/>
    <col min="14858" max="14858" width="1.85546875" style="440" customWidth="1"/>
    <col min="14859" max="14859" width="11.85546875" style="440" bestFit="1" customWidth="1"/>
    <col min="14860" max="14860" width="15.28515625" style="440" bestFit="1" customWidth="1"/>
    <col min="14861" max="14861" width="5" style="440" customWidth="1"/>
    <col min="14862" max="14862" width="10.42578125" style="440" bestFit="1" customWidth="1"/>
    <col min="14863" max="14863" width="5" style="440" customWidth="1"/>
    <col min="14864" max="14864" width="10.42578125" style="440" bestFit="1" customWidth="1"/>
    <col min="14865" max="14867" width="9" style="440"/>
    <col min="14868" max="14868" width="10.42578125" style="440" bestFit="1" customWidth="1"/>
    <col min="14869" max="15097" width="9" style="440"/>
    <col min="15098" max="15098" width="3.5703125" style="440" customWidth="1"/>
    <col min="15099" max="15099" width="4.85546875" style="440" customWidth="1"/>
    <col min="15100" max="15100" width="5.42578125" style="440" customWidth="1"/>
    <col min="15101" max="15101" width="31.28515625" style="440" customWidth="1"/>
    <col min="15102" max="15102" width="7.5703125" style="440" customWidth="1"/>
    <col min="15103" max="15103" width="2.42578125" style="440" customWidth="1"/>
    <col min="15104" max="15104" width="11.5703125" style="440" customWidth="1"/>
    <col min="15105" max="15105" width="2.42578125" style="440" customWidth="1"/>
    <col min="15106" max="15106" width="11.5703125" style="440" customWidth="1"/>
    <col min="15107" max="15107" width="2.42578125" style="440" customWidth="1"/>
    <col min="15108" max="15108" width="10.85546875" style="440" customWidth="1"/>
    <col min="15109" max="15109" width="2.42578125" style="440" customWidth="1"/>
    <col min="15110" max="15110" width="11.140625" style="440" customWidth="1"/>
    <col min="15111" max="15111" width="1.85546875" style="440" customWidth="1"/>
    <col min="15112" max="15112" width="11" style="440" customWidth="1"/>
    <col min="15113" max="15113" width="0.7109375" style="440" customWidth="1"/>
    <col min="15114" max="15114" width="1.85546875" style="440" customWidth="1"/>
    <col min="15115" max="15115" width="11.85546875" style="440" bestFit="1" customWidth="1"/>
    <col min="15116" max="15116" width="15.28515625" style="440" bestFit="1" customWidth="1"/>
    <col min="15117" max="15117" width="5" style="440" customWidth="1"/>
    <col min="15118" max="15118" width="10.42578125" style="440" bestFit="1" customWidth="1"/>
    <col min="15119" max="15119" width="5" style="440" customWidth="1"/>
    <col min="15120" max="15120" width="10.42578125" style="440" bestFit="1" customWidth="1"/>
    <col min="15121" max="15123" width="9" style="440"/>
    <col min="15124" max="15124" width="10.42578125" style="440" bestFit="1" customWidth="1"/>
    <col min="15125" max="15353" width="9" style="440"/>
    <col min="15354" max="15354" width="3.5703125" style="440" customWidth="1"/>
    <col min="15355" max="15355" width="4.85546875" style="440" customWidth="1"/>
    <col min="15356" max="15356" width="5.42578125" style="440" customWidth="1"/>
    <col min="15357" max="15357" width="31.28515625" style="440" customWidth="1"/>
    <col min="15358" max="15358" width="7.5703125" style="440" customWidth="1"/>
    <col min="15359" max="15359" width="2.42578125" style="440" customWidth="1"/>
    <col min="15360" max="15360" width="11.5703125" style="440" customWidth="1"/>
    <col min="15361" max="15361" width="2.42578125" style="440" customWidth="1"/>
    <col min="15362" max="15362" width="11.5703125" style="440" customWidth="1"/>
    <col min="15363" max="15363" width="2.42578125" style="440" customWidth="1"/>
    <col min="15364" max="15364" width="10.85546875" style="440" customWidth="1"/>
    <col min="15365" max="15365" width="2.42578125" style="440" customWidth="1"/>
    <col min="15366" max="15366" width="11.140625" style="440" customWidth="1"/>
    <col min="15367" max="15367" width="1.85546875" style="440" customWidth="1"/>
    <col min="15368" max="15368" width="11" style="440" customWidth="1"/>
    <col min="15369" max="15369" width="0.7109375" style="440" customWidth="1"/>
    <col min="15370" max="15370" width="1.85546875" style="440" customWidth="1"/>
    <col min="15371" max="15371" width="11.85546875" style="440" bestFit="1" customWidth="1"/>
    <col min="15372" max="15372" width="15.28515625" style="440" bestFit="1" customWidth="1"/>
    <col min="15373" max="15373" width="5" style="440" customWidth="1"/>
    <col min="15374" max="15374" width="10.42578125" style="440" bestFit="1" customWidth="1"/>
    <col min="15375" max="15375" width="5" style="440" customWidth="1"/>
    <col min="15376" max="15376" width="10.42578125" style="440" bestFit="1" customWidth="1"/>
    <col min="15377" max="15379" width="9" style="440"/>
    <col min="15380" max="15380" width="10.42578125" style="440" bestFit="1" customWidth="1"/>
    <col min="15381" max="15609" width="9" style="440"/>
    <col min="15610" max="15610" width="3.5703125" style="440" customWidth="1"/>
    <col min="15611" max="15611" width="4.85546875" style="440" customWidth="1"/>
    <col min="15612" max="15612" width="5.42578125" style="440" customWidth="1"/>
    <col min="15613" max="15613" width="31.28515625" style="440" customWidth="1"/>
    <col min="15614" max="15614" width="7.5703125" style="440" customWidth="1"/>
    <col min="15615" max="15615" width="2.42578125" style="440" customWidth="1"/>
    <col min="15616" max="15616" width="11.5703125" style="440" customWidth="1"/>
    <col min="15617" max="15617" width="2.42578125" style="440" customWidth="1"/>
    <col min="15618" max="15618" width="11.5703125" style="440" customWidth="1"/>
    <col min="15619" max="15619" width="2.42578125" style="440" customWidth="1"/>
    <col min="15620" max="15620" width="10.85546875" style="440" customWidth="1"/>
    <col min="15621" max="15621" width="2.42578125" style="440" customWidth="1"/>
    <col min="15622" max="15622" width="11.140625" style="440" customWidth="1"/>
    <col min="15623" max="15623" width="1.85546875" style="440" customWidth="1"/>
    <col min="15624" max="15624" width="11" style="440" customWidth="1"/>
    <col min="15625" max="15625" width="0.7109375" style="440" customWidth="1"/>
    <col min="15626" max="15626" width="1.85546875" style="440" customWidth="1"/>
    <col min="15627" max="15627" width="11.85546875" style="440" bestFit="1" customWidth="1"/>
    <col min="15628" max="15628" width="15.28515625" style="440" bestFit="1" customWidth="1"/>
    <col min="15629" max="15629" width="5" style="440" customWidth="1"/>
    <col min="15630" max="15630" width="10.42578125" style="440" bestFit="1" customWidth="1"/>
    <col min="15631" max="15631" width="5" style="440" customWidth="1"/>
    <col min="15632" max="15632" width="10.42578125" style="440" bestFit="1" customWidth="1"/>
    <col min="15633" max="15635" width="9" style="440"/>
    <col min="15636" max="15636" width="10.42578125" style="440" bestFit="1" customWidth="1"/>
    <col min="15637" max="15865" width="9" style="440"/>
    <col min="15866" max="15866" width="3.5703125" style="440" customWidth="1"/>
    <col min="15867" max="15867" width="4.85546875" style="440" customWidth="1"/>
    <col min="15868" max="15868" width="5.42578125" style="440" customWidth="1"/>
    <col min="15869" max="15869" width="31.28515625" style="440" customWidth="1"/>
    <col min="15870" max="15870" width="7.5703125" style="440" customWidth="1"/>
    <col min="15871" max="15871" width="2.42578125" style="440" customWidth="1"/>
    <col min="15872" max="15872" width="11.5703125" style="440" customWidth="1"/>
    <col min="15873" max="15873" width="2.42578125" style="440" customWidth="1"/>
    <col min="15874" max="15874" width="11.5703125" style="440" customWidth="1"/>
    <col min="15875" max="15875" width="2.42578125" style="440" customWidth="1"/>
    <col min="15876" max="15876" width="10.85546875" style="440" customWidth="1"/>
    <col min="15877" max="15877" width="2.42578125" style="440" customWidth="1"/>
    <col min="15878" max="15878" width="11.140625" style="440" customWidth="1"/>
    <col min="15879" max="15879" width="1.85546875" style="440" customWidth="1"/>
    <col min="15880" max="15880" width="11" style="440" customWidth="1"/>
    <col min="15881" max="15881" width="0.7109375" style="440" customWidth="1"/>
    <col min="15882" max="15882" width="1.85546875" style="440" customWidth="1"/>
    <col min="15883" max="15883" width="11.85546875" style="440" bestFit="1" customWidth="1"/>
    <col min="15884" max="15884" width="15.28515625" style="440" bestFit="1" customWidth="1"/>
    <col min="15885" max="15885" width="5" style="440" customWidth="1"/>
    <col min="15886" max="15886" width="10.42578125" style="440" bestFit="1" customWidth="1"/>
    <col min="15887" max="15887" width="5" style="440" customWidth="1"/>
    <col min="15888" max="15888" width="10.42578125" style="440" bestFit="1" customWidth="1"/>
    <col min="15889" max="15891" width="9" style="440"/>
    <col min="15892" max="15892" width="10.42578125" style="440" bestFit="1" customWidth="1"/>
    <col min="15893" max="16121" width="9" style="440"/>
    <col min="16122" max="16122" width="3.5703125" style="440" customWidth="1"/>
    <col min="16123" max="16123" width="4.85546875" style="440" customWidth="1"/>
    <col min="16124" max="16124" width="5.42578125" style="440" customWidth="1"/>
    <col min="16125" max="16125" width="31.28515625" style="440" customWidth="1"/>
    <col min="16126" max="16126" width="7.5703125" style="440" customWidth="1"/>
    <col min="16127" max="16127" width="2.42578125" style="440" customWidth="1"/>
    <col min="16128" max="16128" width="11.5703125" style="440" customWidth="1"/>
    <col min="16129" max="16129" width="2.42578125" style="440" customWidth="1"/>
    <col min="16130" max="16130" width="11.5703125" style="440" customWidth="1"/>
    <col min="16131" max="16131" width="2.42578125" style="440" customWidth="1"/>
    <col min="16132" max="16132" width="10.85546875" style="440" customWidth="1"/>
    <col min="16133" max="16133" width="2.42578125" style="440" customWidth="1"/>
    <col min="16134" max="16134" width="11.140625" style="440" customWidth="1"/>
    <col min="16135" max="16135" width="1.85546875" style="440" customWidth="1"/>
    <col min="16136" max="16136" width="11" style="440" customWidth="1"/>
    <col min="16137" max="16137" width="0.7109375" style="440" customWidth="1"/>
    <col min="16138" max="16138" width="1.85546875" style="440" customWidth="1"/>
    <col min="16139" max="16139" width="11.85546875" style="440" bestFit="1" customWidth="1"/>
    <col min="16140" max="16140" width="15.28515625" style="440" bestFit="1" customWidth="1"/>
    <col min="16141" max="16141" width="5" style="440" customWidth="1"/>
    <col min="16142" max="16142" width="10.42578125" style="440" bestFit="1" customWidth="1"/>
    <col min="16143" max="16143" width="5" style="440" customWidth="1"/>
    <col min="16144" max="16144" width="10.42578125" style="440" bestFit="1" customWidth="1"/>
    <col min="16145" max="16147" width="9" style="440"/>
    <col min="16148" max="16148" width="10.42578125" style="440" bestFit="1" customWidth="1"/>
    <col min="16149" max="16384" width="9" style="440"/>
  </cols>
  <sheetData>
    <row r="1" spans="1:15" s="563" customFormat="1" x14ac:dyDescent="0.6">
      <c r="A1" s="1504" t="s">
        <v>244</v>
      </c>
      <c r="B1" s="1504"/>
      <c r="C1" s="1504"/>
      <c r="D1" s="1504"/>
      <c r="E1" s="1504"/>
      <c r="F1" s="1504"/>
      <c r="G1" s="1504"/>
      <c r="H1" s="1504"/>
      <c r="I1" s="1504"/>
      <c r="J1" s="1504"/>
      <c r="K1" s="1504"/>
      <c r="L1" s="562"/>
      <c r="M1" s="562"/>
      <c r="N1" s="562"/>
    </row>
    <row r="2" spans="1:15" s="563" customFormat="1" x14ac:dyDescent="0.6">
      <c r="A2" s="1505" t="str">
        <f>'23-24'!A2:U2</f>
        <v>يادداشتهاي توضيحي صورتهاي مالي</v>
      </c>
      <c r="B2" s="1505"/>
      <c r="C2" s="1505"/>
      <c r="D2" s="1505"/>
      <c r="E2" s="1505"/>
      <c r="F2" s="1505"/>
      <c r="G2" s="1505"/>
      <c r="H2" s="1505"/>
      <c r="I2" s="1505"/>
      <c r="J2" s="1505"/>
      <c r="K2" s="1505"/>
      <c r="L2" s="562"/>
      <c r="M2" s="562"/>
      <c r="N2" s="562"/>
    </row>
    <row r="3" spans="1:15" s="563" customFormat="1" x14ac:dyDescent="0.6">
      <c r="A3" s="1505" t="str">
        <f>سودوزيان!A3</f>
        <v>سال مالی منتهی به 30 اسفند 1403</v>
      </c>
      <c r="B3" s="1505"/>
      <c r="C3" s="1505"/>
      <c r="D3" s="1505"/>
      <c r="E3" s="1505"/>
      <c r="F3" s="1505"/>
      <c r="G3" s="1505"/>
      <c r="H3" s="1505"/>
      <c r="I3" s="1505"/>
      <c r="J3" s="1505"/>
      <c r="K3" s="1505"/>
      <c r="L3" s="562"/>
      <c r="M3" s="562"/>
      <c r="N3" s="562"/>
    </row>
    <row r="4" spans="1:15" s="563" customFormat="1" x14ac:dyDescent="0.6">
      <c r="A4" s="564"/>
      <c r="B4" s="564"/>
      <c r="C4" s="564"/>
      <c r="D4" s="564"/>
      <c r="E4" s="564"/>
      <c r="F4" s="564"/>
      <c r="G4" s="564"/>
      <c r="H4" s="564"/>
      <c r="I4" s="564"/>
      <c r="J4" s="564"/>
      <c r="K4" s="564"/>
      <c r="L4" s="562"/>
      <c r="M4" s="562"/>
      <c r="N4" s="562"/>
    </row>
    <row r="5" spans="1:15" ht="20.25" customHeight="1" x14ac:dyDescent="0.25">
      <c r="A5" s="880" t="s">
        <v>1077</v>
      </c>
      <c r="B5" s="248" t="s">
        <v>154</v>
      </c>
      <c r="G5" s="505"/>
    </row>
    <row r="6" spans="1:15" ht="20.25" customHeight="1" thickBot="1" x14ac:dyDescent="0.3">
      <c r="E6"/>
      <c r="G6" s="567">
        <v>1403</v>
      </c>
      <c r="H6" s="490"/>
      <c r="I6" s="567">
        <v>1402</v>
      </c>
      <c r="J6" s="490"/>
    </row>
    <row r="7" spans="1:15" ht="25.5" customHeight="1" x14ac:dyDescent="0.25">
      <c r="D7" s="505"/>
      <c r="E7"/>
      <c r="G7" s="505" t="s">
        <v>494</v>
      </c>
      <c r="I7" s="505" t="s">
        <v>494</v>
      </c>
    </row>
    <row r="8" spans="1:15" ht="20.25" customHeight="1" x14ac:dyDescent="0.55000000000000004">
      <c r="B8" s="1593" t="s">
        <v>378</v>
      </c>
      <c r="C8" s="1593"/>
      <c r="D8" s="1593"/>
      <c r="E8"/>
      <c r="G8" s="222">
        <f>G31</f>
        <v>1277822241866</v>
      </c>
      <c r="H8" s="181"/>
      <c r="I8" s="493">
        <v>1621970308750</v>
      </c>
      <c r="J8" s="346"/>
    </row>
    <row r="9" spans="1:15" ht="24" customHeight="1" x14ac:dyDescent="0.25">
      <c r="B9" s="1593" t="s">
        <v>313</v>
      </c>
      <c r="C9" s="1593"/>
      <c r="D9" s="1593"/>
      <c r="E9" s="568"/>
      <c r="G9" s="569">
        <v>-87735704378</v>
      </c>
      <c r="H9" s="181"/>
      <c r="I9" s="569">
        <v>-143418081413</v>
      </c>
      <c r="J9" s="346"/>
    </row>
    <row r="10" spans="1:15" ht="27" customHeight="1" x14ac:dyDescent="0.25">
      <c r="B10" s="1593" t="s">
        <v>1243</v>
      </c>
      <c r="C10" s="1593"/>
      <c r="D10" s="1593"/>
      <c r="E10" s="1243"/>
      <c r="G10" s="569">
        <v>-331195293165</v>
      </c>
      <c r="H10" s="181"/>
      <c r="I10" s="569">
        <v>-346477000000</v>
      </c>
      <c r="J10" s="346"/>
    </row>
    <row r="11" spans="1:15" s="346" customFormat="1" ht="29.25" customHeight="1" thickBot="1" x14ac:dyDescent="0.65">
      <c r="A11" s="570" t="s">
        <v>490</v>
      </c>
      <c r="G11" s="438">
        <f>SUM(G8:G10)</f>
        <v>858891244323</v>
      </c>
      <c r="I11" s="571">
        <f>SUM(I8:I10)</f>
        <v>1132075227337</v>
      </c>
      <c r="L11" s="572"/>
      <c r="N11" s="346">
        <f>G11-'وضعيت مالي'!F34</f>
        <v>0</v>
      </c>
      <c r="O11" s="346">
        <f>I11-'وضعيت مالي'!H34</f>
        <v>0</v>
      </c>
    </row>
    <row r="12" spans="1:15" ht="20.25" customHeight="1" thickTop="1" x14ac:dyDescent="0.25">
      <c r="I12" s="346"/>
    </row>
    <row r="13" spans="1:15" ht="20.25" customHeight="1" x14ac:dyDescent="0.25">
      <c r="A13" s="491" t="s">
        <v>1076</v>
      </c>
      <c r="B13" s="1524" t="s">
        <v>155</v>
      </c>
      <c r="C13" s="1524"/>
      <c r="D13" s="1524"/>
      <c r="E13" s="1524"/>
      <c r="F13" s="1524"/>
      <c r="G13" s="1524"/>
      <c r="H13" s="1524"/>
      <c r="I13" s="1524"/>
      <c r="J13" s="1524"/>
    </row>
    <row r="14" spans="1:15" ht="20.25" customHeight="1" x14ac:dyDescent="0.25">
      <c r="A14" s="491" t="s">
        <v>1237</v>
      </c>
      <c r="B14" s="1594" t="s">
        <v>1238</v>
      </c>
      <c r="C14" s="1594"/>
      <c r="D14" s="1594"/>
      <c r="E14" s="1594"/>
      <c r="F14" s="1184"/>
      <c r="G14" s="1184"/>
      <c r="H14" s="1184"/>
      <c r="I14" s="1184"/>
      <c r="J14" s="1184"/>
    </row>
    <row r="15" spans="1:15" ht="20.25" customHeight="1" x14ac:dyDescent="0.25">
      <c r="G15" s="505">
        <v>1403</v>
      </c>
      <c r="H15" s="490"/>
      <c r="I15" s="505">
        <v>1402</v>
      </c>
      <c r="J15" s="505"/>
    </row>
    <row r="16" spans="1:15" ht="20.25" customHeight="1" x14ac:dyDescent="0.25">
      <c r="D16" s="505"/>
      <c r="G16" s="573" t="s">
        <v>494</v>
      </c>
      <c r="I16" s="573" t="s">
        <v>494</v>
      </c>
      <c r="K16" s="565"/>
      <c r="L16" s="440"/>
    </row>
    <row r="17" spans="1:15" ht="21.75" customHeight="1" x14ac:dyDescent="0.6">
      <c r="B17" s="492"/>
      <c r="D17" s="574" t="s">
        <v>379</v>
      </c>
      <c r="G17" s="522">
        <v>703677058996</v>
      </c>
      <c r="I17" s="522">
        <v>588708087961</v>
      </c>
      <c r="J17" s="520"/>
      <c r="K17" s="575"/>
      <c r="L17" s="440"/>
    </row>
    <row r="18" spans="1:15" ht="21.75" customHeight="1" x14ac:dyDescent="0.6">
      <c r="D18" s="574" t="s">
        <v>383</v>
      </c>
      <c r="G18" s="522">
        <v>336339249330</v>
      </c>
      <c r="I18" s="522">
        <v>115603085584</v>
      </c>
      <c r="J18" s="520"/>
      <c r="K18" s="565"/>
      <c r="L18" s="440"/>
    </row>
    <row r="19" spans="1:15" ht="21.75" customHeight="1" x14ac:dyDescent="0.6">
      <c r="A19" s="440"/>
      <c r="D19" s="574" t="s">
        <v>512</v>
      </c>
      <c r="E19" s="248"/>
      <c r="F19" s="248"/>
      <c r="G19" s="522">
        <v>108459874750</v>
      </c>
      <c r="I19" s="522">
        <v>187124639112</v>
      </c>
      <c r="J19" s="520"/>
      <c r="K19" s="565"/>
      <c r="L19" s="440"/>
    </row>
    <row r="20" spans="1:15" ht="21.75" customHeight="1" x14ac:dyDescent="0.6">
      <c r="D20" s="576" t="s">
        <v>510</v>
      </c>
      <c r="E20" s="248"/>
      <c r="F20" s="248"/>
      <c r="G20" s="522">
        <v>88731928787</v>
      </c>
      <c r="I20" s="522">
        <v>93099742298</v>
      </c>
      <c r="J20" s="520"/>
      <c r="K20" s="565"/>
      <c r="L20" s="440"/>
    </row>
    <row r="21" spans="1:15" ht="21.75" customHeight="1" x14ac:dyDescent="0.6">
      <c r="D21" s="576" t="s">
        <v>683</v>
      </c>
      <c r="F21" s="248"/>
      <c r="G21" s="522">
        <v>26179056652</v>
      </c>
      <c r="I21" s="522">
        <v>298006719687</v>
      </c>
      <c r="J21" s="520"/>
    </row>
    <row r="22" spans="1:15" ht="21.75" customHeight="1" x14ac:dyDescent="0.6">
      <c r="D22" s="574" t="s">
        <v>385</v>
      </c>
      <c r="G22" s="522">
        <v>9527363291</v>
      </c>
      <c r="I22" s="522">
        <v>48264194382</v>
      </c>
      <c r="J22" s="520"/>
      <c r="K22" s="565"/>
      <c r="L22" s="440"/>
    </row>
    <row r="23" spans="1:15" ht="21.75" customHeight="1" x14ac:dyDescent="0.6">
      <c r="D23" s="574" t="s">
        <v>381</v>
      </c>
      <c r="G23" s="522">
        <v>4907710060</v>
      </c>
      <c r="I23" s="522">
        <v>157130967996</v>
      </c>
      <c r="J23" s="520"/>
      <c r="K23" s="575"/>
      <c r="L23" s="440"/>
    </row>
    <row r="24" spans="1:15" ht="21.75" customHeight="1" x14ac:dyDescent="0.6">
      <c r="B24" s="492"/>
      <c r="D24" s="574" t="s">
        <v>380</v>
      </c>
      <c r="G24" s="522">
        <v>0</v>
      </c>
      <c r="I24" s="522">
        <v>134032871730</v>
      </c>
      <c r="J24" s="520"/>
      <c r="K24" s="575"/>
      <c r="L24" s="440"/>
    </row>
    <row r="25" spans="1:15" ht="21.75" hidden="1" customHeight="1" x14ac:dyDescent="0.6">
      <c r="D25" s="574" t="s">
        <v>1016</v>
      </c>
      <c r="G25" s="522">
        <v>0</v>
      </c>
      <c r="I25" s="522">
        <v>0</v>
      </c>
      <c r="J25" s="520"/>
      <c r="K25" s="565"/>
      <c r="L25" s="440"/>
    </row>
    <row r="26" spans="1:15" ht="21.75" hidden="1" customHeight="1" x14ac:dyDescent="0.6">
      <c r="B26" s="492"/>
      <c r="D26" s="574" t="s">
        <v>382</v>
      </c>
      <c r="G26" s="346">
        <v>0</v>
      </c>
      <c r="I26" s="1075">
        <v>0</v>
      </c>
      <c r="J26" s="520"/>
      <c r="K26" s="575"/>
      <c r="L26" s="440"/>
    </row>
    <row r="27" spans="1:15" ht="21.75" hidden="1" customHeight="1" x14ac:dyDescent="0.6">
      <c r="D27" s="574" t="s">
        <v>384</v>
      </c>
      <c r="G27" s="346">
        <v>0</v>
      </c>
      <c r="I27" s="1075">
        <v>0</v>
      </c>
      <c r="J27" s="520"/>
      <c r="K27" s="565"/>
      <c r="L27" s="440"/>
    </row>
    <row r="28" spans="1:15" ht="21.75" hidden="1" customHeight="1" x14ac:dyDescent="0.6">
      <c r="D28" s="576" t="s">
        <v>511</v>
      </c>
      <c r="E28" s="248"/>
      <c r="F28" s="248"/>
      <c r="G28" s="346">
        <v>0</v>
      </c>
      <c r="I28" s="346">
        <v>0</v>
      </c>
      <c r="J28" s="520"/>
    </row>
    <row r="29" spans="1:15" ht="21.75" hidden="1" customHeight="1" x14ac:dyDescent="0.6">
      <c r="D29" s="576" t="s">
        <v>684</v>
      </c>
      <c r="F29" s="248"/>
      <c r="G29" s="346">
        <v>0</v>
      </c>
      <c r="I29" s="346">
        <v>0</v>
      </c>
      <c r="J29" s="520"/>
    </row>
    <row r="30" spans="1:15" ht="21.75" hidden="1" customHeight="1" x14ac:dyDescent="0.6">
      <c r="D30" s="576" t="s">
        <v>685</v>
      </c>
      <c r="F30" s="248"/>
      <c r="G30" s="346">
        <v>0</v>
      </c>
      <c r="I30" s="346">
        <v>0</v>
      </c>
      <c r="J30" s="520"/>
    </row>
    <row r="31" spans="1:15" ht="27" customHeight="1" thickBot="1" x14ac:dyDescent="0.65">
      <c r="G31" s="577">
        <f>SUM(G17:G30)</f>
        <v>1277822241866</v>
      </c>
      <c r="I31" s="578">
        <f>SUM(I17:I30)</f>
        <v>1621970308750</v>
      </c>
      <c r="J31" s="520"/>
      <c r="N31" s="440" t="b">
        <f>G31=G8</f>
        <v>1</v>
      </c>
      <c r="O31" s="440" t="b">
        <f>I31=I8</f>
        <v>1</v>
      </c>
    </row>
    <row r="32" spans="1:15" ht="16.5" customHeight="1" thickTop="1" x14ac:dyDescent="0.25"/>
    <row r="33" spans="1:10" ht="16.5" customHeight="1" x14ac:dyDescent="0.25"/>
    <row r="34" spans="1:10" ht="24" customHeight="1" x14ac:dyDescent="0.25">
      <c r="A34" s="491" t="s">
        <v>1239</v>
      </c>
      <c r="B34" s="1524" t="s">
        <v>794</v>
      </c>
      <c r="C34" s="1524"/>
      <c r="D34" s="1524"/>
      <c r="E34" s="1524"/>
      <c r="F34" s="1524"/>
      <c r="G34" s="1524"/>
      <c r="H34" s="1524"/>
      <c r="I34" s="1524"/>
      <c r="J34" s="1524"/>
    </row>
    <row r="35" spans="1:10" ht="21" customHeight="1" x14ac:dyDescent="0.25">
      <c r="D35" s="248"/>
      <c r="E35" s="248"/>
      <c r="F35" s="248"/>
      <c r="G35" s="505">
        <v>1403</v>
      </c>
      <c r="H35" s="490"/>
      <c r="I35" s="505">
        <v>1402</v>
      </c>
      <c r="J35" s="248"/>
    </row>
    <row r="36" spans="1:10" ht="26.25" customHeight="1" x14ac:dyDescent="0.25">
      <c r="D36" s="248"/>
      <c r="E36" s="248"/>
      <c r="F36" s="248"/>
      <c r="G36" s="573" t="s">
        <v>494</v>
      </c>
      <c r="I36" s="573" t="s">
        <v>494</v>
      </c>
      <c r="J36" s="248"/>
    </row>
    <row r="37" spans="1:10" ht="27.75" customHeight="1" x14ac:dyDescent="0.55000000000000004">
      <c r="D37" s="248" t="s">
        <v>859</v>
      </c>
      <c r="E37" s="248"/>
      <c r="F37" s="248"/>
      <c r="G37" s="346">
        <f>G31</f>
        <v>1277822241866</v>
      </c>
      <c r="H37" s="248"/>
      <c r="I37" s="493">
        <v>1621970308750</v>
      </c>
      <c r="J37" s="248"/>
    </row>
    <row r="38" spans="1:10" ht="32.25" customHeight="1" thickBot="1" x14ac:dyDescent="0.65">
      <c r="D38" s="248"/>
      <c r="E38" s="248"/>
      <c r="F38" s="248"/>
      <c r="G38" s="579">
        <f>SUM(G37:G37)</f>
        <v>1277822241866</v>
      </c>
      <c r="I38" s="571">
        <f>SUM(I37:I37)</f>
        <v>1621970308750</v>
      </c>
      <c r="J38" s="248"/>
    </row>
    <row r="39" spans="1:10" ht="16.5" customHeight="1" thickTop="1" x14ac:dyDescent="0.25">
      <c r="D39" s="248"/>
      <c r="E39" s="248"/>
      <c r="F39" s="248"/>
      <c r="G39" s="248"/>
      <c r="H39" s="248"/>
      <c r="I39" s="248"/>
      <c r="J39" s="248"/>
    </row>
    <row r="40" spans="1:10" ht="16.5" customHeight="1" x14ac:dyDescent="0.25">
      <c r="D40" s="248"/>
      <c r="E40" s="248"/>
      <c r="F40" s="248"/>
      <c r="G40" s="248"/>
      <c r="H40" s="248"/>
      <c r="I40" s="248"/>
      <c r="J40" s="248"/>
    </row>
    <row r="41" spans="1:10" ht="24" customHeight="1" x14ac:dyDescent="0.25">
      <c r="A41" s="491" t="s">
        <v>1240</v>
      </c>
      <c r="B41" s="1524" t="s">
        <v>795</v>
      </c>
      <c r="C41" s="1524"/>
      <c r="D41" s="1524"/>
      <c r="E41" s="1524"/>
      <c r="F41" s="1524"/>
      <c r="G41" s="1524"/>
      <c r="H41" s="1524"/>
      <c r="I41" s="1524"/>
      <c r="J41" s="1524"/>
    </row>
    <row r="42" spans="1:10" ht="20.25" customHeight="1" x14ac:dyDescent="0.45">
      <c r="D42" s="248"/>
      <c r="E42" s="248"/>
      <c r="F42" s="248"/>
      <c r="G42" s="505">
        <v>1403</v>
      </c>
      <c r="H42" s="490"/>
      <c r="I42" s="508"/>
      <c r="J42" s="248"/>
    </row>
    <row r="43" spans="1:10" ht="29.25" customHeight="1" x14ac:dyDescent="0.45">
      <c r="D43" s="248"/>
      <c r="E43" s="248"/>
      <c r="F43" s="248"/>
      <c r="G43" s="573" t="s">
        <v>494</v>
      </c>
      <c r="I43" s="508"/>
      <c r="J43" s="248"/>
    </row>
    <row r="44" spans="1:10" ht="30.75" customHeight="1" x14ac:dyDescent="0.45">
      <c r="D44" s="741">
        <v>1403</v>
      </c>
      <c r="E44" s="248"/>
      <c r="F44" s="248"/>
      <c r="G44" s="346">
        <f>G38</f>
        <v>1277822241866</v>
      </c>
      <c r="H44" s="248"/>
      <c r="I44" s="508"/>
      <c r="J44" s="248"/>
    </row>
    <row r="45" spans="1:10" ht="27.75" customHeight="1" thickBot="1" x14ac:dyDescent="0.65">
      <c r="D45" s="248"/>
      <c r="E45" s="248"/>
      <c r="F45" s="248"/>
      <c r="G45" s="579">
        <f>SUM(G44)</f>
        <v>1277822241866</v>
      </c>
      <c r="I45" s="508"/>
      <c r="J45" s="248"/>
    </row>
    <row r="46" spans="1:10" ht="16.5" customHeight="1" thickTop="1" x14ac:dyDescent="0.25">
      <c r="D46" s="250"/>
      <c r="E46" s="248"/>
      <c r="F46" s="248"/>
      <c r="G46" s="248"/>
      <c r="H46" s="248"/>
      <c r="I46" s="248"/>
      <c r="J46" s="248"/>
    </row>
    <row r="47" spans="1:10" ht="16.5" customHeight="1" x14ac:dyDescent="0.25">
      <c r="D47" s="248"/>
      <c r="E47" s="248"/>
      <c r="F47" s="248"/>
      <c r="G47" s="248"/>
      <c r="H47" s="248"/>
      <c r="I47" s="248"/>
      <c r="J47" s="248"/>
    </row>
    <row r="48" spans="1:10" ht="28.5" customHeight="1" x14ac:dyDescent="0.25">
      <c r="A48" s="491" t="s">
        <v>1241</v>
      </c>
      <c r="B48" s="1524" t="s">
        <v>796</v>
      </c>
      <c r="C48" s="1524"/>
      <c r="D48" s="1524"/>
      <c r="E48" s="1524"/>
      <c r="F48" s="1524"/>
      <c r="G48" s="1524"/>
      <c r="H48" s="1524"/>
      <c r="I48" s="1524"/>
      <c r="J48" s="1524"/>
    </row>
    <row r="49" spans="4:10" ht="24" customHeight="1" x14ac:dyDescent="0.45">
      <c r="D49" s="248"/>
      <c r="E49" s="248"/>
      <c r="F49" s="248"/>
      <c r="G49" s="505">
        <v>1403</v>
      </c>
      <c r="H49" s="490"/>
      <c r="I49" s="508"/>
      <c r="J49" s="248"/>
    </row>
    <row r="50" spans="4:10" ht="24" customHeight="1" x14ac:dyDescent="0.45">
      <c r="D50" s="248"/>
      <c r="E50" s="248"/>
      <c r="F50" s="248"/>
      <c r="G50" s="573" t="s">
        <v>494</v>
      </c>
      <c r="I50" s="508"/>
      <c r="J50" s="248"/>
    </row>
    <row r="51" spans="4:10" ht="24" customHeight="1" x14ac:dyDescent="0.45">
      <c r="D51" s="580" t="s">
        <v>916</v>
      </c>
      <c r="E51" s="248"/>
      <c r="F51" s="248"/>
      <c r="G51" s="522">
        <f>G22</f>
        <v>9527363291</v>
      </c>
      <c r="H51" s="248"/>
      <c r="I51" s="508"/>
      <c r="J51" s="248"/>
    </row>
    <row r="52" spans="4:10" ht="24" customHeight="1" x14ac:dyDescent="0.45">
      <c r="D52" s="580" t="s">
        <v>917</v>
      </c>
      <c r="E52" s="248"/>
      <c r="F52" s="248"/>
      <c r="G52" s="222">
        <v>931955645912</v>
      </c>
      <c r="H52" s="248"/>
      <c r="I52" s="508"/>
      <c r="J52" s="248"/>
    </row>
    <row r="53" spans="4:10" ht="24" customHeight="1" x14ac:dyDescent="0.45">
      <c r="D53" s="580" t="s">
        <v>1273</v>
      </c>
      <c r="E53" s="1264"/>
      <c r="F53" s="1264"/>
      <c r="G53" s="1263">
        <v>336339232663</v>
      </c>
      <c r="H53" s="1264"/>
      <c r="I53" s="508"/>
      <c r="J53" s="1264"/>
    </row>
    <row r="54" spans="4:10" ht="27" customHeight="1" thickBot="1" x14ac:dyDescent="0.65">
      <c r="D54" s="248"/>
      <c r="E54" s="248"/>
      <c r="F54" s="248"/>
      <c r="G54" s="579">
        <f>SUM(G51:G53)</f>
        <v>1277822241866</v>
      </c>
      <c r="I54" s="508"/>
      <c r="J54" s="248"/>
    </row>
    <row r="55" spans="4:10" ht="24" customHeight="1" thickTop="1" x14ac:dyDescent="0.6">
      <c r="D55" s="248"/>
      <c r="E55" s="248"/>
      <c r="F55" s="248"/>
      <c r="G55" s="520"/>
      <c r="I55" s="520"/>
      <c r="J55" s="248"/>
    </row>
    <row r="56" spans="4:10" ht="24" customHeight="1" x14ac:dyDescent="0.6">
      <c r="D56" s="248"/>
      <c r="E56" s="248"/>
      <c r="F56" s="248"/>
      <c r="G56" s="520"/>
      <c r="I56" s="520"/>
      <c r="J56" s="248"/>
    </row>
    <row r="57" spans="4:10" ht="24" hidden="1" customHeight="1" x14ac:dyDescent="0.6">
      <c r="D57" s="248"/>
      <c r="E57" s="248"/>
      <c r="F57" s="248"/>
      <c r="G57" s="520"/>
      <c r="I57" s="520"/>
      <c r="J57" s="248"/>
    </row>
    <row r="58" spans="4:10" ht="24" hidden="1" customHeight="1" x14ac:dyDescent="0.6">
      <c r="D58" s="248"/>
      <c r="E58" s="248"/>
      <c r="F58" s="248"/>
      <c r="G58" s="520"/>
      <c r="I58" s="520"/>
      <c r="J58" s="248"/>
    </row>
    <row r="59" spans="4:10" ht="24" hidden="1" customHeight="1" x14ac:dyDescent="0.6">
      <c r="D59" s="248"/>
      <c r="E59" s="248"/>
      <c r="F59" s="248"/>
      <c r="G59" s="520"/>
      <c r="I59" s="520"/>
      <c r="J59" s="248"/>
    </row>
    <row r="60" spans="4:10" ht="24" hidden="1" customHeight="1" x14ac:dyDescent="0.6">
      <c r="D60" s="248"/>
      <c r="E60" s="248"/>
      <c r="F60" s="248"/>
      <c r="G60" s="520"/>
      <c r="I60" s="520"/>
      <c r="J60" s="248"/>
    </row>
    <row r="61" spans="4:10" ht="24" customHeight="1" x14ac:dyDescent="0.6">
      <c r="D61" s="248"/>
      <c r="E61" s="248"/>
      <c r="F61" s="248"/>
      <c r="G61" s="520"/>
      <c r="I61" s="520"/>
      <c r="J61" s="248"/>
    </row>
    <row r="62" spans="4:10" ht="24" customHeight="1" x14ac:dyDescent="0.6">
      <c r="D62" s="248"/>
      <c r="E62" s="248"/>
      <c r="F62" s="248"/>
      <c r="G62" s="520"/>
      <c r="I62" s="520"/>
      <c r="J62" s="248"/>
    </row>
    <row r="63" spans="4:10" ht="24" hidden="1" customHeight="1" x14ac:dyDescent="0.6">
      <c r="D63" s="248"/>
      <c r="E63" s="248"/>
      <c r="F63" s="248"/>
      <c r="G63" s="520"/>
      <c r="I63" s="520"/>
      <c r="J63" s="248"/>
    </row>
    <row r="64" spans="4:10" ht="24" customHeight="1" x14ac:dyDescent="0.6">
      <c r="D64" s="248"/>
      <c r="E64" s="248"/>
      <c r="F64" s="248"/>
      <c r="G64" s="520"/>
      <c r="I64" s="520"/>
      <c r="J64" s="248"/>
    </row>
    <row r="65" spans="1:9" x14ac:dyDescent="0.25">
      <c r="A65" s="1414">
        <v>33</v>
      </c>
      <c r="B65" s="1414"/>
      <c r="C65" s="1414"/>
      <c r="D65" s="1414"/>
      <c r="E65" s="1414"/>
      <c r="F65" s="1414"/>
      <c r="G65" s="1414"/>
      <c r="H65" s="1414"/>
      <c r="I65" s="1414"/>
    </row>
  </sheetData>
  <customSheetViews>
    <customSheetView guid="{39716EAB-185B-4ADF-90CF-1B1041867F58}" showPageBreaks="1" printArea="1" view="pageBreakPreview" topLeftCell="A4">
      <selection activeCell="I10" sqref="I10"/>
      <pageMargins left="0.39370078740157483" right="0.39370078740157483" top="0.39370078740157483" bottom="0.39370078740157483" header="0.31496062992125984" footer="0.31496062992125984"/>
      <printOptions horizontalCentered="1"/>
      <pageSetup paperSize="9" scale="53" orientation="portrait" r:id="rId1"/>
    </customSheetView>
    <customSheetView guid="{5CB8382F-C212-4512-9396-17792C62978E}" showPageBreaks="1" printArea="1" view="pageBreakPreview">
      <selection activeCell="I10" sqref="I10"/>
      <pageMargins left="0.39370078740157483" right="0.39370078740157483" top="0.39370078740157483" bottom="0.39370078740157483" header="0.31496062992125984" footer="0.31496062992125984"/>
      <printOptions horizontalCentered="1"/>
      <pageSetup paperSize="9" scale="53" orientation="portrait" r:id="rId2"/>
    </customSheetView>
    <customSheetView guid="{184BCED3-EADB-44CF-BFDA-DA8D3E7206C0}" showPageBreaks="1" printArea="1" view="pageBreakPreview" topLeftCell="A6">
      <selection activeCell="I15" sqref="I15"/>
      <pageMargins left="0.39370078740157483" right="0.39370078740157483" top="0.39370078740157483" bottom="0.39370078740157483" header="0.31496062992125984" footer="0.31496062992125984"/>
      <printOptions horizontalCentered="1"/>
      <pageSetup paperSize="9" scale="53" orientation="portrait" r:id="rId3"/>
    </customSheetView>
  </customSheetViews>
  <mergeCells count="12">
    <mergeCell ref="A65:I65"/>
    <mergeCell ref="B41:J41"/>
    <mergeCell ref="B48:J48"/>
    <mergeCell ref="B13:J13"/>
    <mergeCell ref="A1:K1"/>
    <mergeCell ref="A2:K2"/>
    <mergeCell ref="A3:K3"/>
    <mergeCell ref="B34:J34"/>
    <mergeCell ref="B8:D8"/>
    <mergeCell ref="B9:D9"/>
    <mergeCell ref="B14:E14"/>
    <mergeCell ref="B10:D10"/>
  </mergeCells>
  <conditionalFormatting sqref="G9:G10">
    <cfRule type="cellIs" dxfId="4" priority="1" stopIfTrue="1" operator="lessThan">
      <formula>0</formula>
    </cfRule>
  </conditionalFormatting>
  <conditionalFormatting sqref="I9:I10">
    <cfRule type="cellIs" dxfId="3" priority="6" stopIfTrue="1" operator="lessThan">
      <formula>0</formula>
    </cfRule>
  </conditionalFormatting>
  <printOptions horizontalCentered="1"/>
  <pageMargins left="0.39370078740157499" right="0.39370078740157499" top="0.39370078740157499" bottom="0.39370078740157499" header="0.31496062992126" footer="0.31496062992126"/>
  <pageSetup paperSize="9" scale="60"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Z44"/>
  <sheetViews>
    <sheetView rightToLeft="1" topLeftCell="A6" zoomScaleNormal="100" zoomScaleSheetLayoutView="85" workbookViewId="0">
      <selection activeCell="D17" sqref="D17"/>
    </sheetView>
  </sheetViews>
  <sheetFormatPr defaultColWidth="9" defaultRowHeight="19.5" x14ac:dyDescent="0.25"/>
  <cols>
    <col min="1" max="1" width="7.28515625" style="586" customWidth="1"/>
    <col min="2" max="2" width="39.7109375" style="586" customWidth="1"/>
    <col min="3" max="3" width="11.42578125" style="586" bestFit="1" customWidth="1"/>
    <col min="4" max="4" width="27.5703125" style="586" bestFit="1" customWidth="1"/>
    <col min="5" max="5" width="0.85546875" style="586" customWidth="1"/>
    <col min="6" max="6" width="25.140625" style="586" bestFit="1" customWidth="1"/>
    <col min="7" max="7" width="1.140625" style="586" customWidth="1"/>
    <col min="8" max="8" width="27.42578125" style="586" bestFit="1" customWidth="1"/>
    <col min="9" max="9" width="1.140625" style="586" customWidth="1"/>
    <col min="10" max="10" width="25.28515625" style="586" hidden="1" customWidth="1"/>
    <col min="11" max="11" width="1.5703125" style="586" hidden="1" customWidth="1"/>
    <col min="12" max="12" width="25.28515625" style="586" hidden="1" customWidth="1"/>
    <col min="13" max="13" width="1.140625" style="586" hidden="1" customWidth="1"/>
    <col min="14" max="14" width="26" style="586" hidden="1" customWidth="1"/>
    <col min="15" max="15" width="0.85546875" style="586" hidden="1" customWidth="1"/>
    <col min="16" max="16" width="1.85546875" style="586" customWidth="1"/>
    <col min="17" max="17" width="25.5703125" style="586" bestFit="1" customWidth="1"/>
    <col min="18" max="18" width="21.7109375" style="586" bestFit="1" customWidth="1"/>
    <col min="19" max="16384" width="9" style="586"/>
  </cols>
  <sheetData>
    <row r="1" spans="1:20" s="582" customFormat="1" ht="21" x14ac:dyDescent="0.55000000000000004">
      <c r="A1" s="1596" t="s">
        <v>247</v>
      </c>
      <c r="B1" s="1596"/>
      <c r="C1" s="1596"/>
      <c r="D1" s="1596"/>
      <c r="E1" s="1596"/>
      <c r="F1" s="1596"/>
      <c r="G1" s="1596"/>
      <c r="H1" s="1596"/>
      <c r="I1" s="1596"/>
      <c r="J1" s="1596"/>
      <c r="K1" s="1596"/>
      <c r="L1" s="1596"/>
      <c r="M1" s="1596"/>
      <c r="N1" s="1596"/>
      <c r="O1" s="1596"/>
      <c r="P1" s="581"/>
      <c r="Q1" s="581"/>
    </row>
    <row r="2" spans="1:20" s="582" customFormat="1" ht="23.25" customHeight="1" x14ac:dyDescent="0.55000000000000004">
      <c r="A2" s="1562" t="s">
        <v>243</v>
      </c>
      <c r="B2" s="1562"/>
      <c r="C2" s="1562"/>
      <c r="D2" s="1562"/>
      <c r="E2" s="1562"/>
      <c r="F2" s="1562"/>
      <c r="G2" s="1562"/>
      <c r="H2" s="1562"/>
      <c r="I2" s="1031"/>
      <c r="J2" s="1031"/>
      <c r="K2" s="1031"/>
      <c r="L2" s="1031"/>
      <c r="M2" s="1031"/>
      <c r="N2" s="1031"/>
      <c r="O2" s="1031"/>
      <c r="P2" s="950"/>
      <c r="Q2" s="950"/>
      <c r="R2" s="950"/>
      <c r="S2" s="950"/>
      <c r="T2" s="950"/>
    </row>
    <row r="3" spans="1:20" s="582" customFormat="1" ht="21" x14ac:dyDescent="0.55000000000000004">
      <c r="A3" s="1596" t="str">
        <f>سودوزيان!A3</f>
        <v>سال مالی منتهی به 30 اسفند 1403</v>
      </c>
      <c r="B3" s="1596"/>
      <c r="C3" s="1596"/>
      <c r="D3" s="1596"/>
      <c r="E3" s="1596"/>
      <c r="F3" s="1596"/>
      <c r="G3" s="1596"/>
      <c r="H3" s="1596"/>
      <c r="I3" s="1596"/>
      <c r="J3" s="1596"/>
      <c r="K3" s="1596"/>
      <c r="L3" s="1596"/>
      <c r="M3" s="1596"/>
      <c r="N3" s="1596"/>
      <c r="O3" s="1596"/>
      <c r="P3" s="581"/>
      <c r="Q3" s="581"/>
    </row>
    <row r="4" spans="1:20" ht="16.5" customHeight="1" x14ac:dyDescent="0.25">
      <c r="A4" s="584"/>
      <c r="B4" s="584"/>
      <c r="C4" s="584"/>
      <c r="D4" s="584"/>
      <c r="E4" s="584"/>
      <c r="F4" s="584"/>
      <c r="G4" s="584"/>
      <c r="H4" s="584"/>
      <c r="I4" s="584"/>
      <c r="J4" s="584"/>
      <c r="K4" s="584"/>
      <c r="L4" s="584"/>
      <c r="M4" s="584"/>
      <c r="N4" s="584"/>
      <c r="O4" s="585"/>
    </row>
    <row r="5" spans="1:20" ht="24" x14ac:dyDescent="0.25">
      <c r="A5" s="1598" t="s">
        <v>769</v>
      </c>
      <c r="B5" s="1598"/>
      <c r="C5" s="1242"/>
      <c r="D5" s="1242"/>
      <c r="E5" s="1242"/>
      <c r="F5" s="1242"/>
      <c r="G5" s="1242"/>
      <c r="H5" s="1242"/>
      <c r="I5" s="1242"/>
      <c r="J5" s="1242"/>
      <c r="K5" s="1242"/>
      <c r="L5" s="1242"/>
      <c r="M5" s="1242"/>
      <c r="N5" s="1242"/>
      <c r="O5" s="1242"/>
      <c r="P5" s="1242"/>
      <c r="Q5" s="1242"/>
    </row>
    <row r="6" spans="1:20" ht="20.25" customHeight="1" x14ac:dyDescent="0.25">
      <c r="A6" s="584"/>
      <c r="B6" s="584"/>
      <c r="C6" s="1289" t="s">
        <v>1284</v>
      </c>
      <c r="D6" s="587">
        <v>1403</v>
      </c>
      <c r="E6" s="584"/>
      <c r="F6" s="587">
        <v>1402</v>
      </c>
      <c r="G6" s="584"/>
      <c r="H6" s="584"/>
      <c r="I6" s="584"/>
      <c r="K6" s="584"/>
      <c r="M6" s="584"/>
      <c r="N6" s="584"/>
      <c r="O6" s="584"/>
      <c r="P6" s="584"/>
      <c r="Q6" s="588"/>
    </row>
    <row r="7" spans="1:20" ht="21.75" customHeight="1" x14ac:dyDescent="0.25">
      <c r="A7" s="584"/>
      <c r="B7" s="589"/>
      <c r="C7" s="589"/>
      <c r="D7" s="589" t="s">
        <v>591</v>
      </c>
      <c r="E7" s="1034"/>
      <c r="F7" s="589" t="s">
        <v>591</v>
      </c>
      <c r="G7" s="589"/>
      <c r="H7" s="589"/>
      <c r="I7" s="589"/>
      <c r="K7" s="589"/>
      <c r="M7" s="589"/>
      <c r="N7" s="589"/>
      <c r="O7" s="589"/>
      <c r="P7" s="589"/>
      <c r="Q7" s="589"/>
    </row>
    <row r="8" spans="1:20" ht="33" customHeight="1" x14ac:dyDescent="0.55000000000000004">
      <c r="A8" s="584"/>
      <c r="B8" s="1100" t="s">
        <v>1257</v>
      </c>
      <c r="C8" s="1288" t="s">
        <v>1285</v>
      </c>
      <c r="D8" s="590">
        <v>99251055924</v>
      </c>
      <c r="E8" s="1032"/>
      <c r="F8" s="493">
        <v>147320376218</v>
      </c>
      <c r="G8" s="585"/>
      <c r="H8" s="1685" t="s">
        <v>1340</v>
      </c>
      <c r="I8" s="585"/>
      <c r="K8" s="585"/>
      <c r="M8" s="585"/>
      <c r="N8" s="585"/>
      <c r="O8" s="585"/>
      <c r="P8" s="585"/>
      <c r="Q8" s="585"/>
    </row>
    <row r="9" spans="1:20" ht="33" customHeight="1" x14ac:dyDescent="0.55000000000000004">
      <c r="A9" s="584"/>
      <c r="B9" s="1100" t="s">
        <v>1150</v>
      </c>
      <c r="C9" s="585"/>
      <c r="D9" s="590">
        <v>14307068304</v>
      </c>
      <c r="E9" s="1032"/>
      <c r="F9" s="493">
        <v>0</v>
      </c>
      <c r="G9" s="585"/>
      <c r="H9" s="585">
        <v>3311</v>
      </c>
      <c r="I9" s="585"/>
      <c r="K9" s="585"/>
      <c r="M9" s="585"/>
      <c r="N9" s="585"/>
      <c r="O9" s="585"/>
      <c r="P9" s="585"/>
    </row>
    <row r="10" spans="1:20" ht="33" customHeight="1" x14ac:dyDescent="0.55000000000000004">
      <c r="A10" s="584"/>
      <c r="B10" s="1020" t="s">
        <v>694</v>
      </c>
      <c r="C10" s="585"/>
      <c r="D10" s="590">
        <v>7506524933</v>
      </c>
      <c r="E10" s="1032"/>
      <c r="F10" s="493">
        <v>0</v>
      </c>
      <c r="G10" s="585"/>
      <c r="H10" s="585">
        <v>1321</v>
      </c>
      <c r="I10" s="585"/>
      <c r="K10" s="585"/>
      <c r="M10" s="585"/>
      <c r="N10" s="585"/>
      <c r="O10" s="585"/>
      <c r="P10" s="585"/>
      <c r="Q10" s="1686" t="s">
        <v>1341</v>
      </c>
    </row>
    <row r="11" spans="1:20" ht="33" customHeight="1" x14ac:dyDescent="0.25">
      <c r="A11" s="584"/>
      <c r="B11" s="1127" t="s">
        <v>998</v>
      </c>
      <c r="C11" s="589"/>
      <c r="D11" s="590">
        <v>5481890000</v>
      </c>
      <c r="E11" s="1033"/>
      <c r="F11" s="590">
        <v>9500000000</v>
      </c>
      <c r="G11" s="589"/>
      <c r="H11" s="589">
        <v>1321</v>
      </c>
      <c r="I11" s="589"/>
      <c r="K11" s="589"/>
      <c r="M11" s="589"/>
      <c r="N11" s="589"/>
      <c r="O11" s="589"/>
      <c r="P11" s="589"/>
      <c r="Q11" s="1686" t="s">
        <v>1341</v>
      </c>
    </row>
    <row r="12" spans="1:20" ht="33" customHeight="1" x14ac:dyDescent="0.55000000000000004">
      <c r="A12" s="584"/>
      <c r="B12" s="1100" t="s">
        <v>1148</v>
      </c>
      <c r="C12" s="585"/>
      <c r="D12" s="590">
        <v>5210390103</v>
      </c>
      <c r="E12" s="1020"/>
      <c r="F12" s="493">
        <v>0</v>
      </c>
      <c r="G12" s="585"/>
      <c r="H12" s="585">
        <v>3311</v>
      </c>
      <c r="I12" s="585"/>
      <c r="K12" s="585"/>
      <c r="M12" s="585"/>
      <c r="N12" s="585"/>
      <c r="O12" s="585"/>
      <c r="P12" s="585"/>
    </row>
    <row r="13" spans="1:20" ht="33" customHeight="1" x14ac:dyDescent="0.25">
      <c r="A13" s="584"/>
      <c r="B13" s="1127" t="s">
        <v>994</v>
      </c>
      <c r="C13" s="589"/>
      <c r="D13" s="590">
        <v>4000000000</v>
      </c>
      <c r="E13" s="1033"/>
      <c r="F13" s="590">
        <v>4000000000</v>
      </c>
      <c r="G13" s="589"/>
      <c r="H13" s="589">
        <v>3311</v>
      </c>
      <c r="I13" s="589"/>
      <c r="K13" s="589"/>
      <c r="M13" s="589"/>
      <c r="N13" s="589"/>
      <c r="O13" s="589"/>
      <c r="P13" s="589"/>
      <c r="Q13" s="589"/>
    </row>
    <row r="14" spans="1:20" ht="33" customHeight="1" x14ac:dyDescent="0.55000000000000004">
      <c r="A14" s="584"/>
      <c r="B14" s="1100" t="s">
        <v>1151</v>
      </c>
      <c r="C14" s="585"/>
      <c r="D14" s="590">
        <v>1443456333</v>
      </c>
      <c r="E14" s="1032"/>
      <c r="F14" s="493">
        <v>0</v>
      </c>
      <c r="G14" s="585"/>
      <c r="H14" s="585">
        <v>3311</v>
      </c>
      <c r="I14" s="585"/>
      <c r="K14" s="585"/>
      <c r="M14" s="585"/>
      <c r="N14" s="585"/>
      <c r="O14" s="585"/>
      <c r="P14" s="585"/>
      <c r="Q14" s="585"/>
    </row>
    <row r="15" spans="1:20" ht="33" customHeight="1" x14ac:dyDescent="0.55000000000000004">
      <c r="A15" s="584"/>
      <c r="B15" s="1020" t="s">
        <v>704</v>
      </c>
      <c r="C15" s="585"/>
      <c r="D15" s="590">
        <v>202835430</v>
      </c>
      <c r="E15" s="1032"/>
      <c r="F15" s="493">
        <v>202835430</v>
      </c>
      <c r="G15" s="585"/>
      <c r="H15" s="585">
        <v>3311</v>
      </c>
      <c r="I15" s="585"/>
      <c r="K15" s="585"/>
      <c r="M15" s="585"/>
      <c r="N15" s="585"/>
      <c r="O15" s="585"/>
      <c r="P15" s="585"/>
      <c r="Q15" s="585"/>
    </row>
    <row r="16" spans="1:20" ht="33" customHeight="1" x14ac:dyDescent="0.55000000000000004">
      <c r="A16" s="584"/>
      <c r="B16" s="1020" t="s">
        <v>130</v>
      </c>
      <c r="C16" s="585"/>
      <c r="D16" s="590">
        <f>81087002+47623923</f>
        <v>128710925</v>
      </c>
      <c r="E16" s="1032"/>
      <c r="F16" s="493">
        <v>81087002</v>
      </c>
      <c r="G16" s="585"/>
      <c r="H16" s="585"/>
      <c r="I16" s="585"/>
      <c r="K16" s="585"/>
      <c r="M16" s="585"/>
      <c r="N16" s="585"/>
      <c r="O16" s="585"/>
      <c r="P16" s="585"/>
      <c r="Q16" s="585"/>
    </row>
    <row r="17" spans="1:26" s="1029" customFormat="1" ht="33" customHeight="1" thickBot="1" x14ac:dyDescent="0.65">
      <c r="A17" s="588"/>
      <c r="B17" s="585"/>
      <c r="C17" s="585"/>
      <c r="D17" s="1163">
        <f>SUM(D8:D16)</f>
        <v>137531931952</v>
      </c>
      <c r="E17" s="585"/>
      <c r="F17" s="571">
        <v>161104298650</v>
      </c>
      <c r="G17" s="585"/>
      <c r="Q17" s="585" t="b">
        <f>D17='وضعيت مالي'!F35</f>
        <v>1</v>
      </c>
      <c r="R17" s="585"/>
      <c r="T17" s="591"/>
      <c r="V17" s="585"/>
      <c r="W17" s="585"/>
      <c r="X17" s="585"/>
      <c r="Y17" s="585"/>
      <c r="Z17" s="585" t="b">
        <f>F17='وضعيت مالي'!H35</f>
        <v>1</v>
      </c>
    </row>
    <row r="18" spans="1:26" ht="10.5" customHeight="1" thickTop="1" x14ac:dyDescent="0.25">
      <c r="A18" s="584"/>
      <c r="B18" s="584"/>
      <c r="C18" s="584"/>
      <c r="D18" s="584"/>
      <c r="E18" s="584"/>
      <c r="F18" s="584"/>
      <c r="G18" s="584"/>
      <c r="H18" s="584"/>
      <c r="I18" s="584"/>
      <c r="J18" s="584"/>
      <c r="K18" s="584"/>
      <c r="L18" s="584"/>
      <c r="M18" s="584"/>
      <c r="N18" s="584"/>
      <c r="O18" s="585"/>
    </row>
    <row r="19" spans="1:26" ht="10.15" customHeight="1" x14ac:dyDescent="0.25">
      <c r="A19" s="584"/>
      <c r="B19" s="1599"/>
      <c r="C19" s="1599"/>
      <c r="D19" s="585"/>
      <c r="E19" s="584"/>
      <c r="F19" s="585"/>
      <c r="G19" s="585"/>
      <c r="H19" s="584"/>
      <c r="I19" s="585"/>
      <c r="J19" s="585"/>
      <c r="K19" s="585"/>
      <c r="L19" s="585"/>
      <c r="M19" s="585"/>
      <c r="N19" s="585"/>
      <c r="O19" s="585"/>
      <c r="P19" s="584"/>
      <c r="Q19" s="584"/>
    </row>
    <row r="20" spans="1:26" ht="10.9" customHeight="1" x14ac:dyDescent="0.25">
      <c r="A20" s="1600" t="s">
        <v>1287</v>
      </c>
      <c r="B20" s="1600"/>
      <c r="C20" s="1600"/>
      <c r="D20" s="1600"/>
      <c r="E20" s="1600"/>
      <c r="F20" s="1600"/>
      <c r="G20" s="1600"/>
      <c r="H20" s="585"/>
      <c r="I20" s="585"/>
      <c r="J20" s="585"/>
      <c r="K20" s="585"/>
      <c r="L20" s="585"/>
      <c r="M20" s="585"/>
      <c r="N20" s="585"/>
      <c r="O20" s="585"/>
      <c r="P20" s="584"/>
      <c r="Q20" s="584"/>
    </row>
    <row r="21" spans="1:26" ht="95.25" customHeight="1" x14ac:dyDescent="0.25">
      <c r="A21" s="1600"/>
      <c r="B21" s="1600"/>
      <c r="C21" s="1600"/>
      <c r="D21" s="1600"/>
      <c r="E21" s="1600"/>
      <c r="F21" s="1600"/>
      <c r="G21" s="1600"/>
      <c r="H21" s="584"/>
      <c r="I21" s="584"/>
      <c r="J21" s="584"/>
      <c r="K21" s="584"/>
      <c r="L21" s="584"/>
      <c r="M21" s="584"/>
      <c r="N21" s="584"/>
      <c r="O21" s="584"/>
    </row>
    <row r="22" spans="1:26" ht="95.25" customHeight="1" x14ac:dyDescent="0.25">
      <c r="A22" s="1597"/>
      <c r="B22" s="1597"/>
      <c r="C22" s="1597"/>
      <c r="D22" s="1597"/>
      <c r="E22" s="1597"/>
      <c r="F22" s="1597"/>
      <c r="G22" s="1597"/>
      <c r="H22" s="1597"/>
      <c r="I22" s="1597"/>
      <c r="J22" s="1597"/>
      <c r="K22" s="1597"/>
      <c r="L22" s="1597"/>
      <c r="M22" s="1597"/>
      <c r="N22" s="1597"/>
    </row>
    <row r="23" spans="1:26" ht="336" customHeight="1" x14ac:dyDescent="0.25"/>
    <row r="24" spans="1:26" ht="95.25" customHeight="1" x14ac:dyDescent="0.25">
      <c r="A24" s="1595">
        <v>34</v>
      </c>
      <c r="B24" s="1595"/>
      <c r="C24" s="1595"/>
      <c r="D24" s="1595"/>
      <c r="E24" s="1595"/>
      <c r="F24" s="1595"/>
      <c r="G24" s="1595"/>
      <c r="H24" s="1595"/>
      <c r="I24" s="1595"/>
      <c r="J24" s="1595"/>
      <c r="K24" s="1595"/>
      <c r="L24" s="1595"/>
      <c r="M24" s="1595"/>
      <c r="N24" s="1595"/>
    </row>
    <row r="25" spans="1:26" ht="95.25" customHeight="1" x14ac:dyDescent="0.25"/>
    <row r="26" spans="1:26" ht="95.25" customHeight="1" x14ac:dyDescent="0.25"/>
    <row r="27" spans="1:26" ht="95.25" customHeight="1" x14ac:dyDescent="0.25"/>
    <row r="28" spans="1:26" ht="95.25" customHeight="1" x14ac:dyDescent="0.25"/>
    <row r="29" spans="1:26" ht="95.25" customHeight="1" x14ac:dyDescent="0.25"/>
    <row r="30" spans="1:26" ht="95.25" customHeight="1" x14ac:dyDescent="0.25"/>
    <row r="31" spans="1:26" ht="95.25" customHeight="1" x14ac:dyDescent="0.25"/>
    <row r="32" spans="1:26" ht="95.25" customHeight="1" x14ac:dyDescent="0.25"/>
    <row r="33" ht="95.25" customHeight="1" x14ac:dyDescent="0.25"/>
    <row r="34" ht="95.25" customHeight="1" x14ac:dyDescent="0.25"/>
    <row r="35" ht="95.25" customHeight="1" x14ac:dyDescent="0.25"/>
    <row r="36" ht="95.25" customHeight="1" x14ac:dyDescent="0.25"/>
    <row r="37" ht="95.25" customHeight="1" x14ac:dyDescent="0.25"/>
    <row r="38" ht="95.25" customHeight="1" x14ac:dyDescent="0.25"/>
    <row r="39" ht="95.25" customHeight="1" x14ac:dyDescent="0.25"/>
    <row r="40" ht="95.25" customHeight="1" x14ac:dyDescent="0.25"/>
    <row r="41" ht="95.25" customHeight="1" x14ac:dyDescent="0.25"/>
    <row r="42" ht="95.25" customHeight="1" x14ac:dyDescent="0.25"/>
    <row r="43" ht="95.25" customHeight="1" x14ac:dyDescent="0.25"/>
    <row r="44" ht="95.25" customHeight="1" x14ac:dyDescent="0.25"/>
  </sheetData>
  <customSheetViews>
    <customSheetView guid="{39716EAB-185B-4ADF-90CF-1B1041867F58}" scale="85" showPageBreaks="1" printArea="1" view="pageBreakPreview" topLeftCell="A7">
      <selection activeCell="H18" sqref="H18"/>
      <colBreaks count="1" manualBreakCount="1">
        <brk id="14" max="61" man="1"/>
      </colBreaks>
      <pageMargins left="0.39370078740157499" right="0.78740157480314998" top="0.39370078740157499" bottom="0.39370078740157499" header="0.31496062992126" footer="0.31496062992126"/>
      <pageSetup paperSize="9" scale="42" orientation="portrait" r:id="rId1"/>
    </customSheetView>
    <customSheetView guid="{5CB8382F-C212-4512-9396-17792C62978E}" scale="85" showPageBreaks="1" printArea="1" view="pageBreakPreview" topLeftCell="A22">
      <selection activeCell="J35" sqref="J35"/>
      <colBreaks count="1" manualBreakCount="1">
        <brk id="14" max="61" man="1"/>
      </colBreaks>
      <pageMargins left="0.39370078740157499" right="0.78740157480314998" top="0.39370078740157499" bottom="0.39370078740157499" header="0.31496062992126" footer="0.31496062992126"/>
      <pageSetup paperSize="9" scale="42" orientation="portrait" r:id="rId2"/>
    </customSheetView>
    <customSheetView guid="{184BCED3-EADB-44CF-BFDA-DA8D3E7206C0}" scale="85" showPageBreaks="1" printArea="1" view="pageBreakPreview" topLeftCell="A23">
      <selection activeCell="D12" sqref="D12:F12"/>
      <colBreaks count="1" manualBreakCount="1">
        <brk id="14" max="61" man="1"/>
      </colBreaks>
      <pageMargins left="0.39370078740157499" right="0.78740157480314998" top="0.39370078740157499" bottom="0.39370078740157499" header="0.31496062992126" footer="0.31496062992126"/>
      <pageSetup paperSize="9" scale="42" orientation="portrait" r:id="rId3"/>
    </customSheetView>
  </customSheetViews>
  <mergeCells count="8">
    <mergeCell ref="A24:N24"/>
    <mergeCell ref="A2:H2"/>
    <mergeCell ref="A1:O1"/>
    <mergeCell ref="A3:O3"/>
    <mergeCell ref="A22:N22"/>
    <mergeCell ref="A5:B5"/>
    <mergeCell ref="B19:C19"/>
    <mergeCell ref="A20:G21"/>
  </mergeCells>
  <conditionalFormatting sqref="A20">
    <cfRule type="duplicateValues" dxfId="2" priority="1"/>
  </conditionalFormatting>
  <printOptions horizontalCentered="1"/>
  <pageMargins left="0.25" right="0.25" top="0.39370078740157499" bottom="0.39370078740157499" header="0.31496062992126" footer="0.31496062992126"/>
  <pageSetup paperSize="9" scale="70" orientation="portrait" r:id="rId4"/>
  <colBreaks count="1" manualBreakCount="1">
    <brk id="14" max="59"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P62"/>
  <sheetViews>
    <sheetView rightToLeft="1" view="pageBreakPreview" topLeftCell="A25" zoomScale="99" zoomScaleSheetLayoutView="99" workbookViewId="0">
      <selection activeCell="A9" sqref="A9:XFD12"/>
    </sheetView>
  </sheetViews>
  <sheetFormatPr defaultColWidth="9" defaultRowHeight="19.5" x14ac:dyDescent="0.25"/>
  <cols>
    <col min="1" max="1" width="2.7109375" style="586" customWidth="1"/>
    <col min="2" max="2" width="47.140625" style="614" bestFit="1" customWidth="1"/>
    <col min="3" max="3" width="1.140625" style="586" customWidth="1"/>
    <col min="4" max="4" width="23" style="586" bestFit="1" customWidth="1"/>
    <col min="5" max="5" width="2.42578125" style="586" customWidth="1"/>
    <col min="6" max="6" width="23.140625" style="586" bestFit="1" customWidth="1"/>
    <col min="7" max="7" width="24" style="586" hidden="1" customWidth="1"/>
    <col min="8" max="10" width="0" style="586" hidden="1" customWidth="1"/>
    <col min="11" max="13" width="9" style="586"/>
    <col min="14" max="14" width="23" style="586" bestFit="1" customWidth="1"/>
    <col min="15" max="15" width="9" style="586"/>
    <col min="16" max="16" width="23.7109375" style="594" bestFit="1" customWidth="1"/>
    <col min="17" max="16384" width="9" style="586"/>
  </cols>
  <sheetData>
    <row r="1" spans="1:16" s="582" customFormat="1" ht="21" x14ac:dyDescent="0.55000000000000004">
      <c r="A1" s="1596" t="s">
        <v>244</v>
      </c>
      <c r="B1" s="1596"/>
      <c r="C1" s="1596"/>
      <c r="D1" s="1596"/>
      <c r="E1" s="1596"/>
      <c r="F1" s="1596"/>
      <c r="G1" s="1596"/>
      <c r="H1" s="581"/>
      <c r="I1" s="581"/>
      <c r="J1" s="581"/>
      <c r="K1" s="581"/>
      <c r="L1" s="581"/>
      <c r="M1" s="581"/>
      <c r="N1" s="581"/>
      <c r="O1" s="581"/>
      <c r="P1" s="595"/>
    </row>
    <row r="2" spans="1:16" s="582" customFormat="1" ht="26.25" customHeight="1" x14ac:dyDescent="0.55000000000000004">
      <c r="A2" s="1596" t="str">
        <f>'26-27'!A2:O2</f>
        <v>يادداشتهاي توضيحي صورتهاي مالي</v>
      </c>
      <c r="B2" s="1596"/>
      <c r="C2" s="1596"/>
      <c r="D2" s="1596"/>
      <c r="E2" s="1596"/>
      <c r="F2" s="1596"/>
      <c r="G2" s="1596"/>
      <c r="H2" s="1602"/>
      <c r="I2" s="1602"/>
      <c r="J2" s="1602"/>
      <c r="K2" s="1602"/>
      <c r="L2" s="1602"/>
      <c r="M2" s="583"/>
      <c r="N2" s="583"/>
      <c r="O2" s="583"/>
      <c r="P2" s="596"/>
    </row>
    <row r="3" spans="1:16" s="582" customFormat="1" ht="27" customHeight="1" x14ac:dyDescent="0.55000000000000004">
      <c r="A3" s="1596" t="str">
        <f>سودوزيان!A3</f>
        <v>سال مالی منتهی به 30 اسفند 1403</v>
      </c>
      <c r="B3" s="1596"/>
      <c r="C3" s="1596"/>
      <c r="D3" s="1596"/>
      <c r="E3" s="1596"/>
      <c r="F3" s="1596"/>
      <c r="G3" s="1596"/>
      <c r="H3" s="1602"/>
      <c r="I3" s="1602"/>
      <c r="J3" s="1602"/>
      <c r="K3" s="1602"/>
      <c r="L3" s="1602"/>
      <c r="M3" s="581"/>
      <c r="N3" s="581"/>
      <c r="O3" s="581"/>
      <c r="P3" s="595"/>
    </row>
    <row r="4" spans="1:16" s="597" customFormat="1" ht="26.25" customHeight="1" x14ac:dyDescent="0.25">
      <c r="P4" s="598"/>
    </row>
    <row r="5" spans="1:16" s="597" customFormat="1" ht="21" customHeight="1" x14ac:dyDescent="0.25">
      <c r="A5" s="599" t="s">
        <v>721</v>
      </c>
      <c r="P5" s="598"/>
    </row>
    <row r="6" spans="1:16" s="597" customFormat="1" ht="21" hidden="1" customHeight="1" x14ac:dyDescent="0.25">
      <c r="A6" s="599"/>
      <c r="B6" s="600"/>
      <c r="P6" s="598"/>
    </row>
    <row r="7" spans="1:16" s="597" customFormat="1" ht="21" customHeight="1" x14ac:dyDescent="0.25">
      <c r="A7" s="599"/>
      <c r="D7" s="601">
        <v>1403</v>
      </c>
      <c r="E7" s="602"/>
      <c r="F7" s="601">
        <v>1402</v>
      </c>
      <c r="P7" s="598"/>
    </row>
    <row r="8" spans="1:16" s="597" customFormat="1" ht="21" customHeight="1" x14ac:dyDescent="0.25">
      <c r="D8" s="603" t="s">
        <v>591</v>
      </c>
      <c r="E8" s="603"/>
      <c r="F8" s="603" t="s">
        <v>591</v>
      </c>
      <c r="P8" s="598"/>
    </row>
    <row r="9" spans="1:16" s="597" customFormat="1" ht="24.75" customHeight="1" x14ac:dyDescent="0.25">
      <c r="A9" s="597" t="s">
        <v>490</v>
      </c>
      <c r="B9" s="597" t="s">
        <v>100</v>
      </c>
      <c r="C9" s="603"/>
      <c r="D9" s="604">
        <f>سودوزيان!F22</f>
        <v>994687650416.88281</v>
      </c>
      <c r="E9" s="604"/>
      <c r="F9" s="604">
        <f>سودوزيان!H22</f>
        <v>1712600023375.5005</v>
      </c>
      <c r="G9" s="603"/>
      <c r="P9" s="598"/>
    </row>
    <row r="10" spans="1:16" s="597" customFormat="1" ht="23.25" customHeight="1" thickBot="1" x14ac:dyDescent="0.65">
      <c r="B10" s="605"/>
      <c r="C10" s="604"/>
      <c r="D10" s="606">
        <f>SUM(D9)</f>
        <v>994687650416.88281</v>
      </c>
      <c r="E10" s="604"/>
      <c r="F10" s="571">
        <f>SUM(F9:F9)</f>
        <v>1712600023375.5005</v>
      </c>
      <c r="G10" s="604"/>
      <c r="P10" s="598"/>
    </row>
    <row r="11" spans="1:16" s="597" customFormat="1" ht="21" customHeight="1" thickTop="1" x14ac:dyDescent="0.25">
      <c r="B11" s="607" t="s">
        <v>199</v>
      </c>
      <c r="D11" s="604"/>
      <c r="E11" s="604"/>
      <c r="F11" s="604"/>
      <c r="P11" s="598"/>
    </row>
    <row r="12" spans="1:16" s="597" customFormat="1" ht="21" customHeight="1" x14ac:dyDescent="0.25">
      <c r="B12" s="597" t="s">
        <v>198</v>
      </c>
      <c r="D12" s="604">
        <f>-سودوزيان!F21</f>
        <v>237124303102.4707</v>
      </c>
      <c r="E12" s="604">
        <f>سودوزيان!G21</f>
        <v>0</v>
      </c>
      <c r="F12" s="604">
        <f>-سودوزيان!H21</f>
        <v>568744101571</v>
      </c>
      <c r="P12" s="598"/>
    </row>
    <row r="13" spans="1:16" s="597" customFormat="1" ht="21" customHeight="1" x14ac:dyDescent="0.25">
      <c r="B13" s="597" t="s">
        <v>93</v>
      </c>
      <c r="D13" s="604">
        <f>-سودوزيان!F16</f>
        <v>350456102062</v>
      </c>
      <c r="E13" s="604">
        <f>سودوزيان!G16</f>
        <v>0</v>
      </c>
      <c r="F13" s="604">
        <f>سودوزيان!H16*-1</f>
        <v>368228749228</v>
      </c>
      <c r="P13" s="598"/>
    </row>
    <row r="14" spans="1:16" s="597" customFormat="1" ht="21" customHeight="1" x14ac:dyDescent="0.25">
      <c r="B14" s="1060" t="s">
        <v>1280</v>
      </c>
      <c r="D14" s="604">
        <f>'وضعيت مالي'!F28-'وضعيت مالي'!H28</f>
        <v>71526548103</v>
      </c>
      <c r="E14" s="604"/>
      <c r="F14" s="604">
        <v>61051003257</v>
      </c>
      <c r="P14" s="598"/>
    </row>
    <row r="15" spans="1:16" s="597" customFormat="1" ht="21" customHeight="1" x14ac:dyDescent="0.25">
      <c r="B15" s="597" t="s">
        <v>197</v>
      </c>
      <c r="D15" s="1315">
        <f>'12-1'!AB13+'13-14'!O18</f>
        <v>83006931659</v>
      </c>
      <c r="E15" s="604"/>
      <c r="F15" s="604">
        <v>85187490146</v>
      </c>
      <c r="N15" s="609">
        <v>0</v>
      </c>
      <c r="P15" s="598"/>
    </row>
    <row r="16" spans="1:16" s="597" customFormat="1" ht="21" customHeight="1" x14ac:dyDescent="0.25">
      <c r="B16" s="597" t="s">
        <v>929</v>
      </c>
      <c r="D16" s="604">
        <f>'8.9.10.11'!G38*-1</f>
        <v>-23353106087</v>
      </c>
      <c r="E16" s="604"/>
      <c r="F16" s="604">
        <v>-6984252778</v>
      </c>
      <c r="P16" s="598"/>
    </row>
    <row r="17" spans="2:16" s="597" customFormat="1" ht="21" customHeight="1" x14ac:dyDescent="0.25">
      <c r="B17" s="597" t="s">
        <v>847</v>
      </c>
      <c r="D17" s="604">
        <f>-'8.9.10.11'!G9</f>
        <v>-22837331920</v>
      </c>
      <c r="E17" s="604"/>
      <c r="F17" s="604">
        <v>-22563104580</v>
      </c>
      <c r="P17" s="598"/>
    </row>
    <row r="18" spans="2:16" s="597" customFormat="1" ht="26.25" customHeight="1" x14ac:dyDescent="0.6">
      <c r="B18" s="597" t="s">
        <v>196</v>
      </c>
      <c r="D18" s="1035">
        <f>SUM(D12:D17)</f>
        <v>695923446919.4707</v>
      </c>
      <c r="E18" s="604"/>
      <c r="F18" s="1036">
        <f>SUM(F12:F17)</f>
        <v>1053663986844</v>
      </c>
      <c r="P18" s="598"/>
    </row>
    <row r="19" spans="2:16" s="597" customFormat="1" ht="21" customHeight="1" x14ac:dyDescent="0.25">
      <c r="B19" s="597" t="s">
        <v>195</v>
      </c>
      <c r="D19" s="604"/>
      <c r="E19" s="604"/>
      <c r="F19" s="604"/>
      <c r="P19" s="598"/>
    </row>
    <row r="20" spans="2:16" s="597" customFormat="1" ht="21" customHeight="1" x14ac:dyDescent="0.25">
      <c r="B20" s="1059" t="s">
        <v>1086</v>
      </c>
      <c r="D20" s="604">
        <f>'وضعيت مالي'!H15-'وضعيت مالي'!F15</f>
        <v>-2284333975225</v>
      </c>
      <c r="E20" s="604"/>
      <c r="F20" s="604">
        <f>425675446042*-1</f>
        <v>-425675446042</v>
      </c>
      <c r="P20" s="598"/>
    </row>
    <row r="21" spans="2:16" s="597" customFormat="1" ht="21" customHeight="1" x14ac:dyDescent="0.25">
      <c r="B21" s="1060" t="s">
        <v>1087</v>
      </c>
      <c r="D21" s="604">
        <f>'وضعيت مالي'!H14-'وضعيت مالي'!F14</f>
        <v>1048044906684</v>
      </c>
      <c r="E21" s="604"/>
      <c r="F21" s="604">
        <v>-1642743238701</v>
      </c>
      <c r="N21" s="598">
        <v>180640372317</v>
      </c>
      <c r="P21" s="598"/>
    </row>
    <row r="22" spans="2:16" s="597" customFormat="1" ht="21" customHeight="1" x14ac:dyDescent="0.25">
      <c r="B22" s="1060" t="s">
        <v>1088</v>
      </c>
      <c r="D22" s="604">
        <f>'وضعيت مالي'!H13-'وضعيت مالي'!F13</f>
        <v>111371814013</v>
      </c>
      <c r="E22" s="604"/>
      <c r="F22" s="604">
        <v>447527212974</v>
      </c>
      <c r="N22" s="609">
        <f>D23-N21</f>
        <v>479340187211</v>
      </c>
      <c r="P22" s="598"/>
    </row>
    <row r="23" spans="2:16" s="597" customFormat="1" ht="25.5" customHeight="1" x14ac:dyDescent="0.25">
      <c r="B23" s="1060" t="s">
        <v>798</v>
      </c>
      <c r="D23" s="604">
        <f>'وضعيت مالي'!F31-'وضعيت مالي'!H31-'جريان هاي نقدي'!E24+1</f>
        <v>659980559528</v>
      </c>
      <c r="E23" s="604"/>
      <c r="F23" s="604">
        <v>-800935750524</v>
      </c>
      <c r="P23" s="598">
        <v>557871255478</v>
      </c>
    </row>
    <row r="24" spans="2:16" s="597" customFormat="1" ht="25.5" customHeight="1" x14ac:dyDescent="0.25">
      <c r="B24" s="1060" t="s">
        <v>1281</v>
      </c>
      <c r="D24" s="611">
        <f>'وضعيت مالي'!F35-'وضعيت مالي'!H35</f>
        <v>-23572366698</v>
      </c>
      <c r="E24" s="604"/>
      <c r="F24" s="1072">
        <f>111349832199</f>
        <v>111349832199</v>
      </c>
      <c r="P24" s="598"/>
    </row>
    <row r="25" spans="2:16" s="597" customFormat="1" ht="24" customHeight="1" x14ac:dyDescent="0.25">
      <c r="B25" s="597" t="s">
        <v>233</v>
      </c>
      <c r="D25" s="608">
        <f>SUM(D20:D24)</f>
        <v>-488509061698</v>
      </c>
      <c r="E25" s="604"/>
      <c r="F25" s="608">
        <f>SUM(F20:F24)</f>
        <v>-2310477390094</v>
      </c>
      <c r="P25" s="598"/>
    </row>
    <row r="26" spans="2:16" s="597" customFormat="1" ht="21" customHeight="1" thickBot="1" x14ac:dyDescent="0.3">
      <c r="B26" s="597" t="s">
        <v>42</v>
      </c>
      <c r="D26" s="606">
        <f>D10+D18+D25</f>
        <v>1202102035638.3535</v>
      </c>
      <c r="E26" s="604"/>
      <c r="F26" s="968">
        <f>F10+F18+F25+1</f>
        <v>455786620126.50049</v>
      </c>
      <c r="P26" s="598"/>
    </row>
    <row r="27" spans="2:16" s="597" customFormat="1" ht="21" customHeight="1" thickTop="1" x14ac:dyDescent="0.25">
      <c r="D27" s="604"/>
      <c r="E27" s="604"/>
      <c r="F27" s="604"/>
      <c r="P27" s="598"/>
    </row>
    <row r="28" spans="2:16" s="597" customFormat="1" ht="21" customHeight="1" x14ac:dyDescent="0.25">
      <c r="D28" s="604"/>
      <c r="E28" s="604"/>
      <c r="F28" s="604"/>
      <c r="G28" s="598"/>
      <c r="P28" s="598"/>
    </row>
    <row r="29" spans="2:16" s="597" customFormat="1" ht="21" customHeight="1" x14ac:dyDescent="0.25">
      <c r="D29" s="604"/>
      <c r="E29" s="604"/>
      <c r="F29" s="604"/>
      <c r="G29" s="598"/>
      <c r="P29" s="598"/>
    </row>
    <row r="30" spans="2:16" s="597" customFormat="1" ht="21" hidden="1" customHeight="1" x14ac:dyDescent="0.25">
      <c r="D30" s="604"/>
      <c r="E30" s="604"/>
      <c r="F30" s="604"/>
      <c r="G30" s="610"/>
      <c r="P30" s="598"/>
    </row>
    <row r="31" spans="2:16" s="597" customFormat="1" ht="21" hidden="1" customHeight="1" x14ac:dyDescent="0.25">
      <c r="D31" s="604"/>
      <c r="E31" s="604"/>
      <c r="F31" s="604"/>
      <c r="G31" s="610"/>
      <c r="P31" s="598"/>
    </row>
    <row r="32" spans="2:16" s="597" customFormat="1" ht="21" hidden="1" customHeight="1" x14ac:dyDescent="0.25">
      <c r="D32" s="604"/>
      <c r="E32" s="604"/>
      <c r="F32" s="604"/>
      <c r="G32" s="610"/>
      <c r="P32" s="598"/>
    </row>
    <row r="33" spans="4:16" s="597" customFormat="1" ht="21" hidden="1" customHeight="1" x14ac:dyDescent="0.25">
      <c r="D33" s="604"/>
      <c r="E33" s="604"/>
      <c r="F33" s="604"/>
      <c r="G33" s="598"/>
      <c r="P33" s="598"/>
    </row>
    <row r="34" spans="4:16" s="597" customFormat="1" ht="21" hidden="1" customHeight="1" x14ac:dyDescent="0.25">
      <c r="D34" s="604"/>
      <c r="E34" s="604"/>
      <c r="F34" s="604"/>
      <c r="G34" s="610"/>
      <c r="P34" s="598"/>
    </row>
    <row r="35" spans="4:16" s="597" customFormat="1" ht="21" hidden="1" customHeight="1" x14ac:dyDescent="0.25">
      <c r="D35" s="604"/>
      <c r="E35" s="604"/>
      <c r="F35" s="604"/>
      <c r="P35" s="598"/>
    </row>
    <row r="36" spans="4:16" s="597" customFormat="1" ht="21" hidden="1" customHeight="1" x14ac:dyDescent="0.25">
      <c r="D36" s="604"/>
      <c r="E36" s="604"/>
      <c r="F36" s="604"/>
      <c r="P36" s="598"/>
    </row>
    <row r="37" spans="4:16" s="597" customFormat="1" ht="21" hidden="1" customHeight="1" x14ac:dyDescent="0.25">
      <c r="D37" s="604"/>
      <c r="E37" s="604"/>
      <c r="F37" s="604"/>
      <c r="P37" s="598"/>
    </row>
    <row r="38" spans="4:16" s="597" customFormat="1" ht="21" hidden="1" customHeight="1" x14ac:dyDescent="0.25">
      <c r="D38" s="604"/>
      <c r="E38" s="604"/>
      <c r="F38" s="604"/>
      <c r="P38" s="598"/>
    </row>
    <row r="39" spans="4:16" s="597" customFormat="1" ht="21" hidden="1" customHeight="1" x14ac:dyDescent="0.25">
      <c r="D39" s="604"/>
      <c r="E39" s="604"/>
      <c r="F39" s="604"/>
      <c r="P39" s="598"/>
    </row>
    <row r="40" spans="4:16" s="597" customFormat="1" ht="21" hidden="1" customHeight="1" x14ac:dyDescent="0.25">
      <c r="D40" s="604"/>
      <c r="E40" s="604"/>
      <c r="F40" s="604"/>
      <c r="P40" s="598"/>
    </row>
    <row r="41" spans="4:16" s="597" customFormat="1" ht="21" customHeight="1" x14ac:dyDescent="0.25">
      <c r="D41" s="604"/>
      <c r="E41" s="604"/>
      <c r="F41" s="604"/>
      <c r="P41" s="598"/>
    </row>
    <row r="42" spans="4:16" s="597" customFormat="1" ht="21" customHeight="1" x14ac:dyDescent="0.25">
      <c r="D42" s="604"/>
      <c r="E42" s="604"/>
      <c r="F42" s="604"/>
      <c r="P42" s="598"/>
    </row>
    <row r="43" spans="4:16" s="597" customFormat="1" ht="21" customHeight="1" x14ac:dyDescent="0.25">
      <c r="D43" s="604"/>
      <c r="E43" s="604"/>
      <c r="F43" s="604"/>
      <c r="P43" s="598"/>
    </row>
    <row r="44" spans="4:16" s="597" customFormat="1" ht="21" customHeight="1" x14ac:dyDescent="0.25">
      <c r="D44" s="604"/>
      <c r="E44" s="604"/>
      <c r="F44" s="604"/>
      <c r="P44" s="598"/>
    </row>
    <row r="45" spans="4:16" s="597" customFormat="1" ht="21" customHeight="1" x14ac:dyDescent="0.25">
      <c r="D45" s="604"/>
      <c r="E45" s="604"/>
      <c r="F45" s="604"/>
      <c r="P45" s="598"/>
    </row>
    <row r="46" spans="4:16" s="597" customFormat="1" ht="21" customHeight="1" x14ac:dyDescent="0.25">
      <c r="D46" s="604"/>
      <c r="E46" s="604"/>
      <c r="F46" s="604"/>
      <c r="P46" s="598"/>
    </row>
    <row r="47" spans="4:16" s="597" customFormat="1" ht="21" customHeight="1" x14ac:dyDescent="0.25">
      <c r="D47" s="604"/>
      <c r="E47" s="604"/>
      <c r="F47" s="604"/>
      <c r="P47" s="598"/>
    </row>
    <row r="48" spans="4:16" s="597" customFormat="1" ht="21" customHeight="1" x14ac:dyDescent="0.25">
      <c r="D48" s="604"/>
      <c r="E48" s="604"/>
      <c r="F48" s="604"/>
      <c r="P48" s="598"/>
    </row>
    <row r="49" spans="1:16" s="597" customFormat="1" ht="21" customHeight="1" x14ac:dyDescent="0.25">
      <c r="D49" s="604"/>
      <c r="E49" s="604"/>
      <c r="F49" s="604"/>
      <c r="P49" s="598"/>
    </row>
    <row r="50" spans="1:16" s="597" customFormat="1" ht="21" customHeight="1" x14ac:dyDescent="0.25">
      <c r="D50" s="604"/>
      <c r="E50" s="604"/>
      <c r="F50" s="604"/>
      <c r="P50" s="598"/>
    </row>
    <row r="51" spans="1:16" s="597" customFormat="1" ht="21" customHeight="1" x14ac:dyDescent="0.25">
      <c r="A51" s="612"/>
      <c r="B51" s="612"/>
      <c r="C51" s="612"/>
      <c r="D51" s="612"/>
      <c r="E51" s="612"/>
      <c r="F51" s="612"/>
      <c r="G51" s="612"/>
      <c r="P51" s="598"/>
    </row>
    <row r="52" spans="1:16" s="597" customFormat="1" ht="21" hidden="1" customHeight="1" x14ac:dyDescent="0.25">
      <c r="A52" s="613" t="s">
        <v>770</v>
      </c>
      <c r="B52" s="614"/>
      <c r="C52" s="612"/>
      <c r="D52" s="612"/>
      <c r="E52" s="612"/>
      <c r="F52" s="612"/>
      <c r="G52" s="612"/>
      <c r="P52" s="598"/>
    </row>
    <row r="53" spans="1:16" s="597" customFormat="1" ht="21" hidden="1" customHeight="1" x14ac:dyDescent="0.25">
      <c r="A53" s="613"/>
      <c r="B53" s="597" t="s">
        <v>466</v>
      </c>
      <c r="C53" s="612"/>
      <c r="D53" s="612"/>
      <c r="E53" s="612"/>
      <c r="F53" s="615"/>
      <c r="G53" s="612"/>
      <c r="P53" s="598"/>
    </row>
    <row r="54" spans="1:16" s="597" customFormat="1" ht="21" hidden="1" customHeight="1" x14ac:dyDescent="0.25">
      <c r="A54" s="612"/>
      <c r="B54" s="612"/>
      <c r="C54" s="612"/>
      <c r="D54" s="616">
        <v>1400</v>
      </c>
      <c r="E54" s="617"/>
      <c r="F54" s="616">
        <v>1399</v>
      </c>
      <c r="G54" s="612"/>
      <c r="P54" s="598"/>
    </row>
    <row r="55" spans="1:16" s="597" customFormat="1" ht="21" hidden="1" customHeight="1" x14ac:dyDescent="0.25">
      <c r="A55" s="612"/>
      <c r="C55" s="612"/>
      <c r="D55" s="618" t="s">
        <v>494</v>
      </c>
      <c r="E55" s="618"/>
      <c r="F55" s="618" t="s">
        <v>591</v>
      </c>
      <c r="G55" s="612"/>
      <c r="P55" s="598"/>
    </row>
    <row r="56" spans="1:16" s="597" customFormat="1" ht="21" hidden="1" customHeight="1" x14ac:dyDescent="0.25">
      <c r="A56" s="612"/>
      <c r="B56" s="597" t="s">
        <v>467</v>
      </c>
      <c r="C56" s="612"/>
      <c r="D56" s="604">
        <v>0</v>
      </c>
      <c r="E56" s="604"/>
      <c r="F56" s="604"/>
      <c r="G56" s="612"/>
      <c r="P56" s="598"/>
    </row>
    <row r="57" spans="1:16" s="597" customFormat="1" ht="21" hidden="1" customHeight="1" x14ac:dyDescent="0.25">
      <c r="A57" s="599"/>
      <c r="B57" s="597" t="s">
        <v>468</v>
      </c>
      <c r="D57" s="604">
        <v>0</v>
      </c>
      <c r="E57" s="604"/>
      <c r="F57" s="604"/>
      <c r="P57" s="619"/>
    </row>
    <row r="58" spans="1:16" ht="21" hidden="1" customHeight="1" x14ac:dyDescent="0.25">
      <c r="B58" s="597" t="s">
        <v>469</v>
      </c>
      <c r="D58" s="604">
        <v>0</v>
      </c>
      <c r="E58" s="604"/>
      <c r="F58" s="604"/>
    </row>
    <row r="59" spans="1:16" ht="21" hidden="1" customHeight="1" thickBot="1" x14ac:dyDescent="0.3">
      <c r="D59" s="606">
        <f>SUM(D56:D58)</f>
        <v>0</v>
      </c>
      <c r="E59" s="620"/>
      <c r="F59" s="606">
        <f>SUM(F56:F58)</f>
        <v>0</v>
      </c>
    </row>
    <row r="60" spans="1:16" ht="24.75" hidden="1" customHeight="1" thickTop="1" x14ac:dyDescent="0.25"/>
    <row r="61" spans="1:16" hidden="1" x14ac:dyDescent="0.25">
      <c r="A61" s="1601">
        <v>35</v>
      </c>
      <c r="B61" s="1601"/>
      <c r="C61" s="1601"/>
      <c r="D61" s="1601"/>
      <c r="E61" s="1601"/>
      <c r="F61" s="1601"/>
      <c r="G61" s="1601"/>
    </row>
    <row r="62" spans="1:16" x14ac:dyDescent="0.25">
      <c r="A62" s="1601">
        <v>35</v>
      </c>
      <c r="B62" s="1601"/>
      <c r="C62" s="1601"/>
      <c r="D62" s="1601"/>
      <c r="E62" s="1601"/>
      <c r="F62" s="1601"/>
      <c r="G62" s="1601"/>
      <c r="H62" s="1601"/>
      <c r="I62" s="1601"/>
      <c r="J62" s="1601"/>
    </row>
  </sheetData>
  <customSheetViews>
    <customSheetView guid="{39716EAB-185B-4ADF-90CF-1B1041867F58}" scale="99" showPageBreaks="1" printArea="1" hiddenRows="1" view="pageBreakPreview">
      <selection activeCell="F19" sqref="F19"/>
      <pageMargins left="0.39370078740157499" right="0.78740157480314998" top="0.39370078740157499" bottom="0.39370078740157499" header="0.31496062992126" footer="0.31496062992126"/>
      <pageSetup paperSize="9" scale="63" orientation="portrait" r:id="rId1"/>
    </customSheetView>
    <customSheetView guid="{5CB8382F-C212-4512-9396-17792C62978E}" scale="99" showPageBreaks="1" printArea="1" hiddenRows="1" view="pageBreakPreview" topLeftCell="A10">
      <selection activeCell="D19" sqref="D19:D24"/>
      <pageMargins left="0.39370078740157499" right="0.78740157480314998" top="0.39370078740157499" bottom="0.39370078740157499" header="0.31496062992126" footer="0.31496062992126"/>
      <pageSetup paperSize="9" scale="63" orientation="portrait" r:id="rId2"/>
    </customSheetView>
    <customSheetView guid="{184BCED3-EADB-44CF-BFDA-DA8D3E7206C0}" scale="99" showPageBreaks="1" printArea="1" hiddenRows="1" view="pageBreakPreview" topLeftCell="A10">
      <selection activeCell="F19" sqref="F19"/>
      <pageMargins left="0.39370078740157499" right="0.78740157480314998" top="0.39370078740157499" bottom="0.39370078740157499" header="0.31496062992126" footer="0.31496062992126"/>
      <pageSetup paperSize="9" scale="63" orientation="portrait" r:id="rId3"/>
    </customSheetView>
  </customSheetViews>
  <mergeCells count="7">
    <mergeCell ref="A62:J62"/>
    <mergeCell ref="A61:G61"/>
    <mergeCell ref="A1:G1"/>
    <mergeCell ref="A2:G2"/>
    <mergeCell ref="H2:L2"/>
    <mergeCell ref="A3:G3"/>
    <mergeCell ref="H3:L3"/>
  </mergeCells>
  <conditionalFormatting sqref="F26">
    <cfRule type="cellIs" dxfId="1" priority="3" stopIfTrue="1" operator="lessThan">
      <formula>0</formula>
    </cfRule>
  </conditionalFormatting>
  <hyperlinks>
    <hyperlink ref="A1:XFD3" r:id="rId4" display="http://modiriatmali.com/" xr:uid="{00000000-0004-0000-2500-000000000000}"/>
  </hyperlinks>
  <printOptions horizontalCentered="1"/>
  <pageMargins left="0.39370078740157499" right="0.39370078740157499" top="0.39370078740157499" bottom="0.39370078740157499" header="0.31496062992126" footer="0.31496062992126"/>
  <pageSetup paperSize="9" scale="90" orientation="portrait" r:id="rId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A1:O33"/>
  <sheetViews>
    <sheetView rightToLeft="1" view="pageBreakPreview" topLeftCell="A25" zoomScaleSheetLayoutView="100" workbookViewId="0">
      <selection sqref="A1:G3"/>
    </sheetView>
  </sheetViews>
  <sheetFormatPr defaultColWidth="9" defaultRowHeight="18" x14ac:dyDescent="0.45"/>
  <cols>
    <col min="1" max="1" width="9.7109375" style="626" customWidth="1"/>
    <col min="2" max="2" width="33" style="626" bestFit="1" customWidth="1"/>
    <col min="3" max="3" width="13" style="626" customWidth="1"/>
    <col min="4" max="4" width="27.5703125" style="626" bestFit="1" customWidth="1"/>
    <col min="5" max="5" width="1.42578125" style="626" customWidth="1"/>
    <col min="6" max="6" width="27.5703125" style="626" bestFit="1" customWidth="1"/>
    <col min="7" max="7" width="8.28515625" style="626" hidden="1" customWidth="1"/>
    <col min="8" max="16384" width="9" style="626"/>
  </cols>
  <sheetData>
    <row r="1" spans="1:15" s="627" customFormat="1" ht="19.5" customHeight="1" x14ac:dyDescent="0.25">
      <c r="A1" s="1603" t="s">
        <v>244</v>
      </c>
      <c r="B1" s="1603"/>
      <c r="C1" s="1603"/>
      <c r="D1" s="1603"/>
      <c r="E1" s="1603"/>
      <c r="F1" s="1603"/>
      <c r="G1" s="1603"/>
    </row>
    <row r="2" spans="1:15" s="627" customFormat="1" ht="19.5" customHeight="1" x14ac:dyDescent="0.25">
      <c r="A2" s="1603" t="str">
        <f>'28-29'!A2:G2</f>
        <v>يادداشتهاي توضيحي صورتهاي مالي</v>
      </c>
      <c r="B2" s="1603"/>
      <c r="C2" s="1603"/>
      <c r="D2" s="1603"/>
      <c r="E2" s="1603"/>
      <c r="F2" s="1603"/>
      <c r="G2" s="1603"/>
      <c r="H2" s="1604"/>
      <c r="I2" s="1604"/>
      <c r="J2" s="1604"/>
      <c r="K2" s="1604"/>
      <c r="L2" s="1037"/>
      <c r="M2" s="1037"/>
      <c r="N2" s="1037"/>
      <c r="O2" s="1037"/>
    </row>
    <row r="3" spans="1:15" s="627" customFormat="1" ht="19.5" customHeight="1" x14ac:dyDescent="0.25">
      <c r="A3" s="1603" t="str">
        <f>سودوزيان!A3</f>
        <v>سال مالی منتهی به 30 اسفند 1403</v>
      </c>
      <c r="B3" s="1603"/>
      <c r="C3" s="1603"/>
      <c r="D3" s="1603"/>
      <c r="E3" s="1603"/>
      <c r="F3" s="1603"/>
      <c r="G3" s="1603"/>
      <c r="H3" s="1604"/>
      <c r="I3" s="1604"/>
      <c r="J3" s="1604"/>
      <c r="K3" s="1604"/>
    </row>
    <row r="4" spans="1:15" s="622" customFormat="1" ht="22.5" x14ac:dyDescent="0.55000000000000004"/>
    <row r="5" spans="1:15" s="622" customFormat="1" ht="24" x14ac:dyDescent="0.55000000000000004">
      <c r="A5" s="1605" t="s">
        <v>921</v>
      </c>
      <c r="B5" s="1605"/>
      <c r="C5" s="1605"/>
      <c r="D5" s="1605"/>
      <c r="E5" s="1605"/>
      <c r="F5" s="1605"/>
      <c r="G5" s="1605"/>
    </row>
    <row r="6" spans="1:15" s="622" customFormat="1" ht="24.75" customHeight="1" x14ac:dyDescent="0.55000000000000004">
      <c r="A6" s="623" t="s">
        <v>922</v>
      </c>
      <c r="B6" s="623" t="s">
        <v>237</v>
      </c>
      <c r="C6" s="623"/>
      <c r="D6" s="623"/>
      <c r="E6" s="623"/>
      <c r="F6" s="623"/>
      <c r="G6" s="623"/>
    </row>
    <row r="7" spans="1:15" s="622" customFormat="1" ht="22.5" x14ac:dyDescent="0.55000000000000004">
      <c r="A7" s="1607" t="s">
        <v>422</v>
      </c>
      <c r="B7" s="1607"/>
      <c r="C7" s="1607"/>
      <c r="D7" s="1607"/>
      <c r="E7" s="1607"/>
      <c r="F7" s="1607"/>
      <c r="G7" s="1607"/>
    </row>
    <row r="8" spans="1:15" s="622" customFormat="1" ht="22.5" x14ac:dyDescent="0.55000000000000004">
      <c r="A8" s="1607"/>
      <c r="B8" s="1607"/>
      <c r="C8" s="1607"/>
      <c r="D8" s="1607"/>
      <c r="E8" s="1607"/>
      <c r="F8" s="1607"/>
      <c r="G8" s="1607"/>
    </row>
    <row r="9" spans="1:15" s="622" customFormat="1" ht="22.5" x14ac:dyDescent="0.55000000000000004">
      <c r="A9" s="1607"/>
      <c r="B9" s="1607"/>
      <c r="C9" s="1607"/>
      <c r="D9" s="1607"/>
      <c r="E9" s="1607"/>
      <c r="F9" s="1607"/>
      <c r="G9" s="1607"/>
    </row>
    <row r="10" spans="1:15" s="622" customFormat="1" ht="22.5" x14ac:dyDescent="0.55000000000000004">
      <c r="A10" s="1607"/>
      <c r="B10" s="1607"/>
      <c r="C10" s="1607"/>
      <c r="D10" s="1607"/>
      <c r="E10" s="1607"/>
      <c r="F10" s="1607"/>
      <c r="G10" s="1607"/>
    </row>
    <row r="11" spans="1:15" s="622" customFormat="1" ht="56.25" hidden="1" customHeight="1" x14ac:dyDescent="0.55000000000000004">
      <c r="A11" s="1607"/>
      <c r="B11" s="1607"/>
      <c r="C11" s="1607"/>
      <c r="D11" s="1607"/>
      <c r="E11" s="1607"/>
      <c r="F11" s="1607"/>
      <c r="G11" s="1607"/>
    </row>
    <row r="12" spans="1:15" s="622" customFormat="1" ht="6.75" customHeight="1" x14ac:dyDescent="0.55000000000000004">
      <c r="A12" s="1607"/>
      <c r="B12" s="1607"/>
      <c r="C12" s="1607"/>
      <c r="D12" s="1607"/>
      <c r="E12" s="1607"/>
      <c r="F12" s="1607"/>
      <c r="G12" s="1607"/>
    </row>
    <row r="13" spans="1:15" s="622" customFormat="1" ht="24" x14ac:dyDescent="0.55000000000000004">
      <c r="A13" s="1605" t="s">
        <v>923</v>
      </c>
      <c r="B13" s="1605"/>
      <c r="C13" s="1605"/>
      <c r="D13" s="1605"/>
      <c r="E13" s="1605"/>
      <c r="F13" s="1605"/>
      <c r="G13" s="1605"/>
    </row>
    <row r="14" spans="1:15" s="622" customFormat="1" ht="22.5" x14ac:dyDescent="0.55000000000000004">
      <c r="A14" s="1607" t="s">
        <v>202</v>
      </c>
      <c r="B14" s="1607"/>
      <c r="C14" s="1607"/>
      <c r="D14" s="1607"/>
      <c r="E14" s="1607"/>
      <c r="F14" s="1607"/>
      <c r="G14" s="1607"/>
    </row>
    <row r="15" spans="1:15" s="592" customFormat="1" ht="24" x14ac:dyDescent="0.6">
      <c r="D15" s="587">
        <v>1403</v>
      </c>
      <c r="E15" s="624"/>
      <c r="F15" s="587">
        <v>1402</v>
      </c>
    </row>
    <row r="16" spans="1:15" s="622" customFormat="1" ht="22.5" x14ac:dyDescent="0.55000000000000004">
      <c r="D16" s="625" t="s">
        <v>494</v>
      </c>
      <c r="E16" s="625"/>
      <c r="F16" s="625" t="s">
        <v>494</v>
      </c>
    </row>
    <row r="17" spans="1:7" s="1038" customFormat="1" ht="27" customHeight="1" x14ac:dyDescent="0.25">
      <c r="B17" s="1038" t="s">
        <v>201</v>
      </c>
      <c r="D17" s="590">
        <f>'وضعيت مالي'!F37</f>
        <v>5269391570651</v>
      </c>
      <c r="E17" s="590"/>
      <c r="F17" s="1039">
        <f>'وضعيت مالي'!H37</f>
        <v>5119619929864</v>
      </c>
    </row>
    <row r="18" spans="1:7" s="1038" customFormat="1" ht="27" customHeight="1" x14ac:dyDescent="0.25">
      <c r="B18" s="1038" t="s">
        <v>25</v>
      </c>
      <c r="D18" s="1040">
        <f>'وضعيت مالي'!F16*-1</f>
        <v>-67759505663</v>
      </c>
      <c r="E18" s="590"/>
      <c r="F18" s="190">
        <f>'وضعيت مالي'!H16*-1</f>
        <v>-170000824925</v>
      </c>
    </row>
    <row r="19" spans="1:7" s="1038" customFormat="1" ht="27" customHeight="1" thickBot="1" x14ac:dyDescent="0.3">
      <c r="B19" s="1038" t="s">
        <v>200</v>
      </c>
      <c r="D19" s="593">
        <f>SUM(D17:D18)</f>
        <v>5201632064988</v>
      </c>
      <c r="E19" s="585"/>
      <c r="F19" s="1041">
        <f>SUM(F17:F18)</f>
        <v>4949619104939</v>
      </c>
    </row>
    <row r="20" spans="1:7" s="1038" customFormat="1" ht="27" customHeight="1" thickTop="1" thickBot="1" x14ac:dyDescent="0.3">
      <c r="B20" s="1038" t="s">
        <v>27</v>
      </c>
      <c r="D20" s="1042">
        <f>'وضعيت مالي'!F25</f>
        <v>4347863288810.8828</v>
      </c>
      <c r="E20" s="590"/>
      <c r="F20" s="1043">
        <f>'وضعيت مالي'!H25</f>
        <v>3524435640732</v>
      </c>
    </row>
    <row r="21" spans="1:7" s="1038" customFormat="1" ht="27" customHeight="1" thickTop="1" thickBot="1" x14ac:dyDescent="0.3">
      <c r="B21" s="1038" t="s">
        <v>238</v>
      </c>
      <c r="D21" s="1044">
        <f>D19/D20*100</f>
        <v>119.63651383368629</v>
      </c>
      <c r="E21" s="590"/>
      <c r="F21" s="1043">
        <f>F19/F20*100</f>
        <v>140.43721064831246</v>
      </c>
    </row>
    <row r="22" spans="1:7" s="622" customFormat="1" ht="23.25" thickTop="1" x14ac:dyDescent="0.55000000000000004"/>
    <row r="23" spans="1:7" s="622" customFormat="1" ht="22.5" x14ac:dyDescent="0.55000000000000004"/>
    <row r="24" spans="1:7" s="622" customFormat="1" ht="24" x14ac:dyDescent="0.55000000000000004">
      <c r="A24" s="1605" t="s">
        <v>925</v>
      </c>
      <c r="B24" s="1605"/>
      <c r="C24" s="1605"/>
      <c r="D24" s="1605"/>
      <c r="E24" s="1605"/>
      <c r="F24" s="1605"/>
      <c r="G24" s="1605"/>
    </row>
    <row r="25" spans="1:7" s="622" customFormat="1" ht="18" customHeight="1" x14ac:dyDescent="0.55000000000000004">
      <c r="A25" s="1608" t="s">
        <v>924</v>
      </c>
      <c r="B25" s="1608"/>
      <c r="C25" s="1608"/>
      <c r="D25" s="1608"/>
      <c r="E25" s="1608"/>
      <c r="F25" s="1608"/>
      <c r="G25" s="1608"/>
    </row>
    <row r="26" spans="1:7" s="622" customFormat="1" ht="22.5" x14ac:dyDescent="0.55000000000000004">
      <c r="A26" s="1608"/>
      <c r="B26" s="1608"/>
      <c r="C26" s="1608"/>
      <c r="D26" s="1608"/>
      <c r="E26" s="1608"/>
      <c r="F26" s="1608"/>
      <c r="G26" s="1608"/>
    </row>
    <row r="27" spans="1:7" s="622" customFormat="1" ht="114.75" customHeight="1" x14ac:dyDescent="0.55000000000000004">
      <c r="A27" s="1608"/>
      <c r="B27" s="1608"/>
      <c r="C27" s="1608"/>
      <c r="D27" s="1608"/>
      <c r="E27" s="1608"/>
      <c r="F27" s="1608"/>
      <c r="G27" s="1608"/>
    </row>
    <row r="28" spans="1:7" s="622" customFormat="1" ht="22.5" x14ac:dyDescent="0.55000000000000004"/>
    <row r="29" spans="1:7" s="622" customFormat="1" ht="22.5" x14ac:dyDescent="0.55000000000000004"/>
    <row r="30" spans="1:7" s="622" customFormat="1" ht="89.25" customHeight="1" x14ac:dyDescent="0.55000000000000004"/>
    <row r="31" spans="1:7" s="622" customFormat="1" ht="102" customHeight="1" x14ac:dyDescent="0.55000000000000004"/>
    <row r="33" spans="1:7" ht="19.5" x14ac:dyDescent="0.5">
      <c r="A33" s="1606">
        <v>36</v>
      </c>
      <c r="B33" s="1606"/>
      <c r="C33" s="1606"/>
      <c r="D33" s="1606"/>
      <c r="E33" s="1606"/>
      <c r="F33" s="1606"/>
      <c r="G33" s="1606"/>
    </row>
  </sheetData>
  <customSheetViews>
    <customSheetView guid="{39716EAB-185B-4ADF-90CF-1B1041867F58}" showPageBreaks="1" printArea="1" view="pageBreakPreview">
      <selection activeCell="D30" sqref="D30"/>
      <pageMargins left="0.39370078740157499" right="0.78740157480314998" top="0.39370078740157499" bottom="0.39370078740157499" header="0.31496062992126" footer="0.31496062992126"/>
      <pageSetup paperSize="9" scale="71" orientation="portrait" r:id="rId1"/>
    </customSheetView>
    <customSheetView guid="{5CB8382F-C212-4512-9396-17792C62978E}" showPageBreaks="1" printArea="1" view="pageBreakPreview">
      <selection activeCell="D30" sqref="D30"/>
      <pageMargins left="0.39370078740157499" right="0.78740157480314998" top="0.39370078740157499" bottom="0.39370078740157499" header="0.31496062992126" footer="0.31496062992126"/>
      <pageSetup paperSize="9" scale="71" orientation="portrait" r:id="rId2"/>
    </customSheetView>
    <customSheetView guid="{184BCED3-EADB-44CF-BFDA-DA8D3E7206C0}" showPageBreaks="1" printArea="1" view="pageBreakPreview" topLeftCell="A16">
      <selection activeCell="A24" sqref="A24:G24"/>
      <pageMargins left="0.39370078740157499" right="0.78740157480314998" top="0.39370078740157499" bottom="0.39370078740157499" header="0.31496062992126" footer="0.31496062992126"/>
      <pageSetup paperSize="9" scale="71" orientation="portrait" r:id="rId3"/>
    </customSheetView>
  </customSheetViews>
  <mergeCells count="12">
    <mergeCell ref="A5:G5"/>
    <mergeCell ref="A33:G33"/>
    <mergeCell ref="A13:G13"/>
    <mergeCell ref="A14:G14"/>
    <mergeCell ref="A7:G12"/>
    <mergeCell ref="A24:G24"/>
    <mergeCell ref="A25:G27"/>
    <mergeCell ref="A1:G1"/>
    <mergeCell ref="A2:G2"/>
    <mergeCell ref="H2:K2"/>
    <mergeCell ref="A3:G3"/>
    <mergeCell ref="H3:K3"/>
  </mergeCells>
  <conditionalFormatting sqref="F18">
    <cfRule type="cellIs" dxfId="0" priority="1" stopIfTrue="1" operator="lessThan">
      <formula>0</formula>
    </cfRule>
  </conditionalFormatting>
  <hyperlinks>
    <hyperlink ref="A1:XFD3" r:id="rId4" display="http://modiriatmali.com/" xr:uid="{00000000-0004-0000-2600-000000000000}"/>
  </hyperlinks>
  <pageMargins left="0.39370078740157499" right="0.78740157480314998" top="0.39370078740157499" bottom="0.39370078740157499" header="0.31496062992126" footer="0.31496062992126"/>
  <pageSetup paperSize="9" scale="80"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V35"/>
  <sheetViews>
    <sheetView rightToLeft="1" view="pageBreakPreview" topLeftCell="A22" zoomScale="48" zoomScaleNormal="55" zoomScaleSheetLayoutView="48" workbookViewId="0">
      <selection activeCell="L20" sqref="L20"/>
    </sheetView>
  </sheetViews>
  <sheetFormatPr defaultColWidth="9.140625" defaultRowHeight="42.75" x14ac:dyDescent="1"/>
  <cols>
    <col min="1" max="1" width="9.7109375" style="958" customWidth="1"/>
    <col min="2" max="2" width="111.140625" style="958" customWidth="1"/>
    <col min="3" max="3" width="4.7109375" style="958" customWidth="1"/>
    <col min="4" max="4" width="37.28515625" style="958" customWidth="1"/>
    <col min="5" max="5" width="3.7109375" style="958" customWidth="1"/>
    <col min="6" max="6" width="28.85546875" style="966" customWidth="1"/>
    <col min="7" max="7" width="1.7109375" style="958" customWidth="1"/>
    <col min="8" max="8" width="28.28515625" style="958" customWidth="1"/>
    <col min="9" max="9" width="1.5703125" style="958" customWidth="1"/>
    <col min="10" max="10" width="30.140625" style="958" bestFit="1" customWidth="1"/>
    <col min="11" max="11" width="2.5703125" style="958" customWidth="1"/>
    <col min="12" max="12" width="36.5703125" style="958" bestFit="1" customWidth="1"/>
    <col min="13" max="13" width="1.7109375" style="958" customWidth="1"/>
    <col min="14" max="14" width="30.140625" style="958" bestFit="1" customWidth="1"/>
    <col min="15" max="15" width="2" style="958" customWidth="1"/>
    <col min="16" max="16" width="30.140625" style="958" bestFit="1" customWidth="1"/>
    <col min="17" max="17" width="2.42578125" style="958" customWidth="1"/>
    <col min="18" max="18" width="30.140625" style="958" bestFit="1" customWidth="1"/>
    <col min="19" max="19" width="2.140625" style="958" customWidth="1"/>
    <col min="20" max="20" width="23.42578125" style="958" bestFit="1" customWidth="1"/>
    <col min="21" max="21" width="16.85546875" style="958" hidden="1" customWidth="1"/>
    <col min="22" max="24" width="9.140625" style="958"/>
    <col min="25" max="25" width="45.5703125" style="958" bestFit="1" customWidth="1"/>
    <col min="26" max="16384" width="9.140625" style="958"/>
  </cols>
  <sheetData>
    <row r="1" spans="1:22" x14ac:dyDescent="1">
      <c r="A1" s="1611" t="str">
        <f>'[1]33-34'!A1:E1</f>
        <v>شرکت داروسازی خوارزمی (سهامی خاص)</v>
      </c>
      <c r="B1" s="1611"/>
      <c r="C1" s="1611"/>
      <c r="D1" s="1611"/>
      <c r="E1" s="1611"/>
      <c r="F1" s="1611"/>
      <c r="G1" s="1611"/>
      <c r="H1" s="1611"/>
      <c r="I1" s="1611"/>
      <c r="J1" s="1611"/>
      <c r="K1" s="1611"/>
      <c r="L1" s="1611"/>
      <c r="M1" s="1611"/>
      <c r="N1" s="1611"/>
      <c r="O1" s="1611"/>
      <c r="P1" s="1611"/>
      <c r="Q1" s="1611"/>
      <c r="R1" s="1611"/>
      <c r="S1" s="1611"/>
      <c r="T1" s="1611"/>
      <c r="U1" s="1611"/>
      <c r="V1" s="957"/>
    </row>
    <row r="2" spans="1:22" x14ac:dyDescent="1">
      <c r="A2" s="1611" t="str">
        <f>'[1]31'!A2:N2</f>
        <v>یادداشتهای توضیحی صورت های مالی</v>
      </c>
      <c r="B2" s="1611"/>
      <c r="C2" s="1611"/>
      <c r="D2" s="1611"/>
      <c r="E2" s="1611"/>
      <c r="F2" s="1611"/>
      <c r="G2" s="1611"/>
      <c r="H2" s="1611"/>
      <c r="I2" s="1611"/>
      <c r="J2" s="1611"/>
      <c r="K2" s="1611"/>
      <c r="L2" s="1611"/>
      <c r="M2" s="1611"/>
      <c r="N2" s="1611"/>
      <c r="O2" s="1611"/>
      <c r="P2" s="1611"/>
      <c r="Q2" s="1611"/>
      <c r="R2" s="1611"/>
      <c r="S2" s="1611"/>
      <c r="T2" s="1611"/>
      <c r="U2" s="1611"/>
      <c r="V2" s="959"/>
    </row>
    <row r="3" spans="1:22" x14ac:dyDescent="1">
      <c r="A3" s="1611" t="s">
        <v>1089</v>
      </c>
      <c r="B3" s="1611"/>
      <c r="C3" s="1611"/>
      <c r="D3" s="1611"/>
      <c r="E3" s="1611"/>
      <c r="F3" s="1611"/>
      <c r="G3" s="1611"/>
      <c r="H3" s="1611"/>
      <c r="I3" s="1611"/>
      <c r="J3" s="1611"/>
      <c r="K3" s="1611"/>
      <c r="L3" s="1611"/>
      <c r="M3" s="1611"/>
      <c r="N3" s="1611"/>
      <c r="O3" s="1611"/>
      <c r="P3" s="1611"/>
      <c r="Q3" s="1611"/>
      <c r="R3" s="1611"/>
      <c r="S3" s="1611"/>
      <c r="T3" s="1611"/>
      <c r="U3" s="1611"/>
      <c r="V3" s="957"/>
    </row>
    <row r="4" spans="1:22" x14ac:dyDescent="1">
      <c r="A4" s="1609" t="s">
        <v>848</v>
      </c>
      <c r="B4" s="1609"/>
      <c r="C4" s="1609"/>
      <c r="D4" s="1609"/>
      <c r="E4" s="1609"/>
      <c r="F4" s="1609"/>
      <c r="G4" s="1609"/>
      <c r="H4" s="1609"/>
      <c r="I4" s="1609"/>
      <c r="J4" s="1609"/>
      <c r="K4" s="1609"/>
      <c r="L4" s="1609"/>
      <c r="M4" s="1609"/>
      <c r="N4" s="1609"/>
      <c r="O4" s="1609"/>
      <c r="P4" s="1609"/>
      <c r="Q4" s="1609"/>
      <c r="R4" s="1609"/>
      <c r="S4" s="1609"/>
      <c r="T4" s="1609"/>
      <c r="U4" s="1609"/>
      <c r="V4" s="960"/>
    </row>
    <row r="5" spans="1:22" ht="69.75" customHeight="1" x14ac:dyDescent="1">
      <c r="A5" s="1609" t="s">
        <v>849</v>
      </c>
      <c r="B5" s="1609"/>
      <c r="C5" s="1609"/>
      <c r="D5" s="1609"/>
      <c r="E5" s="1609"/>
      <c r="F5" s="1609"/>
      <c r="G5" s="1609"/>
      <c r="H5" s="1609"/>
      <c r="I5" s="1609"/>
      <c r="J5" s="1609"/>
      <c r="K5" s="1609"/>
      <c r="L5" s="1609"/>
      <c r="M5" s="1609"/>
      <c r="N5" s="1609"/>
      <c r="O5" s="1609"/>
      <c r="P5" s="1609"/>
      <c r="Q5" s="1609"/>
      <c r="R5" s="1609"/>
      <c r="S5" s="1609"/>
      <c r="T5" s="1609"/>
      <c r="U5" s="1609"/>
      <c r="V5" s="960"/>
    </row>
    <row r="6" spans="1:22" ht="39.75" customHeight="1" x14ac:dyDescent="1">
      <c r="A6" s="960"/>
      <c r="B6" s="960"/>
      <c r="C6" s="960"/>
      <c r="D6" s="960"/>
      <c r="E6" s="960"/>
      <c r="F6" s="963"/>
      <c r="G6" s="960"/>
      <c r="H6" s="960"/>
      <c r="I6" s="960"/>
      <c r="J6" s="960"/>
      <c r="K6" s="960"/>
      <c r="L6" s="960"/>
      <c r="M6" s="960"/>
      <c r="N6" s="960"/>
      <c r="O6" s="960"/>
      <c r="P6" s="960"/>
      <c r="Q6" s="960"/>
      <c r="R6" s="960"/>
      <c r="S6" s="960"/>
      <c r="T6" s="960"/>
      <c r="U6" s="960"/>
      <c r="V6" s="960"/>
    </row>
    <row r="7" spans="1:22" ht="45" customHeight="1" x14ac:dyDescent="1">
      <c r="A7" s="960"/>
      <c r="B7" s="960"/>
      <c r="C7" s="960"/>
      <c r="D7" s="964" t="s">
        <v>839</v>
      </c>
      <c r="E7" s="963"/>
      <c r="F7" s="1266" t="s">
        <v>840</v>
      </c>
      <c r="G7" s="1277"/>
      <c r="H7" s="1266" t="s">
        <v>584</v>
      </c>
      <c r="I7" s="960"/>
      <c r="J7" s="960"/>
      <c r="K7" s="960"/>
      <c r="L7" s="960"/>
      <c r="M7" s="960"/>
      <c r="N7" s="960"/>
      <c r="O7" s="960"/>
      <c r="P7" s="960"/>
    </row>
    <row r="8" spans="1:22" ht="46.5" customHeight="1" x14ac:dyDescent="1">
      <c r="A8" s="960"/>
      <c r="B8" s="960"/>
      <c r="C8" s="960"/>
      <c r="D8" s="963" t="s">
        <v>841</v>
      </c>
      <c r="E8" s="963"/>
      <c r="F8" s="961">
        <v>269090</v>
      </c>
      <c r="G8" s="963"/>
      <c r="H8" s="961">
        <v>0</v>
      </c>
      <c r="I8" s="960"/>
      <c r="J8" s="960"/>
      <c r="K8" s="960"/>
      <c r="L8" s="960"/>
      <c r="M8" s="960"/>
      <c r="N8" s="960"/>
      <c r="O8" s="960"/>
      <c r="P8" s="960"/>
    </row>
    <row r="9" spans="1:22" ht="42" customHeight="1" x14ac:dyDescent="1">
      <c r="A9" s="960"/>
      <c r="B9" s="960"/>
      <c r="C9" s="960"/>
      <c r="D9" s="962" t="s">
        <v>135</v>
      </c>
      <c r="E9" s="962"/>
      <c r="F9" s="961">
        <v>0</v>
      </c>
      <c r="G9" s="962"/>
      <c r="H9" s="961">
        <v>726790</v>
      </c>
      <c r="I9" s="960"/>
      <c r="J9" s="960"/>
      <c r="K9" s="960"/>
      <c r="L9" s="960"/>
      <c r="M9" s="960"/>
      <c r="N9" s="960"/>
      <c r="O9" s="960"/>
      <c r="P9" s="960"/>
    </row>
    <row r="10" spans="1:22" ht="24.75" customHeight="1" x14ac:dyDescent="1">
      <c r="A10" s="960"/>
      <c r="B10" s="960"/>
      <c r="C10" s="960"/>
      <c r="D10" s="962"/>
      <c r="E10" s="962"/>
      <c r="F10" s="961"/>
      <c r="G10" s="962"/>
      <c r="H10" s="962"/>
      <c r="I10" s="962"/>
      <c r="J10" s="963"/>
      <c r="K10" s="960"/>
      <c r="L10" s="965"/>
      <c r="M10" s="960"/>
      <c r="N10" s="960"/>
      <c r="O10" s="960"/>
      <c r="P10" s="960"/>
      <c r="Q10" s="960"/>
      <c r="R10" s="960"/>
      <c r="S10" s="960"/>
      <c r="T10" s="960"/>
      <c r="U10" s="960"/>
      <c r="V10" s="960"/>
    </row>
    <row r="11" spans="1:22" ht="43.5" customHeight="1" x14ac:dyDescent="1">
      <c r="A11" s="1609" t="s">
        <v>1266</v>
      </c>
      <c r="B11" s="1609"/>
      <c r="C11" s="1609"/>
      <c r="D11" s="1609"/>
      <c r="E11" s="1609"/>
      <c r="F11" s="1609"/>
      <c r="G11" s="1609"/>
      <c r="H11" s="1609"/>
      <c r="I11" s="1609"/>
      <c r="J11" s="1609"/>
      <c r="K11" s="1609"/>
      <c r="L11" s="1609"/>
      <c r="M11" s="1609"/>
      <c r="N11" s="1609"/>
      <c r="O11" s="1609"/>
      <c r="P11" s="1609"/>
      <c r="Q11" s="1609"/>
      <c r="R11" s="1609"/>
      <c r="S11" s="1609"/>
      <c r="T11" s="1609"/>
      <c r="U11" s="1609"/>
      <c r="V11" s="960"/>
    </row>
    <row r="12" spans="1:22" ht="43.5" customHeight="1" x14ac:dyDescent="1">
      <c r="A12" s="1609" t="s">
        <v>1267</v>
      </c>
      <c r="B12" s="1609"/>
      <c r="C12" s="1279"/>
      <c r="D12" s="1610">
        <v>1403</v>
      </c>
      <c r="E12" s="1610"/>
      <c r="F12" s="1610"/>
      <c r="G12" s="1610"/>
      <c r="H12" s="1610"/>
      <c r="I12" s="1279"/>
      <c r="J12" s="1610">
        <v>1402</v>
      </c>
      <c r="K12" s="1610"/>
      <c r="L12" s="1610"/>
      <c r="M12" s="1610"/>
      <c r="N12" s="1610"/>
      <c r="O12" s="1279"/>
      <c r="P12" s="1279"/>
      <c r="Q12" s="1279"/>
      <c r="R12" s="1279"/>
      <c r="S12" s="1279"/>
      <c r="T12" s="1279"/>
      <c r="U12" s="1279"/>
      <c r="V12" s="960"/>
    </row>
    <row r="13" spans="1:22" ht="43.5" customHeight="1" x14ac:dyDescent="1">
      <c r="A13" s="1265"/>
      <c r="B13" s="1280"/>
      <c r="C13" s="1265"/>
      <c r="D13" s="1278" t="s">
        <v>1268</v>
      </c>
      <c r="E13" s="1265"/>
      <c r="F13" s="1278" t="s">
        <v>1269</v>
      </c>
      <c r="G13" s="1278"/>
      <c r="H13" s="1278" t="s">
        <v>1270</v>
      </c>
      <c r="I13" s="1265"/>
      <c r="J13" s="1278" t="s">
        <v>1268</v>
      </c>
      <c r="K13" s="1265"/>
      <c r="L13" s="1278" t="s">
        <v>1269</v>
      </c>
      <c r="M13" s="1278"/>
      <c r="N13" s="1278" t="s">
        <v>1270</v>
      </c>
      <c r="O13" s="1265"/>
      <c r="P13" s="1265"/>
      <c r="Q13" s="1265"/>
      <c r="R13" s="1265"/>
      <c r="S13" s="1265"/>
      <c r="T13" s="1265"/>
      <c r="U13" s="1265"/>
      <c r="V13" s="960"/>
    </row>
    <row r="14" spans="1:22" ht="34.5" customHeight="1" x14ac:dyDescent="1">
      <c r="A14" s="1265"/>
      <c r="B14" s="1280" t="s">
        <v>1271</v>
      </c>
      <c r="C14" s="1265"/>
      <c r="D14" s="1281">
        <v>0</v>
      </c>
      <c r="E14" s="1265"/>
      <c r="F14" s="1278">
        <v>0</v>
      </c>
      <c r="G14" s="1265"/>
      <c r="H14" s="1281">
        <v>0</v>
      </c>
      <c r="I14" s="1265"/>
      <c r="J14" s="1281">
        <v>4700</v>
      </c>
      <c r="K14" s="1281"/>
      <c r="L14" s="1281">
        <v>0</v>
      </c>
      <c r="M14" s="1281"/>
      <c r="N14" s="1281">
        <v>0</v>
      </c>
      <c r="O14" s="1265"/>
      <c r="P14" s="1265"/>
      <c r="Q14" s="1265"/>
      <c r="R14" s="1265"/>
      <c r="S14" s="1265"/>
      <c r="T14" s="1265"/>
      <c r="U14" s="1265"/>
      <c r="V14" s="960"/>
    </row>
    <row r="15" spans="1:22" ht="40.5" customHeight="1" x14ac:dyDescent="1">
      <c r="A15" s="1265"/>
      <c r="B15" s="1280" t="s">
        <v>1272</v>
      </c>
      <c r="C15" s="1265"/>
      <c r="D15" s="1281">
        <v>269090</v>
      </c>
      <c r="E15" s="1265"/>
      <c r="F15" s="1278">
        <v>0</v>
      </c>
      <c r="G15" s="1265"/>
      <c r="H15" s="1281">
        <v>0</v>
      </c>
      <c r="I15" s="1265"/>
      <c r="J15" s="1281">
        <v>421531</v>
      </c>
      <c r="K15" s="1281"/>
      <c r="L15" s="1281">
        <v>203262</v>
      </c>
      <c r="M15" s="1281"/>
      <c r="N15" s="1281">
        <f>J15-L15</f>
        <v>218269</v>
      </c>
      <c r="O15" s="1265"/>
      <c r="P15" s="1265"/>
      <c r="Q15" s="1265"/>
      <c r="R15" s="1265"/>
      <c r="S15" s="1265"/>
      <c r="T15" s="1265"/>
      <c r="U15" s="1265"/>
      <c r="V15" s="960"/>
    </row>
    <row r="16" spans="1:22" ht="26.25" customHeight="1" x14ac:dyDescent="1">
      <c r="A16" s="1265"/>
      <c r="B16" s="1265"/>
      <c r="C16" s="1265"/>
      <c r="D16" s="1265"/>
      <c r="E16" s="1265"/>
      <c r="F16" s="1265"/>
      <c r="G16" s="1265"/>
      <c r="H16" s="1265"/>
      <c r="I16" s="1265"/>
      <c r="J16" s="1265"/>
      <c r="K16" s="1265"/>
      <c r="L16" s="1265"/>
      <c r="M16" s="1265"/>
      <c r="N16" s="1265"/>
      <c r="O16" s="1265"/>
      <c r="P16" s="1265"/>
      <c r="Q16" s="1265"/>
      <c r="R16" s="1265"/>
      <c r="S16" s="1265"/>
      <c r="T16" s="1265"/>
      <c r="U16" s="1265"/>
      <c r="V16" s="960"/>
    </row>
    <row r="17" spans="1:22" ht="43.5" customHeight="1" x14ac:dyDescent="1">
      <c r="A17" s="1609" t="s">
        <v>1274</v>
      </c>
      <c r="B17" s="1609"/>
      <c r="C17" s="1279"/>
      <c r="D17" s="1610">
        <v>1403</v>
      </c>
      <c r="E17" s="1610"/>
      <c r="F17" s="1610"/>
      <c r="G17" s="1610"/>
      <c r="H17" s="1610"/>
      <c r="I17" s="1279"/>
      <c r="J17" s="1610">
        <v>1402</v>
      </c>
      <c r="K17" s="1610"/>
      <c r="L17" s="1610"/>
      <c r="M17" s="1610"/>
      <c r="N17" s="1610"/>
      <c r="O17" s="1279"/>
      <c r="P17" s="1279"/>
      <c r="Q17" s="1279"/>
      <c r="R17" s="1279"/>
      <c r="S17" s="1279"/>
      <c r="T17" s="1279"/>
      <c r="U17" s="1279"/>
      <c r="V17" s="960"/>
    </row>
    <row r="18" spans="1:22" ht="43.5" customHeight="1" x14ac:dyDescent="1">
      <c r="A18" s="1265"/>
      <c r="B18" s="1280"/>
      <c r="C18" s="1265"/>
      <c r="D18" s="1278" t="s">
        <v>1268</v>
      </c>
      <c r="E18" s="1265"/>
      <c r="F18" s="1278" t="s">
        <v>1269</v>
      </c>
      <c r="G18" s="1278"/>
      <c r="H18" s="1278" t="s">
        <v>1270</v>
      </c>
      <c r="I18" s="1265"/>
      <c r="J18" s="1278" t="s">
        <v>1268</v>
      </c>
      <c r="K18" s="1265"/>
      <c r="L18" s="1278" t="s">
        <v>1269</v>
      </c>
      <c r="M18" s="1278"/>
      <c r="N18" s="1278" t="s">
        <v>1270</v>
      </c>
      <c r="O18" s="1265"/>
      <c r="P18" s="1265"/>
      <c r="Q18" s="1265"/>
      <c r="R18" s="1265"/>
      <c r="S18" s="1265"/>
      <c r="T18" s="1265"/>
      <c r="U18" s="1265"/>
      <c r="V18" s="960"/>
    </row>
    <row r="19" spans="1:22" ht="37.5" customHeight="1" x14ac:dyDescent="1">
      <c r="A19" s="1265"/>
      <c r="B19" s="1280" t="s">
        <v>1271</v>
      </c>
      <c r="C19" s="1265"/>
      <c r="D19" s="1281">
        <v>726790</v>
      </c>
      <c r="E19" s="1265"/>
      <c r="F19" s="1278">
        <v>0</v>
      </c>
      <c r="G19" s="1265"/>
      <c r="H19" s="1281">
        <v>726790</v>
      </c>
      <c r="I19" s="1265"/>
      <c r="J19" s="1281">
        <v>537108</v>
      </c>
      <c r="K19" s="1281"/>
      <c r="L19" s="1281"/>
      <c r="M19" s="1281"/>
      <c r="N19" s="1281"/>
      <c r="O19" s="1265"/>
      <c r="P19" s="1265"/>
      <c r="Q19" s="1265"/>
      <c r="R19" s="1265"/>
      <c r="S19" s="1265"/>
      <c r="T19" s="1265"/>
      <c r="U19" s="1265"/>
      <c r="V19" s="960"/>
    </row>
    <row r="20" spans="1:22" ht="37.5" customHeight="1" x14ac:dyDescent="1">
      <c r="A20" s="1265"/>
      <c r="B20" s="1280" t="s">
        <v>1272</v>
      </c>
      <c r="C20" s="1265"/>
      <c r="D20" s="1281">
        <v>0</v>
      </c>
      <c r="E20" s="1265"/>
      <c r="F20" s="1278">
        <v>0</v>
      </c>
      <c r="G20" s="1265"/>
      <c r="H20" s="1281">
        <v>0</v>
      </c>
      <c r="I20" s="1265"/>
      <c r="J20" s="1281">
        <v>0</v>
      </c>
      <c r="K20" s="1281"/>
      <c r="L20" s="1281">
        <v>0</v>
      </c>
      <c r="M20" s="1281"/>
      <c r="N20" s="1281">
        <v>0</v>
      </c>
      <c r="O20" s="1265"/>
      <c r="P20" s="1265"/>
      <c r="Q20" s="1265"/>
      <c r="R20" s="1265"/>
      <c r="S20" s="1265"/>
      <c r="T20" s="1265"/>
      <c r="U20" s="1265"/>
      <c r="V20" s="960"/>
    </row>
    <row r="21" spans="1:22" ht="20.25" customHeight="1" x14ac:dyDescent="1"/>
    <row r="22" spans="1:22" ht="43.5" customHeight="1" x14ac:dyDescent="1">
      <c r="A22" s="1609" t="s">
        <v>1275</v>
      </c>
      <c r="B22" s="1609"/>
      <c r="C22" s="1279"/>
      <c r="D22" s="1610">
        <v>1403</v>
      </c>
      <c r="E22" s="1610"/>
      <c r="F22" s="1610"/>
      <c r="G22" s="1610"/>
      <c r="H22" s="1610"/>
      <c r="I22" s="1279"/>
      <c r="J22" s="1610">
        <v>1402</v>
      </c>
      <c r="K22" s="1610"/>
      <c r="L22" s="1610"/>
      <c r="M22" s="1610"/>
      <c r="N22" s="1610"/>
      <c r="O22" s="1279"/>
      <c r="P22" s="1279"/>
      <c r="Q22" s="1279"/>
      <c r="R22" s="1279"/>
      <c r="S22" s="1279"/>
      <c r="T22" s="1279"/>
      <c r="U22" s="1279"/>
      <c r="V22" s="960"/>
    </row>
    <row r="23" spans="1:22" ht="43.5" customHeight="1" x14ac:dyDescent="1">
      <c r="A23" s="1265"/>
      <c r="B23" s="1280"/>
      <c r="C23" s="1265"/>
      <c r="D23" s="1278" t="s">
        <v>1268</v>
      </c>
      <c r="E23" s="1265"/>
      <c r="F23" s="1278" t="s">
        <v>1269</v>
      </c>
      <c r="G23" s="1278"/>
      <c r="H23" s="1278" t="s">
        <v>1270</v>
      </c>
      <c r="I23" s="1265"/>
      <c r="J23" s="1278" t="s">
        <v>1268</v>
      </c>
      <c r="K23" s="1265"/>
      <c r="L23" s="1278" t="s">
        <v>1269</v>
      </c>
      <c r="M23" s="1278"/>
      <c r="N23" s="1278" t="s">
        <v>1270</v>
      </c>
      <c r="O23" s="1265"/>
      <c r="P23" s="1265"/>
      <c r="Q23" s="1265"/>
      <c r="R23" s="1265"/>
      <c r="S23" s="1265"/>
      <c r="T23" s="1265"/>
      <c r="U23" s="1265"/>
      <c r="V23" s="960"/>
    </row>
    <row r="24" spans="1:22" ht="40.5" customHeight="1" x14ac:dyDescent="1">
      <c r="A24" s="1265"/>
      <c r="B24" s="1280" t="s">
        <v>1271</v>
      </c>
      <c r="C24" s="1265"/>
      <c r="D24" s="1281">
        <v>0</v>
      </c>
      <c r="E24" s="1265"/>
      <c r="F24" s="1278">
        <v>0</v>
      </c>
      <c r="G24" s="1265"/>
      <c r="H24" s="1281">
        <v>0</v>
      </c>
      <c r="I24" s="1265"/>
      <c r="J24" s="1281">
        <v>1669650</v>
      </c>
      <c r="K24" s="1281"/>
      <c r="L24" s="1281"/>
      <c r="M24" s="1281"/>
      <c r="N24" s="1281"/>
      <c r="O24" s="1265"/>
      <c r="P24" s="1265"/>
      <c r="Q24" s="1265"/>
      <c r="R24" s="1265"/>
      <c r="S24" s="1265"/>
      <c r="T24" s="1265"/>
      <c r="U24" s="1265"/>
      <c r="V24" s="960"/>
    </row>
    <row r="25" spans="1:22" ht="40.5" customHeight="1" x14ac:dyDescent="1">
      <c r="A25" s="1265"/>
      <c r="B25" s="1280" t="s">
        <v>1272</v>
      </c>
      <c r="C25" s="1265"/>
      <c r="D25" s="1281">
        <v>0</v>
      </c>
      <c r="E25" s="1265"/>
      <c r="F25" s="1278">
        <v>0</v>
      </c>
      <c r="G25" s="1265"/>
      <c r="H25" s="1281">
        <v>0</v>
      </c>
      <c r="I25" s="1265"/>
      <c r="J25" s="1281">
        <v>0</v>
      </c>
      <c r="K25" s="1281"/>
      <c r="L25" s="1281">
        <v>0</v>
      </c>
      <c r="M25" s="1281"/>
      <c r="N25" s="1281">
        <f>J25-L25</f>
        <v>0</v>
      </c>
      <c r="O25" s="1265"/>
      <c r="P25" s="1265"/>
      <c r="Q25" s="1265"/>
      <c r="R25" s="1265"/>
      <c r="S25" s="1265"/>
      <c r="T25" s="1265"/>
      <c r="U25" s="1265"/>
      <c r="V25" s="960"/>
    </row>
    <row r="26" spans="1:22" ht="29.25" customHeight="1" x14ac:dyDescent="1.7">
      <c r="H26" s="967"/>
    </row>
    <row r="27" spans="1:22" ht="43.5" customHeight="1" x14ac:dyDescent="1">
      <c r="A27" s="1609" t="s">
        <v>1276</v>
      </c>
      <c r="B27" s="1609"/>
      <c r="C27" s="1279"/>
      <c r="D27" s="1610">
        <v>1403</v>
      </c>
      <c r="E27" s="1610"/>
      <c r="F27" s="1610"/>
      <c r="G27" s="1610"/>
      <c r="H27" s="1610"/>
      <c r="I27" s="1279"/>
      <c r="J27" s="1610">
        <v>1402</v>
      </c>
      <c r="K27" s="1610"/>
      <c r="L27" s="1610"/>
      <c r="M27" s="1610"/>
      <c r="N27" s="1610"/>
      <c r="O27" s="1279"/>
      <c r="P27" s="1279"/>
      <c r="Q27" s="1279"/>
      <c r="R27" s="1279"/>
      <c r="S27" s="1279"/>
      <c r="T27" s="1279"/>
      <c r="U27" s="1279"/>
      <c r="V27" s="960"/>
    </row>
    <row r="28" spans="1:22" ht="39" customHeight="1" x14ac:dyDescent="1">
      <c r="A28" s="1265"/>
      <c r="B28" s="1280"/>
      <c r="C28" s="1265"/>
      <c r="D28" s="1278" t="s">
        <v>1268</v>
      </c>
      <c r="E28" s="1265"/>
      <c r="F28" s="1278" t="s">
        <v>1269</v>
      </c>
      <c r="G28" s="1278"/>
      <c r="H28" s="1278" t="s">
        <v>1270</v>
      </c>
      <c r="I28" s="1265"/>
      <c r="J28" s="1278" t="s">
        <v>1268</v>
      </c>
      <c r="K28" s="1265"/>
      <c r="L28" s="1278" t="s">
        <v>1269</v>
      </c>
      <c r="M28" s="1278"/>
      <c r="N28" s="1278" t="s">
        <v>1270</v>
      </c>
      <c r="O28" s="1265"/>
      <c r="P28" s="1265"/>
      <c r="Q28" s="1265"/>
      <c r="R28" s="1265"/>
      <c r="S28" s="1265"/>
      <c r="T28" s="1265"/>
      <c r="U28" s="1265"/>
      <c r="V28" s="960"/>
    </row>
    <row r="29" spans="1:22" ht="33.75" customHeight="1" x14ac:dyDescent="1">
      <c r="A29" s="1265"/>
      <c r="B29" s="1280" t="s">
        <v>1271</v>
      </c>
      <c r="C29" s="1265"/>
      <c r="D29" s="1281">
        <v>0</v>
      </c>
      <c r="E29" s="1265"/>
      <c r="F29" s="1278">
        <v>0</v>
      </c>
      <c r="G29" s="1265"/>
      <c r="H29" s="1281">
        <v>0</v>
      </c>
      <c r="I29" s="1265"/>
      <c r="J29" s="1281">
        <v>29550</v>
      </c>
      <c r="K29" s="1281"/>
      <c r="L29" s="1281"/>
      <c r="M29" s="1281"/>
      <c r="N29" s="1281"/>
      <c r="O29" s="1265"/>
      <c r="P29" s="1265"/>
      <c r="Q29" s="1265"/>
      <c r="R29" s="1265"/>
      <c r="S29" s="1265"/>
      <c r="T29" s="1265"/>
      <c r="U29" s="1265"/>
      <c r="V29" s="960"/>
    </row>
    <row r="30" spans="1:22" ht="43.5" customHeight="1" x14ac:dyDescent="1">
      <c r="A30" s="1265"/>
      <c r="B30" s="1280" t="s">
        <v>1272</v>
      </c>
      <c r="C30" s="1265"/>
      <c r="D30" s="1281">
        <v>0</v>
      </c>
      <c r="E30" s="1265"/>
      <c r="F30" s="1278">
        <v>0</v>
      </c>
      <c r="G30" s="1265"/>
      <c r="H30" s="1281">
        <v>0</v>
      </c>
      <c r="I30" s="1265"/>
      <c r="J30" s="1281">
        <v>0</v>
      </c>
      <c r="K30" s="1281"/>
      <c r="L30" s="1281">
        <v>0</v>
      </c>
      <c r="M30" s="1281"/>
      <c r="N30" s="1281">
        <f>J30-L30</f>
        <v>0</v>
      </c>
      <c r="O30" s="1265"/>
      <c r="P30" s="1265"/>
      <c r="Q30" s="1265"/>
      <c r="R30" s="1265"/>
      <c r="S30" s="1265"/>
      <c r="T30" s="1265"/>
      <c r="U30" s="1265"/>
      <c r="V30" s="960"/>
    </row>
    <row r="35" spans="1:20" ht="409.6" customHeight="1" x14ac:dyDescent="1">
      <c r="A35" s="1612">
        <v>37</v>
      </c>
      <c r="B35" s="1612"/>
      <c r="C35" s="1612"/>
      <c r="D35" s="1612"/>
      <c r="E35" s="1612"/>
      <c r="F35" s="1612"/>
      <c r="G35" s="1612"/>
      <c r="H35" s="1612"/>
      <c r="I35" s="1612"/>
      <c r="J35" s="1612"/>
      <c r="K35" s="1612"/>
      <c r="L35" s="1612"/>
      <c r="M35" s="1612"/>
      <c r="N35" s="1612"/>
      <c r="O35" s="1612"/>
      <c r="P35" s="1612"/>
      <c r="Q35" s="1612"/>
      <c r="R35" s="1612"/>
      <c r="S35" s="1612"/>
      <c r="T35" s="1612"/>
    </row>
  </sheetData>
  <mergeCells count="19">
    <mergeCell ref="A35:T35"/>
    <mergeCell ref="A27:B27"/>
    <mergeCell ref="D27:H27"/>
    <mergeCell ref="J27:N27"/>
    <mergeCell ref="J12:N12"/>
    <mergeCell ref="A17:B17"/>
    <mergeCell ref="D17:H17"/>
    <mergeCell ref="J17:N17"/>
    <mergeCell ref="A22:B22"/>
    <mergeCell ref="D22:H22"/>
    <mergeCell ref="J22:N22"/>
    <mergeCell ref="A11:U11"/>
    <mergeCell ref="A12:B12"/>
    <mergeCell ref="D12:H12"/>
    <mergeCell ref="A1:U1"/>
    <mergeCell ref="A2:U2"/>
    <mergeCell ref="A3:U3"/>
    <mergeCell ref="A4:U4"/>
    <mergeCell ref="A5:U5"/>
  </mergeCells>
  <printOptions horizontalCentered="1"/>
  <pageMargins left="0.2" right="0.2" top="0.25" bottom="0.25" header="0.3" footer="0.3"/>
  <pageSetup paperSize="9" scale="3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sheetPr>
  <dimension ref="A1:K40"/>
  <sheetViews>
    <sheetView rightToLeft="1" view="pageBreakPreview" zoomScale="90" zoomScaleNormal="100" zoomScaleSheetLayoutView="90" workbookViewId="0">
      <selection activeCell="A7" sqref="A7:XFD11"/>
    </sheetView>
  </sheetViews>
  <sheetFormatPr defaultColWidth="9" defaultRowHeight="18" x14ac:dyDescent="0.25"/>
  <cols>
    <col min="1" max="1" width="3.140625" style="628" customWidth="1"/>
    <col min="2" max="2" width="24.5703125" style="628" customWidth="1"/>
    <col min="3" max="3" width="19" style="628" customWidth="1"/>
    <col min="4" max="4" width="8.5703125" style="628" customWidth="1"/>
    <col min="5" max="5" width="20.42578125" style="628" bestFit="1" customWidth="1"/>
    <col min="6" max="6" width="17.7109375" style="628" bestFit="1" customWidth="1"/>
    <col min="7" max="7" width="20.42578125" style="628" bestFit="1" customWidth="1"/>
    <col min="8" max="8" width="9" style="628"/>
    <col min="9" max="9" width="12" style="628" bestFit="1" customWidth="1"/>
    <col min="10" max="10" width="9" style="628"/>
    <col min="11" max="11" width="20" style="944" bestFit="1" customWidth="1"/>
    <col min="12" max="16384" width="9" style="628"/>
  </cols>
  <sheetData>
    <row r="1" spans="1:11" s="627" customFormat="1" ht="18.75" x14ac:dyDescent="0.25">
      <c r="A1" s="1617" t="s">
        <v>244</v>
      </c>
      <c r="B1" s="1617"/>
      <c r="C1" s="1617"/>
      <c r="D1" s="1617"/>
      <c r="E1" s="1617"/>
      <c r="F1" s="1617"/>
      <c r="G1" s="1617"/>
      <c r="K1" s="943"/>
    </row>
    <row r="2" spans="1:11" s="627" customFormat="1" ht="18.75" x14ac:dyDescent="0.25">
      <c r="A2" s="1617" t="str">
        <f>'28-29'!A2:G2</f>
        <v>يادداشتهاي توضيحي صورتهاي مالي</v>
      </c>
      <c r="B2" s="1617"/>
      <c r="C2" s="1617"/>
      <c r="D2" s="1617"/>
      <c r="E2" s="1617"/>
      <c r="F2" s="1617"/>
      <c r="G2" s="1617"/>
      <c r="K2" s="943"/>
    </row>
    <row r="3" spans="1:11" s="627" customFormat="1" ht="18.75" x14ac:dyDescent="0.25">
      <c r="A3" s="1617" t="str">
        <f>سودوزيان!A3</f>
        <v>سال مالی منتهی به 30 اسفند 1403</v>
      </c>
      <c r="B3" s="1617"/>
      <c r="C3" s="1617"/>
      <c r="D3" s="1617"/>
      <c r="E3" s="1617"/>
      <c r="F3" s="1617"/>
      <c r="G3" s="1617"/>
      <c r="K3" s="943"/>
    </row>
    <row r="7" spans="1:11" ht="20.25" customHeight="1" x14ac:dyDescent="0.25">
      <c r="A7" s="1618" t="s">
        <v>926</v>
      </c>
      <c r="B7" s="1618"/>
      <c r="C7" s="1618"/>
      <c r="D7" s="1618"/>
      <c r="E7" s="1618"/>
      <c r="F7" s="1618"/>
      <c r="G7" s="1618"/>
    </row>
    <row r="8" spans="1:11" ht="27" customHeight="1" x14ac:dyDescent="0.25">
      <c r="A8" s="1618" t="s">
        <v>927</v>
      </c>
      <c r="B8" s="1618"/>
      <c r="C8" s="1618"/>
      <c r="D8" s="1618"/>
      <c r="E8" s="1618"/>
      <c r="F8" s="1618"/>
      <c r="G8" s="1618"/>
    </row>
    <row r="9" spans="1:11" ht="39" x14ac:dyDescent="0.25">
      <c r="A9" s="628" t="s">
        <v>490</v>
      </c>
      <c r="B9" s="1050" t="s">
        <v>56</v>
      </c>
      <c r="C9" s="1050" t="s">
        <v>207</v>
      </c>
      <c r="D9" s="1050" t="s">
        <v>206</v>
      </c>
      <c r="E9" s="1050" t="s">
        <v>205</v>
      </c>
      <c r="F9" s="1050">
        <v>1402</v>
      </c>
      <c r="G9"/>
    </row>
    <row r="10" spans="1:11" ht="27" customHeight="1" x14ac:dyDescent="0.25">
      <c r="B10" s="1047" t="s">
        <v>462</v>
      </c>
      <c r="C10" s="1048" t="s">
        <v>297</v>
      </c>
      <c r="D10" s="1051" t="s">
        <v>1083</v>
      </c>
      <c r="E10" s="1049">
        <v>3175532884389</v>
      </c>
      <c r="F10" s="1049">
        <v>3175532884389</v>
      </c>
      <c r="G10"/>
    </row>
    <row r="11" spans="1:11" ht="28.5" customHeight="1" x14ac:dyDescent="0.25">
      <c r="B11" s="1619" t="s">
        <v>463</v>
      </c>
      <c r="C11" s="1620"/>
      <c r="D11" s="1621"/>
      <c r="E11" s="1049">
        <v>3175532884389</v>
      </c>
      <c r="F11" s="1049">
        <v>3175532884389</v>
      </c>
      <c r="G11"/>
    </row>
    <row r="12" spans="1:11" ht="28.5" customHeight="1" x14ac:dyDescent="0.25">
      <c r="B12"/>
      <c r="C12"/>
      <c r="D12"/>
      <c r="E12"/>
      <c r="F12"/>
      <c r="G12"/>
    </row>
    <row r="13" spans="1:11" ht="28.5" customHeight="1" x14ac:dyDescent="0.25">
      <c r="B13" s="629"/>
      <c r="C13" s="629"/>
      <c r="D13" s="629"/>
      <c r="E13" s="629"/>
      <c r="F13" s="629"/>
      <c r="G13" s="629"/>
    </row>
    <row r="14" spans="1:11" ht="18.75" x14ac:dyDescent="0.25">
      <c r="A14" s="1614" t="s">
        <v>816</v>
      </c>
      <c r="B14" s="1614"/>
      <c r="C14" s="1614"/>
      <c r="D14" s="1614"/>
      <c r="E14" s="1614"/>
      <c r="F14" s="1614"/>
      <c r="G14" s="1614"/>
    </row>
    <row r="15" spans="1:11" ht="51" customHeight="1" x14ac:dyDescent="0.25"/>
    <row r="16" spans="1:11" ht="51" customHeight="1" x14ac:dyDescent="0.25"/>
    <row r="17" spans="1:7" ht="51" customHeight="1" x14ac:dyDescent="0.25"/>
    <row r="18" spans="1:7" ht="51" customHeight="1" x14ac:dyDescent="0.25"/>
    <row r="19" spans="1:7" ht="51" customHeight="1" x14ac:dyDescent="0.25"/>
    <row r="20" spans="1:7" ht="51" customHeight="1" x14ac:dyDescent="0.25"/>
    <row r="30" spans="1:7" x14ac:dyDescent="0.25">
      <c r="A30" s="1615"/>
      <c r="B30" s="1616"/>
      <c r="C30" s="1616"/>
      <c r="D30" s="1616"/>
      <c r="E30" s="1616"/>
      <c r="F30" s="1616"/>
      <c r="G30" s="1616"/>
    </row>
    <row r="31" spans="1:7" x14ac:dyDescent="0.25">
      <c r="A31" s="1615"/>
      <c r="B31" s="1616"/>
      <c r="C31" s="1616"/>
      <c r="D31" s="1616"/>
      <c r="E31" s="1616"/>
      <c r="F31" s="1616"/>
      <c r="G31" s="1616"/>
    </row>
    <row r="38" spans="1:7" ht="24" x14ac:dyDescent="0.25">
      <c r="A38" s="1595">
        <v>37</v>
      </c>
      <c r="B38" s="1595"/>
      <c r="C38" s="1595"/>
      <c r="D38" s="1595"/>
      <c r="E38" s="1595"/>
      <c r="F38" s="1595"/>
      <c r="G38" s="1595"/>
    </row>
    <row r="40" spans="1:7" ht="26.25" customHeight="1" x14ac:dyDescent="0.25">
      <c r="A40" s="1613" t="s">
        <v>957</v>
      </c>
      <c r="B40" s="1613"/>
      <c r="C40" s="1613"/>
      <c r="D40" s="1613"/>
      <c r="E40" s="1613"/>
      <c r="F40" s="1613"/>
      <c r="G40" s="1613"/>
    </row>
  </sheetData>
  <customSheetViews>
    <customSheetView guid="{39716EAB-185B-4ADF-90CF-1B1041867F58}" scale="90" showPageBreaks="1" printArea="1" hiddenColumns="1" view="pageBreakPreview" topLeftCell="A4">
      <selection activeCell="A8" sqref="A8:N8"/>
      <pageMargins left="0.39370078740157483" right="0.59055118110236227" top="0.39370078740157483" bottom="0.39370078740157483" header="0.31496062992125984" footer="0.31496062992125984"/>
      <printOptions horizontalCentered="1"/>
      <pageSetup paperSize="9" scale="74" orientation="portrait" r:id="rId1"/>
    </customSheetView>
    <customSheetView guid="{5CB8382F-C212-4512-9396-17792C62978E}" scale="90" showPageBreaks="1" printArea="1" hiddenColumns="1" view="pageBreakPreview" topLeftCell="A4">
      <selection activeCell="A8" sqref="A8:N8"/>
      <pageMargins left="0.39370078740157483" right="0.59055118110236227" top="0.39370078740157483" bottom="0.39370078740157483" header="0.31496062992125984" footer="0.31496062992125984"/>
      <printOptions horizontalCentered="1"/>
      <pageSetup paperSize="9" scale="74" orientation="portrait" r:id="rId2"/>
    </customSheetView>
    <customSheetView guid="{184BCED3-EADB-44CF-BFDA-DA8D3E7206C0}" scale="90" showPageBreaks="1" printArea="1" hiddenColumns="1" view="pageBreakPreview">
      <selection activeCell="C11" sqref="C11"/>
      <pageMargins left="0.39370078740157483" right="0.59055118110236227" top="0.39370078740157483" bottom="0.39370078740157483" header="0.31496062992125984" footer="0.31496062992125984"/>
      <printOptions horizontalCentered="1"/>
      <pageSetup paperSize="9" scale="74" orientation="portrait" r:id="rId3"/>
    </customSheetView>
  </customSheetViews>
  <mergeCells count="11">
    <mergeCell ref="A40:G40"/>
    <mergeCell ref="A14:G14"/>
    <mergeCell ref="A38:G38"/>
    <mergeCell ref="A31:G31"/>
    <mergeCell ref="A1:G1"/>
    <mergeCell ref="A2:G2"/>
    <mergeCell ref="A3:G3"/>
    <mergeCell ref="A30:G30"/>
    <mergeCell ref="A7:G7"/>
    <mergeCell ref="A8:G8"/>
    <mergeCell ref="B11:D11"/>
  </mergeCells>
  <hyperlinks>
    <hyperlink ref="A1:XFD3" r:id="rId4" display="http://modiriatmali.com/" xr:uid="{00000000-0004-0000-2800-000000000000}"/>
  </hyperlinks>
  <printOptions horizontalCentered="1"/>
  <pageMargins left="0.39370078740157483" right="0.59055118110236227" top="0.39370078740157483" bottom="0.39370078740157483" header="0.31496062992125984" footer="0.31496062992125984"/>
  <pageSetup paperSize="9" scale="74" orientation="portrait"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W51"/>
  <sheetViews>
    <sheetView rightToLeft="1" view="pageBreakPreview" topLeftCell="A26" zoomScale="46" zoomScaleSheetLayoutView="46" workbookViewId="0">
      <selection sqref="A1:R3"/>
    </sheetView>
  </sheetViews>
  <sheetFormatPr defaultColWidth="9" defaultRowHeight="33.75" customHeight="1" x14ac:dyDescent="0.25"/>
  <cols>
    <col min="1" max="1" width="2.7109375" style="631" customWidth="1"/>
    <col min="2" max="2" width="24" style="631" customWidth="1"/>
    <col min="3" max="3" width="42.7109375" style="631" customWidth="1"/>
    <col min="4" max="4" width="28.28515625" style="631" bestFit="1" customWidth="1"/>
    <col min="5" max="5" width="24.85546875" style="631" bestFit="1" customWidth="1"/>
    <col min="6" max="6" width="27.140625" style="631" bestFit="1" customWidth="1"/>
    <col min="7" max="7" width="18.140625" style="631" hidden="1" customWidth="1"/>
    <col min="8" max="8" width="19.85546875" style="631" hidden="1" customWidth="1"/>
    <col min="9" max="9" width="27.28515625" style="631" customWidth="1"/>
    <col min="10" max="10" width="29.7109375" style="631" customWidth="1"/>
    <col min="11" max="11" width="28.42578125" style="631" bestFit="1" customWidth="1"/>
    <col min="12" max="12" width="11.5703125" style="631" hidden="1" customWidth="1"/>
    <col min="13" max="13" width="28.28515625" style="631" bestFit="1" customWidth="1"/>
    <col min="14" max="14" width="20.42578125" style="631" hidden="1" customWidth="1"/>
    <col min="15" max="15" width="28.42578125" style="631" bestFit="1" customWidth="1"/>
    <col min="16" max="16" width="29.28515625" style="631" customWidth="1"/>
    <col min="17" max="17" width="26.85546875" style="631" bestFit="1" customWidth="1"/>
    <col min="18" max="18" width="28.85546875" style="631" bestFit="1" customWidth="1"/>
    <col min="19" max="19" width="28.7109375" style="631" bestFit="1" customWidth="1"/>
    <col min="20" max="20" width="24.5703125" style="631" bestFit="1" customWidth="1"/>
    <col min="21" max="21" width="22.42578125" style="631" bestFit="1" customWidth="1"/>
    <col min="22" max="22" width="9" style="631"/>
    <col min="23" max="23" width="24.42578125" style="631" bestFit="1" customWidth="1"/>
    <col min="24" max="16384" width="9" style="631"/>
  </cols>
  <sheetData>
    <row r="1" spans="1:18" s="630" customFormat="1" ht="33.75" customHeight="1" x14ac:dyDescent="0.25">
      <c r="A1" s="1344" t="s">
        <v>244</v>
      </c>
      <c r="B1" s="1344"/>
      <c r="C1" s="1344"/>
      <c r="D1" s="1344"/>
      <c r="E1" s="1344"/>
      <c r="F1" s="1344"/>
      <c r="G1" s="1344"/>
      <c r="H1" s="1344"/>
      <c r="I1" s="1344"/>
      <c r="J1" s="1344"/>
      <c r="K1" s="1344"/>
      <c r="L1" s="1344"/>
      <c r="M1" s="1344"/>
      <c r="N1" s="1344"/>
      <c r="O1" s="1344"/>
      <c r="P1" s="1344"/>
      <c r="Q1" s="1344"/>
      <c r="R1" s="1344"/>
    </row>
    <row r="2" spans="1:18" s="630" customFormat="1" ht="33.75" customHeight="1" x14ac:dyDescent="0.25">
      <c r="A2" s="1344" t="str">
        <f>'[2]30'!A2:G2</f>
        <v>یادداشتهای توضیحی صورت های مالی</v>
      </c>
      <c r="B2" s="1344"/>
      <c r="C2" s="1344"/>
      <c r="D2" s="1344"/>
      <c r="E2" s="1344"/>
      <c r="F2" s="1344"/>
      <c r="G2" s="1344"/>
      <c r="H2" s="1344"/>
      <c r="I2" s="1344"/>
      <c r="J2" s="1344"/>
      <c r="K2" s="1344"/>
      <c r="L2" s="1344"/>
      <c r="M2" s="1344"/>
      <c r="N2" s="1344"/>
      <c r="O2" s="1344"/>
      <c r="P2" s="1344"/>
      <c r="Q2" s="1344"/>
      <c r="R2" s="1344"/>
    </row>
    <row r="3" spans="1:18" s="630" customFormat="1" ht="33.75" customHeight="1" x14ac:dyDescent="0.25">
      <c r="A3" s="1344" t="s">
        <v>1089</v>
      </c>
      <c r="B3" s="1344"/>
      <c r="C3" s="1344"/>
      <c r="D3" s="1344"/>
      <c r="E3" s="1344"/>
      <c r="F3" s="1344"/>
      <c r="G3" s="1344"/>
      <c r="H3" s="1344"/>
      <c r="I3" s="1344"/>
      <c r="J3" s="1344"/>
      <c r="K3" s="1344"/>
      <c r="L3" s="1344"/>
      <c r="M3" s="1344"/>
      <c r="N3" s="1344"/>
      <c r="O3" s="1344"/>
      <c r="P3" s="1344"/>
      <c r="Q3" s="1344"/>
      <c r="R3" s="1344"/>
    </row>
    <row r="4" spans="1:18" ht="33.75" hidden="1" customHeight="1" x14ac:dyDescent="0.25">
      <c r="N4" s="632"/>
      <c r="O4" s="632"/>
      <c r="P4" s="632"/>
      <c r="Q4" s="632"/>
      <c r="R4" s="633"/>
    </row>
    <row r="5" spans="1:18" ht="33.75" hidden="1" customHeight="1" x14ac:dyDescent="0.25">
      <c r="N5" s="632"/>
      <c r="O5" s="632"/>
      <c r="P5" s="632"/>
      <c r="Q5" s="632"/>
      <c r="R5" s="633"/>
    </row>
    <row r="6" spans="1:18" s="478" customFormat="1" ht="20.25" customHeight="1" x14ac:dyDescent="0.25">
      <c r="A6" s="1655" t="s">
        <v>926</v>
      </c>
      <c r="B6" s="1655"/>
      <c r="C6" s="1655"/>
      <c r="D6" s="1655"/>
      <c r="E6" s="1655"/>
      <c r="F6" s="1655"/>
      <c r="G6" s="1655"/>
      <c r="K6" s="1052"/>
    </row>
    <row r="7" spans="1:18" s="478" customFormat="1" ht="27" customHeight="1" x14ac:dyDescent="0.25">
      <c r="A7" s="1655" t="s">
        <v>927</v>
      </c>
      <c r="B7" s="1655"/>
      <c r="C7" s="1655"/>
      <c r="D7" s="1655"/>
      <c r="E7" s="1655"/>
      <c r="F7" s="1655"/>
      <c r="G7" s="1655"/>
      <c r="K7" s="1052"/>
    </row>
    <row r="8" spans="1:18" s="478" customFormat="1" ht="51.75" customHeight="1" x14ac:dyDescent="0.25">
      <c r="A8" s="478" t="s">
        <v>490</v>
      </c>
      <c r="B8" s="1053" t="s">
        <v>56</v>
      </c>
      <c r="C8" s="1053" t="s">
        <v>207</v>
      </c>
      <c r="D8" s="1053" t="s">
        <v>206</v>
      </c>
      <c r="E8" s="1053" t="s">
        <v>1261</v>
      </c>
      <c r="F8" s="1053" t="s">
        <v>205</v>
      </c>
      <c r="G8" s="1053" t="s">
        <v>204</v>
      </c>
      <c r="H8" s="1053" t="s">
        <v>1262</v>
      </c>
      <c r="I8" s="1272" t="s">
        <v>1263</v>
      </c>
      <c r="J8" s="1272" t="s">
        <v>1264</v>
      </c>
      <c r="K8" s="1268"/>
      <c r="L8" s="1269"/>
      <c r="M8" s="1297"/>
      <c r="N8" s="1296"/>
      <c r="O8" s="1297"/>
      <c r="P8" s="1268"/>
    </row>
    <row r="9" spans="1:18" s="478" customFormat="1" ht="45" customHeight="1" x14ac:dyDescent="0.25">
      <c r="B9" s="1273" t="s">
        <v>462</v>
      </c>
      <c r="C9" s="1339" t="s">
        <v>297</v>
      </c>
      <c r="D9" s="1273" t="s">
        <v>1083</v>
      </c>
      <c r="E9" s="1273">
        <v>0</v>
      </c>
      <c r="F9" s="1273">
        <v>3171149073880</v>
      </c>
      <c r="G9" s="1273">
        <v>0</v>
      </c>
      <c r="H9" s="1273">
        <v>0</v>
      </c>
      <c r="I9" s="1273">
        <v>2361402123549</v>
      </c>
      <c r="J9" s="1273">
        <v>1257369977974</v>
      </c>
      <c r="K9" s="1268"/>
      <c r="L9" s="1267" t="b">
        <f>Q27+F9+I9-J9=O27</f>
        <v>0</v>
      </c>
      <c r="M9" s="1330"/>
      <c r="N9" s="1331"/>
      <c r="O9" s="1330"/>
      <c r="P9" s="1271"/>
    </row>
    <row r="10" spans="1:18" s="478" customFormat="1" ht="45" customHeight="1" x14ac:dyDescent="0.25">
      <c r="B10" s="1273" t="s">
        <v>462</v>
      </c>
      <c r="C10" s="1340" t="s">
        <v>1259</v>
      </c>
      <c r="D10" s="1273" t="s">
        <v>1083</v>
      </c>
      <c r="E10" s="1273">
        <v>0</v>
      </c>
      <c r="F10" s="1273">
        <v>0</v>
      </c>
      <c r="G10" s="1273">
        <v>0</v>
      </c>
      <c r="H10" s="1273">
        <v>0</v>
      </c>
      <c r="I10" s="1273">
        <v>0</v>
      </c>
      <c r="J10" s="1273">
        <v>855558418</v>
      </c>
      <c r="K10" s="1268"/>
      <c r="L10" s="1267" t="b">
        <f>R29-J10=P29</f>
        <v>1</v>
      </c>
      <c r="M10" s="1330"/>
      <c r="N10" s="1332"/>
      <c r="O10" s="1330"/>
      <c r="P10" s="1268"/>
    </row>
    <row r="11" spans="1:18" s="478" customFormat="1" ht="45" customHeight="1" x14ac:dyDescent="0.25">
      <c r="B11" s="1275" t="s">
        <v>462</v>
      </c>
      <c r="C11" s="1340" t="s">
        <v>1260</v>
      </c>
      <c r="D11" s="1273" t="s">
        <v>1083</v>
      </c>
      <c r="E11" s="1273">
        <v>0</v>
      </c>
      <c r="F11" s="1273">
        <v>0</v>
      </c>
      <c r="G11" s="1273">
        <v>0</v>
      </c>
      <c r="H11" s="1273">
        <v>0</v>
      </c>
      <c r="I11" s="1273">
        <v>0</v>
      </c>
      <c r="J11" s="1273">
        <v>32262819371</v>
      </c>
      <c r="K11" s="1268"/>
      <c r="L11" s="1267" t="b">
        <f>R30-E11+I11=P30</f>
        <v>0</v>
      </c>
      <c r="M11" s="1330"/>
      <c r="N11" s="1332"/>
      <c r="O11" s="1330"/>
      <c r="P11" s="1268"/>
      <c r="Q11" s="1310"/>
      <c r="R11" s="1310"/>
    </row>
    <row r="12" spans="1:18" s="478" customFormat="1" ht="45" customHeight="1" x14ac:dyDescent="0.25">
      <c r="B12" s="1659" t="s">
        <v>904</v>
      </c>
      <c r="C12" s="637" t="s">
        <v>293</v>
      </c>
      <c r="D12" s="1273" t="s">
        <v>1083</v>
      </c>
      <c r="E12" s="1273">
        <v>0</v>
      </c>
      <c r="F12" s="1273">
        <v>0</v>
      </c>
      <c r="G12" s="1273">
        <v>0</v>
      </c>
      <c r="H12" s="1273">
        <v>0</v>
      </c>
      <c r="I12" s="1273">
        <v>6118250000</v>
      </c>
      <c r="J12" s="1273">
        <v>1421010980</v>
      </c>
      <c r="K12" s="1268"/>
      <c r="L12" s="1268" t="e">
        <f>R22-I12+#REF!+J12=P22</f>
        <v>#REF!</v>
      </c>
      <c r="M12" s="1330"/>
      <c r="N12" s="1332"/>
      <c r="O12" s="1330"/>
      <c r="P12" s="1271"/>
      <c r="Q12" s="1310"/>
    </row>
    <row r="13" spans="1:18" s="478" customFormat="1" ht="45" customHeight="1" x14ac:dyDescent="0.25">
      <c r="B13" s="1660"/>
      <c r="C13" s="643" t="s">
        <v>1082</v>
      </c>
      <c r="D13" s="1273" t="s">
        <v>1083</v>
      </c>
      <c r="E13" s="1273">
        <v>0</v>
      </c>
      <c r="F13" s="1273">
        <v>0</v>
      </c>
      <c r="G13" s="1273">
        <v>0</v>
      </c>
      <c r="H13" s="1273">
        <v>0</v>
      </c>
      <c r="I13" s="1273">
        <v>312195448638</v>
      </c>
      <c r="J13" s="1273">
        <v>1000000000</v>
      </c>
      <c r="K13" s="1268"/>
      <c r="L13" s="1274" t="e">
        <f>R23+I13-J13+#REF!=P23</f>
        <v>#REF!</v>
      </c>
      <c r="M13" s="1330"/>
      <c r="N13" s="1332"/>
      <c r="O13" s="1330"/>
      <c r="P13" s="1268"/>
      <c r="Q13" s="1310"/>
    </row>
    <row r="14" spans="1:18" s="478" customFormat="1" ht="45" customHeight="1" x14ac:dyDescent="0.25">
      <c r="B14" s="1661"/>
      <c r="C14" s="643" t="s">
        <v>295</v>
      </c>
      <c r="D14" s="1273" t="s">
        <v>1083</v>
      </c>
      <c r="E14" s="1273">
        <v>0</v>
      </c>
      <c r="F14" s="1273">
        <v>0</v>
      </c>
      <c r="G14" s="1273">
        <v>0</v>
      </c>
      <c r="H14" s="1273">
        <v>0</v>
      </c>
      <c r="I14" s="1273">
        <v>1113576639</v>
      </c>
      <c r="J14" s="1273">
        <v>0</v>
      </c>
      <c r="K14" s="1268"/>
      <c r="L14" s="1268" t="e">
        <f>R24+#REF!-J14+I14=P24</f>
        <v>#REF!</v>
      </c>
      <c r="M14" s="1330"/>
      <c r="N14" s="1332"/>
      <c r="O14" s="1330"/>
      <c r="P14" s="1271"/>
      <c r="Q14" s="1310"/>
      <c r="R14" s="1310">
        <f>Q14-P14</f>
        <v>0</v>
      </c>
    </row>
    <row r="15" spans="1:18" s="478" customFormat="1" ht="45" customHeight="1" x14ac:dyDescent="0.25">
      <c r="B15" s="1276" t="s">
        <v>1265</v>
      </c>
      <c r="C15" s="649" t="s">
        <v>296</v>
      </c>
      <c r="D15" s="1273" t="s">
        <v>1083</v>
      </c>
      <c r="E15" s="1273">
        <v>0</v>
      </c>
      <c r="F15" s="1273">
        <v>0</v>
      </c>
      <c r="G15" s="1273">
        <v>0</v>
      </c>
      <c r="H15" s="1273">
        <v>0</v>
      </c>
      <c r="I15" s="1273">
        <v>0</v>
      </c>
      <c r="J15" s="1272">
        <v>0</v>
      </c>
      <c r="K15" s="1268"/>
      <c r="L15" s="1268" t="e">
        <f>R25+#REF!=P25</f>
        <v>#REF!</v>
      </c>
      <c r="M15" s="1330"/>
      <c r="N15" s="1332"/>
      <c r="O15" s="1330"/>
      <c r="P15" s="1271"/>
      <c r="Q15" s="1310"/>
    </row>
    <row r="16" spans="1:18" s="478" customFormat="1" ht="51.75" customHeight="1" x14ac:dyDescent="0.25">
      <c r="B16" s="1656" t="s">
        <v>463</v>
      </c>
      <c r="C16" s="1657"/>
      <c r="D16" s="1658"/>
      <c r="E16" s="1273">
        <f t="shared" ref="E16:I16" si="0">SUM(E9:E15)</f>
        <v>0</v>
      </c>
      <c r="F16" s="1273">
        <f t="shared" si="0"/>
        <v>3171149073880</v>
      </c>
      <c r="G16" s="1273">
        <f t="shared" si="0"/>
        <v>0</v>
      </c>
      <c r="H16" s="1273">
        <f t="shared" si="0"/>
        <v>0</v>
      </c>
      <c r="I16" s="1273">
        <f t="shared" si="0"/>
        <v>2680829398826</v>
      </c>
      <c r="J16" s="1273">
        <f>SUM(J9:J15)</f>
        <v>1292909366743</v>
      </c>
      <c r="K16" s="1270"/>
      <c r="L16" s="1270"/>
      <c r="M16" s="1298"/>
      <c r="N16" s="1298"/>
      <c r="O16" s="1297"/>
      <c r="P16" s="1271"/>
    </row>
    <row r="17" spans="1:23" ht="33.75" customHeight="1" x14ac:dyDescent="0.25">
      <c r="N17" s="632"/>
      <c r="O17" s="632"/>
      <c r="P17" s="632"/>
      <c r="Q17" s="632"/>
      <c r="R17" s="633"/>
    </row>
    <row r="18" spans="1:23" ht="33.75" customHeight="1" thickBot="1" x14ac:dyDescent="0.3">
      <c r="A18" s="1640" t="s">
        <v>1079</v>
      </c>
      <c r="B18" s="1640"/>
      <c r="C18" s="1640"/>
      <c r="D18" s="1640"/>
      <c r="E18" s="1640"/>
      <c r="F18" s="1640"/>
      <c r="G18" s="1640"/>
      <c r="H18" s="1640"/>
      <c r="I18" s="1640"/>
      <c r="J18" s="1640"/>
      <c r="K18" s="1640"/>
      <c r="L18" s="1640"/>
      <c r="M18" s="1640"/>
      <c r="N18" s="1640"/>
      <c r="O18" s="1640"/>
      <c r="P18" s="1640"/>
      <c r="Q18" s="1640"/>
    </row>
    <row r="19" spans="1:23" ht="33.75" customHeight="1" thickBot="1" x14ac:dyDescent="0.3">
      <c r="B19" s="1641" t="s">
        <v>56</v>
      </c>
      <c r="C19" s="1644" t="s">
        <v>207</v>
      </c>
      <c r="D19" s="1624" t="s">
        <v>213</v>
      </c>
      <c r="E19" s="1624" t="s">
        <v>212</v>
      </c>
      <c r="F19" s="1624" t="s">
        <v>1242</v>
      </c>
      <c r="G19" s="1624" t="s">
        <v>772</v>
      </c>
      <c r="H19" s="1624" t="s">
        <v>116</v>
      </c>
      <c r="I19" s="1624" t="s">
        <v>211</v>
      </c>
      <c r="J19" s="1624" t="s">
        <v>771</v>
      </c>
      <c r="K19" s="1624" t="s">
        <v>210</v>
      </c>
      <c r="L19" s="1624" t="s">
        <v>204</v>
      </c>
      <c r="M19" s="1624" t="s">
        <v>31</v>
      </c>
      <c r="N19" s="1647" t="s">
        <v>32</v>
      </c>
      <c r="O19" s="1650">
        <v>1403</v>
      </c>
      <c r="P19" s="1651"/>
      <c r="Q19" s="1650">
        <v>1402</v>
      </c>
      <c r="R19" s="1651"/>
    </row>
    <row r="20" spans="1:23" ht="33.75" customHeight="1" thickBot="1" x14ac:dyDescent="0.3">
      <c r="B20" s="1642"/>
      <c r="C20" s="1645"/>
      <c r="D20" s="1625"/>
      <c r="E20" s="1625"/>
      <c r="F20" s="1625"/>
      <c r="G20" s="1625"/>
      <c r="H20" s="1625"/>
      <c r="I20" s="1625"/>
      <c r="J20" s="1625"/>
      <c r="K20" s="1625"/>
      <c r="L20" s="1625"/>
      <c r="M20" s="1625"/>
      <c r="N20" s="1648"/>
      <c r="O20" s="1652" t="s">
        <v>126</v>
      </c>
      <c r="P20" s="1653"/>
      <c r="Q20" s="1654" t="s">
        <v>126</v>
      </c>
      <c r="R20" s="1653"/>
    </row>
    <row r="21" spans="1:23" ht="33.75" customHeight="1" thickBot="1" x14ac:dyDescent="0.3">
      <c r="B21" s="1643"/>
      <c r="C21" s="1646"/>
      <c r="D21" s="1626"/>
      <c r="E21" s="1626"/>
      <c r="F21" s="1626"/>
      <c r="G21" s="1626"/>
      <c r="H21" s="1626"/>
      <c r="I21" s="1626"/>
      <c r="J21" s="1626"/>
      <c r="K21" s="1626"/>
      <c r="L21" s="1626"/>
      <c r="M21" s="1626"/>
      <c r="N21" s="1649"/>
      <c r="O21" s="634" t="s">
        <v>209</v>
      </c>
      <c r="P21" s="635" t="s">
        <v>208</v>
      </c>
      <c r="Q21" s="636" t="s">
        <v>209</v>
      </c>
      <c r="R21" s="635" t="s">
        <v>208</v>
      </c>
    </row>
    <row r="22" spans="1:23" ht="48" customHeight="1" x14ac:dyDescent="0.25">
      <c r="B22" s="1627" t="s">
        <v>904</v>
      </c>
      <c r="C22" s="637" t="s">
        <v>293</v>
      </c>
      <c r="D22" s="638">
        <v>0</v>
      </c>
      <c r="E22" s="638">
        <v>0</v>
      </c>
      <c r="F22" s="638">
        <v>0</v>
      </c>
      <c r="G22" s="638">
        <v>0</v>
      </c>
      <c r="H22" s="638">
        <v>0</v>
      </c>
      <c r="I22" s="638">
        <v>0</v>
      </c>
      <c r="J22" s="1128">
        <v>6040194832</v>
      </c>
      <c r="K22" s="1128">
        <v>122861524452</v>
      </c>
      <c r="L22" s="1128">
        <v>0</v>
      </c>
      <c r="M22" s="1128">
        <v>278081475937</v>
      </c>
      <c r="N22" s="639">
        <v>0</v>
      </c>
      <c r="O22" s="640">
        <f>Q22</f>
        <v>0</v>
      </c>
      <c r="P22" s="641">
        <f>-(D22+E22+F22-G22-H22-I22-J22-K22-L22-M22-N22)</f>
        <v>406983195221</v>
      </c>
      <c r="Q22" s="642">
        <v>0</v>
      </c>
      <c r="R22" s="641">
        <v>359086044047</v>
      </c>
      <c r="S22" s="1046"/>
      <c r="T22" s="633"/>
    </row>
    <row r="23" spans="1:23" ht="48" customHeight="1" x14ac:dyDescent="0.25">
      <c r="B23" s="1628"/>
      <c r="C23" s="643" t="s">
        <v>1082</v>
      </c>
      <c r="D23" s="644">
        <v>0</v>
      </c>
      <c r="E23" s="644">
        <v>0</v>
      </c>
      <c r="F23" s="644">
        <v>0</v>
      </c>
      <c r="G23" s="644">
        <v>0</v>
      </c>
      <c r="H23" s="644">
        <v>0</v>
      </c>
      <c r="I23" s="644">
        <v>0</v>
      </c>
      <c r="J23" s="1129">
        <v>4601609515</v>
      </c>
      <c r="K23" s="1129">
        <v>604759279832</v>
      </c>
      <c r="L23" s="1129">
        <v>0</v>
      </c>
      <c r="M23" s="1129">
        <v>270103020964</v>
      </c>
      <c r="N23" s="645">
        <v>0</v>
      </c>
      <c r="O23" s="646">
        <f>Q23</f>
        <v>0</v>
      </c>
      <c r="P23" s="641">
        <f>-(D23+E23+F23-G23-H23-I23-J23-K23-L23-M23-N23)</f>
        <v>879463910311</v>
      </c>
      <c r="Q23" s="647">
        <v>0</v>
      </c>
      <c r="R23" s="648">
        <v>406678038087</v>
      </c>
      <c r="S23" s="633"/>
    </row>
    <row r="24" spans="1:23" ht="48" customHeight="1" x14ac:dyDescent="0.25">
      <c r="B24" s="1629"/>
      <c r="C24" s="643" t="s">
        <v>295</v>
      </c>
      <c r="D24" s="644">
        <v>0</v>
      </c>
      <c r="E24" s="644">
        <v>0</v>
      </c>
      <c r="F24" s="644">
        <v>0</v>
      </c>
      <c r="G24" s="644">
        <v>0</v>
      </c>
      <c r="H24" s="644">
        <v>0</v>
      </c>
      <c r="I24" s="644">
        <v>0</v>
      </c>
      <c r="J24" s="1129">
        <v>4720854612</v>
      </c>
      <c r="K24" s="1129">
        <v>185474463875</v>
      </c>
      <c r="L24" s="1129">
        <v>0</v>
      </c>
      <c r="M24" s="1129">
        <v>271176117435</v>
      </c>
      <c r="N24" s="645">
        <v>0</v>
      </c>
      <c r="O24" s="646">
        <f>Q24</f>
        <v>0</v>
      </c>
      <c r="P24" s="641">
        <f>-(D24+E24+F24-G24-H24-I24-J24-K24-L24-M24-N24)</f>
        <v>461371435922</v>
      </c>
      <c r="Q24" s="647">
        <v>0</v>
      </c>
      <c r="R24" s="648">
        <v>409343245285</v>
      </c>
    </row>
    <row r="25" spans="1:23" ht="48" customHeight="1" thickBot="1" x14ac:dyDescent="0.3">
      <c r="B25" s="1336" t="s">
        <v>1265</v>
      </c>
      <c r="C25" s="649" t="s">
        <v>296</v>
      </c>
      <c r="D25" s="650">
        <v>0</v>
      </c>
      <c r="E25" s="650">
        <v>0</v>
      </c>
      <c r="F25" s="650">
        <v>0</v>
      </c>
      <c r="G25" s="650">
        <v>0</v>
      </c>
      <c r="H25" s="650">
        <v>0</v>
      </c>
      <c r="I25" s="650">
        <v>0</v>
      </c>
      <c r="J25" s="1130">
        <v>0</v>
      </c>
      <c r="K25" s="1130">
        <v>60116250000</v>
      </c>
      <c r="L25" s="1130">
        <v>0</v>
      </c>
      <c r="M25" s="1130">
        <v>75445292433</v>
      </c>
      <c r="N25" s="651">
        <v>0</v>
      </c>
      <c r="O25" s="652">
        <v>0</v>
      </c>
      <c r="P25" s="641">
        <f>-(D25+E25+F25-G25-H25-I25-J25-K25-L25-M25-N25)</f>
        <v>135561542433</v>
      </c>
      <c r="Q25" s="653">
        <v>0</v>
      </c>
      <c r="R25" s="654">
        <v>123050101450</v>
      </c>
    </row>
    <row r="26" spans="1:23" ht="48" customHeight="1" x14ac:dyDescent="0.25">
      <c r="B26" s="1622" t="s">
        <v>72</v>
      </c>
      <c r="C26" s="1623"/>
      <c r="D26" s="656">
        <f t="shared" ref="D26:R26" si="1">SUM(D22:D25)</f>
        <v>0</v>
      </c>
      <c r="E26" s="655">
        <f t="shared" si="1"/>
        <v>0</v>
      </c>
      <c r="F26" s="655">
        <f t="shared" si="1"/>
        <v>0</v>
      </c>
      <c r="G26" s="655">
        <f t="shared" si="1"/>
        <v>0</v>
      </c>
      <c r="H26" s="655">
        <f t="shared" si="1"/>
        <v>0</v>
      </c>
      <c r="I26" s="655">
        <f t="shared" si="1"/>
        <v>0</v>
      </c>
      <c r="J26" s="655">
        <f t="shared" si="1"/>
        <v>15362658959</v>
      </c>
      <c r="K26" s="655">
        <f t="shared" si="1"/>
        <v>973211518159</v>
      </c>
      <c r="L26" s="656">
        <f t="shared" si="1"/>
        <v>0</v>
      </c>
      <c r="M26" s="656">
        <f t="shared" si="1"/>
        <v>894805906769</v>
      </c>
      <c r="N26" s="657">
        <f t="shared" si="1"/>
        <v>0</v>
      </c>
      <c r="O26" s="658">
        <f t="shared" si="1"/>
        <v>0</v>
      </c>
      <c r="P26" s="659">
        <f t="shared" si="1"/>
        <v>1883380083887</v>
      </c>
      <c r="Q26" s="655">
        <f t="shared" si="1"/>
        <v>0</v>
      </c>
      <c r="R26" s="659">
        <f t="shared" si="1"/>
        <v>1298157428869</v>
      </c>
      <c r="U26" s="633"/>
      <c r="W26" s="633"/>
    </row>
    <row r="27" spans="1:23" ht="48" customHeight="1" x14ac:dyDescent="0.25">
      <c r="A27" s="631" t="s">
        <v>810</v>
      </c>
      <c r="B27" s="1631" t="s">
        <v>203</v>
      </c>
      <c r="C27" s="1337" t="s">
        <v>297</v>
      </c>
      <c r="D27" s="644">
        <v>2016544544676</v>
      </c>
      <c r="E27" s="644">
        <v>120000000000</v>
      </c>
      <c r="F27" s="644">
        <v>180000000000</v>
      </c>
      <c r="G27" s="644">
        <v>0</v>
      </c>
      <c r="H27" s="644">
        <v>0</v>
      </c>
      <c r="I27" s="1334">
        <v>0</v>
      </c>
      <c r="J27" s="644">
        <v>0</v>
      </c>
      <c r="K27" s="644">
        <v>0</v>
      </c>
      <c r="L27" s="644">
        <v>0</v>
      </c>
      <c r="M27" s="644">
        <v>0</v>
      </c>
      <c r="N27" s="1335">
        <v>0</v>
      </c>
      <c r="O27" s="646">
        <f>D27+E27+F27-G27+H27-I27-J27-K27-L27-M27-N27</f>
        <v>2316544544676</v>
      </c>
      <c r="P27" s="648">
        <v>0</v>
      </c>
      <c r="Q27" s="647">
        <v>249427616371</v>
      </c>
      <c r="R27" s="644">
        <v>0</v>
      </c>
    </row>
    <row r="28" spans="1:23" ht="48" customHeight="1" x14ac:dyDescent="0.25">
      <c r="B28" s="1632"/>
      <c r="C28" s="643" t="s">
        <v>298</v>
      </c>
      <c r="D28" s="650">
        <v>0</v>
      </c>
      <c r="E28" s="650">
        <v>19176904069</v>
      </c>
      <c r="F28" s="650">
        <v>0</v>
      </c>
      <c r="G28" s="650">
        <v>0</v>
      </c>
      <c r="H28" s="650">
        <v>0</v>
      </c>
      <c r="I28" s="650">
        <v>0</v>
      </c>
      <c r="J28" s="650">
        <v>0</v>
      </c>
      <c r="K28" s="661">
        <v>0</v>
      </c>
      <c r="L28" s="650">
        <v>0</v>
      </c>
      <c r="M28" s="650">
        <v>0</v>
      </c>
      <c r="N28" s="651">
        <v>0</v>
      </c>
      <c r="O28" s="662">
        <f>D28+E28+F28-G28+H28-I28-J28-K28-L28-M28-N28</f>
        <v>19176904069</v>
      </c>
      <c r="P28" s="648">
        <v>0</v>
      </c>
      <c r="Q28" s="647">
        <v>19176904069</v>
      </c>
      <c r="R28" s="644">
        <v>0</v>
      </c>
    </row>
    <row r="29" spans="1:23" ht="48" customHeight="1" x14ac:dyDescent="0.25">
      <c r="B29" s="1632"/>
      <c r="C29" s="643" t="s">
        <v>461</v>
      </c>
      <c r="D29" s="650">
        <v>0</v>
      </c>
      <c r="E29" s="650">
        <v>0</v>
      </c>
      <c r="F29" s="650">
        <v>0</v>
      </c>
      <c r="G29" s="650">
        <v>0</v>
      </c>
      <c r="H29" s="650">
        <v>0</v>
      </c>
      <c r="I29" s="650">
        <v>0</v>
      </c>
      <c r="J29" s="650">
        <v>0</v>
      </c>
      <c r="K29" s="650">
        <v>144175942</v>
      </c>
      <c r="L29" s="650">
        <v>0</v>
      </c>
      <c r="M29" s="650">
        <v>0</v>
      </c>
      <c r="N29" s="651">
        <v>0</v>
      </c>
      <c r="O29" s="646">
        <v>0</v>
      </c>
      <c r="P29" s="641">
        <f>-(D29+E29+F29-G29-H29-I29-J29-K29-L29-M29-N29)</f>
        <v>144175942</v>
      </c>
      <c r="Q29" s="647">
        <v>0</v>
      </c>
      <c r="R29" s="644">
        <v>999734360</v>
      </c>
    </row>
    <row r="30" spans="1:23" ht="48" customHeight="1" x14ac:dyDescent="0.25">
      <c r="B30" s="1632"/>
      <c r="C30" s="643" t="s">
        <v>460</v>
      </c>
      <c r="D30" s="650">
        <v>0</v>
      </c>
      <c r="E30" s="650">
        <v>0</v>
      </c>
      <c r="F30" s="650">
        <v>0</v>
      </c>
      <c r="G30" s="650">
        <v>0</v>
      </c>
      <c r="H30" s="650">
        <v>0</v>
      </c>
      <c r="I30" s="650">
        <v>122580447431</v>
      </c>
      <c r="J30" s="650">
        <v>0</v>
      </c>
      <c r="K30" s="650">
        <v>0</v>
      </c>
      <c r="L30" s="650">
        <v>0</v>
      </c>
      <c r="M30" s="650">
        <v>0</v>
      </c>
      <c r="N30" s="651">
        <v>0</v>
      </c>
      <c r="O30" s="646">
        <v>0</v>
      </c>
      <c r="P30" s="654">
        <f>I30</f>
        <v>122580447431</v>
      </c>
      <c r="Q30" s="676">
        <v>0</v>
      </c>
      <c r="R30" s="644">
        <v>154843266802</v>
      </c>
    </row>
    <row r="31" spans="1:23" ht="48" customHeight="1" x14ac:dyDescent="0.25">
      <c r="B31" s="1632"/>
      <c r="C31" s="643" t="s">
        <v>299</v>
      </c>
      <c r="D31" s="650">
        <v>0</v>
      </c>
      <c r="E31" s="650">
        <v>336105928</v>
      </c>
      <c r="F31" s="650">
        <v>0</v>
      </c>
      <c r="G31" s="650">
        <v>0</v>
      </c>
      <c r="H31" s="650">
        <v>0</v>
      </c>
      <c r="I31" s="650">
        <v>0</v>
      </c>
      <c r="J31" s="650">
        <v>0</v>
      </c>
      <c r="K31" s="650">
        <v>0</v>
      </c>
      <c r="L31" s="650">
        <v>0</v>
      </c>
      <c r="M31" s="650">
        <v>0</v>
      </c>
      <c r="N31" s="651">
        <v>0</v>
      </c>
      <c r="O31" s="662">
        <f>D31+E31+F31-G31+H31-I31-J31-K31-L31-M31-N31</f>
        <v>336105928</v>
      </c>
      <c r="P31" s="654">
        <f>R31+I31+J31+G31+H31+K31+L31+M31+N31</f>
        <v>0</v>
      </c>
      <c r="Q31" s="647">
        <v>336105928</v>
      </c>
      <c r="R31" s="644">
        <v>0</v>
      </c>
    </row>
    <row r="32" spans="1:23" ht="48" customHeight="1" thickBot="1" x14ac:dyDescent="0.3">
      <c r="B32" s="1633"/>
      <c r="C32" s="663" t="s">
        <v>300</v>
      </c>
      <c r="D32" s="650">
        <v>208445400</v>
      </c>
      <c r="E32" s="650">
        <v>6315543407</v>
      </c>
      <c r="F32" s="650">
        <v>0</v>
      </c>
      <c r="G32" s="650">
        <v>0</v>
      </c>
      <c r="H32" s="650">
        <v>0</v>
      </c>
      <c r="I32" s="650">
        <v>0</v>
      </c>
      <c r="J32" s="650">
        <v>0</v>
      </c>
      <c r="K32" s="650">
        <v>0</v>
      </c>
      <c r="L32" s="650">
        <v>0</v>
      </c>
      <c r="M32" s="650">
        <v>0</v>
      </c>
      <c r="N32" s="651">
        <v>0</v>
      </c>
      <c r="O32" s="652">
        <f>D32+E32</f>
        <v>6523988807</v>
      </c>
      <c r="P32" s="1262">
        <v>0</v>
      </c>
      <c r="Q32" s="660">
        <v>32702701728</v>
      </c>
      <c r="R32" s="654">
        <v>0</v>
      </c>
    </row>
    <row r="33" spans="1:19" ht="48" customHeight="1" thickBot="1" x14ac:dyDescent="0.3">
      <c r="B33" s="1634" t="s">
        <v>72</v>
      </c>
      <c r="C33" s="1635"/>
      <c r="D33" s="664">
        <f t="shared" ref="D33:M33" si="2">SUM(D27:D32)</f>
        <v>2016752990076</v>
      </c>
      <c r="E33" s="664">
        <f t="shared" si="2"/>
        <v>145828553404</v>
      </c>
      <c r="F33" s="664">
        <f t="shared" si="2"/>
        <v>180000000000</v>
      </c>
      <c r="G33" s="664">
        <f t="shared" si="2"/>
        <v>0</v>
      </c>
      <c r="H33" s="664">
        <f t="shared" si="2"/>
        <v>0</v>
      </c>
      <c r="I33" s="664">
        <f t="shared" si="2"/>
        <v>122580447431</v>
      </c>
      <c r="J33" s="664">
        <f t="shared" si="2"/>
        <v>0</v>
      </c>
      <c r="K33" s="664">
        <f t="shared" si="2"/>
        <v>144175942</v>
      </c>
      <c r="L33" s="664">
        <f t="shared" si="2"/>
        <v>0</v>
      </c>
      <c r="M33" s="664">
        <f t="shared" si="2"/>
        <v>0</v>
      </c>
      <c r="N33" s="665">
        <f>SUM(N27:N32)</f>
        <v>0</v>
      </c>
      <c r="O33" s="666">
        <f>SUM(O27:O32)</f>
        <v>2342581543480</v>
      </c>
      <c r="P33" s="667">
        <f>SUM(P27:P32)</f>
        <v>122724623373</v>
      </c>
      <c r="Q33" s="668">
        <f>SUM(Q27:Q32)</f>
        <v>301643328096</v>
      </c>
      <c r="R33" s="667">
        <f>SUM(R27:R32)</f>
        <v>155843001162</v>
      </c>
    </row>
    <row r="34" spans="1:19" ht="48" customHeight="1" thickBot="1" x14ac:dyDescent="0.3">
      <c r="B34" s="1634" t="s">
        <v>37</v>
      </c>
      <c r="C34" s="1636"/>
      <c r="D34" s="669">
        <f t="shared" ref="D34:R34" si="3">D33+D26</f>
        <v>2016752990076</v>
      </c>
      <c r="E34" s="670">
        <f t="shared" si="3"/>
        <v>145828553404</v>
      </c>
      <c r="F34" s="670">
        <f t="shared" si="3"/>
        <v>180000000000</v>
      </c>
      <c r="G34" s="670">
        <f t="shared" si="3"/>
        <v>0</v>
      </c>
      <c r="H34" s="670">
        <f t="shared" si="3"/>
        <v>0</v>
      </c>
      <c r="I34" s="670">
        <f t="shared" si="3"/>
        <v>122580447431</v>
      </c>
      <c r="J34" s="670">
        <f t="shared" si="3"/>
        <v>15362658959</v>
      </c>
      <c r="K34" s="670">
        <f t="shared" si="3"/>
        <v>973355694101</v>
      </c>
      <c r="L34" s="670">
        <f t="shared" si="3"/>
        <v>0</v>
      </c>
      <c r="M34" s="670">
        <f t="shared" si="3"/>
        <v>894805906769</v>
      </c>
      <c r="N34" s="671">
        <f t="shared" si="3"/>
        <v>0</v>
      </c>
      <c r="O34" s="672">
        <f t="shared" si="3"/>
        <v>2342581543480</v>
      </c>
      <c r="P34" s="673">
        <f t="shared" si="3"/>
        <v>2006104707260</v>
      </c>
      <c r="Q34" s="669">
        <f t="shared" si="3"/>
        <v>301643328096</v>
      </c>
      <c r="R34" s="673">
        <f t="shared" si="3"/>
        <v>1454000430031</v>
      </c>
      <c r="S34" s="632"/>
    </row>
    <row r="35" spans="1:19" ht="39" customHeight="1" x14ac:dyDescent="0.25">
      <c r="B35" s="1055"/>
      <c r="C35" s="1055"/>
      <c r="D35" s="1055"/>
      <c r="E35" s="1055"/>
      <c r="F35" s="1055"/>
      <c r="G35" s="1055"/>
      <c r="H35" s="1055"/>
      <c r="I35" s="1055"/>
      <c r="J35" s="1055"/>
      <c r="K35" s="1055"/>
      <c r="L35" s="1055"/>
      <c r="M35" s="1055"/>
      <c r="N35" s="1055"/>
      <c r="O35" s="1055"/>
      <c r="P35" s="1055"/>
      <c r="Q35" s="1055"/>
      <c r="R35" s="1055"/>
      <c r="S35" s="632"/>
    </row>
    <row r="36" spans="1:19" ht="15" customHeight="1" x14ac:dyDescent="0.25">
      <c r="R36" s="633"/>
    </row>
    <row r="37" spans="1:19" ht="24.75" customHeight="1" x14ac:dyDescent="0.25">
      <c r="A37" s="1639">
        <v>38</v>
      </c>
      <c r="B37" s="1639"/>
      <c r="C37" s="1639"/>
      <c r="D37" s="1639"/>
      <c r="E37" s="1639"/>
      <c r="F37" s="1639"/>
      <c r="G37" s="1639"/>
      <c r="H37" s="1639"/>
      <c r="I37" s="1639"/>
      <c r="J37" s="1639"/>
      <c r="K37" s="1639"/>
      <c r="L37" s="1639"/>
      <c r="M37" s="1639"/>
      <c r="N37" s="1639"/>
      <c r="O37" s="1639"/>
      <c r="P37" s="1639"/>
      <c r="Q37" s="1639"/>
      <c r="R37" s="1639"/>
    </row>
    <row r="38" spans="1:19" ht="33.75" customHeight="1" x14ac:dyDescent="0.25">
      <c r="R38" s="633"/>
    </row>
    <row r="39" spans="1:19" ht="33.75" customHeight="1" x14ac:dyDescent="0.25">
      <c r="R39" s="633"/>
    </row>
    <row r="40" spans="1:19" ht="33.75" customHeight="1" x14ac:dyDescent="0.25">
      <c r="R40" s="633"/>
    </row>
    <row r="41" spans="1:19" ht="33.75" customHeight="1" x14ac:dyDescent="0.25">
      <c r="R41" s="633"/>
    </row>
    <row r="42" spans="1:19" ht="33.75" customHeight="1" x14ac:dyDescent="0.25">
      <c r="R42" s="633"/>
    </row>
    <row r="43" spans="1:19" ht="33.75" customHeight="1" x14ac:dyDescent="0.25">
      <c r="R43" s="633"/>
    </row>
    <row r="44" spans="1:19" ht="33.75" customHeight="1" x14ac:dyDescent="0.25">
      <c r="R44" s="633"/>
    </row>
    <row r="45" spans="1:19" ht="33.75" customHeight="1" x14ac:dyDescent="0.25">
      <c r="R45" s="633"/>
    </row>
    <row r="46" spans="1:19" ht="33.75" customHeight="1" x14ac:dyDescent="0.25">
      <c r="R46" s="633"/>
    </row>
    <row r="47" spans="1:19" ht="33.75" customHeight="1" x14ac:dyDescent="0.25">
      <c r="R47" s="633"/>
    </row>
    <row r="48" spans="1:19" ht="33.75" customHeight="1" x14ac:dyDescent="0.25">
      <c r="A48" s="1637"/>
      <c r="B48" s="1637"/>
      <c r="C48" s="1637"/>
      <c r="D48" s="1637"/>
      <c r="E48" s="1637"/>
      <c r="F48" s="1637"/>
      <c r="G48" s="1637"/>
      <c r="H48" s="1637"/>
      <c r="I48" s="1637"/>
      <c r="J48" s="1637"/>
      <c r="K48" s="1637"/>
      <c r="L48" s="1637"/>
      <c r="M48" s="1637"/>
      <c r="N48" s="1637"/>
      <c r="O48" s="1637"/>
      <c r="P48" s="1637"/>
      <c r="Q48" s="1637"/>
    </row>
    <row r="49" spans="1:18" ht="33.75" customHeight="1" x14ac:dyDescent="0.25">
      <c r="A49" s="674"/>
      <c r="B49" s="1638"/>
      <c r="C49" s="1638"/>
      <c r="D49" s="1638"/>
      <c r="E49" s="1638"/>
      <c r="F49" s="1638"/>
      <c r="G49" s="1638"/>
      <c r="H49" s="1638"/>
      <c r="I49" s="1638"/>
      <c r="J49" s="1638"/>
      <c r="K49" s="1638"/>
      <c r="L49" s="1638"/>
      <c r="M49" s="1638"/>
      <c r="N49" s="1638"/>
      <c r="O49" s="674"/>
      <c r="P49" s="674"/>
      <c r="Q49" s="674"/>
    </row>
    <row r="50" spans="1:18" ht="33.75" customHeight="1" x14ac:dyDescent="0.25">
      <c r="A50" s="674"/>
      <c r="B50" s="1637"/>
      <c r="C50" s="1637"/>
      <c r="D50" s="1637"/>
      <c r="E50" s="1637"/>
      <c r="F50" s="1637"/>
      <c r="G50" s="1637"/>
      <c r="H50" s="1637"/>
      <c r="I50" s="1637"/>
      <c r="J50" s="1637"/>
      <c r="K50" s="1637"/>
      <c r="L50" s="675"/>
      <c r="M50" s="675"/>
      <c r="N50" s="675"/>
      <c r="O50" s="674"/>
      <c r="P50" s="674"/>
      <c r="Q50" s="674"/>
    </row>
    <row r="51" spans="1:18" ht="33.75" customHeight="1" x14ac:dyDescent="0.25">
      <c r="A51" s="1630"/>
      <c r="B51" s="1630"/>
      <c r="C51" s="1630"/>
      <c r="D51" s="1630"/>
      <c r="E51" s="1630"/>
      <c r="F51" s="1630"/>
      <c r="G51" s="1630"/>
      <c r="H51" s="1630"/>
      <c r="I51" s="1630"/>
      <c r="J51" s="1630"/>
      <c r="K51" s="1630"/>
      <c r="L51" s="1630"/>
      <c r="M51" s="1630"/>
      <c r="N51" s="1630"/>
      <c r="O51" s="1630"/>
      <c r="P51" s="1630"/>
      <c r="Q51" s="1630"/>
      <c r="R51" s="1630"/>
    </row>
  </sheetData>
  <mergeCells count="35">
    <mergeCell ref="A6:G6"/>
    <mergeCell ref="A7:G7"/>
    <mergeCell ref="B16:D16"/>
    <mergeCell ref="A1:R1"/>
    <mergeCell ref="A2:R2"/>
    <mergeCell ref="A3:R3"/>
    <mergeCell ref="B12:B14"/>
    <mergeCell ref="A18:Q18"/>
    <mergeCell ref="B19:B21"/>
    <mergeCell ref="C19:C21"/>
    <mergeCell ref="D19:D21"/>
    <mergeCell ref="E19:E21"/>
    <mergeCell ref="F19:F21"/>
    <mergeCell ref="G19:G21"/>
    <mergeCell ref="N19:N21"/>
    <mergeCell ref="O19:P19"/>
    <mergeCell ref="Q19:R19"/>
    <mergeCell ref="O20:P20"/>
    <mergeCell ref="Q20:R20"/>
    <mergeCell ref="L19:L21"/>
    <mergeCell ref="A51:R51"/>
    <mergeCell ref="B27:B32"/>
    <mergeCell ref="B33:C33"/>
    <mergeCell ref="B34:C34"/>
    <mergeCell ref="A48:Q48"/>
    <mergeCell ref="B49:N49"/>
    <mergeCell ref="B50:K50"/>
    <mergeCell ref="A37:R37"/>
    <mergeCell ref="B26:C26"/>
    <mergeCell ref="M19:M21"/>
    <mergeCell ref="H19:H21"/>
    <mergeCell ref="I19:I21"/>
    <mergeCell ref="J19:J21"/>
    <mergeCell ref="K19:K21"/>
    <mergeCell ref="B22:B24"/>
  </mergeCells>
  <hyperlinks>
    <hyperlink ref="A1:XFD3" r:id="rId1" display="http://modiriatmali.com/" xr:uid="{00000000-0004-0000-2900-000000000000}"/>
  </hyperlinks>
  <printOptions horizontalCentered="1"/>
  <pageMargins left="0.11811023622047245" right="0.11811023622047245" top="0.55118110236220474" bottom="0.74803149606299213" header="0.31496062992125984" footer="0.31496062992125984"/>
  <pageSetup paperSize="9" scale="34" orientation="landscape"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L39"/>
  <sheetViews>
    <sheetView rightToLeft="1" view="pageBreakPreview" zoomScaleNormal="100" zoomScaleSheetLayoutView="100" workbookViewId="0">
      <selection activeCell="I17" sqref="I17"/>
    </sheetView>
  </sheetViews>
  <sheetFormatPr defaultColWidth="9" defaultRowHeight="18" x14ac:dyDescent="0.25"/>
  <cols>
    <col min="1" max="1" width="3.140625" style="628" customWidth="1"/>
    <col min="2" max="2" width="18.42578125" style="628" customWidth="1"/>
    <col min="3" max="3" width="24.85546875" style="628" customWidth="1"/>
    <col min="4" max="4" width="23.140625" style="628" customWidth="1"/>
    <col min="5" max="5" width="19.42578125" style="628" customWidth="1"/>
    <col min="6" max="16384" width="9" style="628"/>
  </cols>
  <sheetData>
    <row r="1" spans="1:12" s="677" customFormat="1" ht="21" customHeight="1" x14ac:dyDescent="0.25">
      <c r="A1" s="1394" t="s">
        <v>244</v>
      </c>
      <c r="B1" s="1394"/>
      <c r="C1" s="1394"/>
      <c r="D1" s="1394"/>
      <c r="E1" s="1394"/>
    </row>
    <row r="2" spans="1:12" s="677" customFormat="1" ht="21" customHeight="1" x14ac:dyDescent="0.25">
      <c r="A2" s="1394" t="s">
        <v>492</v>
      </c>
      <c r="B2" s="1394"/>
      <c r="C2" s="1394"/>
      <c r="D2" s="1394"/>
      <c r="E2" s="1394"/>
    </row>
    <row r="3" spans="1:12" s="677" customFormat="1" ht="21" customHeight="1" x14ac:dyDescent="0.25">
      <c r="A3" s="1394" t="str">
        <f>سودوزيان!A3</f>
        <v>سال مالی منتهی به 30 اسفند 1403</v>
      </c>
      <c r="B3" s="1394"/>
      <c r="C3" s="1394"/>
      <c r="D3" s="1394"/>
      <c r="E3" s="1394"/>
    </row>
    <row r="4" spans="1:12" ht="18.75" customHeight="1" x14ac:dyDescent="0.25">
      <c r="C4" s="678"/>
      <c r="D4" s="678"/>
      <c r="E4" s="679"/>
    </row>
    <row r="5" spans="1:12" ht="27" customHeight="1" x14ac:dyDescent="0.25">
      <c r="A5" s="1668" t="s">
        <v>918</v>
      </c>
      <c r="B5" s="1668"/>
      <c r="C5" s="1668"/>
      <c r="D5" s="1668"/>
      <c r="E5" s="1668"/>
      <c r="F5" s="1668"/>
      <c r="G5" s="1668"/>
      <c r="H5" s="1668"/>
      <c r="I5" s="1668"/>
      <c r="J5" s="1668"/>
      <c r="K5" s="1668"/>
      <c r="L5" s="1668"/>
    </row>
    <row r="6" spans="1:12" ht="9.75" customHeight="1" x14ac:dyDescent="0.25">
      <c r="A6" s="1671"/>
      <c r="B6" s="1671"/>
      <c r="C6" s="1671"/>
      <c r="D6" s="1671"/>
      <c r="E6" s="1671"/>
      <c r="F6" s="1299"/>
      <c r="G6" s="1299"/>
      <c r="H6" s="1299"/>
      <c r="I6" s="1299"/>
      <c r="J6" s="1299"/>
      <c r="K6" s="1299"/>
      <c r="L6" s="1299"/>
    </row>
    <row r="7" spans="1:12" ht="84.75" customHeight="1" x14ac:dyDescent="0.25">
      <c r="A7" s="1669" t="s">
        <v>1288</v>
      </c>
      <c r="B7" s="1669"/>
      <c r="C7" s="1669"/>
      <c r="D7" s="1669"/>
      <c r="E7" s="1669"/>
      <c r="F7" s="1300"/>
      <c r="G7" s="1300"/>
      <c r="H7" s="1300"/>
      <c r="I7" s="1300"/>
      <c r="J7" s="1301"/>
      <c r="K7" s="1301"/>
      <c r="L7" s="1301"/>
    </row>
    <row r="8" spans="1:12" ht="43.5" customHeight="1" x14ac:dyDescent="0.25">
      <c r="A8" s="1672" t="s">
        <v>1289</v>
      </c>
      <c r="B8" s="1672"/>
      <c r="C8" s="1672"/>
      <c r="D8" s="1672"/>
      <c r="E8" s="1672"/>
      <c r="F8" s="1300"/>
      <c r="G8" s="1300"/>
      <c r="H8" s="1300"/>
      <c r="I8" s="1300"/>
      <c r="J8" s="1301"/>
      <c r="K8" s="1301"/>
      <c r="L8" s="1301"/>
    </row>
    <row r="9" spans="1:12" ht="12" customHeight="1" x14ac:dyDescent="0.25">
      <c r="A9" s="680"/>
      <c r="B9" s="680"/>
      <c r="C9" s="680"/>
      <c r="D9" s="680"/>
      <c r="E9" s="680"/>
      <c r="F9" s="1300"/>
      <c r="G9" s="1300"/>
      <c r="H9" s="1300"/>
      <c r="I9" s="1300"/>
      <c r="J9" s="1301"/>
      <c r="K9" s="1301"/>
      <c r="L9" s="1301"/>
    </row>
    <row r="10" spans="1:12" ht="24" x14ac:dyDescent="0.25">
      <c r="A10" s="1666" t="s">
        <v>919</v>
      </c>
      <c r="B10" s="1667"/>
      <c r="C10" s="1667"/>
      <c r="D10" s="1667"/>
      <c r="E10" s="1038"/>
      <c r="F10" s="1038"/>
      <c r="G10" s="1038"/>
      <c r="H10" s="1038"/>
      <c r="I10" s="1038"/>
      <c r="J10" s="1038"/>
      <c r="K10" s="1038"/>
      <c r="L10" s="1038"/>
    </row>
    <row r="11" spans="1:12" ht="49.5" customHeight="1" x14ac:dyDescent="0.25">
      <c r="A11" s="1670" t="s">
        <v>817</v>
      </c>
      <c r="B11" s="1670"/>
      <c r="C11" s="1670"/>
      <c r="D11" s="1670"/>
      <c r="E11" s="1670"/>
      <c r="F11" s="1038"/>
      <c r="G11" s="1038"/>
      <c r="H11" s="1038"/>
      <c r="I11" s="1038"/>
      <c r="J11" s="1038"/>
      <c r="K11" s="1038"/>
      <c r="L11" s="1038"/>
    </row>
    <row r="12" spans="1:12" ht="28.5" customHeight="1" x14ac:dyDescent="0.25">
      <c r="A12" s="1038"/>
      <c r="B12" s="1038"/>
      <c r="C12" s="1038"/>
      <c r="D12" s="1038"/>
      <c r="E12" s="1302"/>
      <c r="F12" s="1038"/>
      <c r="G12" s="1038"/>
      <c r="H12" s="1038"/>
      <c r="I12" s="1038"/>
      <c r="J12" s="1038"/>
      <c r="K12" s="1038"/>
      <c r="L12" s="1038"/>
    </row>
    <row r="13" spans="1:12" ht="24" customHeight="1" x14ac:dyDescent="0.25">
      <c r="A13" s="1303" t="s">
        <v>920</v>
      </c>
      <c r="B13" s="1303"/>
      <c r="C13" s="681"/>
      <c r="D13" s="681"/>
      <c r="E13" s="1038"/>
      <c r="F13" s="1038"/>
      <c r="G13" s="1038"/>
      <c r="H13" s="1038"/>
      <c r="I13" s="1038"/>
      <c r="J13" s="1038"/>
      <c r="K13" s="1038"/>
      <c r="L13" s="1038"/>
    </row>
    <row r="14" spans="1:12" ht="24" customHeight="1" x14ac:dyDescent="0.55000000000000004">
      <c r="A14" s="1665" t="s">
        <v>773</v>
      </c>
      <c r="B14" s="1665"/>
      <c r="C14" s="1665"/>
      <c r="D14" s="1665"/>
      <c r="E14" s="1038"/>
      <c r="F14" s="1038"/>
      <c r="G14" s="1038"/>
      <c r="H14" s="1038"/>
      <c r="I14" s="1038"/>
      <c r="J14" s="1038"/>
      <c r="K14" s="1038"/>
      <c r="L14" s="1038"/>
    </row>
    <row r="15" spans="1:12" ht="28.5" customHeight="1" x14ac:dyDescent="0.25">
      <c r="A15" s="681"/>
      <c r="B15" s="681"/>
      <c r="C15" s="681"/>
      <c r="D15" s="681"/>
      <c r="E15" s="1038"/>
      <c r="F15" s="1038"/>
      <c r="G15" s="1038"/>
      <c r="H15" s="1038"/>
      <c r="I15" s="1038"/>
      <c r="J15" s="1038"/>
      <c r="K15" s="1038"/>
      <c r="L15" s="1038"/>
    </row>
    <row r="16" spans="1:12" ht="28.5" customHeight="1" thickBot="1" x14ac:dyDescent="0.3">
      <c r="A16" s="681"/>
      <c r="B16" s="681"/>
      <c r="C16" s="681"/>
      <c r="D16" s="683" t="s">
        <v>774</v>
      </c>
      <c r="E16" s="1038"/>
      <c r="F16" s="1038"/>
      <c r="G16" s="1038"/>
      <c r="H16" s="1038"/>
      <c r="I16" s="1038"/>
      <c r="J16" s="1038"/>
      <c r="K16" s="1038"/>
      <c r="L16" s="1038"/>
    </row>
    <row r="17" spans="1:12" ht="24" customHeight="1" x14ac:dyDescent="0.25">
      <c r="A17" s="681"/>
      <c r="B17" s="1663" t="s">
        <v>1078</v>
      </c>
      <c r="C17" s="1663"/>
      <c r="D17" s="681"/>
      <c r="E17" s="1038"/>
      <c r="F17" s="1038"/>
      <c r="G17" s="1038"/>
      <c r="H17" s="1038"/>
      <c r="I17" s="1038"/>
      <c r="J17" s="1038"/>
      <c r="K17" s="1038"/>
      <c r="L17" s="1038"/>
    </row>
    <row r="18" spans="1:12" ht="24" hidden="1" customHeight="1" x14ac:dyDescent="0.55000000000000004">
      <c r="A18" s="681"/>
      <c r="B18" s="1662" t="s">
        <v>850</v>
      </c>
      <c r="C18" s="1662"/>
      <c r="D18" s="684">
        <v>11305362280</v>
      </c>
      <c r="E18" s="1038"/>
      <c r="F18" s="1038"/>
      <c r="G18" s="1038"/>
      <c r="H18" s="1038"/>
      <c r="I18" s="1038"/>
      <c r="J18" s="1038"/>
      <c r="K18" s="1038"/>
      <c r="L18" s="1038"/>
    </row>
    <row r="19" spans="1:12" ht="27" customHeight="1" thickBot="1" x14ac:dyDescent="0.3">
      <c r="A19" s="681"/>
      <c r="B19" s="1662" t="s">
        <v>1111</v>
      </c>
      <c r="C19" s="1662"/>
      <c r="D19" s="685">
        <f>سودوزيان!F22*10%</f>
        <v>99468765041.688293</v>
      </c>
      <c r="E19" s="1038"/>
      <c r="F19" s="1038"/>
      <c r="G19" s="1038"/>
      <c r="H19" s="1038"/>
      <c r="I19" s="1038"/>
      <c r="J19" s="1038"/>
      <c r="K19" s="1038"/>
      <c r="L19" s="1038"/>
    </row>
    <row r="20" spans="1:12" ht="24" customHeight="1" x14ac:dyDescent="0.55000000000000004">
      <c r="A20" s="681"/>
      <c r="B20" s="1663" t="s">
        <v>775</v>
      </c>
      <c r="C20" s="1663"/>
      <c r="D20" s="686"/>
      <c r="E20" s="1038"/>
      <c r="F20" s="1038"/>
      <c r="G20" s="1038"/>
      <c r="H20" s="1038"/>
      <c r="I20" s="1038"/>
      <c r="J20" s="1038"/>
      <c r="K20" s="1038"/>
      <c r="L20" s="1038"/>
    </row>
    <row r="21" spans="1:12" ht="24" hidden="1" customHeight="1" x14ac:dyDescent="0.55000000000000004">
      <c r="A21" s="681"/>
      <c r="B21" s="1662" t="s">
        <v>776</v>
      </c>
      <c r="C21" s="1662"/>
      <c r="D21" s="687">
        <f>D18</f>
        <v>11305362280</v>
      </c>
      <c r="E21" s="1038"/>
      <c r="F21" s="1038"/>
      <c r="G21" s="1038"/>
      <c r="H21" s="1038"/>
      <c r="I21" s="1038"/>
      <c r="J21" s="1038"/>
      <c r="K21" s="1038"/>
      <c r="L21" s="1038"/>
    </row>
    <row r="22" spans="1:12" ht="24" customHeight="1" thickBot="1" x14ac:dyDescent="0.3">
      <c r="A22" s="681"/>
      <c r="B22" s="1662" t="s">
        <v>1112</v>
      </c>
      <c r="C22" s="1662"/>
      <c r="D22" s="685">
        <f>D19</f>
        <v>99468765041.688293</v>
      </c>
      <c r="E22" s="1038"/>
      <c r="F22" s="1038"/>
      <c r="G22" s="1038"/>
      <c r="H22" s="1038"/>
      <c r="I22" s="1038"/>
      <c r="J22" s="1038"/>
      <c r="K22" s="1038"/>
      <c r="L22" s="1038"/>
    </row>
    <row r="23" spans="1:12" ht="24" customHeight="1" x14ac:dyDescent="0.55000000000000004">
      <c r="A23" s="681"/>
      <c r="B23" s="1304"/>
      <c r="C23" s="1304"/>
      <c r="D23" s="688"/>
      <c r="E23" s="1038"/>
      <c r="F23" s="1038"/>
      <c r="G23" s="1038"/>
      <c r="H23" s="1038"/>
      <c r="I23" s="1038"/>
      <c r="J23" s="1038"/>
      <c r="K23" s="1038"/>
      <c r="L23" s="1038"/>
    </row>
    <row r="24" spans="1:12" ht="27.75" customHeight="1" x14ac:dyDescent="0.25">
      <c r="A24" s="1664"/>
      <c r="B24" s="1664"/>
      <c r="C24" s="1664"/>
      <c r="D24" s="1664"/>
      <c r="E24" s="1664"/>
    </row>
    <row r="25" spans="1:12" ht="24" customHeight="1" x14ac:dyDescent="0.25">
      <c r="A25" s="1614"/>
      <c r="B25" s="1614"/>
      <c r="C25" s="1614"/>
      <c r="D25" s="1614"/>
      <c r="E25" s="1614"/>
    </row>
    <row r="26" spans="1:12" ht="24" customHeight="1" x14ac:dyDescent="0.25">
      <c r="A26" s="682"/>
      <c r="B26" s="682"/>
      <c r="C26" s="682"/>
      <c r="D26" s="682"/>
      <c r="E26" s="682"/>
    </row>
    <row r="27" spans="1:12" ht="24" hidden="1" customHeight="1" x14ac:dyDescent="0.25">
      <c r="A27" s="682"/>
      <c r="B27" s="682"/>
      <c r="C27" s="682"/>
      <c r="D27" s="682"/>
      <c r="E27" s="682"/>
    </row>
    <row r="28" spans="1:12" ht="24" hidden="1" customHeight="1" x14ac:dyDescent="0.25">
      <c r="A28" s="682"/>
      <c r="B28" s="682"/>
      <c r="C28" s="682"/>
      <c r="D28" s="682"/>
      <c r="E28" s="682"/>
    </row>
    <row r="29" spans="1:12" ht="24" hidden="1" customHeight="1" x14ac:dyDescent="0.25">
      <c r="A29" s="682"/>
      <c r="B29" s="682"/>
      <c r="C29" s="682"/>
      <c r="D29" s="682"/>
      <c r="E29" s="682"/>
    </row>
    <row r="30" spans="1:12" ht="24" hidden="1" customHeight="1" x14ac:dyDescent="0.25">
      <c r="A30" s="682"/>
      <c r="B30" s="682"/>
      <c r="C30" s="682"/>
      <c r="D30" s="682"/>
      <c r="E30" s="682"/>
    </row>
    <row r="31" spans="1:12" ht="24" hidden="1" customHeight="1" x14ac:dyDescent="0.25">
      <c r="A31" s="682"/>
      <c r="B31" s="682"/>
      <c r="C31" s="682"/>
      <c r="D31" s="682"/>
      <c r="E31" s="682"/>
    </row>
    <row r="32" spans="1:12" ht="24" hidden="1" customHeight="1" x14ac:dyDescent="0.25">
      <c r="A32" s="682"/>
      <c r="B32" s="682"/>
      <c r="C32" s="681"/>
      <c r="D32" s="681"/>
    </row>
    <row r="33" spans="1:5" ht="24" hidden="1" customHeight="1" x14ac:dyDescent="0.25">
      <c r="A33" s="682"/>
      <c r="B33" s="682"/>
      <c r="C33" s="681"/>
      <c r="D33" s="681"/>
    </row>
    <row r="34" spans="1:5" ht="24" customHeight="1" x14ac:dyDescent="0.25">
      <c r="A34" s="682"/>
      <c r="B34" s="682"/>
      <c r="C34" s="681"/>
      <c r="D34" s="681"/>
    </row>
    <row r="35" spans="1:5" ht="24" customHeight="1" x14ac:dyDescent="0.25">
      <c r="A35" s="682"/>
      <c r="B35" s="682"/>
      <c r="C35" s="681"/>
      <c r="D35" s="681"/>
    </row>
    <row r="36" spans="1:5" ht="24" customHeight="1" x14ac:dyDescent="0.25">
      <c r="A36" s="682"/>
      <c r="B36" s="682"/>
      <c r="C36" s="681"/>
      <c r="D36" s="681"/>
    </row>
    <row r="37" spans="1:5" ht="22.5" x14ac:dyDescent="0.25">
      <c r="A37" s="682"/>
      <c r="B37" s="682"/>
      <c r="C37" s="681"/>
      <c r="D37" s="681"/>
    </row>
    <row r="38" spans="1:5" ht="22.5" x14ac:dyDescent="0.25">
      <c r="A38" s="682"/>
      <c r="B38" s="682"/>
      <c r="C38" s="681"/>
      <c r="D38" s="681"/>
    </row>
    <row r="39" spans="1:5" ht="24" x14ac:dyDescent="0.25">
      <c r="A39" s="1595">
        <v>39</v>
      </c>
      <c r="B39" s="1595"/>
      <c r="C39" s="1595"/>
      <c r="D39" s="1595"/>
      <c r="E39" s="1595"/>
    </row>
  </sheetData>
  <customSheetViews>
    <customSheetView guid="{39716EAB-185B-4ADF-90CF-1B1041867F58}" scale="115" showPageBreaks="1" view="pageBreakPreview">
      <selection activeCell="E16" sqref="E16"/>
      <pageMargins left="0.70866141732283472" right="0.70866141732283472" top="0.74803149606299213" bottom="0.74803149606299213" header="0.31496062992125984" footer="0.31496062992125984"/>
      <printOptions horizontalCentered="1"/>
      <pageSetup paperSize="9" scale="81" orientation="portrait" r:id="rId1"/>
    </customSheetView>
    <customSheetView guid="{5CB8382F-C212-4512-9396-17792C62978E}" scale="115" showPageBreaks="1" view="pageBreakPreview">
      <selection activeCell="E16" sqref="E16"/>
      <pageMargins left="0.70866141732283472" right="0.70866141732283472" top="0.74803149606299213" bottom="0.74803149606299213" header="0.31496062992125984" footer="0.31496062992125984"/>
      <printOptions horizontalCentered="1"/>
      <pageSetup paperSize="9" scale="81" orientation="portrait" r:id="rId2"/>
    </customSheetView>
    <customSheetView guid="{184BCED3-EADB-44CF-BFDA-DA8D3E7206C0}" scale="115" showPageBreaks="1" view="pageBreakPreview">
      <selection activeCell="E16" sqref="E16"/>
      <pageMargins left="0.70866141732283472" right="0.70866141732283472" top="0.74803149606299213" bottom="0.74803149606299213" header="0.31496062992125984" footer="0.31496062992125984"/>
      <printOptions horizontalCentered="1"/>
      <pageSetup paperSize="9" scale="81" orientation="portrait" r:id="rId3"/>
    </customSheetView>
  </customSheetViews>
  <mergeCells count="19">
    <mergeCell ref="A1:E1"/>
    <mergeCell ref="A14:D14"/>
    <mergeCell ref="B18:C18"/>
    <mergeCell ref="A10:D10"/>
    <mergeCell ref="B17:C17"/>
    <mergeCell ref="A5:L5"/>
    <mergeCell ref="A7:E7"/>
    <mergeCell ref="A11:E11"/>
    <mergeCell ref="A2:E2"/>
    <mergeCell ref="A3:E3"/>
    <mergeCell ref="A6:E6"/>
    <mergeCell ref="A8:E8"/>
    <mergeCell ref="A39:E39"/>
    <mergeCell ref="B19:C19"/>
    <mergeCell ref="B20:C20"/>
    <mergeCell ref="B21:C21"/>
    <mergeCell ref="B22:C22"/>
    <mergeCell ref="A24:E24"/>
    <mergeCell ref="A25:E25"/>
  </mergeCells>
  <printOptions horizontalCentered="1"/>
  <pageMargins left="0.70866141732283505" right="0.70866141732283505" top="0.74803149606299202" bottom="0.74803149606299202" header="0.31496062992126" footer="0.31496062992126"/>
  <pageSetup paperSize="9" scale="70" orientation="portrait"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27"/>
  <sheetViews>
    <sheetView rightToLeft="1" view="pageBreakPreview" zoomScale="60" zoomScaleNormal="100" workbookViewId="0">
      <selection activeCell="G14" sqref="G14"/>
    </sheetView>
  </sheetViews>
  <sheetFormatPr defaultRowHeight="15" x14ac:dyDescent="0.25"/>
  <cols>
    <col min="3" max="3" width="9" customWidth="1"/>
    <col min="6" max="6" width="16.7109375" style="13" bestFit="1" customWidth="1"/>
  </cols>
  <sheetData>
    <row r="1" spans="1:15" ht="21" x14ac:dyDescent="0.55000000000000004">
      <c r="A1" s="1674" t="str">
        <f>'33-34'!A1:E1</f>
        <v>شرکت داروسازی خوارزمی (سهامی خاص)</v>
      </c>
      <c r="B1" s="1674"/>
      <c r="C1" s="1674"/>
      <c r="D1" s="1674"/>
      <c r="E1" s="1674"/>
      <c r="F1" s="1674"/>
      <c r="G1" s="1674"/>
      <c r="H1" s="1674"/>
      <c r="I1" s="1674"/>
      <c r="J1" s="1674"/>
      <c r="K1" s="1674"/>
      <c r="L1" s="1674"/>
      <c r="M1" s="1674"/>
      <c r="N1" s="1674"/>
      <c r="O1" s="163"/>
    </row>
    <row r="2" spans="1:15" ht="21" x14ac:dyDescent="0.55000000000000004">
      <c r="A2" s="1674" t="str">
        <f>'31'!A2:G2</f>
        <v>يادداشتهاي توضيحي صورتهاي مالي</v>
      </c>
      <c r="B2" s="1674"/>
      <c r="C2" s="1674"/>
      <c r="D2" s="1674"/>
      <c r="E2" s="1674"/>
      <c r="F2" s="1674"/>
      <c r="G2" s="1674"/>
      <c r="H2" s="1674"/>
      <c r="I2" s="1674"/>
      <c r="J2" s="1674"/>
      <c r="K2" s="1674"/>
      <c r="L2" s="1674"/>
      <c r="M2" s="1674"/>
      <c r="N2" s="1674"/>
      <c r="O2" s="164"/>
    </row>
    <row r="3" spans="1:15" ht="21" x14ac:dyDescent="0.55000000000000004">
      <c r="A3" s="1674" t="str">
        <f>'31'!A3:G3</f>
        <v>سال مالی منتهی به 30 اسفند 1403</v>
      </c>
      <c r="B3" s="1674"/>
      <c r="C3" s="1674"/>
      <c r="D3" s="1674"/>
      <c r="E3" s="1674"/>
      <c r="F3" s="1674"/>
      <c r="G3" s="1674"/>
      <c r="H3" s="1674"/>
      <c r="I3" s="1674"/>
      <c r="J3" s="1674"/>
      <c r="K3" s="1674"/>
      <c r="L3" s="1674"/>
      <c r="M3" s="1674"/>
      <c r="N3" s="1674"/>
      <c r="O3" s="163"/>
    </row>
    <row r="4" spans="1:15" ht="19.5" x14ac:dyDescent="0.25">
      <c r="A4" s="1675" t="s">
        <v>844</v>
      </c>
      <c r="B4" s="1675"/>
      <c r="C4" s="1675"/>
      <c r="D4" s="1675"/>
      <c r="E4" s="1675"/>
      <c r="F4" s="1675"/>
      <c r="G4" s="1675"/>
      <c r="H4" s="1675"/>
      <c r="I4" s="1675"/>
      <c r="J4" s="1675"/>
      <c r="K4" s="1675"/>
      <c r="L4" s="1675"/>
      <c r="M4" s="1675"/>
      <c r="N4" s="1675"/>
      <c r="O4" s="165"/>
    </row>
    <row r="5" spans="1:15" ht="39" x14ac:dyDescent="0.25">
      <c r="A5" s="165"/>
      <c r="B5" s="165"/>
      <c r="C5" s="165"/>
      <c r="D5" s="166" t="s">
        <v>825</v>
      </c>
      <c r="E5" s="167"/>
      <c r="F5" s="166" t="s">
        <v>826</v>
      </c>
      <c r="G5" s="167"/>
      <c r="H5" s="166" t="s">
        <v>584</v>
      </c>
      <c r="I5" s="167"/>
      <c r="J5" s="166" t="s">
        <v>827</v>
      </c>
      <c r="K5" s="167"/>
      <c r="L5" s="166" t="s">
        <v>828</v>
      </c>
      <c r="M5" s="167"/>
      <c r="N5" s="166" t="s">
        <v>829</v>
      </c>
      <c r="O5" s="165"/>
    </row>
    <row r="6" spans="1:15" ht="18" x14ac:dyDescent="0.25">
      <c r="A6" s="165"/>
      <c r="B6" s="165" t="s">
        <v>25</v>
      </c>
      <c r="C6" s="165"/>
      <c r="D6" s="168">
        <v>18</v>
      </c>
      <c r="E6" s="168"/>
      <c r="F6" s="169">
        <v>43904</v>
      </c>
      <c r="G6" s="168"/>
      <c r="H6" s="169" t="s">
        <v>183</v>
      </c>
      <c r="I6" s="168"/>
      <c r="J6" s="169" t="s">
        <v>183</v>
      </c>
      <c r="K6" s="168"/>
      <c r="L6" s="169" t="s">
        <v>183</v>
      </c>
      <c r="M6" s="168"/>
      <c r="N6" s="169" t="s">
        <v>183</v>
      </c>
      <c r="O6" s="165"/>
    </row>
    <row r="7" spans="1:15" ht="18" x14ac:dyDescent="0.25">
      <c r="A7" s="165"/>
      <c r="B7" s="165" t="s">
        <v>125</v>
      </c>
      <c r="C7" s="165"/>
      <c r="D7" s="168">
        <v>17</v>
      </c>
      <c r="E7" s="168"/>
      <c r="F7" s="168" t="s">
        <v>183</v>
      </c>
      <c r="G7" s="168"/>
      <c r="H7" s="168" t="s">
        <v>183</v>
      </c>
      <c r="I7" s="168"/>
      <c r="J7" s="168" t="s">
        <v>183</v>
      </c>
      <c r="K7" s="168"/>
      <c r="L7" s="168" t="s">
        <v>183</v>
      </c>
      <c r="M7" s="168"/>
      <c r="N7" s="168" t="s">
        <v>183</v>
      </c>
      <c r="O7" s="165"/>
    </row>
    <row r="8" spans="1:15" ht="18" x14ac:dyDescent="0.25">
      <c r="A8" s="165"/>
      <c r="B8" s="165" t="s">
        <v>830</v>
      </c>
      <c r="C8" s="165"/>
      <c r="D8" s="168" t="s">
        <v>183</v>
      </c>
      <c r="E8" s="168"/>
      <c r="F8" s="170">
        <v>43904</v>
      </c>
      <c r="G8" s="168"/>
      <c r="H8" s="170" t="s">
        <v>183</v>
      </c>
      <c r="I8" s="168"/>
      <c r="J8" s="170" t="s">
        <v>183</v>
      </c>
      <c r="K8" s="168"/>
      <c r="L8" s="170" t="s">
        <v>183</v>
      </c>
      <c r="M8" s="168"/>
      <c r="N8" s="170" t="s">
        <v>183</v>
      </c>
      <c r="O8" s="165"/>
    </row>
    <row r="9" spans="1:15" ht="18" x14ac:dyDescent="0.25">
      <c r="A9" s="165"/>
      <c r="B9" s="165" t="s">
        <v>831</v>
      </c>
      <c r="C9" s="165"/>
      <c r="D9" s="168">
        <v>22</v>
      </c>
      <c r="E9" s="168"/>
      <c r="F9" s="168" t="s">
        <v>832</v>
      </c>
      <c r="G9" s="168"/>
      <c r="H9" s="168" t="s">
        <v>183</v>
      </c>
      <c r="I9" s="168"/>
      <c r="J9" s="168" t="s">
        <v>183</v>
      </c>
      <c r="K9" s="168"/>
      <c r="L9" s="168" t="s">
        <v>183</v>
      </c>
      <c r="M9" s="168"/>
      <c r="N9" s="168" t="s">
        <v>183</v>
      </c>
      <c r="O9" s="165"/>
    </row>
    <row r="10" spans="1:15" ht="18" x14ac:dyDescent="0.25">
      <c r="A10" s="165"/>
      <c r="B10" s="165" t="s">
        <v>833</v>
      </c>
      <c r="C10" s="165"/>
      <c r="D10" s="168">
        <v>25</v>
      </c>
      <c r="E10" s="168"/>
      <c r="F10" s="168" t="s">
        <v>832</v>
      </c>
      <c r="G10" s="168"/>
      <c r="H10" s="168" t="s">
        <v>832</v>
      </c>
      <c r="I10" s="168"/>
      <c r="J10" s="168" t="s">
        <v>832</v>
      </c>
      <c r="K10" s="168"/>
      <c r="L10" s="168" t="s">
        <v>832</v>
      </c>
      <c r="M10" s="168"/>
      <c r="N10" s="168" t="s">
        <v>832</v>
      </c>
      <c r="O10" s="165"/>
    </row>
    <row r="11" spans="1:15" ht="18" x14ac:dyDescent="0.25">
      <c r="A11" s="165"/>
      <c r="B11" s="165" t="s">
        <v>834</v>
      </c>
      <c r="C11" s="165"/>
      <c r="D11" s="168"/>
      <c r="E11" s="168"/>
      <c r="F11" s="170" t="s">
        <v>832</v>
      </c>
      <c r="G11" s="168"/>
      <c r="H11" s="170" t="s">
        <v>832</v>
      </c>
      <c r="I11" s="168"/>
      <c r="J11" s="170" t="s">
        <v>832</v>
      </c>
      <c r="K11" s="168"/>
      <c r="L11" s="170" t="s">
        <v>832</v>
      </c>
      <c r="M11" s="168"/>
      <c r="N11" s="170" t="s">
        <v>832</v>
      </c>
      <c r="O11" s="165"/>
    </row>
    <row r="12" spans="1:15" ht="18.75" thickBot="1" x14ac:dyDescent="0.3">
      <c r="A12" s="165"/>
      <c r="B12" s="165" t="s">
        <v>835</v>
      </c>
      <c r="C12" s="165"/>
      <c r="D12" s="168"/>
      <c r="E12" s="168"/>
      <c r="F12" s="171">
        <v>43904</v>
      </c>
      <c r="G12" s="168"/>
      <c r="H12" s="171" t="s">
        <v>832</v>
      </c>
      <c r="I12" s="168"/>
      <c r="J12" s="171" t="s">
        <v>183</v>
      </c>
      <c r="K12" s="168"/>
      <c r="L12" s="171" t="s">
        <v>832</v>
      </c>
      <c r="M12" s="168"/>
      <c r="N12" s="171" t="s">
        <v>183</v>
      </c>
      <c r="O12" s="165"/>
    </row>
    <row r="13" spans="1:15" ht="19.5" thickTop="1" thickBot="1" x14ac:dyDescent="0.3">
      <c r="A13" s="165"/>
      <c r="B13" s="165" t="s">
        <v>845</v>
      </c>
      <c r="C13" s="165"/>
      <c r="D13" s="168"/>
      <c r="E13" s="168"/>
      <c r="F13" s="172">
        <v>11279120852</v>
      </c>
      <c r="G13" s="168"/>
      <c r="H13" s="172" t="s">
        <v>183</v>
      </c>
      <c r="I13" s="168"/>
      <c r="J13" s="172" t="s">
        <v>183</v>
      </c>
      <c r="K13" s="168"/>
      <c r="L13" s="172" t="s">
        <v>183</v>
      </c>
      <c r="M13" s="168"/>
      <c r="N13" s="172" t="s">
        <v>183</v>
      </c>
      <c r="O13" s="165"/>
    </row>
    <row r="14" spans="1:15" ht="19.5" thickTop="1" thickBot="1" x14ac:dyDescent="0.3">
      <c r="A14" s="165"/>
      <c r="B14" s="165" t="s">
        <v>836</v>
      </c>
      <c r="C14" s="165"/>
      <c r="D14" s="168"/>
      <c r="E14" s="168"/>
      <c r="F14" s="172">
        <v>11279120852</v>
      </c>
      <c r="G14" s="168"/>
      <c r="H14" s="172" t="s">
        <v>832</v>
      </c>
      <c r="I14" s="168"/>
      <c r="J14" s="172" t="s">
        <v>183</v>
      </c>
      <c r="K14" s="168"/>
      <c r="L14" s="172" t="s">
        <v>183</v>
      </c>
      <c r="M14" s="168"/>
      <c r="N14" s="172" t="s">
        <v>183</v>
      </c>
      <c r="O14" s="165"/>
    </row>
    <row r="15" spans="1:15" ht="19.5" thickTop="1" thickBot="1" x14ac:dyDescent="0.3">
      <c r="A15" s="165"/>
      <c r="B15" s="165" t="s">
        <v>837</v>
      </c>
      <c r="C15" s="165"/>
      <c r="D15" s="168"/>
      <c r="E15" s="168"/>
      <c r="F15" s="172" t="s">
        <v>183</v>
      </c>
      <c r="G15" s="168"/>
      <c r="H15" s="172" t="s">
        <v>183</v>
      </c>
      <c r="I15" s="168"/>
      <c r="J15" s="172" t="s">
        <v>183</v>
      </c>
      <c r="K15" s="168"/>
      <c r="L15" s="172" t="s">
        <v>183</v>
      </c>
      <c r="M15" s="168"/>
      <c r="N15" s="172" t="s">
        <v>183</v>
      </c>
      <c r="O15" s="165"/>
    </row>
    <row r="16" spans="1:15" ht="19.5" thickTop="1" thickBot="1" x14ac:dyDescent="0.3">
      <c r="A16" s="165"/>
      <c r="B16" s="165" t="s">
        <v>838</v>
      </c>
      <c r="C16" s="165"/>
      <c r="D16" s="168">
        <v>47</v>
      </c>
      <c r="E16" s="168"/>
      <c r="F16" s="172" t="s">
        <v>183</v>
      </c>
      <c r="G16" s="168"/>
      <c r="H16" s="172" t="s">
        <v>183</v>
      </c>
      <c r="I16" s="168"/>
      <c r="J16" s="172" t="s">
        <v>183</v>
      </c>
      <c r="K16" s="168"/>
      <c r="L16" s="172" t="s">
        <v>183</v>
      </c>
      <c r="M16" s="168"/>
      <c r="N16" s="172" t="s">
        <v>183</v>
      </c>
      <c r="O16" s="165"/>
    </row>
    <row r="17" spans="1:15" ht="18.75" thickTop="1" x14ac:dyDescent="0.25">
      <c r="A17" s="165"/>
      <c r="B17" s="165"/>
      <c r="C17" s="165"/>
      <c r="D17" s="168"/>
      <c r="E17" s="168"/>
      <c r="F17" s="168"/>
      <c r="G17" s="168"/>
      <c r="H17" s="168"/>
      <c r="I17" s="168"/>
      <c r="J17" s="168"/>
      <c r="K17" s="168"/>
      <c r="L17" s="168"/>
      <c r="M17" s="168"/>
      <c r="N17" s="168"/>
      <c r="O17" s="165"/>
    </row>
    <row r="18" spans="1:15" ht="18" x14ac:dyDescent="0.25">
      <c r="A18" s="1676" t="s">
        <v>846</v>
      </c>
      <c r="B18" s="1677"/>
      <c r="C18" s="1677"/>
      <c r="D18" s="1677"/>
      <c r="E18" s="1677"/>
      <c r="F18" s="1677"/>
      <c r="G18" s="1677"/>
      <c r="H18" s="1677"/>
      <c r="I18" s="1677"/>
      <c r="J18" s="1677"/>
      <c r="K18" s="1677"/>
      <c r="L18" s="1677"/>
      <c r="M18" s="1677"/>
      <c r="N18" s="1677"/>
      <c r="O18" s="165"/>
    </row>
    <row r="19" spans="1:15" ht="18" x14ac:dyDescent="0.25">
      <c r="A19" s="165"/>
      <c r="B19" s="165"/>
      <c r="C19" s="165"/>
      <c r="D19" s="165"/>
      <c r="E19" s="165"/>
      <c r="F19" s="174"/>
      <c r="G19" s="165"/>
      <c r="H19" s="165"/>
      <c r="I19" s="165"/>
      <c r="J19" s="165"/>
      <c r="K19" s="165"/>
      <c r="L19" s="165"/>
      <c r="M19" s="165"/>
      <c r="N19" s="165"/>
      <c r="O19" s="165"/>
    </row>
    <row r="20" spans="1:15" ht="21" x14ac:dyDescent="0.25">
      <c r="A20" s="165"/>
      <c r="B20" s="165"/>
      <c r="C20" s="165"/>
      <c r="D20" s="165"/>
      <c r="E20" s="165"/>
      <c r="F20" s="1678" t="s">
        <v>774</v>
      </c>
      <c r="G20" s="1678"/>
      <c r="H20" s="1678"/>
      <c r="I20" s="1678"/>
      <c r="J20" s="1678"/>
      <c r="K20" s="165"/>
      <c r="L20" s="165"/>
      <c r="M20" s="165"/>
      <c r="N20" s="165"/>
      <c r="O20" s="165"/>
    </row>
    <row r="21" spans="1:15" ht="18" x14ac:dyDescent="0.25">
      <c r="A21" s="165"/>
      <c r="B21" s="165"/>
      <c r="C21" s="165"/>
      <c r="D21" s="173" t="s">
        <v>839</v>
      </c>
      <c r="E21" s="174"/>
      <c r="F21" s="173" t="s">
        <v>840</v>
      </c>
      <c r="G21" s="174"/>
      <c r="H21" s="173" t="s">
        <v>584</v>
      </c>
      <c r="I21" s="174"/>
      <c r="J21" s="173" t="s">
        <v>183</v>
      </c>
      <c r="K21" s="165"/>
      <c r="L21" s="165"/>
      <c r="M21" s="165"/>
      <c r="N21" s="165"/>
      <c r="O21" s="165"/>
    </row>
    <row r="22" spans="1:15" ht="18" x14ac:dyDescent="0.25">
      <c r="A22" s="165"/>
      <c r="B22" s="165"/>
      <c r="C22" s="165"/>
      <c r="D22" s="174" t="s">
        <v>841</v>
      </c>
      <c r="E22" s="174"/>
      <c r="F22" s="168">
        <v>364490</v>
      </c>
      <c r="G22" s="174"/>
      <c r="H22" s="174" t="s">
        <v>842</v>
      </c>
      <c r="I22" s="174"/>
      <c r="J22" s="174" t="s">
        <v>842</v>
      </c>
      <c r="K22" s="165"/>
      <c r="L22" s="165"/>
      <c r="M22" s="165"/>
      <c r="N22" s="165"/>
      <c r="O22" s="165"/>
    </row>
    <row r="23" spans="1:15" ht="18" x14ac:dyDescent="0.45">
      <c r="A23" s="165"/>
      <c r="B23" s="165"/>
      <c r="C23" s="165"/>
      <c r="D23" s="175" t="s">
        <v>135</v>
      </c>
      <c r="E23" s="175"/>
      <c r="F23" s="168">
        <v>14406</v>
      </c>
      <c r="G23" s="175"/>
      <c r="H23" s="175">
        <v>530</v>
      </c>
      <c r="I23" s="175"/>
      <c r="J23" s="175" t="s">
        <v>842</v>
      </c>
      <c r="K23" s="165"/>
      <c r="L23" s="165"/>
      <c r="M23" s="165"/>
      <c r="N23" s="165"/>
      <c r="O23" s="165"/>
    </row>
    <row r="24" spans="1:15" ht="18" x14ac:dyDescent="0.45">
      <c r="A24" s="165"/>
      <c r="B24" s="165"/>
      <c r="C24" s="165"/>
      <c r="D24" s="175" t="s">
        <v>843</v>
      </c>
      <c r="E24" s="175"/>
      <c r="F24" s="168">
        <v>78654</v>
      </c>
      <c r="G24" s="175"/>
      <c r="H24" s="175">
        <v>4895</v>
      </c>
      <c r="I24" s="175"/>
      <c r="J24" s="175" t="s">
        <v>842</v>
      </c>
      <c r="K24" s="165"/>
      <c r="L24" s="165"/>
      <c r="M24" s="165"/>
      <c r="N24" s="165"/>
      <c r="O24" s="165"/>
    </row>
    <row r="25" spans="1:15" ht="18" x14ac:dyDescent="0.25">
      <c r="A25" s="165"/>
      <c r="B25" s="165"/>
      <c r="C25" s="165"/>
      <c r="D25" s="165"/>
      <c r="E25" s="165"/>
      <c r="F25" s="174"/>
      <c r="G25" s="165"/>
      <c r="H25" s="165"/>
      <c r="I25" s="165"/>
      <c r="J25" s="165"/>
      <c r="K25" s="165"/>
      <c r="L25" s="165"/>
      <c r="M25" s="165"/>
      <c r="N25" s="165"/>
      <c r="O25" s="165"/>
    </row>
    <row r="26" spans="1:15" ht="18" x14ac:dyDescent="0.25">
      <c r="A26" s="165"/>
      <c r="B26" s="165"/>
      <c r="C26" s="165"/>
      <c r="D26" s="165"/>
      <c r="E26" s="165"/>
      <c r="F26" s="174"/>
      <c r="G26" s="165"/>
      <c r="H26" s="165"/>
      <c r="I26" s="165"/>
      <c r="J26" s="165"/>
      <c r="K26" s="165"/>
      <c r="L26" s="165"/>
      <c r="M26" s="165"/>
      <c r="N26" s="165"/>
      <c r="O26" s="165"/>
    </row>
    <row r="27" spans="1:15" ht="19.5" x14ac:dyDescent="0.25">
      <c r="A27" s="1673">
        <v>41</v>
      </c>
      <c r="B27" s="1673"/>
      <c r="C27" s="1673"/>
      <c r="D27" s="1673"/>
      <c r="E27" s="1673"/>
      <c r="F27" s="1673"/>
      <c r="G27" s="1673"/>
      <c r="H27" s="1673"/>
      <c r="I27" s="1673"/>
      <c r="J27" s="1673"/>
      <c r="K27" s="1673"/>
      <c r="L27" s="1673"/>
      <c r="M27" s="1673"/>
      <c r="N27" s="1673"/>
      <c r="O27" s="1673"/>
    </row>
  </sheetData>
  <customSheetViews>
    <customSheetView guid="{39716EAB-185B-4ADF-90CF-1B1041867F58}" scale="60" showPageBreaks="1" view="pageBreakPreview">
      <selection activeCell="G14" sqref="G14"/>
      <pageMargins left="0.7" right="0.7" top="0.75" bottom="0.75" header="0.3" footer="0.3"/>
      <pageSetup paperSize="8" orientation="landscape" r:id="rId1"/>
    </customSheetView>
    <customSheetView guid="{5CB8382F-C212-4512-9396-17792C62978E}" scale="60" showPageBreaks="1" view="pageBreakPreview">
      <selection activeCell="G14" sqref="G14"/>
      <pageMargins left="0.7" right="0.7" top="0.75" bottom="0.75" header="0.3" footer="0.3"/>
      <pageSetup paperSize="8" orientation="landscape" r:id="rId2"/>
    </customSheetView>
    <customSheetView guid="{184BCED3-EADB-44CF-BFDA-DA8D3E7206C0}" scale="60" showPageBreaks="1" view="pageBreakPreview">
      <selection activeCell="G14" sqref="G14"/>
      <pageMargins left="0.7" right="0.7" top="0.75" bottom="0.75" header="0.3" footer="0.3"/>
      <pageSetup paperSize="8" orientation="landscape" r:id="rId3"/>
    </customSheetView>
  </customSheetViews>
  <mergeCells count="7">
    <mergeCell ref="A27:O27"/>
    <mergeCell ref="A1:N1"/>
    <mergeCell ref="A2:N2"/>
    <mergeCell ref="A3:N3"/>
    <mergeCell ref="A4:N4"/>
    <mergeCell ref="A18:N18"/>
    <mergeCell ref="F20:J20"/>
  </mergeCells>
  <pageMargins left="0.7" right="0.7" top="0.75" bottom="0.75" header="0.3" footer="0.3"/>
  <pageSetup paperSize="8" orientation="landscape"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47</vt:i4>
      </vt:variant>
    </vt:vector>
  </HeadingPairs>
  <TitlesOfParts>
    <vt:vector size="91" baseType="lpstr">
      <vt:lpstr>ص امضا</vt:lpstr>
      <vt:lpstr>سودوزيان</vt:lpstr>
      <vt:lpstr>وضعيت مالي</vt:lpstr>
      <vt:lpstr>حقوق مالكانه </vt:lpstr>
      <vt:lpstr>جريان هاي نقدي</vt:lpstr>
      <vt:lpstr>تاريخچه</vt:lpstr>
      <vt:lpstr>6 اهم رويه ها</vt:lpstr>
      <vt:lpstr>7ادامه</vt:lpstr>
      <vt:lpstr>5</vt:lpstr>
      <vt:lpstr>5-5</vt:lpstr>
      <vt:lpstr>6</vt:lpstr>
      <vt:lpstr>5-10</vt:lpstr>
      <vt:lpstr>6-1</vt:lpstr>
      <vt:lpstr>6-2</vt:lpstr>
      <vt:lpstr>12</vt:lpstr>
      <vt:lpstr>8.9.10.11</vt:lpstr>
      <vt:lpstr>12 اصلی</vt:lpstr>
      <vt:lpstr>12-1</vt:lpstr>
      <vt:lpstr>12-2</vt:lpstr>
      <vt:lpstr>12-8</vt:lpstr>
      <vt:lpstr>13-14</vt:lpstr>
      <vt:lpstr>15</vt:lpstr>
      <vt:lpstr>15-16</vt:lpstr>
      <vt:lpstr>17</vt:lpstr>
      <vt:lpstr>17-2</vt:lpstr>
      <vt:lpstr>17-4</vt:lpstr>
      <vt:lpstr>17-6</vt:lpstr>
      <vt:lpstr>18</vt:lpstr>
      <vt:lpstr>19-20-21</vt:lpstr>
      <vt:lpstr>22</vt:lpstr>
      <vt:lpstr>22-1</vt:lpstr>
      <vt:lpstr>22-3</vt:lpstr>
      <vt:lpstr>22-4</vt:lpstr>
      <vt:lpstr>23-24</vt:lpstr>
      <vt:lpstr>23</vt:lpstr>
      <vt:lpstr>25</vt:lpstr>
      <vt:lpstr>26-27</vt:lpstr>
      <vt:lpstr>28-29</vt:lpstr>
      <vt:lpstr>30</vt:lpstr>
      <vt:lpstr>30-1 </vt:lpstr>
      <vt:lpstr>31</vt:lpstr>
      <vt:lpstr>31-32 </vt:lpstr>
      <vt:lpstr>33-34</vt:lpstr>
      <vt:lpstr>35</vt:lpstr>
      <vt:lpstr>'12'!Print_Area</vt:lpstr>
      <vt:lpstr>'12-1'!Print_Area</vt:lpstr>
      <vt:lpstr>'12-2'!Print_Area</vt:lpstr>
      <vt:lpstr>'12-8'!Print_Area</vt:lpstr>
      <vt:lpstr>'13-14'!Print_Area</vt:lpstr>
      <vt:lpstr>'15'!Print_Area</vt:lpstr>
      <vt:lpstr>'15-16'!Print_Area</vt:lpstr>
      <vt:lpstr>'17'!Print_Area</vt:lpstr>
      <vt:lpstr>'17-2'!Print_Area</vt:lpstr>
      <vt:lpstr>'17-4'!Print_Area</vt:lpstr>
      <vt:lpstr>'17-6'!Print_Area</vt:lpstr>
      <vt:lpstr>'18'!Print_Area</vt:lpstr>
      <vt:lpstr>'19-20-21'!Print_Area</vt:lpstr>
      <vt:lpstr>'22'!Print_Area</vt:lpstr>
      <vt:lpstr>'22-1'!Print_Area</vt:lpstr>
      <vt:lpstr>'22-3'!Print_Area</vt:lpstr>
      <vt:lpstr>'22-4'!Print_Area</vt:lpstr>
      <vt:lpstr>'23'!Print_Area</vt:lpstr>
      <vt:lpstr>'23-24'!Print_Area</vt:lpstr>
      <vt:lpstr>'25'!Print_Area</vt:lpstr>
      <vt:lpstr>'26-27'!Print_Area</vt:lpstr>
      <vt:lpstr>'28-29'!Print_Area</vt:lpstr>
      <vt:lpstr>'30'!Print_Area</vt:lpstr>
      <vt:lpstr>'30-1 '!Print_Area</vt:lpstr>
      <vt:lpstr>'31'!Print_Area</vt:lpstr>
      <vt:lpstr>'31-32 '!Print_Area</vt:lpstr>
      <vt:lpstr>'33-34'!Print_Area</vt:lpstr>
      <vt:lpstr>'5'!Print_Area</vt:lpstr>
      <vt:lpstr>'5-10'!Print_Area</vt:lpstr>
      <vt:lpstr>'5-5'!Print_Area</vt:lpstr>
      <vt:lpstr>'6'!Print_Area</vt:lpstr>
      <vt:lpstr>'6 اهم رويه ها'!Print_Area</vt:lpstr>
      <vt:lpstr>'6-1'!Print_Area</vt:lpstr>
      <vt:lpstr>'6-2'!Print_Area</vt:lpstr>
      <vt:lpstr>'7ادامه'!Print_Area</vt:lpstr>
      <vt:lpstr>'8.9.10.11'!Print_Area</vt:lpstr>
      <vt:lpstr>تاريخچه!Print_Area</vt:lpstr>
      <vt:lpstr>'جريان هاي نقدي'!Print_Area</vt:lpstr>
      <vt:lpstr>'حقوق مالكانه '!Print_Area</vt:lpstr>
      <vt:lpstr>سودوزيان!Print_Area</vt:lpstr>
      <vt:lpstr>'ص امضا'!Print_Area</vt:lpstr>
      <vt:lpstr>'وضعيت مالي'!Print_Area</vt:lpstr>
      <vt:lpstr>'15'!Print_Titles</vt:lpstr>
      <vt:lpstr>'6-1'!Print_Titles</vt:lpstr>
      <vt:lpstr>'جريان هاي نقدي'!Print_Titles</vt:lpstr>
      <vt:lpstr>'حقوق مالكانه '!Print_Titles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عابدین زاده هما</cp:lastModifiedBy>
  <cp:lastPrinted>2025-09-23T05:06:44Z</cp:lastPrinted>
  <dcterms:created xsi:type="dcterms:W3CDTF">2019-08-03T05:17:39Z</dcterms:created>
  <dcterms:modified xsi:type="dcterms:W3CDTF">2025-11-17T13:20:48Z</dcterms:modified>
</cp:coreProperties>
</file>